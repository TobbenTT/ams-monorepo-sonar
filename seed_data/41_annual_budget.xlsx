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OPEX_by_Area" sheetId="2" state="visible" r:id="rId2"/>
    <sheet xmlns:r="http://schemas.openxmlformats.org/officeDocument/2006/relationships" name="Maintenance_Budget" sheetId="3" state="visible" r:id="rId3"/>
    <sheet xmlns:r="http://schemas.openxmlformats.org/officeDocument/2006/relationships" name="CAPEX_Plan" sheetId="4" state="visible" r:id="rId4"/>
    <sheet xmlns:r="http://schemas.openxmlformats.org/officeDocument/2006/relationships" name="KPI_Targets" sheetId="5" state="visible" r:id="rId5"/>
    <sheet xmlns:r="http://schemas.openxmlformats.org/officeDocument/2006/relationships" name="Budget_Equipment_Detail" sheetId="6" state="visible" r:id="rId6"/>
    <sheet xmlns:r="http://schemas.openxmlformats.org/officeDocument/2006/relationships" name="Production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1F4E79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6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AMS-Generator</author>
  </authors>
  <commentList>
    <comment ref="A1" authorId="0" shapeId="0">
      <text>
        <t>Categoria: PRODUCCION, COSTOS, FINANCIERO, OPERACIONAL, SEGURIDAD, DOTACION</t>
      </text>
    </comment>
    <comment ref="B1" authorId="0" shapeId="0">
      <text>
        <t>Identificador KPI en formato snake_case</t>
      </text>
    </comment>
    <comment ref="D1" authorId="0" shapeId="0">
      <text>
        <t>Unidad: oz, kt, g/t, %, ratio, USD/oz, MUSD, USD/t, weeks, rate, #</t>
      </text>
    </comment>
    <comment ref="Q1" authorId="0" shapeId="0">
      <text>
        <t>Presupuesto anual: SUM para acumulables, AVG para ratios/porcentajes</t>
      </text>
    </comment>
    <comment ref="R1" authorId="0" shapeId="0">
      <text>
        <t>Real anual (se completa durante ejecucion)</t>
      </text>
    </comment>
    <comment ref="S1" authorId="0" shapeId="0">
      <text>
        <t>Varianza % = (Real - Presupuesto) / Presupuesto. Formula automatica</t>
      </text>
    </comment>
  </commentList>
</comments>
</file>

<file path=xl/comments/comment2.xml><?xml version="1.0" encoding="utf-8"?>
<comments xmlns="http://schemas.openxmlformats.org/spreadsheetml/2006/main">
  <authors>
    <author>AMS-Generator</author>
  </authors>
  <commentList>
    <comment ref="A1" authorId="0" shapeId="0">
      <text>
        <t>Centro de costo SAP: CC-1000 (Mina), CC-2000 (Manejo Mat.), CC-3000 (Planta), CC-4000 (Aux.), CC-5000 (Infra.), CC-7000 (Fuera sitio), CC-8000 (Dueno)</t>
      </text>
    </comment>
    <comment ref="C1" authorId="0" shapeId="0">
      <text>
        <t>Area de negocio: MIN, SEC, HUM, AUX, INF, EXT, MOV</t>
      </text>
    </comment>
    <comment ref="D1" authorId="0" shapeId="0">
      <text>
        <t>Elemento de costo: 610000-660000</t>
      </text>
    </comment>
    <comment ref="F1" authorId="0" shapeId="0">
      <text>
        <t>Subelemento de costo para desglose detallado dentro de cada elemento</t>
      </text>
    </comment>
    <comment ref="S1" authorId="0" shapeId="0">
      <text>
        <t>Presupuesto anual = SUM(Ene:Dic)</t>
      </text>
    </comment>
    <comment ref="AF1" authorId="0" shapeId="0">
      <text>
        <t>Real anual = SUM(Ene:Dic). Se completa durante ejecucion</t>
      </text>
    </comment>
    <comment ref="AG1" authorId="0" shapeId="0">
      <text>
        <t>Varianza = Presupuesto - Real (positivo = ahorro)</t>
      </text>
    </comment>
    <comment ref="AH1" authorId="0" shapeId="0">
      <text>
        <t>Varianza % = Varianza / Presupuesto</t>
      </text>
    </comment>
  </commentList>
</comments>
</file>

<file path=xl/comments/comment3.xml><?xml version="1.0" encoding="utf-8"?>
<comments xmlns="http://schemas.openxmlformats.org/spreadsheetml/2006/main">
  <authors>
    <author>AMS-Generator</author>
  </authors>
  <commentList>
    <comment ref="A1" authorId="0" shapeId="0">
      <text>
        <t>Agrupacion de equipos por ubicacion funcional L2 y centro de costo</t>
      </text>
    </comment>
    <comment ref="C1" authorId="0" shapeId="0">
      <text>
        <t>Ubicacion funcional SAP nivel 2: SN-XXXX-XXXX</t>
      </text>
    </comment>
    <comment ref="E1" authorId="0" shapeId="0">
      <text>
        <t>Grupo planificacion: M01=Mina, P01=Area Seca, P02=Area Humeda, P03=Servicios</t>
      </text>
    </comment>
    <comment ref="F1" authorId="0" shapeId="0">
      <text>
        <t>Tipo costo mantencion: LABOR_INTERNAL, SPARE_PARTS, GET, CONSUMABLES, LUBRICANTS, SVC_FIXED, SVC_VARIABLE, SVC_EXTERNAL, OTHER_SERVICES</t>
      </text>
    </comment>
    <comment ref="T1" authorId="0" shapeId="0">
      <text>
        <t>Total anual presupuesto = SUM(Ene:Dic)</t>
      </text>
    </comment>
    <comment ref="U1" authorId="0" shapeId="0">
      <text>
        <t>Fuente del presupuesto: HISTORICAL (datos historicos), CONTRACTOR_QUOTE (cotizacion), ENGINEERING_ESTIMATE (estimacion ingenieria)</t>
      </text>
    </comment>
  </commentList>
</comments>
</file>

<file path=xl/comments/comment4.xml><?xml version="1.0" encoding="utf-8"?>
<comments xmlns="http://schemas.openxmlformats.org/spreadsheetml/2006/main">
  <authors>
    <author>AMS-Generator</author>
  </authors>
  <commentList>
    <comment ref="A1" authorId="0" shapeId="0">
      <text>
        <t>Identificador unico del proyecto CAPEX: CAPEX-YYYY-NNN</t>
      </text>
    </comment>
    <comment ref="B1" authorId="0" shapeId="0">
      <text>
        <t>Categoria: SUSTAINING (mantener capacidad), DEVELOPMENT (nuevo), MINE_DEVELOPMENT (desarrollo mina), EXPANSION (ampliacion)</t>
      </text>
    </comment>
    <comment ref="E1" authorId="0" shapeId="0">
      <text>
        <t>Elemento WBS compatible con 20_financial_assignments.xlsx</t>
      </text>
    </comment>
    <comment ref="G1" authorId="0" shapeId="0">
      <text>
        <t>Clase de activo: MOBILE_EQUIP, PLANT_EQUIP, INFRASTRUCTURE, MINE_PREP, IT_SYSTEMS</t>
      </text>
    </comment>
    <comment ref="U1" authorId="0" shapeId="0">
      <text>
        <t>Total anual = SUM(Ene:Dic)</t>
      </text>
    </comment>
    <comment ref="V1" authorId="0" shapeId="0">
      <text>
        <t>Estado de aprobacion: APPROVED, PENDING, CONTINGENCY</t>
      </text>
    </comment>
    <comment ref="W1" authorId="0" shapeId="0">
      <text>
        <t>Prioridad: 1-Critica, 2-Alta, 3-Media, 4-Baja</t>
      </text>
    </comment>
  </commentList>
</comments>
</file>

<file path=xl/comments/comment5.xml><?xml version="1.0" encoding="utf-8"?>
<comments xmlns="http://schemas.openxmlformats.org/spreadsheetml/2006/main">
  <authors>
    <author>AMS-Generator</author>
  </authors>
  <commentList>
    <comment ref="A1" authorId="0" shapeId="0">
      <text>
        <t>Dominio: PRODUCTION, MAINTENANCE, FINANCIAL, RELIABILITY, SAFETY</t>
      </text>
    </comment>
    <comment ref="B1" authorId="0" shapeId="0">
      <text>
        <t>Nombre del KPI en formato snake_case, unico</t>
      </text>
    </comment>
    <comment ref="E1" authorId="0" shapeId="0">
      <text>
        <t>Grupo de planificacion: M01, P01, P02, P03. Null para KPIs globales</t>
      </text>
    </comment>
    <comment ref="S1" authorId="0" shapeId="0">
      <text>
        <t>Meta anual: SUM para acumulables, WEIGHTED_AVG para promedios</t>
      </text>
    </comment>
    <comment ref="T1" authorId="0" shapeId="0">
      <text>
        <t>Metodo calculo: DIRECT (valor directo), WEIGHTED_AVG, SUM, FORMULA (calculado de otros KPIs)</t>
      </text>
    </comment>
    <comment ref="U1" authorId="0" shapeId="0">
      <text>
        <t>Archivo fuente de datos reales para comparacion</t>
      </text>
    </comment>
  </commentList>
</comments>
</file>

<file path=xl/comments/comment6.xml><?xml version="1.0" encoding="utf-8"?>
<comments xmlns="http://schemas.openxmlformats.org/spreadsheetml/2006/main">
  <authors>
    <author>AMS-Generator</author>
  </authors>
  <commentList>
    <comment ref="A1" authorId="0" shapeId="0">
      <text>
        <t>Ubicacion funcional SAP completa. Formato: SN-XXXX-XXXX-XXXX-XXXXXXXXXX</t>
      </text>
    </comment>
    <comment ref="E1" authorId="0" shapeId="0">
      <text>
        <t>Centro de costo SAP: CC-1000 a CC-8000</t>
      </text>
    </comment>
    <comment ref="F1" authorId="0" shapeId="0">
      <text>
        <t>Grupo de planificacion: M01 (Mina), P01 (Area Seca), P02 (Area Humeda), P03 (Servicios)</t>
      </text>
    </comment>
    <comment ref="G1" authorId="0" shapeId="0">
      <text>
        <t>Elemento de costo: 610000=Mano obra, 620000=Materiales, 630000=Servicios externos</t>
      </text>
    </comment>
    <comment ref="U1" authorId="0" shapeId="0">
      <text>
        <t>Total anual = SUM(Ene:Dic). Debe reconciliar con budget_annual_usd en 20_financial_assignments.xlsx</t>
      </text>
    </comment>
  </commentList>
</comments>
</file>

<file path=xl/comments/comment7.xml><?xml version="1.0" encoding="utf-8"?>
<comments xmlns="http://schemas.openxmlformats.org/spreadsheetml/2006/main">
  <authors>
    <author>AMS-Generator</author>
  </authors>
  <commentList>
    <comment ref="A1" authorId="0" shapeId="0">
      <text>
        <t>Area de produccion: MINE, CRUSHING, GRINDING, LEACHING, RECOVERY, REFINERY, GLOBAL</t>
      </text>
    </comment>
    <comment ref="B1" authorId="0" shapeId="0">
      <text>
        <t>Identificador del parametro en formato snake_case</t>
      </text>
    </comment>
    <comment ref="D1" authorId="0" shapeId="0">
      <text>
        <t>Unidad de medida: tonnes, g/t, %, oz, ratio, USD/oz, dias, tpd</t>
      </text>
    </comment>
    <comment ref="Q1" authorId="0" shapeId="0">
      <text>
        <t>Total anual (SUM) o promedio ponderado (AVG) segun el parametro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2" customWidth="1" min="19" max="19"/>
  </cols>
  <sheetData>
    <row r="1">
      <c r="A1" s="1" t="inlineStr">
        <is>
          <t>kpi_category</t>
        </is>
      </c>
      <c r="B1" s="1" t="inlineStr">
        <is>
          <t>kpi_name</t>
        </is>
      </c>
      <c r="C1" s="1" t="inlineStr">
        <is>
          <t>kpi_description</t>
        </is>
      </c>
      <c r="D1" s="1" t="inlineStr">
        <is>
          <t>unit</t>
        </is>
      </c>
      <c r="E1" s="1" t="inlineStr">
        <is>
          <t>jan_budget</t>
        </is>
      </c>
      <c r="F1" s="1" t="inlineStr">
        <is>
          <t>feb_budget</t>
        </is>
      </c>
      <c r="G1" s="1" t="inlineStr">
        <is>
          <t>mar_budget</t>
        </is>
      </c>
      <c r="H1" s="1" t="inlineStr">
        <is>
          <t>apr_budget</t>
        </is>
      </c>
      <c r="I1" s="1" t="inlineStr">
        <is>
          <t>may_budget</t>
        </is>
      </c>
      <c r="J1" s="1" t="inlineStr">
        <is>
          <t>jun_budget</t>
        </is>
      </c>
      <c r="K1" s="1" t="inlineStr">
        <is>
          <t>jul_budget</t>
        </is>
      </c>
      <c r="L1" s="1" t="inlineStr">
        <is>
          <t>aug_budget</t>
        </is>
      </c>
      <c r="M1" s="1" t="inlineStr">
        <is>
          <t>sep_budget</t>
        </is>
      </c>
      <c r="N1" s="1" t="inlineStr">
        <is>
          <t>oct_budget</t>
        </is>
      </c>
      <c r="O1" s="1" t="inlineStr">
        <is>
          <t>nov_budget</t>
        </is>
      </c>
      <c r="P1" s="1" t="inlineStr">
        <is>
          <t>dec_budget</t>
        </is>
      </c>
      <c r="Q1" s="1" t="inlineStr">
        <is>
          <t>annual_budget</t>
        </is>
      </c>
      <c r="R1" s="1" t="inlineStr">
        <is>
          <t>annual_actual</t>
        </is>
      </c>
      <c r="S1" s="1" t="inlineStr">
        <is>
          <t>variance_pct</t>
        </is>
      </c>
    </row>
    <row r="2">
      <c r="A2" s="2" t="inlineStr">
        <is>
          <t>PRODUCCION</t>
        </is>
      </c>
      <c r="B2" s="2" t="inlineStr">
        <is>
          <t>gold_produced_oz</t>
        </is>
      </c>
      <c r="C2" s="2" t="inlineStr">
        <is>
          <t>Oro producido</t>
        </is>
      </c>
      <c r="D2" s="2" t="inlineStr">
        <is>
          <t>oz</t>
        </is>
      </c>
      <c r="E2" s="3" t="n">
        <v>20413.93</v>
      </c>
      <c r="F2" s="3" t="n">
        <v>20955.07</v>
      </c>
      <c r="G2" s="3" t="n">
        <v>22098.64</v>
      </c>
      <c r="H2" s="3" t="n">
        <v>21274.9</v>
      </c>
      <c r="I2" s="3" t="n">
        <v>20818.48</v>
      </c>
      <c r="J2" s="3" t="n">
        <v>20374.05</v>
      </c>
      <c r="K2" s="3" t="n">
        <v>20613.86</v>
      </c>
      <c r="L2" s="3" t="n">
        <v>21323.04</v>
      </c>
      <c r="M2" s="3" t="n">
        <v>19082.7</v>
      </c>
      <c r="N2" s="3" t="n">
        <v>21989.85</v>
      </c>
      <c r="O2" s="3" t="n">
        <v>20824.97</v>
      </c>
      <c r="P2" s="3" t="n">
        <v>20230.5</v>
      </c>
      <c r="Q2" s="4">
        <f>SUM(E2:P2)</f>
        <v/>
      </c>
      <c r="R2" s="2" t="n"/>
      <c r="S2" s="5">
        <f>IF(OR(R2="",Q2=0),"",(R2-Q2)/Q2)</f>
        <v/>
      </c>
    </row>
    <row r="3">
      <c r="A3" s="2" t="inlineStr">
        <is>
          <t>PRODUCCION</t>
        </is>
      </c>
      <c r="B3" s="2" t="inlineStr">
        <is>
          <t>ore_mined_kt</t>
        </is>
      </c>
      <c r="C3" s="2" t="inlineStr">
        <is>
          <t>Mineral extraido</t>
        </is>
      </c>
      <c r="D3" s="2" t="inlineStr">
        <is>
          <t>kt</t>
        </is>
      </c>
      <c r="E3" s="3" t="n">
        <v>720.36</v>
      </c>
      <c r="F3" s="3" t="n">
        <v>702.8099999999999</v>
      </c>
      <c r="G3" s="3" t="n">
        <v>727.47</v>
      </c>
      <c r="H3" s="3" t="n">
        <v>719.02</v>
      </c>
      <c r="I3" s="3" t="n">
        <v>701.25</v>
      </c>
      <c r="J3" s="3" t="n">
        <v>678.95</v>
      </c>
      <c r="K3" s="3" t="n">
        <v>691.76</v>
      </c>
      <c r="L3" s="3" t="n">
        <v>731.21</v>
      </c>
      <c r="M3" s="3" t="n">
        <v>648.8099999999999</v>
      </c>
      <c r="N3" s="3" t="n">
        <v>743.79</v>
      </c>
      <c r="O3" s="3" t="n">
        <v>698.14</v>
      </c>
      <c r="P3" s="3" t="n">
        <v>736.42</v>
      </c>
      <c r="Q3" s="4">
        <f>SUM(E3:P3)</f>
        <v/>
      </c>
      <c r="R3" s="2" t="n"/>
      <c r="S3" s="5">
        <f>IF(OR(R3="",Q3=0),"",(R3-Q3)/Q3)</f>
        <v/>
      </c>
    </row>
    <row r="4">
      <c r="A4" s="2" t="inlineStr">
        <is>
          <t>PRODUCCION</t>
        </is>
      </c>
      <c r="B4" s="2" t="inlineStr">
        <is>
          <t>ore_processed_kt</t>
        </is>
      </c>
      <c r="C4" s="2" t="inlineStr">
        <is>
          <t>Mineral procesado</t>
        </is>
      </c>
      <c r="D4" s="2" t="inlineStr">
        <is>
          <t>kt</t>
        </is>
      </c>
      <c r="E4" s="3" t="n">
        <v>708.3</v>
      </c>
      <c r="F4" s="3" t="n">
        <v>647.3200000000001</v>
      </c>
      <c r="G4" s="3" t="n">
        <v>682.78</v>
      </c>
      <c r="H4" s="3" t="n">
        <v>677.02</v>
      </c>
      <c r="I4" s="3" t="n">
        <v>677.7</v>
      </c>
      <c r="J4" s="3" t="n">
        <v>670.09</v>
      </c>
      <c r="K4" s="3" t="n">
        <v>691.23</v>
      </c>
      <c r="L4" s="3" t="n">
        <v>669.11</v>
      </c>
      <c r="M4" s="3" t="n">
        <v>650.58</v>
      </c>
      <c r="N4" s="3" t="n">
        <v>742.95</v>
      </c>
      <c r="O4" s="3" t="n">
        <v>667.9</v>
      </c>
      <c r="P4" s="3" t="n">
        <v>715.02</v>
      </c>
      <c r="Q4" s="4">
        <f>SUM(E4:P4)</f>
        <v/>
      </c>
      <c r="R4" s="2" t="n"/>
      <c r="S4" s="5">
        <f>IF(OR(R4="",Q4=0),"",(R4-Q4)/Q4)</f>
        <v/>
      </c>
    </row>
    <row r="5">
      <c r="A5" s="2" t="inlineStr">
        <is>
          <t>PRODUCCION</t>
        </is>
      </c>
      <c r="B5" s="2" t="inlineStr">
        <is>
          <t>head_grade_g_t</t>
        </is>
      </c>
      <c r="C5" s="2" t="inlineStr">
        <is>
          <t>Ley de cabeza Au</t>
        </is>
      </c>
      <c r="D5" s="2" t="inlineStr">
        <is>
          <t>g/t</t>
        </is>
      </c>
      <c r="E5" s="6" t="n">
        <v>1.3743</v>
      </c>
      <c r="F5" s="6" t="n">
        <v>1.3438</v>
      </c>
      <c r="G5" s="6" t="n">
        <v>1.3573</v>
      </c>
      <c r="H5" s="6" t="n">
        <v>1.3339</v>
      </c>
      <c r="I5" s="6" t="n">
        <v>1.3452</v>
      </c>
      <c r="J5" s="6" t="n">
        <v>1.3378</v>
      </c>
      <c r="K5" s="6" t="n">
        <v>1.3428</v>
      </c>
      <c r="L5" s="6" t="n">
        <v>1.3595</v>
      </c>
      <c r="M5" s="6" t="n">
        <v>1.3344</v>
      </c>
      <c r="N5" s="6" t="n">
        <v>1.3327</v>
      </c>
      <c r="O5" s="6" t="n">
        <v>1.3435</v>
      </c>
      <c r="P5" s="6" t="n">
        <v>1.3283</v>
      </c>
      <c r="Q5" s="4">
        <f>AVERAGE(E5:P5)</f>
        <v/>
      </c>
      <c r="R5" s="2" t="n"/>
      <c r="S5" s="5">
        <f>IF(OR(R5="",Q5=0),"",(R5-Q5)/Q5)</f>
        <v/>
      </c>
    </row>
    <row r="6">
      <c r="A6" s="2" t="inlineStr">
        <is>
          <t>PRODUCCION</t>
        </is>
      </c>
      <c r="B6" s="2" t="inlineStr">
        <is>
          <t>recovery_pct</t>
        </is>
      </c>
      <c r="C6" s="2" t="inlineStr">
        <is>
          <t>Recuperacion metalurgica</t>
        </is>
      </c>
      <c r="D6" s="2" t="inlineStr">
        <is>
          <t>%</t>
        </is>
      </c>
      <c r="E6" s="5" t="n">
        <v>0.891</v>
      </c>
      <c r="F6" s="5" t="n">
        <v>0.8961</v>
      </c>
      <c r="G6" s="5" t="n">
        <v>0.8905999999999999</v>
      </c>
      <c r="H6" s="5" t="n">
        <v>0.8811</v>
      </c>
      <c r="I6" s="5" t="n">
        <v>0.8861</v>
      </c>
      <c r="J6" s="5" t="n">
        <v>0.8908</v>
      </c>
      <c r="K6" s="5" t="n">
        <v>0.8648</v>
      </c>
      <c r="L6" s="5" t="n">
        <v>0.8771</v>
      </c>
      <c r="M6" s="5" t="n">
        <v>0.8675</v>
      </c>
      <c r="N6" s="5" t="n">
        <v>0.8656</v>
      </c>
      <c r="O6" s="5" t="n">
        <v>0.8891</v>
      </c>
      <c r="P6" s="5" t="n">
        <v>0.8925999999999999</v>
      </c>
      <c r="Q6" s="4">
        <f>AVERAGE(E6:P6)</f>
        <v/>
      </c>
      <c r="R6" s="2" t="n"/>
      <c r="S6" s="5">
        <f>IF(OR(R6="",Q6=0),"",(R6-Q6)/Q6)</f>
        <v/>
      </c>
    </row>
    <row r="7">
      <c r="A7" s="2" t="inlineStr">
        <is>
          <t>PRODUCCION</t>
        </is>
      </c>
      <c r="B7" s="2" t="inlineStr">
        <is>
          <t>strip_ratio</t>
        </is>
      </c>
      <c r="C7" s="2" t="inlineStr">
        <is>
          <t>Relacion esteril/mineral</t>
        </is>
      </c>
      <c r="D7" s="2" t="inlineStr">
        <is>
          <t>ratio</t>
        </is>
      </c>
      <c r="E7" s="6" t="n">
        <v>1.9667</v>
      </c>
      <c r="F7" s="6" t="n">
        <v>1.9743</v>
      </c>
      <c r="G7" s="6" t="n">
        <v>1.9777</v>
      </c>
      <c r="H7" s="6" t="n">
        <v>2.0286</v>
      </c>
      <c r="I7" s="6" t="n">
        <v>2.0331</v>
      </c>
      <c r="J7" s="6" t="n">
        <v>2.0212</v>
      </c>
      <c r="K7" s="6" t="n">
        <v>2.0237</v>
      </c>
      <c r="L7" s="6" t="n">
        <v>1.9874</v>
      </c>
      <c r="M7" s="6" t="n">
        <v>1.9927</v>
      </c>
      <c r="N7" s="6" t="n">
        <v>1.9824</v>
      </c>
      <c r="O7" s="6" t="n">
        <v>2.0367</v>
      </c>
      <c r="P7" s="6" t="n">
        <v>2.0182</v>
      </c>
      <c r="Q7" s="4">
        <f>AVERAGE(E7:P7)</f>
        <v/>
      </c>
      <c r="R7" s="2" t="n"/>
      <c r="S7" s="5">
        <f>IF(OR(R7="",Q7=0),"",(R7-Q7)/Q7)</f>
        <v/>
      </c>
    </row>
    <row r="8">
      <c r="A8" s="2" t="inlineStr">
        <is>
          <t>PRODUCCION</t>
        </is>
      </c>
      <c r="B8" s="2" t="inlineStr">
        <is>
          <t>plant_availability_pct</t>
        </is>
      </c>
      <c r="C8" s="2" t="inlineStr">
        <is>
          <t>Disponibilidad planta</t>
        </is>
      </c>
      <c r="D8" s="2" t="inlineStr">
        <is>
          <t>%</t>
        </is>
      </c>
      <c r="E8" s="5" t="n">
        <v>0.9142</v>
      </c>
      <c r="F8" s="5" t="n">
        <v>0.9066</v>
      </c>
      <c r="G8" s="5" t="n">
        <v>0.9088000000000001</v>
      </c>
      <c r="H8" s="5" t="n">
        <v>0.9091</v>
      </c>
      <c r="I8" s="5" t="n">
        <v>0.9242</v>
      </c>
      <c r="J8" s="5" t="n">
        <v>0.9348</v>
      </c>
      <c r="K8" s="5" t="n">
        <v>0.9336</v>
      </c>
      <c r="L8" s="5" t="n">
        <v>0.9042</v>
      </c>
      <c r="M8" s="5" t="n">
        <v>0.9277</v>
      </c>
      <c r="N8" s="5" t="n">
        <v>0.9078000000000001</v>
      </c>
      <c r="O8" s="5" t="n">
        <v>0.913</v>
      </c>
      <c r="P8" s="5" t="n">
        <v>0.9216</v>
      </c>
      <c r="Q8" s="4">
        <f>AVERAGE(E8:P8)</f>
        <v/>
      </c>
      <c r="R8" s="2" t="n"/>
      <c r="S8" s="5">
        <f>IF(OR(R8="",Q8=0),"",(R8-Q8)/Q8)</f>
        <v/>
      </c>
    </row>
    <row r="9">
      <c r="A9" s="2" t="inlineStr">
        <is>
          <t>COSTOS</t>
        </is>
      </c>
      <c r="B9" s="2" t="inlineStr">
        <is>
          <t>aisc_per_oz</t>
        </is>
      </c>
      <c r="C9" s="2" t="inlineStr">
        <is>
          <t>AISC por onza Au</t>
        </is>
      </c>
      <c r="D9" s="2" t="inlineStr">
        <is>
          <t>USD/oz</t>
        </is>
      </c>
      <c r="E9" s="7" t="n">
        <v>810.91</v>
      </c>
      <c r="F9" s="7" t="n">
        <v>791.58</v>
      </c>
      <c r="G9" s="7" t="n">
        <v>811.96</v>
      </c>
      <c r="H9" s="7" t="n">
        <v>807.51</v>
      </c>
      <c r="I9" s="7" t="n">
        <v>805.58</v>
      </c>
      <c r="J9" s="7" t="n">
        <v>788.25</v>
      </c>
      <c r="K9" s="7" t="n">
        <v>799.1799999999999</v>
      </c>
      <c r="L9" s="7" t="n">
        <v>792.8</v>
      </c>
      <c r="M9" s="7" t="n">
        <v>802.8200000000001</v>
      </c>
      <c r="N9" s="7" t="n">
        <v>805.5599999999999</v>
      </c>
      <c r="O9" s="7" t="n">
        <v>786.09</v>
      </c>
      <c r="P9" s="7" t="n">
        <v>804.61</v>
      </c>
      <c r="Q9" s="4">
        <f>AVERAGE(E9:P9)</f>
        <v/>
      </c>
      <c r="R9" s="2" t="n"/>
      <c r="S9" s="5">
        <f>IF(OR(R9="",Q9=0),"",(R9-Q9)/Q9)</f>
        <v/>
      </c>
    </row>
    <row r="10">
      <c r="A10" s="2" t="inlineStr">
        <is>
          <t>COSTOS</t>
        </is>
      </c>
      <c r="B10" s="2" t="inlineStr">
        <is>
          <t>cash_cost_per_oz</t>
        </is>
      </c>
      <c r="C10" s="2" t="inlineStr">
        <is>
          <t>Cash cost C1 por onza</t>
        </is>
      </c>
      <c r="D10" s="2" t="inlineStr">
        <is>
          <t>USD/oz</t>
        </is>
      </c>
      <c r="E10" s="7" t="n">
        <v>599.95</v>
      </c>
      <c r="F10" s="7" t="n">
        <v>608.13</v>
      </c>
      <c r="G10" s="7" t="n">
        <v>607.04</v>
      </c>
      <c r="H10" s="7" t="n">
        <v>597.91</v>
      </c>
      <c r="I10" s="7" t="n">
        <v>611.4299999999999</v>
      </c>
      <c r="J10" s="7" t="n">
        <v>602.09</v>
      </c>
      <c r="K10" s="7" t="n">
        <v>611.13</v>
      </c>
      <c r="L10" s="7" t="n">
        <v>605.26</v>
      </c>
      <c r="M10" s="7" t="n">
        <v>597.78</v>
      </c>
      <c r="N10" s="7" t="n">
        <v>593.61</v>
      </c>
      <c r="O10" s="7" t="n">
        <v>599.17</v>
      </c>
      <c r="P10" s="7" t="n">
        <v>610.47</v>
      </c>
      <c r="Q10" s="4">
        <f>AVERAGE(E10:P10)</f>
        <v/>
      </c>
      <c r="R10" s="2" t="n"/>
      <c r="S10" s="5">
        <f>IF(OR(R10="",Q10=0),"",(R10-Q10)/Q10)</f>
        <v/>
      </c>
    </row>
    <row r="11">
      <c r="A11" s="2" t="inlineStr">
        <is>
          <t>COSTOS</t>
        </is>
      </c>
      <c r="B11" s="2" t="inlineStr">
        <is>
          <t>opex_total_musd</t>
        </is>
      </c>
      <c r="C11" s="2" t="inlineStr">
        <is>
          <t>OPEX total</t>
        </is>
      </c>
      <c r="D11" s="2" t="inlineStr">
        <is>
          <t>MUSD</t>
        </is>
      </c>
      <c r="E11" s="6" t="n">
        <v>16.47</v>
      </c>
      <c r="F11" s="6" t="n">
        <v>16.32</v>
      </c>
      <c r="G11" s="6" t="n">
        <v>16.94</v>
      </c>
      <c r="H11" s="6" t="n">
        <v>17.49</v>
      </c>
      <c r="I11" s="6" t="n">
        <v>16.85</v>
      </c>
      <c r="J11" s="6" t="n">
        <v>15.96</v>
      </c>
      <c r="K11" s="6" t="n">
        <v>16.52</v>
      </c>
      <c r="L11" s="6" t="n">
        <v>16.86</v>
      </c>
      <c r="M11" s="6" t="n">
        <v>16.04</v>
      </c>
      <c r="N11" s="6" t="n">
        <v>17.36</v>
      </c>
      <c r="O11" s="6" t="n">
        <v>16.61</v>
      </c>
      <c r="P11" s="6" t="n">
        <v>16.59</v>
      </c>
      <c r="Q11" s="4">
        <f>SUM(E11:P11)</f>
        <v/>
      </c>
      <c r="R11" s="2" t="n"/>
      <c r="S11" s="5">
        <f>IF(OR(R11="",Q11=0),"",(R11-Q11)/Q11)</f>
        <v/>
      </c>
    </row>
    <row r="12">
      <c r="A12" s="2" t="inlineStr">
        <is>
          <t>COSTOS</t>
        </is>
      </c>
      <c r="B12" s="2" t="inlineStr">
        <is>
          <t>maint_cost_musd</t>
        </is>
      </c>
      <c r="C12" s="2" t="inlineStr">
        <is>
          <t>Costo mantencion total</t>
        </is>
      </c>
      <c r="D12" s="2" t="inlineStr">
        <is>
          <t>MUSD</t>
        </is>
      </c>
      <c r="E12" s="6" t="n">
        <v>6.32</v>
      </c>
      <c r="F12" s="6" t="n">
        <v>6.47</v>
      </c>
      <c r="G12" s="6" t="n">
        <v>6.8</v>
      </c>
      <c r="H12" s="6" t="n">
        <v>6.49</v>
      </c>
      <c r="I12" s="6" t="n">
        <v>6.52</v>
      </c>
      <c r="J12" s="6" t="n">
        <v>6.31</v>
      </c>
      <c r="K12" s="6" t="n">
        <v>6.54</v>
      </c>
      <c r="L12" s="6" t="n">
        <v>6.2</v>
      </c>
      <c r="M12" s="6" t="n">
        <v>6.08</v>
      </c>
      <c r="N12" s="6" t="n">
        <v>7.19</v>
      </c>
      <c r="O12" s="6" t="n">
        <v>6.3</v>
      </c>
      <c r="P12" s="6" t="n">
        <v>6.47</v>
      </c>
      <c r="Q12" s="4">
        <f>SUM(E12:P12)</f>
        <v/>
      </c>
      <c r="R12" s="2" t="n"/>
      <c r="S12" s="5">
        <f>IF(OR(R12="",Q12=0),"",(R12-Q12)/Q12)</f>
        <v/>
      </c>
    </row>
    <row r="13">
      <c r="A13" s="2" t="inlineStr">
        <is>
          <t>COSTOS</t>
        </is>
      </c>
      <c r="B13" s="2" t="inlineStr">
        <is>
          <t>maint_cost_per_oz</t>
        </is>
      </c>
      <c r="C13" s="2" t="inlineStr">
        <is>
          <t>Costo mantencion por oz</t>
        </is>
      </c>
      <c r="D13" s="2" t="inlineStr">
        <is>
          <t>USD/oz</t>
        </is>
      </c>
      <c r="E13" s="7" t="n">
        <v>311.48</v>
      </c>
      <c r="F13" s="7" t="n">
        <v>316.82</v>
      </c>
      <c r="G13" s="7" t="n">
        <v>310.35</v>
      </c>
      <c r="H13" s="7" t="n">
        <v>314.94</v>
      </c>
      <c r="I13" s="7" t="n">
        <v>306.2</v>
      </c>
      <c r="J13" s="7" t="n">
        <v>305.18</v>
      </c>
      <c r="K13" s="7" t="n">
        <v>309.33</v>
      </c>
      <c r="L13" s="7" t="n">
        <v>306.19</v>
      </c>
      <c r="M13" s="7" t="n">
        <v>308.59</v>
      </c>
      <c r="N13" s="7" t="n">
        <v>313.37</v>
      </c>
      <c r="O13" s="7" t="n">
        <v>310.02</v>
      </c>
      <c r="P13" s="7" t="n">
        <v>308.47</v>
      </c>
      <c r="Q13" s="4">
        <f>AVERAGE(E13:P13)</f>
        <v/>
      </c>
      <c r="R13" s="2" t="n"/>
      <c r="S13" s="5">
        <f>IF(OR(R13="",Q13=0),"",(R13-Q13)/Q13)</f>
        <v/>
      </c>
    </row>
    <row r="14">
      <c r="A14" s="2" t="inlineStr">
        <is>
          <t>COSTOS</t>
        </is>
      </c>
      <c r="B14" s="2" t="inlineStr">
        <is>
          <t>capex_sustaining_musd</t>
        </is>
      </c>
      <c r="C14" s="2" t="inlineStr">
        <is>
          <t>CAPEX sustaining</t>
        </is>
      </c>
      <c r="D14" s="2" t="inlineStr">
        <is>
          <t>MUSD</t>
        </is>
      </c>
      <c r="E14" s="6" t="n">
        <v>3.57</v>
      </c>
      <c r="F14" s="6" t="n">
        <v>3.21</v>
      </c>
      <c r="G14" s="6" t="n">
        <v>3.59</v>
      </c>
      <c r="H14" s="6" t="n">
        <v>3.5</v>
      </c>
      <c r="I14" s="6" t="n">
        <v>3.24</v>
      </c>
      <c r="J14" s="6" t="n">
        <v>3.13</v>
      </c>
      <c r="K14" s="6" t="n">
        <v>3.31</v>
      </c>
      <c r="L14" s="6" t="n">
        <v>3.52</v>
      </c>
      <c r="M14" s="6" t="n">
        <v>3.06</v>
      </c>
      <c r="N14" s="6" t="n">
        <v>3.73</v>
      </c>
      <c r="O14" s="6" t="n">
        <v>3.26</v>
      </c>
      <c r="P14" s="6" t="n">
        <v>3.37</v>
      </c>
      <c r="Q14" s="4">
        <f>SUM(E14:P14)</f>
        <v/>
      </c>
      <c r="R14" s="2" t="n"/>
      <c r="S14" s="5">
        <f>IF(OR(R14="",Q14=0),"",(R14-Q14)/Q14)</f>
        <v/>
      </c>
    </row>
    <row r="15">
      <c r="A15" s="2" t="inlineStr">
        <is>
          <t>COSTOS</t>
        </is>
      </c>
      <c r="B15" s="2" t="inlineStr">
        <is>
          <t>opex_per_tonne</t>
        </is>
      </c>
      <c r="C15" s="2" t="inlineStr">
        <is>
          <t>OPEX por tonelada</t>
        </is>
      </c>
      <c r="D15" s="2" t="inlineStr">
        <is>
          <t>USD/t</t>
        </is>
      </c>
      <c r="E15" s="7" t="n">
        <v>24.46</v>
      </c>
      <c r="F15" s="7" t="n">
        <v>24.26</v>
      </c>
      <c r="G15" s="7" t="n">
        <v>24.21</v>
      </c>
      <c r="H15" s="7" t="n">
        <v>24.14</v>
      </c>
      <c r="I15" s="7" t="n">
        <v>24.35</v>
      </c>
      <c r="J15" s="7" t="n">
        <v>24.07</v>
      </c>
      <c r="K15" s="7" t="n">
        <v>24.73</v>
      </c>
      <c r="L15" s="7" t="n">
        <v>24.48</v>
      </c>
      <c r="M15" s="7" t="n">
        <v>23.96</v>
      </c>
      <c r="N15" s="7" t="n">
        <v>24.35</v>
      </c>
      <c r="O15" s="7" t="n">
        <v>24.52</v>
      </c>
      <c r="P15" s="7" t="n">
        <v>24.74</v>
      </c>
      <c r="Q15" s="4">
        <f>AVERAGE(E15:P15)</f>
        <v/>
      </c>
      <c r="R15" s="2" t="n"/>
      <c r="S15" s="5">
        <f>IF(OR(R15="",Q15=0),"",(R15-Q15)/Q15)</f>
        <v/>
      </c>
    </row>
    <row r="16">
      <c r="A16" s="2" t="inlineStr">
        <is>
          <t>FINANCIERO</t>
        </is>
      </c>
      <c r="B16" s="2" t="inlineStr">
        <is>
          <t>gold_price_usd_oz</t>
        </is>
      </c>
      <c r="C16" s="2" t="inlineStr">
        <is>
          <t>Precio oro supuesto</t>
        </is>
      </c>
      <c r="D16" s="2" t="inlineStr">
        <is>
          <t>USD/oz</t>
        </is>
      </c>
      <c r="E16" s="7" t="n">
        <v>1961.88</v>
      </c>
      <c r="F16" s="7" t="n">
        <v>1996.5</v>
      </c>
      <c r="G16" s="7" t="n">
        <v>2016.47</v>
      </c>
      <c r="H16" s="7" t="n">
        <v>1975.69</v>
      </c>
      <c r="I16" s="7" t="n">
        <v>1977.71</v>
      </c>
      <c r="J16" s="7" t="n">
        <v>1999.17</v>
      </c>
      <c r="K16" s="7" t="n">
        <v>2030.76</v>
      </c>
      <c r="L16" s="7" t="n">
        <v>1991.86</v>
      </c>
      <c r="M16" s="7" t="n">
        <v>1998.76</v>
      </c>
      <c r="N16" s="7" t="n">
        <v>2010.86</v>
      </c>
      <c r="O16" s="7" t="n">
        <v>1984.86</v>
      </c>
      <c r="P16" s="7" t="n">
        <v>2029.37</v>
      </c>
      <c r="Q16" s="4">
        <f>AVERAGE(E16:P16)</f>
        <v/>
      </c>
      <c r="R16" s="2" t="n"/>
      <c r="S16" s="5">
        <f>IF(OR(R16="",Q16=0),"",(R16-Q16)/Q16)</f>
        <v/>
      </c>
    </row>
    <row r="17">
      <c r="A17" s="2" t="inlineStr">
        <is>
          <t>FINANCIERO</t>
        </is>
      </c>
      <c r="B17" s="2" t="inlineStr">
        <is>
          <t>revenue_musd</t>
        </is>
      </c>
      <c r="C17" s="2" t="inlineStr">
        <is>
          <t>Ingresos por venta Au</t>
        </is>
      </c>
      <c r="D17" s="2" t="inlineStr">
        <is>
          <t>MUSD</t>
        </is>
      </c>
      <c r="E17" s="6" t="n">
        <v>43.42</v>
      </c>
      <c r="F17" s="6" t="n">
        <v>40.89</v>
      </c>
      <c r="G17" s="6" t="n">
        <v>42.79</v>
      </c>
      <c r="H17" s="6" t="n">
        <v>42.51</v>
      </c>
      <c r="I17" s="6" t="n">
        <v>39.6</v>
      </c>
      <c r="J17" s="6" t="n">
        <v>39.95</v>
      </c>
      <c r="K17" s="6" t="n">
        <v>40.54</v>
      </c>
      <c r="L17" s="6" t="n">
        <v>42.61</v>
      </c>
      <c r="M17" s="6" t="n">
        <v>38.96</v>
      </c>
      <c r="N17" s="6" t="n">
        <v>44.53</v>
      </c>
      <c r="O17" s="6" t="n">
        <v>41.02</v>
      </c>
      <c r="P17" s="6" t="n">
        <v>43.19</v>
      </c>
      <c r="Q17" s="4">
        <f>SUM(E17:P17)</f>
        <v/>
      </c>
      <c r="R17" s="2" t="n"/>
      <c r="S17" s="5">
        <f>IF(OR(R17="",Q17=0),"",(R17-Q17)/Q17)</f>
        <v/>
      </c>
    </row>
    <row r="18">
      <c r="A18" s="2" t="inlineStr">
        <is>
          <t>FINANCIERO</t>
        </is>
      </c>
      <c r="B18" s="2" t="inlineStr">
        <is>
          <t>ebitda_musd</t>
        </is>
      </c>
      <c r="C18" s="2" t="inlineStr">
        <is>
          <t>EBITDA</t>
        </is>
      </c>
      <c r="D18" s="2" t="inlineStr">
        <is>
          <t>MUSD</t>
        </is>
      </c>
      <c r="E18" s="6" t="n">
        <v>24.37</v>
      </c>
      <c r="F18" s="6" t="n">
        <v>23.4</v>
      </c>
      <c r="G18" s="6" t="n">
        <v>23.18</v>
      </c>
      <c r="H18" s="6" t="n">
        <v>24.19</v>
      </c>
      <c r="I18" s="6" t="n">
        <v>22.74</v>
      </c>
      <c r="J18" s="6" t="n">
        <v>23.03</v>
      </c>
      <c r="K18" s="6" t="n">
        <v>23.5</v>
      </c>
      <c r="L18" s="6" t="n">
        <v>23.03</v>
      </c>
      <c r="M18" s="6" t="n">
        <v>21.4</v>
      </c>
      <c r="N18" s="6" t="n">
        <v>25.22</v>
      </c>
      <c r="O18" s="6" t="n">
        <v>22.52</v>
      </c>
      <c r="P18" s="6" t="n">
        <v>23.42</v>
      </c>
      <c r="Q18" s="4">
        <f>SUM(E18:P18)</f>
        <v/>
      </c>
      <c r="R18" s="2" t="n"/>
      <c r="S18" s="5">
        <f>IF(OR(R18="",Q18=0),"",(R18-Q18)/Q18)</f>
        <v/>
      </c>
    </row>
    <row r="19">
      <c r="A19" s="2" t="inlineStr">
        <is>
          <t>FINANCIERO</t>
        </is>
      </c>
      <c r="B19" s="2" t="inlineStr">
        <is>
          <t>ebitda_margin_pct</t>
        </is>
      </c>
      <c r="C19" s="2" t="inlineStr">
        <is>
          <t>Margen EBITDA</t>
        </is>
      </c>
      <c r="D19" s="2" t="inlineStr">
        <is>
          <t>%</t>
        </is>
      </c>
      <c r="E19" s="5" t="n">
        <v>0.5535</v>
      </c>
      <c r="F19" s="5" t="n">
        <v>0.5666</v>
      </c>
      <c r="G19" s="5" t="n">
        <v>0.5585</v>
      </c>
      <c r="H19" s="5" t="n">
        <v>0.551</v>
      </c>
      <c r="I19" s="5" t="n">
        <v>0.5507</v>
      </c>
      <c r="J19" s="5" t="n">
        <v>0.5541</v>
      </c>
      <c r="K19" s="5" t="n">
        <v>0.5612</v>
      </c>
      <c r="L19" s="5" t="n">
        <v>0.5521</v>
      </c>
      <c r="M19" s="5" t="n">
        <v>0.5536</v>
      </c>
      <c r="N19" s="5" t="n">
        <v>0.5600000000000001</v>
      </c>
      <c r="O19" s="5" t="n">
        <v>0.5537</v>
      </c>
      <c r="P19" s="5" t="n">
        <v>0.5679999999999999</v>
      </c>
      <c r="Q19" s="4">
        <f>AVERAGE(E19:P19)</f>
        <v/>
      </c>
      <c r="R19" s="2" t="n"/>
      <c r="S19" s="5">
        <f>IF(OR(R19="",Q19=0),"",(R19-Q19)/Q19)</f>
        <v/>
      </c>
    </row>
    <row r="20">
      <c r="A20" s="2" t="inlineStr">
        <is>
          <t>FINANCIERO</t>
        </is>
      </c>
      <c r="B20" s="2" t="inlineStr">
        <is>
          <t>pat_musd</t>
        </is>
      </c>
      <c r="C20" s="2" t="inlineStr">
        <is>
          <t>Utilidad despues de impuestos</t>
        </is>
      </c>
      <c r="D20" s="2" t="inlineStr">
        <is>
          <t>MUSD</t>
        </is>
      </c>
      <c r="E20" s="6" t="n">
        <v>15.11</v>
      </c>
      <c r="F20" s="6" t="n">
        <v>13.99</v>
      </c>
      <c r="G20" s="6" t="n">
        <v>14.72</v>
      </c>
      <c r="H20" s="6" t="n">
        <v>14.65</v>
      </c>
      <c r="I20" s="6" t="n">
        <v>14.69</v>
      </c>
      <c r="J20" s="6" t="n">
        <v>13.6</v>
      </c>
      <c r="K20" s="6" t="n">
        <v>14.16</v>
      </c>
      <c r="L20" s="6" t="n">
        <v>14.95</v>
      </c>
      <c r="M20" s="6" t="n">
        <v>13.65</v>
      </c>
      <c r="N20" s="6" t="n">
        <v>16.29</v>
      </c>
      <c r="O20" s="6" t="n">
        <v>14.56</v>
      </c>
      <c r="P20" s="6" t="n">
        <v>14.64</v>
      </c>
      <c r="Q20" s="4">
        <f>SUM(E20:P20)</f>
        <v/>
      </c>
      <c r="R20" s="2" t="n"/>
      <c r="S20" s="5">
        <f>IF(OR(R20="",Q20=0),"",(R20-Q20)/Q20)</f>
        <v/>
      </c>
    </row>
    <row r="21">
      <c r="A21" s="2" t="inlineStr">
        <is>
          <t>FINANCIERO</t>
        </is>
      </c>
      <c r="B21" s="2" t="inlineStr">
        <is>
          <t>free_cash_flow_musd</t>
        </is>
      </c>
      <c r="C21" s="2" t="inlineStr">
        <is>
          <t>Flujo de caja libre</t>
        </is>
      </c>
      <c r="D21" s="2" t="inlineStr">
        <is>
          <t>MUSD</t>
        </is>
      </c>
      <c r="E21" s="6" t="n">
        <v>12.42</v>
      </c>
      <c r="F21" s="6" t="n">
        <v>12.3</v>
      </c>
      <c r="G21" s="6" t="n">
        <v>12.44</v>
      </c>
      <c r="H21" s="6" t="n">
        <v>12.89</v>
      </c>
      <c r="I21" s="6" t="n">
        <v>11.86</v>
      </c>
      <c r="J21" s="6" t="n">
        <v>12.22</v>
      </c>
      <c r="K21" s="6" t="n">
        <v>12.87</v>
      </c>
      <c r="L21" s="6" t="n">
        <v>12.96</v>
      </c>
      <c r="M21" s="6" t="n">
        <v>11.47</v>
      </c>
      <c r="N21" s="6" t="n">
        <v>13.52</v>
      </c>
      <c r="O21" s="6" t="n">
        <v>12.43</v>
      </c>
      <c r="P21" s="6" t="n">
        <v>12.62</v>
      </c>
      <c r="Q21" s="4">
        <f>SUM(E21:P21)</f>
        <v/>
      </c>
      <c r="R21" s="2" t="n"/>
      <c r="S21" s="5">
        <f>IF(OR(R21="",Q21=0),"",(R21-Q21)/Q21)</f>
        <v/>
      </c>
    </row>
    <row r="22">
      <c r="A22" s="2" t="inlineStr">
        <is>
          <t>OPERACIONAL</t>
        </is>
      </c>
      <c r="B22" s="2" t="inlineStr">
        <is>
          <t>pm_compliance_pct</t>
        </is>
      </c>
      <c r="C22" s="2" t="inlineStr">
        <is>
          <t>Cumplimiento PM</t>
        </is>
      </c>
      <c r="D22" s="2" t="inlineStr">
        <is>
          <t>%</t>
        </is>
      </c>
      <c r="E22" s="5" t="n">
        <v>0.9137</v>
      </c>
      <c r="F22" s="5" t="n">
        <v>0.9034</v>
      </c>
      <c r="G22" s="5" t="n">
        <v>0.9161</v>
      </c>
      <c r="H22" s="5" t="n">
        <v>0.9045</v>
      </c>
      <c r="I22" s="5" t="n">
        <v>0.915</v>
      </c>
      <c r="J22" s="5" t="n">
        <v>0.9142</v>
      </c>
      <c r="K22" s="5" t="n">
        <v>0.9254</v>
      </c>
      <c r="L22" s="5" t="n">
        <v>0.9151</v>
      </c>
      <c r="M22" s="5" t="n">
        <v>0.9157</v>
      </c>
      <c r="N22" s="5" t="n">
        <v>0.9121</v>
      </c>
      <c r="O22" s="5" t="n">
        <v>0.924</v>
      </c>
      <c r="P22" s="5" t="n">
        <v>0.9159</v>
      </c>
      <c r="Q22" s="4">
        <f>AVERAGE(E22:P22)</f>
        <v/>
      </c>
      <c r="R22" s="2" t="n"/>
      <c r="S22" s="5">
        <f>IF(OR(R22="",Q22=0),"",(R22-Q22)/Q22)</f>
        <v/>
      </c>
    </row>
    <row r="23">
      <c r="A23" s="2" t="inlineStr">
        <is>
          <t>OPERACIONAL</t>
        </is>
      </c>
      <c r="B23" s="2" t="inlineStr">
        <is>
          <t>schedule_compliance_pct</t>
        </is>
      </c>
      <c r="C23" s="2" t="inlineStr">
        <is>
          <t>Cumplimiento programacion</t>
        </is>
      </c>
      <c r="D23" s="2" t="inlineStr">
        <is>
          <t>%</t>
        </is>
      </c>
      <c r="E23" s="5" t="n">
        <v>0.8958</v>
      </c>
      <c r="F23" s="5" t="n">
        <v>0.8938</v>
      </c>
      <c r="G23" s="5" t="n">
        <v>0.8707</v>
      </c>
      <c r="H23" s="5" t="n">
        <v>0.8766</v>
      </c>
      <c r="I23" s="5" t="n">
        <v>0.8847</v>
      </c>
      <c r="J23" s="5" t="n">
        <v>0.863</v>
      </c>
      <c r="K23" s="5" t="n">
        <v>0.8704</v>
      </c>
      <c r="L23" s="5" t="n">
        <v>0.8724</v>
      </c>
      <c r="M23" s="5" t="n">
        <v>0.8766</v>
      </c>
      <c r="N23" s="5" t="n">
        <v>0.8937</v>
      </c>
      <c r="O23" s="5" t="n">
        <v>0.8658</v>
      </c>
      <c r="P23" s="5" t="n">
        <v>0.8647</v>
      </c>
      <c r="Q23" s="4">
        <f>AVERAGE(E23:P23)</f>
        <v/>
      </c>
      <c r="R23" s="2" t="n"/>
      <c r="S23" s="5">
        <f>IF(OR(R23="",Q23=0),"",(R23-Q23)/Q23)</f>
        <v/>
      </c>
    </row>
    <row r="24">
      <c r="A24" s="2" t="inlineStr">
        <is>
          <t>OPERACIONAL</t>
        </is>
      </c>
      <c r="B24" s="2" t="inlineStr">
        <is>
          <t>pm_vs_cm_ratio</t>
        </is>
      </c>
      <c r="C24" s="2" t="inlineStr">
        <is>
          <t>Ratio PM/CM</t>
        </is>
      </c>
      <c r="D24" s="2" t="inlineStr">
        <is>
          <t>ratio</t>
        </is>
      </c>
      <c r="E24" s="6" t="n">
        <v>3.523</v>
      </c>
      <c r="F24" s="6" t="n">
        <v>3.481</v>
      </c>
      <c r="G24" s="6" t="n">
        <v>3.4549</v>
      </c>
      <c r="H24" s="6" t="n">
        <v>3.5283</v>
      </c>
      <c r="I24" s="6" t="n">
        <v>3.464</v>
      </c>
      <c r="J24" s="6" t="n">
        <v>3.5092</v>
      </c>
      <c r="K24" s="6" t="n">
        <v>3.4872</v>
      </c>
      <c r="L24" s="6" t="n">
        <v>3.4806</v>
      </c>
      <c r="M24" s="6" t="n">
        <v>3.531</v>
      </c>
      <c r="N24" s="6" t="n">
        <v>3.5159</v>
      </c>
      <c r="O24" s="6" t="n">
        <v>3.5019</v>
      </c>
      <c r="P24" s="6" t="n">
        <v>3.4479</v>
      </c>
      <c r="Q24" s="4">
        <f>AVERAGE(E24:P24)</f>
        <v/>
      </c>
      <c r="R24" s="2" t="n"/>
      <c r="S24" s="5">
        <f>IF(OR(R24="",Q24=0),"",(R24-Q24)/Q24)</f>
        <v/>
      </c>
    </row>
    <row r="25">
      <c r="A25" s="2" t="inlineStr">
        <is>
          <t>OPERACIONAL</t>
        </is>
      </c>
      <c r="B25" s="2" t="inlineStr">
        <is>
          <t>backlog_weeks</t>
        </is>
      </c>
      <c r="C25" s="2" t="inlineStr">
        <is>
          <t>Backlog (semanas)</t>
        </is>
      </c>
      <c r="D25" s="2" t="inlineStr">
        <is>
          <t>weeks</t>
        </is>
      </c>
      <c r="E25" s="6" t="n">
        <v>4.0137</v>
      </c>
      <c r="F25" s="6" t="n">
        <v>4.0308</v>
      </c>
      <c r="G25" s="6" t="n">
        <v>4.0504</v>
      </c>
      <c r="H25" s="6" t="n">
        <v>3.9679</v>
      </c>
      <c r="I25" s="6" t="n">
        <v>3.9623</v>
      </c>
      <c r="J25" s="6" t="n">
        <v>4.0398</v>
      </c>
      <c r="K25" s="6" t="n">
        <v>3.9948</v>
      </c>
      <c r="L25" s="6" t="n">
        <v>3.9849</v>
      </c>
      <c r="M25" s="6" t="n">
        <v>3.9457</v>
      </c>
      <c r="N25" s="6" t="n">
        <v>3.9895</v>
      </c>
      <c r="O25" s="6" t="n">
        <v>4.0362</v>
      </c>
      <c r="P25" s="6" t="n">
        <v>3.9921</v>
      </c>
      <c r="Q25" s="4">
        <f>AVERAGE(E25:P25)</f>
        <v/>
      </c>
      <c r="R25" s="2" t="n"/>
      <c r="S25" s="5">
        <f>IF(OR(R25="",Q25=0),"",(R25-Q25)/Q25)</f>
        <v/>
      </c>
    </row>
    <row r="26">
      <c r="A26" s="2" t="inlineStr">
        <is>
          <t>OPERACIONAL</t>
        </is>
      </c>
      <c r="B26" s="2" t="inlineStr">
        <is>
          <t>maint_cost_pct_revenue</t>
        </is>
      </c>
      <c r="C26" s="2" t="inlineStr">
        <is>
          <t>Mantencion / Ingresos</t>
        </is>
      </c>
      <c r="D26" s="2" t="inlineStr">
        <is>
          <t>%</t>
        </is>
      </c>
      <c r="E26" s="5" t="n">
        <v>0.1577</v>
      </c>
      <c r="F26" s="5" t="n">
        <v>0.1523</v>
      </c>
      <c r="G26" s="5" t="n">
        <v>0.1534</v>
      </c>
      <c r="H26" s="5" t="n">
        <v>0.1561</v>
      </c>
      <c r="I26" s="5" t="n">
        <v>0.1564</v>
      </c>
      <c r="J26" s="5" t="n">
        <v>0.154</v>
      </c>
      <c r="K26" s="5" t="n">
        <v>0.1581</v>
      </c>
      <c r="L26" s="5" t="n">
        <v>0.1543</v>
      </c>
      <c r="M26" s="5" t="n">
        <v>0.1548</v>
      </c>
      <c r="N26" s="5" t="n">
        <v>0.1583</v>
      </c>
      <c r="O26" s="5" t="n">
        <v>0.1552</v>
      </c>
      <c r="P26" s="5" t="n">
        <v>0.156</v>
      </c>
      <c r="Q26" s="4">
        <f>AVERAGE(E26:P26)</f>
        <v/>
      </c>
      <c r="R26" s="2" t="n"/>
      <c r="S26" s="5">
        <f>IF(OR(R26="",Q26=0),"",(R26-Q26)/Q26)</f>
        <v/>
      </c>
    </row>
    <row r="27">
      <c r="A27" s="2" t="inlineStr">
        <is>
          <t>OPERACIONAL</t>
        </is>
      </c>
      <c r="B27" s="2" t="inlineStr">
        <is>
          <t>cost_unreliability_musd</t>
        </is>
      </c>
      <c r="C27" s="2" t="inlineStr">
        <is>
          <t>Costo no confiabilidad</t>
        </is>
      </c>
      <c r="D27" s="2" t="inlineStr">
        <is>
          <t>MUSD</t>
        </is>
      </c>
      <c r="E27" s="6" t="n">
        <v>1.28</v>
      </c>
      <c r="F27" s="6" t="n">
        <v>1.2</v>
      </c>
      <c r="G27" s="6" t="n">
        <v>1.34</v>
      </c>
      <c r="H27" s="6" t="n">
        <v>1.23</v>
      </c>
      <c r="I27" s="6" t="n">
        <v>1.28</v>
      </c>
      <c r="J27" s="6" t="n">
        <v>1.19</v>
      </c>
      <c r="K27" s="6" t="n">
        <v>1.22</v>
      </c>
      <c r="L27" s="6" t="n">
        <v>1.22</v>
      </c>
      <c r="M27" s="6" t="n">
        <v>1.18</v>
      </c>
      <c r="N27" s="6" t="n">
        <v>1.37</v>
      </c>
      <c r="O27" s="6" t="n">
        <v>1.25</v>
      </c>
      <c r="P27" s="6" t="n">
        <v>1.24</v>
      </c>
      <c r="Q27" s="4">
        <f>SUM(E27:P27)</f>
        <v/>
      </c>
      <c r="R27" s="2" t="n"/>
      <c r="S27" s="5">
        <f>IF(OR(R27="",Q27=0),"",(R27-Q27)/Q27)</f>
        <v/>
      </c>
    </row>
    <row r="28">
      <c r="A28" s="2" t="inlineStr">
        <is>
          <t>SEGURIDAD</t>
        </is>
      </c>
      <c r="B28" s="2" t="inlineStr">
        <is>
          <t>trifr</t>
        </is>
      </c>
      <c r="C28" s="2" t="inlineStr">
        <is>
          <t>TRIFR</t>
        </is>
      </c>
      <c r="D28" s="2" t="inlineStr">
        <is>
          <t>rate</t>
        </is>
      </c>
      <c r="E28" s="6" t="n">
        <v>2.4933</v>
      </c>
      <c r="F28" s="6" t="n">
        <v>2.5471</v>
      </c>
      <c r="G28" s="6" t="n">
        <v>2.4928</v>
      </c>
      <c r="H28" s="6" t="n">
        <v>2.496</v>
      </c>
      <c r="I28" s="6" t="n">
        <v>2.4789</v>
      </c>
      <c r="J28" s="6" t="n">
        <v>2.5371</v>
      </c>
      <c r="K28" s="6" t="n">
        <v>2.4866</v>
      </c>
      <c r="L28" s="6" t="n">
        <v>2.5136</v>
      </c>
      <c r="M28" s="6" t="n">
        <v>2.4683</v>
      </c>
      <c r="N28" s="6" t="n">
        <v>2.5116</v>
      </c>
      <c r="O28" s="6" t="n">
        <v>2.5434</v>
      </c>
      <c r="P28" s="6" t="n">
        <v>2.5277</v>
      </c>
      <c r="Q28" s="4">
        <f>AVERAGE(E28:P28)</f>
        <v/>
      </c>
      <c r="R28" s="2" t="n"/>
      <c r="S28" s="5">
        <f>IF(OR(R28="",Q28=0),"",(R28-Q28)/Q28)</f>
        <v/>
      </c>
    </row>
    <row r="29">
      <c r="A29" s="2" t="inlineStr">
        <is>
          <t>SEGURIDAD</t>
        </is>
      </c>
      <c r="B29" s="2" t="inlineStr">
        <is>
          <t>ltifr</t>
        </is>
      </c>
      <c r="C29" s="2" t="inlineStr">
        <is>
          <t>LTIFR</t>
        </is>
      </c>
      <c r="D29" s="2" t="inlineStr">
        <is>
          <t>rate</t>
        </is>
      </c>
      <c r="E29" s="6" t="n">
        <v>0.7862</v>
      </c>
      <c r="F29" s="6" t="n">
        <v>0.8043</v>
      </c>
      <c r="G29" s="6" t="n">
        <v>0.8018999999999999</v>
      </c>
      <c r="H29" s="6" t="n">
        <v>0.7948</v>
      </c>
      <c r="I29" s="6" t="n">
        <v>0.8110000000000001</v>
      </c>
      <c r="J29" s="6" t="n">
        <v>0.8093</v>
      </c>
      <c r="K29" s="6" t="n">
        <v>0.8048</v>
      </c>
      <c r="L29" s="6" t="n">
        <v>0.8078</v>
      </c>
      <c r="M29" s="6" t="n">
        <v>0.7902</v>
      </c>
      <c r="N29" s="6" t="n">
        <v>0.8135</v>
      </c>
      <c r="O29" s="6" t="n">
        <v>0.8054</v>
      </c>
      <c r="P29" s="6" t="n">
        <v>0.799</v>
      </c>
      <c r="Q29" s="4">
        <f>AVERAGE(E29:P29)</f>
        <v/>
      </c>
      <c r="R29" s="2" t="n"/>
      <c r="S29" s="5">
        <f>IF(OR(R29="",Q29=0),"",(R29-Q29)/Q29)</f>
        <v/>
      </c>
    </row>
    <row r="30">
      <c r="A30" s="2" t="inlineStr">
        <is>
          <t>DOTACION</t>
        </is>
      </c>
      <c r="B30" s="2" t="inlineStr">
        <is>
          <t>headcount_propios</t>
        </is>
      </c>
      <c r="C30" s="2" t="inlineStr">
        <is>
          <t>Dotacion propios</t>
        </is>
      </c>
      <c r="D30" s="2" t="inlineStr">
        <is>
          <t>#</t>
        </is>
      </c>
      <c r="E30" s="3" t="n">
        <v>730.92</v>
      </c>
      <c r="F30" s="3" t="n">
        <v>745.41</v>
      </c>
      <c r="G30" s="3" t="n">
        <v>728.0599999999999</v>
      </c>
      <c r="H30" s="3" t="n">
        <v>734.66</v>
      </c>
      <c r="I30" s="3" t="n">
        <v>742.1799999999999</v>
      </c>
      <c r="J30" s="3" t="n">
        <v>744.3200000000001</v>
      </c>
      <c r="K30" s="3" t="n">
        <v>725.71</v>
      </c>
      <c r="L30" s="3" t="n">
        <v>725.46</v>
      </c>
      <c r="M30" s="3" t="n">
        <v>728.5</v>
      </c>
      <c r="N30" s="3" t="n">
        <v>747.9400000000001</v>
      </c>
      <c r="O30" s="3" t="n">
        <v>741.99</v>
      </c>
      <c r="P30" s="3" t="n">
        <v>743.21</v>
      </c>
      <c r="Q30" s="4">
        <f>AVERAGE(E30:P30)</f>
        <v/>
      </c>
      <c r="R30" s="2" t="n"/>
      <c r="S30" s="5">
        <f>IF(OR(R30="",Q30=0),"",(R30-Q30)/Q30)</f>
        <v/>
      </c>
    </row>
    <row r="31">
      <c r="A31" s="2" t="inlineStr">
        <is>
          <t>DOTACION</t>
        </is>
      </c>
      <c r="B31" s="2" t="inlineStr">
        <is>
          <t>headcount_contratistas</t>
        </is>
      </c>
      <c r="C31" s="2" t="inlineStr">
        <is>
          <t>Dotacion contratistas</t>
        </is>
      </c>
      <c r="D31" s="2" t="inlineStr">
        <is>
          <t>#</t>
        </is>
      </c>
      <c r="E31" s="3" t="n">
        <v>833.4299999999999</v>
      </c>
      <c r="F31" s="3" t="n">
        <v>814.62</v>
      </c>
      <c r="G31" s="3" t="n">
        <v>819.12</v>
      </c>
      <c r="H31" s="3" t="n">
        <v>837.5700000000001</v>
      </c>
      <c r="I31" s="3" t="n">
        <v>834.84</v>
      </c>
      <c r="J31" s="3" t="n">
        <v>828.1799999999999</v>
      </c>
      <c r="K31" s="3" t="n">
        <v>814.08</v>
      </c>
      <c r="L31" s="3" t="n">
        <v>827.24</v>
      </c>
      <c r="M31" s="3" t="n">
        <v>821.63</v>
      </c>
      <c r="N31" s="3" t="n">
        <v>836.55</v>
      </c>
      <c r="O31" s="3" t="n">
        <v>840.78</v>
      </c>
      <c r="P31" s="3" t="n">
        <v>830.13</v>
      </c>
      <c r="Q31" s="4">
        <f>AVERAGE(E31:P31)</f>
        <v/>
      </c>
      <c r="R31" s="2" t="n"/>
      <c r="S31" s="5">
        <f>IF(OR(R31="",Q31=0),"",(R31-Q31)/Q31)</f>
        <v/>
      </c>
    </row>
    <row r="32">
      <c r="A32" s="2" t="inlineStr">
        <is>
          <t>DOTACION</t>
        </is>
      </c>
      <c r="B32" s="2" t="inlineStr">
        <is>
          <t>headcount_total</t>
        </is>
      </c>
      <c r="C32" s="2" t="inlineStr">
        <is>
          <t>Dotacion total</t>
        </is>
      </c>
      <c r="D32" s="2" t="inlineStr">
        <is>
          <t>#</t>
        </is>
      </c>
      <c r="E32" s="3" t="n">
        <v>1563.94</v>
      </c>
      <c r="F32" s="3" t="n">
        <v>1555.75</v>
      </c>
      <c r="G32" s="3" t="n">
        <v>1544.42</v>
      </c>
      <c r="H32" s="3" t="n">
        <v>1561.95</v>
      </c>
      <c r="I32" s="3" t="n">
        <v>1581.18</v>
      </c>
      <c r="J32" s="3" t="n">
        <v>1580.43</v>
      </c>
      <c r="K32" s="3" t="n">
        <v>1564.52</v>
      </c>
      <c r="L32" s="3" t="n">
        <v>1599.26</v>
      </c>
      <c r="M32" s="3" t="n">
        <v>1597.64</v>
      </c>
      <c r="N32" s="3" t="n">
        <v>1593.59</v>
      </c>
      <c r="O32" s="3" t="n">
        <v>1565.97</v>
      </c>
      <c r="P32" s="3" t="n">
        <v>1585.48</v>
      </c>
      <c r="Q32" s="4">
        <f>AVERAGE(E32:P32)</f>
        <v/>
      </c>
      <c r="R32" s="2" t="n"/>
      <c r="S32" s="5">
        <f>IF(OR(R32="",Q32=0),"",(R32-Q32)/Q32)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22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0" customWidth="1" min="34" max="34"/>
  </cols>
  <sheetData>
    <row r="1">
      <c r="A1" s="1" t="inlineStr">
        <is>
          <t>cost_center</t>
        </is>
      </c>
      <c r="B1" s="1" t="inlineStr">
        <is>
          <t>cost_center_desc</t>
        </is>
      </c>
      <c r="C1" s="1" t="inlineStr">
        <is>
          <t>business_area</t>
        </is>
      </c>
      <c r="D1" s="1" t="inlineStr">
        <is>
          <t>cost_element</t>
        </is>
      </c>
      <c r="E1" s="1" t="inlineStr">
        <is>
          <t>cost_element_desc</t>
        </is>
      </c>
      <c r="F1" s="1" t="inlineStr">
        <is>
          <t>cost_sub_element</t>
        </is>
      </c>
      <c r="G1" s="1" t="inlineStr">
        <is>
          <t>jan_budget_usd</t>
        </is>
      </c>
      <c r="H1" s="1" t="inlineStr">
        <is>
          <t>feb_budget_usd</t>
        </is>
      </c>
      <c r="I1" s="1" t="inlineStr">
        <is>
          <t>mar_budget_usd</t>
        </is>
      </c>
      <c r="J1" s="1" t="inlineStr">
        <is>
          <t>apr_budget_usd</t>
        </is>
      </c>
      <c r="K1" s="1" t="inlineStr">
        <is>
          <t>may_budget_usd</t>
        </is>
      </c>
      <c r="L1" s="1" t="inlineStr">
        <is>
          <t>jun_budget_usd</t>
        </is>
      </c>
      <c r="M1" s="1" t="inlineStr">
        <is>
          <t>jul_budget_usd</t>
        </is>
      </c>
      <c r="N1" s="1" t="inlineStr">
        <is>
          <t>aug_budget_usd</t>
        </is>
      </c>
      <c r="O1" s="1" t="inlineStr">
        <is>
          <t>sep_budget_usd</t>
        </is>
      </c>
      <c r="P1" s="1" t="inlineStr">
        <is>
          <t>oct_budget_usd</t>
        </is>
      </c>
      <c r="Q1" s="1" t="inlineStr">
        <is>
          <t>nov_budget_usd</t>
        </is>
      </c>
      <c r="R1" s="1" t="inlineStr">
        <is>
          <t>dec_budget_usd</t>
        </is>
      </c>
      <c r="S1" s="1" t="inlineStr">
        <is>
          <t>annual_budget_usd</t>
        </is>
      </c>
      <c r="T1" s="1" t="inlineStr">
        <is>
          <t>jan_actual_usd</t>
        </is>
      </c>
      <c r="U1" s="1" t="inlineStr">
        <is>
          <t>feb_actual_usd</t>
        </is>
      </c>
      <c r="V1" s="1" t="inlineStr">
        <is>
          <t>mar_actual_usd</t>
        </is>
      </c>
      <c r="W1" s="1" t="inlineStr">
        <is>
          <t>apr_actual_usd</t>
        </is>
      </c>
      <c r="X1" s="1" t="inlineStr">
        <is>
          <t>may_actual_usd</t>
        </is>
      </c>
      <c r="Y1" s="1" t="inlineStr">
        <is>
          <t>jun_actual_usd</t>
        </is>
      </c>
      <c r="Z1" s="1" t="inlineStr">
        <is>
          <t>jul_actual_usd</t>
        </is>
      </c>
      <c r="AA1" s="1" t="inlineStr">
        <is>
          <t>aug_actual_usd</t>
        </is>
      </c>
      <c r="AB1" s="1" t="inlineStr">
        <is>
          <t>sep_actual_usd</t>
        </is>
      </c>
      <c r="AC1" s="1" t="inlineStr">
        <is>
          <t>oct_actual_usd</t>
        </is>
      </c>
      <c r="AD1" s="1" t="inlineStr">
        <is>
          <t>nov_actual_usd</t>
        </is>
      </c>
      <c r="AE1" s="1" t="inlineStr">
        <is>
          <t>dec_actual_usd</t>
        </is>
      </c>
      <c r="AF1" s="1" t="inlineStr">
        <is>
          <t>annual_actual_usd</t>
        </is>
      </c>
      <c r="AG1" s="1" t="inlineStr">
        <is>
          <t>variance_usd</t>
        </is>
      </c>
      <c r="AH1" s="1" t="inlineStr">
        <is>
          <t>variance_pct</t>
        </is>
      </c>
    </row>
    <row r="2">
      <c r="A2" s="2" t="inlineStr">
        <is>
          <t>CC-1000</t>
        </is>
      </c>
      <c r="B2" s="2" t="inlineStr">
        <is>
          <t>Mina</t>
        </is>
      </c>
      <c r="C2" s="2" t="inlineStr">
        <is>
          <t>MIN</t>
        </is>
      </c>
      <c r="D2" s="2" t="n">
        <v>610000</v>
      </c>
      <c r="E2" s="2" t="inlineStr">
        <is>
          <t>Mano obra interna</t>
        </is>
      </c>
      <c r="F2" s="2" t="inlineStr">
        <is>
          <t>sueldos_base</t>
        </is>
      </c>
      <c r="G2" s="7" t="n">
        <v>145561.48</v>
      </c>
      <c r="H2" s="7" t="n">
        <v>149608.9</v>
      </c>
      <c r="I2" s="7" t="n">
        <v>153171.55</v>
      </c>
      <c r="J2" s="7" t="n">
        <v>153419.78</v>
      </c>
      <c r="K2" s="7" t="n">
        <v>151794.49</v>
      </c>
      <c r="L2" s="7" t="n">
        <v>132554.47</v>
      </c>
      <c r="M2" s="7" t="n">
        <v>147590.7</v>
      </c>
      <c r="N2" s="7" t="n">
        <v>151247.21</v>
      </c>
      <c r="O2" s="7" t="n">
        <v>143153.77</v>
      </c>
      <c r="P2" s="7" t="n">
        <v>151540.55</v>
      </c>
      <c r="Q2" s="7" t="n">
        <v>139597.37</v>
      </c>
      <c r="R2" s="7" t="n">
        <v>141637.39</v>
      </c>
      <c r="S2" s="8">
        <f>SUM(G2:R2)</f>
        <v/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>
        <f>SUM(T2:AE2)</f>
        <v/>
      </c>
      <c r="AG2" s="7">
        <f>S2-AF2</f>
        <v/>
      </c>
      <c r="AH2" s="5">
        <f>IF(S2=0,0,AG2/S2)</f>
        <v/>
      </c>
    </row>
    <row r="3">
      <c r="A3" s="2" t="inlineStr">
        <is>
          <t>CC-1000</t>
        </is>
      </c>
      <c r="B3" s="2" t="inlineStr">
        <is>
          <t>Mina</t>
        </is>
      </c>
      <c r="C3" s="2" t="inlineStr">
        <is>
          <t>MIN</t>
        </is>
      </c>
      <c r="D3" s="2" t="n">
        <v>610000</v>
      </c>
      <c r="E3" s="2" t="inlineStr">
        <is>
          <t>Mano obra interna</t>
        </is>
      </c>
      <c r="F3" s="2" t="inlineStr">
        <is>
          <t>bonos</t>
        </is>
      </c>
      <c r="G3" s="7" t="n">
        <v>177992.86</v>
      </c>
      <c r="H3" s="7" t="n">
        <v>172162.52</v>
      </c>
      <c r="I3" s="7" t="n">
        <v>172584.43</v>
      </c>
      <c r="J3" s="7" t="n">
        <v>161464.97</v>
      </c>
      <c r="K3" s="7" t="n">
        <v>157968.57</v>
      </c>
      <c r="L3" s="7" t="n">
        <v>162648.81</v>
      </c>
      <c r="M3" s="7" t="n">
        <v>177409.15</v>
      </c>
      <c r="N3" s="7" t="n">
        <v>174307.02</v>
      </c>
      <c r="O3" s="7" t="n">
        <v>161613.05</v>
      </c>
      <c r="P3" s="7" t="n">
        <v>178987.61</v>
      </c>
      <c r="Q3" s="7" t="n">
        <v>171716.18</v>
      </c>
      <c r="R3" s="7" t="n">
        <v>176743.73</v>
      </c>
      <c r="S3" s="8">
        <f>SUM(G3:R3)</f>
        <v/>
      </c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>
        <f>SUM(T3:AE3)</f>
        <v/>
      </c>
      <c r="AG3" s="7">
        <f>S3-AF3</f>
        <v/>
      </c>
      <c r="AH3" s="5">
        <f>IF(S3=0,0,AG3/S3)</f>
        <v/>
      </c>
    </row>
    <row r="4">
      <c r="A4" s="2" t="inlineStr">
        <is>
          <t>CC-1000</t>
        </is>
      </c>
      <c r="B4" s="2" t="inlineStr">
        <is>
          <t>Mina</t>
        </is>
      </c>
      <c r="C4" s="2" t="inlineStr">
        <is>
          <t>MIN</t>
        </is>
      </c>
      <c r="D4" s="2" t="n">
        <v>610000</v>
      </c>
      <c r="E4" s="2" t="inlineStr">
        <is>
          <t>Mano obra interna</t>
        </is>
      </c>
      <c r="F4" s="2" t="inlineStr">
        <is>
          <t>seguros_beneficios</t>
        </is>
      </c>
      <c r="G4" s="7" t="n">
        <v>196570.1</v>
      </c>
      <c r="H4" s="7" t="n">
        <v>199224.39</v>
      </c>
      <c r="I4" s="7" t="n">
        <v>201004.62</v>
      </c>
      <c r="J4" s="7" t="n">
        <v>204625.99</v>
      </c>
      <c r="K4" s="7" t="n">
        <v>205363.61</v>
      </c>
      <c r="L4" s="7" t="n">
        <v>182086.54</v>
      </c>
      <c r="M4" s="7" t="n">
        <v>203475.82</v>
      </c>
      <c r="N4" s="7" t="n">
        <v>198412.04</v>
      </c>
      <c r="O4" s="7" t="n">
        <v>192725.59</v>
      </c>
      <c r="P4" s="7" t="n">
        <v>202543.2</v>
      </c>
      <c r="Q4" s="7" t="n">
        <v>195170.38</v>
      </c>
      <c r="R4" s="7" t="n">
        <v>188274.57</v>
      </c>
      <c r="S4" s="8">
        <f>SUM(G4:R4)</f>
        <v/>
      </c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>
        <f>SUM(T4:AE4)</f>
        <v/>
      </c>
      <c r="AG4" s="7">
        <f>S4-AF4</f>
        <v/>
      </c>
      <c r="AH4" s="5">
        <f>IF(S4=0,0,AG4/S4)</f>
        <v/>
      </c>
    </row>
    <row r="5">
      <c r="A5" s="2" t="inlineStr">
        <is>
          <t>CC-1000</t>
        </is>
      </c>
      <c r="B5" s="2" t="inlineStr">
        <is>
          <t>Mina</t>
        </is>
      </c>
      <c r="C5" s="2" t="inlineStr">
        <is>
          <t>MIN</t>
        </is>
      </c>
      <c r="D5" s="2" t="n">
        <v>610000</v>
      </c>
      <c r="E5" s="2" t="inlineStr">
        <is>
          <t>Mano obra interna</t>
        </is>
      </c>
      <c r="F5" s="2" t="inlineStr">
        <is>
          <t>provisiones</t>
        </is>
      </c>
      <c r="G5" s="7" t="n">
        <v>184744.74</v>
      </c>
      <c r="H5" s="7" t="n">
        <v>179870.99</v>
      </c>
      <c r="I5" s="7" t="n">
        <v>190989.51</v>
      </c>
      <c r="J5" s="7" t="n">
        <v>201415.12</v>
      </c>
      <c r="K5" s="7" t="n">
        <v>175133.68</v>
      </c>
      <c r="L5" s="7" t="n">
        <v>171360.72</v>
      </c>
      <c r="M5" s="7" t="n">
        <v>180079.3</v>
      </c>
      <c r="N5" s="7" t="n">
        <v>184808.48</v>
      </c>
      <c r="O5" s="7" t="n">
        <v>164587.91</v>
      </c>
      <c r="P5" s="7" t="n">
        <v>212528.93</v>
      </c>
      <c r="Q5" s="7" t="n">
        <v>181985.83</v>
      </c>
      <c r="R5" s="7" t="n">
        <v>196541.38</v>
      </c>
      <c r="S5" s="8">
        <f>SUM(G5:R5)</f>
        <v/>
      </c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>
        <f>SUM(T5:AE5)</f>
        <v/>
      </c>
      <c r="AG5" s="7">
        <f>S5-AF5</f>
        <v/>
      </c>
      <c r="AH5" s="5">
        <f>IF(S5=0,0,AG5/S5)</f>
        <v/>
      </c>
    </row>
    <row r="6">
      <c r="A6" s="2" t="inlineStr">
        <is>
          <t>CC-1000</t>
        </is>
      </c>
      <c r="B6" s="2" t="inlineStr">
        <is>
          <t>Mina</t>
        </is>
      </c>
      <c r="C6" s="2" t="inlineStr">
        <is>
          <t>MIN</t>
        </is>
      </c>
      <c r="D6" s="2" t="n">
        <v>620000</v>
      </c>
      <c r="E6" s="2" t="inlineStr">
        <is>
          <t>Materiales</t>
        </is>
      </c>
      <c r="F6" s="2" t="inlineStr">
        <is>
          <t>repuestos_mecanicos</t>
        </is>
      </c>
      <c r="G6" s="7" t="n">
        <v>147597.83</v>
      </c>
      <c r="H6" s="7" t="n">
        <v>148174.96</v>
      </c>
      <c r="I6" s="7" t="n">
        <v>141141.12</v>
      </c>
      <c r="J6" s="7" t="n">
        <v>142510.62</v>
      </c>
      <c r="K6" s="7" t="n">
        <v>151309.33</v>
      </c>
      <c r="L6" s="7" t="n">
        <v>137668.14</v>
      </c>
      <c r="M6" s="7" t="n">
        <v>141592.14</v>
      </c>
      <c r="N6" s="7" t="n">
        <v>152197.74</v>
      </c>
      <c r="O6" s="7" t="n">
        <v>141587.88</v>
      </c>
      <c r="P6" s="7" t="n">
        <v>147767.64</v>
      </c>
      <c r="Q6" s="7" t="n">
        <v>138004.27</v>
      </c>
      <c r="R6" s="7" t="n">
        <v>154388.37</v>
      </c>
      <c r="S6" s="8">
        <f>SUM(G6:R6)</f>
        <v/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>
        <f>SUM(T6:AE6)</f>
        <v/>
      </c>
      <c r="AG6" s="7">
        <f>S6-AF6</f>
        <v/>
      </c>
      <c r="AH6" s="5">
        <f>IF(S6=0,0,AG6/S6)</f>
        <v/>
      </c>
    </row>
    <row r="7">
      <c r="A7" s="2" t="inlineStr">
        <is>
          <t>CC-1000</t>
        </is>
      </c>
      <c r="B7" s="2" t="inlineStr">
        <is>
          <t>Mina</t>
        </is>
      </c>
      <c r="C7" s="2" t="inlineStr">
        <is>
          <t>MIN</t>
        </is>
      </c>
      <c r="D7" s="2" t="n">
        <v>620000</v>
      </c>
      <c r="E7" s="2" t="inlineStr">
        <is>
          <t>Materiales</t>
        </is>
      </c>
      <c r="F7" s="2" t="inlineStr">
        <is>
          <t>GET</t>
        </is>
      </c>
      <c r="G7" s="7" t="n">
        <v>184420.01</v>
      </c>
      <c r="H7" s="7" t="n">
        <v>186765.5</v>
      </c>
      <c r="I7" s="7" t="n">
        <v>189649.94</v>
      </c>
      <c r="J7" s="7" t="n">
        <v>197466.26</v>
      </c>
      <c r="K7" s="7" t="n">
        <v>178305.64</v>
      </c>
      <c r="L7" s="7" t="n">
        <v>181690.37</v>
      </c>
      <c r="M7" s="7" t="n">
        <v>176681.36</v>
      </c>
      <c r="N7" s="7" t="n">
        <v>182159.08</v>
      </c>
      <c r="O7" s="7" t="n">
        <v>167797.27</v>
      </c>
      <c r="P7" s="7" t="n">
        <v>195552.89</v>
      </c>
      <c r="Q7" s="7" t="n">
        <v>189739.95</v>
      </c>
      <c r="R7" s="7" t="n">
        <v>200153.51</v>
      </c>
      <c r="S7" s="8">
        <f>SUM(G7:R7)</f>
        <v/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>
        <f>SUM(T7:AE7)</f>
        <v/>
      </c>
      <c r="AG7" s="7">
        <f>S7-AF7</f>
        <v/>
      </c>
      <c r="AH7" s="5">
        <f>IF(S7=0,0,AG7/S7)</f>
        <v/>
      </c>
    </row>
    <row r="8">
      <c r="A8" s="2" t="inlineStr">
        <is>
          <t>CC-1000</t>
        </is>
      </c>
      <c r="B8" s="2" t="inlineStr">
        <is>
          <t>Mina</t>
        </is>
      </c>
      <c r="C8" s="2" t="inlineStr">
        <is>
          <t>MIN</t>
        </is>
      </c>
      <c r="D8" s="2" t="n">
        <v>620000</v>
      </c>
      <c r="E8" s="2" t="inlineStr">
        <is>
          <t>Materiales</t>
        </is>
      </c>
      <c r="F8" s="2" t="inlineStr">
        <is>
          <t>consumibles_operacion</t>
        </is>
      </c>
      <c r="G8" s="7" t="n">
        <v>27434.83</v>
      </c>
      <c r="H8" s="7" t="n">
        <v>25959.41</v>
      </c>
      <c r="I8" s="7" t="n">
        <v>26032.83</v>
      </c>
      <c r="J8" s="7" t="n">
        <v>25930.95</v>
      </c>
      <c r="K8" s="7" t="n">
        <v>25218.11</v>
      </c>
      <c r="L8" s="7" t="n">
        <v>25759.7</v>
      </c>
      <c r="M8" s="7" t="n">
        <v>25314.75</v>
      </c>
      <c r="N8" s="7" t="n">
        <v>27537.31</v>
      </c>
      <c r="O8" s="7" t="n">
        <v>25137.64</v>
      </c>
      <c r="P8" s="7" t="n">
        <v>29807.99</v>
      </c>
      <c r="Q8" s="7" t="n">
        <v>25120.13</v>
      </c>
      <c r="R8" s="7" t="n">
        <v>26747.42</v>
      </c>
      <c r="S8" s="8">
        <f>SUM(G8:R8)</f>
        <v/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>
        <f>SUM(T8:AE8)</f>
        <v/>
      </c>
      <c r="AG8" s="7">
        <f>S8-AF8</f>
        <v/>
      </c>
      <c r="AH8" s="5">
        <f>IF(S8=0,0,AG8/S8)</f>
        <v/>
      </c>
    </row>
    <row r="9">
      <c r="A9" s="2" t="inlineStr">
        <is>
          <t>CC-1000</t>
        </is>
      </c>
      <c r="B9" s="2" t="inlineStr">
        <is>
          <t>Mina</t>
        </is>
      </c>
      <c r="C9" s="2" t="inlineStr">
        <is>
          <t>MIN</t>
        </is>
      </c>
      <c r="D9" s="2" t="n">
        <v>620000</v>
      </c>
      <c r="E9" s="2" t="inlineStr">
        <is>
          <t>Materiales</t>
        </is>
      </c>
      <c r="F9" s="2" t="inlineStr">
        <is>
          <t>ropa_seguridad</t>
        </is>
      </c>
      <c r="G9" s="7" t="n">
        <v>108539.22</v>
      </c>
      <c r="H9" s="7" t="n">
        <v>108885.87</v>
      </c>
      <c r="I9" s="7" t="n">
        <v>119062.3</v>
      </c>
      <c r="J9" s="7" t="n">
        <v>105318.24</v>
      </c>
      <c r="K9" s="7" t="n">
        <v>105338.35</v>
      </c>
      <c r="L9" s="7" t="n">
        <v>101663.07</v>
      </c>
      <c r="M9" s="7" t="n">
        <v>115573.78</v>
      </c>
      <c r="N9" s="7" t="n">
        <v>104308.73</v>
      </c>
      <c r="O9" s="7" t="n">
        <v>105462.45</v>
      </c>
      <c r="P9" s="7" t="n">
        <v>114578.65</v>
      </c>
      <c r="Q9" s="7" t="n">
        <v>110287.5</v>
      </c>
      <c r="R9" s="7" t="n">
        <v>110658.96</v>
      </c>
      <c r="S9" s="8">
        <f>SUM(G9:R9)</f>
        <v/>
      </c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>
        <f>SUM(T9:AE9)</f>
        <v/>
      </c>
      <c r="AG9" s="7">
        <f>S9-AF9</f>
        <v/>
      </c>
      <c r="AH9" s="5">
        <f>IF(S9=0,0,AG9/S9)</f>
        <v/>
      </c>
    </row>
    <row r="10">
      <c r="A10" s="2" t="inlineStr">
        <is>
          <t>CC-1000</t>
        </is>
      </c>
      <c r="B10" s="2" t="inlineStr">
        <is>
          <t>Mina</t>
        </is>
      </c>
      <c r="C10" s="2" t="inlineStr">
        <is>
          <t>MIN</t>
        </is>
      </c>
      <c r="D10" s="2" t="n">
        <v>630000</v>
      </c>
      <c r="E10" s="2" t="inlineStr">
        <is>
          <t>Servicios externos</t>
        </is>
      </c>
      <c r="F10" s="2" t="inlineStr">
        <is>
          <t>mantenci_mecanica</t>
        </is>
      </c>
      <c r="G10" s="7" t="n">
        <v>164064.38</v>
      </c>
      <c r="H10" s="7" t="n">
        <v>159585.57</v>
      </c>
      <c r="I10" s="7" t="n">
        <v>164375.21</v>
      </c>
      <c r="J10" s="7" t="n">
        <v>168024.03</v>
      </c>
      <c r="K10" s="7" t="n">
        <v>163707.42</v>
      </c>
      <c r="L10" s="7" t="n">
        <v>159312.06</v>
      </c>
      <c r="M10" s="7" t="n">
        <v>157171.09</v>
      </c>
      <c r="N10" s="7" t="n">
        <v>160537.44</v>
      </c>
      <c r="O10" s="7" t="n">
        <v>160485</v>
      </c>
      <c r="P10" s="7" t="n">
        <v>185983.84</v>
      </c>
      <c r="Q10" s="7" t="n">
        <v>157668.63</v>
      </c>
      <c r="R10" s="7" t="n">
        <v>167944.14</v>
      </c>
      <c r="S10" s="8">
        <f>SUM(G10:R10)</f>
        <v/>
      </c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>
        <f>SUM(T10:AE10)</f>
        <v/>
      </c>
      <c r="AG10" s="7">
        <f>S10-AF10</f>
        <v/>
      </c>
      <c r="AH10" s="5">
        <f>IF(S10=0,0,AG10/S10)</f>
        <v/>
      </c>
    </row>
    <row r="11">
      <c r="A11" s="2" t="inlineStr">
        <is>
          <t>CC-1000</t>
        </is>
      </c>
      <c r="B11" s="2" t="inlineStr">
        <is>
          <t>Mina</t>
        </is>
      </c>
      <c r="C11" s="2" t="inlineStr">
        <is>
          <t>MIN</t>
        </is>
      </c>
      <c r="D11" s="2" t="n">
        <v>630000</v>
      </c>
      <c r="E11" s="2" t="inlineStr">
        <is>
          <t>Servicios externos</t>
        </is>
      </c>
      <c r="F11" s="2" t="inlineStr">
        <is>
          <t>mantenci_electrica</t>
        </is>
      </c>
      <c r="G11" s="7" t="n">
        <v>51304.74</v>
      </c>
      <c r="H11" s="7" t="n">
        <v>53439.41</v>
      </c>
      <c r="I11" s="7" t="n">
        <v>56848.08</v>
      </c>
      <c r="J11" s="7" t="n">
        <v>52056.36</v>
      </c>
      <c r="K11" s="7" t="n">
        <v>53450.35</v>
      </c>
      <c r="L11" s="7" t="n">
        <v>49061.74</v>
      </c>
      <c r="M11" s="7" t="n">
        <v>49145.79</v>
      </c>
      <c r="N11" s="7" t="n">
        <v>52827.24</v>
      </c>
      <c r="O11" s="7" t="n">
        <v>48107.55</v>
      </c>
      <c r="P11" s="7" t="n">
        <v>58085.79</v>
      </c>
      <c r="Q11" s="7" t="n">
        <v>52082.84</v>
      </c>
      <c r="R11" s="7" t="n">
        <v>55854.88</v>
      </c>
      <c r="S11" s="8">
        <f>SUM(G11:R11)</f>
        <v/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>
        <f>SUM(T11:AE11)</f>
        <v/>
      </c>
      <c r="AG11" s="7">
        <f>S11-AF11</f>
        <v/>
      </c>
      <c r="AH11" s="5">
        <f>IF(S11=0,0,AG11/S11)</f>
        <v/>
      </c>
    </row>
    <row r="12">
      <c r="A12" s="2" t="inlineStr">
        <is>
          <t>CC-1000</t>
        </is>
      </c>
      <c r="B12" s="2" t="inlineStr">
        <is>
          <t>Mina</t>
        </is>
      </c>
      <c r="C12" s="2" t="inlineStr">
        <is>
          <t>MIN</t>
        </is>
      </c>
      <c r="D12" s="2" t="n">
        <v>630000</v>
      </c>
      <c r="E12" s="2" t="inlineStr">
        <is>
          <t>Servicios externos</t>
        </is>
      </c>
      <c r="F12" s="2" t="inlineStr">
        <is>
          <t>servicios_operacion</t>
        </is>
      </c>
      <c r="G12" s="7" t="n">
        <v>58547.4</v>
      </c>
      <c r="H12" s="7" t="n">
        <v>56788.65</v>
      </c>
      <c r="I12" s="7" t="n">
        <v>58898.95</v>
      </c>
      <c r="J12" s="7" t="n">
        <v>57617.8</v>
      </c>
      <c r="K12" s="7" t="n">
        <v>58131.25</v>
      </c>
      <c r="L12" s="7" t="n">
        <v>57419.17</v>
      </c>
      <c r="M12" s="7" t="n">
        <v>55435.38</v>
      </c>
      <c r="N12" s="7" t="n">
        <v>61078.43</v>
      </c>
      <c r="O12" s="7" t="n">
        <v>54975.29</v>
      </c>
      <c r="P12" s="7" t="n">
        <v>64409.3</v>
      </c>
      <c r="Q12" s="7" t="n">
        <v>59286.23</v>
      </c>
      <c r="R12" s="7" t="n">
        <v>58669.34</v>
      </c>
      <c r="S12" s="8">
        <f>SUM(G12:R12)</f>
        <v/>
      </c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>
        <f>SUM(T12:AE12)</f>
        <v/>
      </c>
      <c r="AG12" s="7">
        <f>S12-AF12</f>
        <v/>
      </c>
      <c r="AH12" s="5">
        <f>IF(S12=0,0,AG12/S12)</f>
        <v/>
      </c>
    </row>
    <row r="13">
      <c r="A13" s="2" t="inlineStr">
        <is>
          <t>CC-1000</t>
        </is>
      </c>
      <c r="B13" s="2" t="inlineStr">
        <is>
          <t>Mina</t>
        </is>
      </c>
      <c r="C13" s="2" t="inlineStr">
        <is>
          <t>MIN</t>
        </is>
      </c>
      <c r="D13" s="2" t="n">
        <v>630000</v>
      </c>
      <c r="E13" s="2" t="inlineStr">
        <is>
          <t>Servicios externos</t>
        </is>
      </c>
      <c r="F13" s="2" t="inlineStr">
        <is>
          <t>asesoria_consultoria</t>
        </is>
      </c>
      <c r="G13" s="7" t="n">
        <v>140477.59</v>
      </c>
      <c r="H13" s="7" t="n">
        <v>147852.71</v>
      </c>
      <c r="I13" s="7" t="n">
        <v>156321.44</v>
      </c>
      <c r="J13" s="7" t="n">
        <v>142263.67</v>
      </c>
      <c r="K13" s="7" t="n">
        <v>135373.29</v>
      </c>
      <c r="L13" s="7" t="n">
        <v>132637.69</v>
      </c>
      <c r="M13" s="7" t="n">
        <v>142072.08</v>
      </c>
      <c r="N13" s="7" t="n">
        <v>152344.6</v>
      </c>
      <c r="O13" s="7" t="n">
        <v>126981.76</v>
      </c>
      <c r="P13" s="7" t="n">
        <v>162153.18</v>
      </c>
      <c r="Q13" s="7" t="n">
        <v>146419.53</v>
      </c>
      <c r="R13" s="7" t="n">
        <v>152721.7</v>
      </c>
      <c r="S13" s="8">
        <f>SUM(G13:R13)</f>
        <v/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>
        <f>SUM(T13:AE13)</f>
        <v/>
      </c>
      <c r="AG13" s="7">
        <f>S13-AF13</f>
        <v/>
      </c>
      <c r="AH13" s="5">
        <f>IF(S13=0,0,AG13/S13)</f>
        <v/>
      </c>
    </row>
    <row r="14">
      <c r="A14" s="2" t="inlineStr">
        <is>
          <t>CC-1000</t>
        </is>
      </c>
      <c r="B14" s="2" t="inlineStr">
        <is>
          <t>Mina</t>
        </is>
      </c>
      <c r="C14" s="2" t="inlineStr">
        <is>
          <t>MIN</t>
        </is>
      </c>
      <c r="D14" s="2" t="n">
        <v>640000</v>
      </c>
      <c r="E14" s="2" t="inlineStr">
        <is>
          <t>Energia electrica</t>
        </is>
      </c>
      <c r="F14" s="2" t="inlineStr">
        <is>
          <t>consumo_energia_planta</t>
        </is>
      </c>
      <c r="G14" s="7" t="n">
        <v>109280.84</v>
      </c>
      <c r="H14" s="7" t="n">
        <v>100865.72</v>
      </c>
      <c r="I14" s="7" t="n">
        <v>106150.04</v>
      </c>
      <c r="J14" s="7" t="n">
        <v>101459.94</v>
      </c>
      <c r="K14" s="7" t="n">
        <v>100207.05</v>
      </c>
      <c r="L14" s="7" t="n">
        <v>98487.69</v>
      </c>
      <c r="M14" s="7" t="n">
        <v>100765.36</v>
      </c>
      <c r="N14" s="7" t="n">
        <v>108786.05</v>
      </c>
      <c r="O14" s="7" t="n">
        <v>90870.25999999999</v>
      </c>
      <c r="P14" s="7" t="n">
        <v>112992.51</v>
      </c>
      <c r="Q14" s="7" t="n">
        <v>103652.79</v>
      </c>
      <c r="R14" s="7" t="n">
        <v>108163.25</v>
      </c>
      <c r="S14" s="8">
        <f>SUM(G14:R14)</f>
        <v/>
      </c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>
        <f>SUM(T14:AE14)</f>
        <v/>
      </c>
      <c r="AG14" s="7">
        <f>S14-AF14</f>
        <v/>
      </c>
      <c r="AH14" s="5">
        <f>IF(S14=0,0,AG14/S14)</f>
        <v/>
      </c>
    </row>
    <row r="15">
      <c r="A15" s="2" t="inlineStr">
        <is>
          <t>CC-1000</t>
        </is>
      </c>
      <c r="B15" s="2" t="inlineStr">
        <is>
          <t>Mina</t>
        </is>
      </c>
      <c r="C15" s="2" t="inlineStr">
        <is>
          <t>MIN</t>
        </is>
      </c>
      <c r="D15" s="2" t="n">
        <v>640000</v>
      </c>
      <c r="E15" s="2" t="inlineStr">
        <is>
          <t>Energia electrica</t>
        </is>
      </c>
      <c r="F15" s="2" t="inlineStr">
        <is>
          <t>consumo_energia_mina</t>
        </is>
      </c>
      <c r="G15" s="7" t="n">
        <v>63167.04</v>
      </c>
      <c r="H15" s="7" t="n">
        <v>59262.38</v>
      </c>
      <c r="I15" s="7" t="n">
        <v>65903.99000000001</v>
      </c>
      <c r="J15" s="7" t="n">
        <v>60892.87</v>
      </c>
      <c r="K15" s="7" t="n">
        <v>62005.77</v>
      </c>
      <c r="L15" s="7" t="n">
        <v>61133.18</v>
      </c>
      <c r="M15" s="7" t="n">
        <v>58141.76</v>
      </c>
      <c r="N15" s="7" t="n">
        <v>64043.55</v>
      </c>
      <c r="O15" s="7" t="n">
        <v>58498.98</v>
      </c>
      <c r="P15" s="7" t="n">
        <v>66516.27</v>
      </c>
      <c r="Q15" s="7" t="n">
        <v>57990.81</v>
      </c>
      <c r="R15" s="7" t="n">
        <v>64725.86</v>
      </c>
      <c r="S15" s="8">
        <f>SUM(G15:R15)</f>
        <v/>
      </c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>
        <f>SUM(T15:AE15)</f>
        <v/>
      </c>
      <c r="AG15" s="7">
        <f>S15-AF15</f>
        <v/>
      </c>
      <c r="AH15" s="5">
        <f>IF(S15=0,0,AG15/S15)</f>
        <v/>
      </c>
    </row>
    <row r="16">
      <c r="A16" s="2" t="inlineStr">
        <is>
          <t>CC-1000</t>
        </is>
      </c>
      <c r="B16" s="2" t="inlineStr">
        <is>
          <t>Mina</t>
        </is>
      </c>
      <c r="C16" s="2" t="inlineStr">
        <is>
          <t>MIN</t>
        </is>
      </c>
      <c r="D16" s="2" t="n">
        <v>640000</v>
      </c>
      <c r="E16" s="2" t="inlineStr">
        <is>
          <t>Energia electrica</t>
        </is>
      </c>
      <c r="F16" s="2" t="inlineStr">
        <is>
          <t>consumo_energia_servicios</t>
        </is>
      </c>
      <c r="G16" s="7" t="n">
        <v>180068.77</v>
      </c>
      <c r="H16" s="7" t="n">
        <v>182272.77</v>
      </c>
      <c r="I16" s="7" t="n">
        <v>198434.51</v>
      </c>
      <c r="J16" s="7" t="n">
        <v>197836.03</v>
      </c>
      <c r="K16" s="7" t="n">
        <v>178073.84</v>
      </c>
      <c r="L16" s="7" t="n">
        <v>168718.8</v>
      </c>
      <c r="M16" s="7" t="n">
        <v>193470.7</v>
      </c>
      <c r="N16" s="7" t="n">
        <v>184714.58</v>
      </c>
      <c r="O16" s="7" t="n">
        <v>166272.63</v>
      </c>
      <c r="P16" s="7" t="n">
        <v>191228.18</v>
      </c>
      <c r="Q16" s="7" t="n">
        <v>183690.99</v>
      </c>
      <c r="R16" s="7" t="n">
        <v>191254.27</v>
      </c>
      <c r="S16" s="8">
        <f>SUM(G16:R16)</f>
        <v/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>
        <f>SUM(T16:AE16)</f>
        <v/>
      </c>
      <c r="AG16" s="7">
        <f>S16-AF16</f>
        <v/>
      </c>
      <c r="AH16" s="5">
        <f>IF(S16=0,0,AG16/S16)</f>
        <v/>
      </c>
    </row>
    <row r="17">
      <c r="A17" s="2" t="inlineStr">
        <is>
          <t>CC-1000</t>
        </is>
      </c>
      <c r="B17" s="2" t="inlineStr">
        <is>
          <t>Mina</t>
        </is>
      </c>
      <c r="C17" s="2" t="inlineStr">
        <is>
          <t>MIN</t>
        </is>
      </c>
      <c r="D17" s="2" t="n">
        <v>650000</v>
      </c>
      <c r="E17" s="2" t="inlineStr">
        <is>
          <t>Distribuibles</t>
        </is>
      </c>
      <c r="F17" s="2" t="inlineStr">
        <is>
          <t>campamento</t>
        </is>
      </c>
      <c r="G17" s="7" t="n">
        <v>86530.84</v>
      </c>
      <c r="H17" s="7" t="n">
        <v>80278.48</v>
      </c>
      <c r="I17" s="7" t="n">
        <v>83754.14999999999</v>
      </c>
      <c r="J17" s="7" t="n">
        <v>87087.88</v>
      </c>
      <c r="K17" s="7" t="n">
        <v>85134.75999999999</v>
      </c>
      <c r="L17" s="7" t="n">
        <v>78367.98</v>
      </c>
      <c r="M17" s="7" t="n">
        <v>81081.21000000001</v>
      </c>
      <c r="N17" s="7" t="n">
        <v>84661.57000000001</v>
      </c>
      <c r="O17" s="7" t="n">
        <v>78868.39</v>
      </c>
      <c r="P17" s="7" t="n">
        <v>85973.25</v>
      </c>
      <c r="Q17" s="7" t="n">
        <v>79606.41</v>
      </c>
      <c r="R17" s="7" t="n">
        <v>79264.72</v>
      </c>
      <c r="S17" s="8">
        <f>SUM(G17:R17)</f>
        <v/>
      </c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>
        <f>SUM(T17:AE17)</f>
        <v/>
      </c>
      <c r="AG17" s="7">
        <f>S17-AF17</f>
        <v/>
      </c>
      <c r="AH17" s="5">
        <f>IF(S17=0,0,AG17/S17)</f>
        <v/>
      </c>
    </row>
    <row r="18">
      <c r="A18" s="2" t="inlineStr">
        <is>
          <t>CC-1000</t>
        </is>
      </c>
      <c r="B18" s="2" t="inlineStr">
        <is>
          <t>Mina</t>
        </is>
      </c>
      <c r="C18" s="2" t="inlineStr">
        <is>
          <t>MIN</t>
        </is>
      </c>
      <c r="D18" s="2" t="n">
        <v>650000</v>
      </c>
      <c r="E18" s="2" t="inlineStr">
        <is>
          <t>Distribuibles</t>
        </is>
      </c>
      <c r="F18" s="2" t="inlineStr">
        <is>
          <t>agua_mar</t>
        </is>
      </c>
      <c r="G18" s="7" t="n">
        <v>38259.97</v>
      </c>
      <c r="H18" s="7" t="n">
        <v>37776.13</v>
      </c>
      <c r="I18" s="7" t="n">
        <v>36619.13</v>
      </c>
      <c r="J18" s="7" t="n">
        <v>36891.51</v>
      </c>
      <c r="K18" s="7" t="n">
        <v>36273.75</v>
      </c>
      <c r="L18" s="7" t="n">
        <v>36718.76</v>
      </c>
      <c r="M18" s="7" t="n">
        <v>37919.94</v>
      </c>
      <c r="N18" s="7" t="n">
        <v>36041.49</v>
      </c>
      <c r="O18" s="7" t="n">
        <v>33271.09</v>
      </c>
      <c r="P18" s="7" t="n">
        <v>40705.12</v>
      </c>
      <c r="Q18" s="7" t="n">
        <v>35614.94</v>
      </c>
      <c r="R18" s="7" t="n">
        <v>37846.6</v>
      </c>
      <c r="S18" s="8">
        <f>SUM(G18:R18)</f>
        <v/>
      </c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>
        <f>SUM(T18:AE18)</f>
        <v/>
      </c>
      <c r="AG18" s="7">
        <f>S18-AF18</f>
        <v/>
      </c>
      <c r="AH18" s="5">
        <f>IF(S18=0,0,AG18/S18)</f>
        <v/>
      </c>
    </row>
    <row r="19">
      <c r="A19" s="2" t="inlineStr">
        <is>
          <t>CC-1000</t>
        </is>
      </c>
      <c r="B19" s="2" t="inlineStr">
        <is>
          <t>Mina</t>
        </is>
      </c>
      <c r="C19" s="2" t="inlineStr">
        <is>
          <t>MIN</t>
        </is>
      </c>
      <c r="D19" s="2" t="n">
        <v>650000</v>
      </c>
      <c r="E19" s="2" t="inlineStr">
        <is>
          <t>Distribuibles</t>
        </is>
      </c>
      <c r="F19" s="2" t="inlineStr">
        <is>
          <t>agua_fresca</t>
        </is>
      </c>
      <c r="G19" s="7" t="n">
        <v>71689.59</v>
      </c>
      <c r="H19" s="7" t="n">
        <v>68428.39999999999</v>
      </c>
      <c r="I19" s="7" t="n">
        <v>72143.48</v>
      </c>
      <c r="J19" s="7" t="n">
        <v>73794.58</v>
      </c>
      <c r="K19" s="7" t="n">
        <v>71297.84</v>
      </c>
      <c r="L19" s="7" t="n">
        <v>63185.4</v>
      </c>
      <c r="M19" s="7" t="n">
        <v>69742.27</v>
      </c>
      <c r="N19" s="7" t="n">
        <v>68440.88</v>
      </c>
      <c r="O19" s="7" t="n">
        <v>62572.45</v>
      </c>
      <c r="P19" s="7" t="n">
        <v>75576.49000000001</v>
      </c>
      <c r="Q19" s="7" t="n">
        <v>66878.39</v>
      </c>
      <c r="R19" s="7" t="n">
        <v>72328.81</v>
      </c>
      <c r="S19" s="8">
        <f>SUM(G19:R19)</f>
        <v/>
      </c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>
        <f>SUM(T19:AE19)</f>
        <v/>
      </c>
      <c r="AG19" s="7">
        <f>S19-AF19</f>
        <v/>
      </c>
      <c r="AH19" s="5">
        <f>IF(S19=0,0,AG19/S19)</f>
        <v/>
      </c>
    </row>
    <row r="20">
      <c r="A20" s="2" t="inlineStr">
        <is>
          <t>CC-1000</t>
        </is>
      </c>
      <c r="B20" s="2" t="inlineStr">
        <is>
          <t>Mina</t>
        </is>
      </c>
      <c r="C20" s="2" t="inlineStr">
        <is>
          <t>MIN</t>
        </is>
      </c>
      <c r="D20" s="2" t="n">
        <v>650000</v>
      </c>
      <c r="E20" s="2" t="inlineStr">
        <is>
          <t>Distribuibles</t>
        </is>
      </c>
      <c r="F20" s="2" t="inlineStr">
        <is>
          <t>transporte_personal</t>
        </is>
      </c>
      <c r="G20" s="7" t="n">
        <v>43201.36</v>
      </c>
      <c r="H20" s="7" t="n">
        <v>42778.62</v>
      </c>
      <c r="I20" s="7" t="n">
        <v>43285.66</v>
      </c>
      <c r="J20" s="7" t="n">
        <v>46812.63</v>
      </c>
      <c r="K20" s="7" t="n">
        <v>46208.83</v>
      </c>
      <c r="L20" s="7" t="n">
        <v>42981.24</v>
      </c>
      <c r="M20" s="7" t="n">
        <v>45134.72</v>
      </c>
      <c r="N20" s="7" t="n">
        <v>42036.82</v>
      </c>
      <c r="O20" s="7" t="n">
        <v>41433.29</v>
      </c>
      <c r="P20" s="7" t="n">
        <v>48133.63</v>
      </c>
      <c r="Q20" s="7" t="n">
        <v>40686.24</v>
      </c>
      <c r="R20" s="7" t="n">
        <v>46680.33</v>
      </c>
      <c r="S20" s="8">
        <f>SUM(G20:R20)</f>
        <v/>
      </c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>
        <f>SUM(T20:AE20)</f>
        <v/>
      </c>
      <c r="AG20" s="7">
        <f>S20-AF20</f>
        <v/>
      </c>
      <c r="AH20" s="5">
        <f>IF(S20=0,0,AG20/S20)</f>
        <v/>
      </c>
    </row>
    <row r="21">
      <c r="A21" s="2" t="inlineStr">
        <is>
          <t>CC-1000</t>
        </is>
      </c>
      <c r="B21" s="2" t="inlineStr">
        <is>
          <t>Mina</t>
        </is>
      </c>
      <c r="C21" s="2" t="inlineStr">
        <is>
          <t>MIN</t>
        </is>
      </c>
      <c r="D21" s="2" t="n">
        <v>660000</v>
      </c>
      <c r="E21" s="2" t="inlineStr">
        <is>
          <t>Depreciacion</t>
        </is>
      </c>
      <c r="F21" s="2" t="inlineStr">
        <is>
          <t>depreciacion_equipos</t>
        </is>
      </c>
      <c r="G21" s="7" t="n">
        <v>79591.34</v>
      </c>
      <c r="H21" s="7" t="n">
        <v>75316.07000000001</v>
      </c>
      <c r="I21" s="7" t="n">
        <v>88107.96000000001</v>
      </c>
      <c r="J21" s="7" t="n">
        <v>79998.21000000001</v>
      </c>
      <c r="K21" s="7" t="n">
        <v>81217.58</v>
      </c>
      <c r="L21" s="7" t="n">
        <v>76045.16</v>
      </c>
      <c r="M21" s="7" t="n">
        <v>82145.24000000001</v>
      </c>
      <c r="N21" s="7" t="n">
        <v>81624.85000000001</v>
      </c>
      <c r="O21" s="7" t="n">
        <v>77042.72</v>
      </c>
      <c r="P21" s="7" t="n">
        <v>82055.7</v>
      </c>
      <c r="Q21" s="7" t="n">
        <v>81329.88</v>
      </c>
      <c r="R21" s="7" t="n">
        <v>81744.21000000001</v>
      </c>
      <c r="S21" s="8">
        <f>SUM(G21:R21)</f>
        <v/>
      </c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>
        <f>SUM(T21:AE21)</f>
        <v/>
      </c>
      <c r="AG21" s="7">
        <f>S21-AF21</f>
        <v/>
      </c>
      <c r="AH21" s="5">
        <f>IF(S21=0,0,AG21/S21)</f>
        <v/>
      </c>
    </row>
    <row r="22">
      <c r="A22" s="2" t="inlineStr">
        <is>
          <t>CC-1000</t>
        </is>
      </c>
      <c r="B22" s="2" t="inlineStr">
        <is>
          <t>Mina</t>
        </is>
      </c>
      <c r="C22" s="2" t="inlineStr">
        <is>
          <t>MIN</t>
        </is>
      </c>
      <c r="D22" s="2" t="n">
        <v>660000</v>
      </c>
      <c r="E22" s="2" t="inlineStr">
        <is>
          <t>Depreciacion</t>
        </is>
      </c>
      <c r="F22" s="2" t="inlineStr">
        <is>
          <t>depreciacion_infraestructura</t>
        </is>
      </c>
      <c r="G22" s="7" t="n">
        <v>84145.38</v>
      </c>
      <c r="H22" s="7" t="n">
        <v>80131.00999999999</v>
      </c>
      <c r="I22" s="7" t="n">
        <v>89825.84</v>
      </c>
      <c r="J22" s="7" t="n">
        <v>87095.89999999999</v>
      </c>
      <c r="K22" s="7" t="n">
        <v>79548.32000000001</v>
      </c>
      <c r="L22" s="7" t="n">
        <v>81298.96000000001</v>
      </c>
      <c r="M22" s="7" t="n">
        <v>81656.22</v>
      </c>
      <c r="N22" s="7" t="n">
        <v>85828.56</v>
      </c>
      <c r="O22" s="7" t="n">
        <v>72246.32000000001</v>
      </c>
      <c r="P22" s="7" t="n">
        <v>87151.99000000001</v>
      </c>
      <c r="Q22" s="7" t="n">
        <v>78944.13</v>
      </c>
      <c r="R22" s="7" t="n">
        <v>85908.44</v>
      </c>
      <c r="S22" s="8">
        <f>SUM(G22:R22)</f>
        <v/>
      </c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>
        <f>SUM(T22:AE22)</f>
        <v/>
      </c>
      <c r="AG22" s="7">
        <f>S22-AF22</f>
        <v/>
      </c>
      <c r="AH22" s="5">
        <f>IF(S22=0,0,AG22/S22)</f>
        <v/>
      </c>
    </row>
    <row r="23">
      <c r="A23" s="2" t="inlineStr">
        <is>
          <t>CC-2000</t>
        </is>
      </c>
      <c r="B23" s="2" t="inlineStr">
        <is>
          <t>Manejo de Materiales</t>
        </is>
      </c>
      <c r="C23" s="2" t="inlineStr">
        <is>
          <t>SEC</t>
        </is>
      </c>
      <c r="D23" s="2" t="n">
        <v>610000</v>
      </c>
      <c r="E23" s="2" t="inlineStr">
        <is>
          <t>Mano obra interna</t>
        </is>
      </c>
      <c r="F23" s="2" t="inlineStr">
        <is>
          <t>sueldos_base</t>
        </is>
      </c>
      <c r="G23" s="7" t="n">
        <v>119446.33</v>
      </c>
      <c r="H23" s="7" t="n">
        <v>109335.18</v>
      </c>
      <c r="I23" s="7" t="n">
        <v>125042.27</v>
      </c>
      <c r="J23" s="7" t="n">
        <v>113820.83</v>
      </c>
      <c r="K23" s="7" t="n">
        <v>113829.37</v>
      </c>
      <c r="L23" s="7" t="n">
        <v>105489.25</v>
      </c>
      <c r="M23" s="7" t="n">
        <v>119616.02</v>
      </c>
      <c r="N23" s="7" t="n">
        <v>116589.2</v>
      </c>
      <c r="O23" s="7" t="n">
        <v>113876.05</v>
      </c>
      <c r="P23" s="7" t="n">
        <v>120321.6</v>
      </c>
      <c r="Q23" s="7" t="n">
        <v>117226.98</v>
      </c>
      <c r="R23" s="7" t="n">
        <v>118510.61</v>
      </c>
      <c r="S23" s="8">
        <f>SUM(G23:R23)</f>
        <v/>
      </c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>
        <f>SUM(T23:AE23)</f>
        <v/>
      </c>
      <c r="AG23" s="7">
        <f>S23-AF23</f>
        <v/>
      </c>
      <c r="AH23" s="5">
        <f>IF(S23=0,0,AG23/S23)</f>
        <v/>
      </c>
    </row>
    <row r="24">
      <c r="A24" s="2" t="inlineStr">
        <is>
          <t>CC-2000</t>
        </is>
      </c>
      <c r="B24" s="2" t="inlineStr">
        <is>
          <t>Manejo de Materiales</t>
        </is>
      </c>
      <c r="C24" s="2" t="inlineStr">
        <is>
          <t>SEC</t>
        </is>
      </c>
      <c r="D24" s="2" t="n">
        <v>610000</v>
      </c>
      <c r="E24" s="2" t="inlineStr">
        <is>
          <t>Mano obra interna</t>
        </is>
      </c>
      <c r="F24" s="2" t="inlineStr">
        <is>
          <t>bonos</t>
        </is>
      </c>
      <c r="G24" s="7" t="n">
        <v>88582.95</v>
      </c>
      <c r="H24" s="7" t="n">
        <v>88352.2</v>
      </c>
      <c r="I24" s="7" t="n">
        <v>94152.49000000001</v>
      </c>
      <c r="J24" s="7" t="n">
        <v>89489.53</v>
      </c>
      <c r="K24" s="7" t="n">
        <v>84480.56</v>
      </c>
      <c r="L24" s="7" t="n">
        <v>88523.78</v>
      </c>
      <c r="M24" s="7" t="n">
        <v>86251.22</v>
      </c>
      <c r="N24" s="7" t="n">
        <v>93394.23</v>
      </c>
      <c r="O24" s="7" t="n">
        <v>84728.7</v>
      </c>
      <c r="P24" s="7" t="n">
        <v>97251.25</v>
      </c>
      <c r="Q24" s="7" t="n">
        <v>80379.3</v>
      </c>
      <c r="R24" s="7" t="n">
        <v>88947.89</v>
      </c>
      <c r="S24" s="8">
        <f>SUM(G24:R24)</f>
        <v/>
      </c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>
        <f>SUM(T24:AE24)</f>
        <v/>
      </c>
      <c r="AG24" s="7">
        <f>S24-AF24</f>
        <v/>
      </c>
      <c r="AH24" s="5">
        <f>IF(S24=0,0,AG24/S24)</f>
        <v/>
      </c>
    </row>
    <row r="25">
      <c r="A25" s="2" t="inlineStr">
        <is>
          <t>CC-2000</t>
        </is>
      </c>
      <c r="B25" s="2" t="inlineStr">
        <is>
          <t>Manejo de Materiales</t>
        </is>
      </c>
      <c r="C25" s="2" t="inlineStr">
        <is>
          <t>SEC</t>
        </is>
      </c>
      <c r="D25" s="2" t="n">
        <v>610000</v>
      </c>
      <c r="E25" s="2" t="inlineStr">
        <is>
          <t>Mano obra interna</t>
        </is>
      </c>
      <c r="F25" s="2" t="inlineStr">
        <is>
          <t>seguros_beneficios</t>
        </is>
      </c>
      <c r="G25" s="7" t="n">
        <v>27186.63</v>
      </c>
      <c r="H25" s="7" t="n">
        <v>25831.5</v>
      </c>
      <c r="I25" s="7" t="n">
        <v>26312.37</v>
      </c>
      <c r="J25" s="7" t="n">
        <v>26777.73</v>
      </c>
      <c r="K25" s="7" t="n">
        <v>25004.39</v>
      </c>
      <c r="L25" s="7" t="n">
        <v>24815.35</v>
      </c>
      <c r="M25" s="7" t="n">
        <v>25304.99</v>
      </c>
      <c r="N25" s="7" t="n">
        <v>27409.58</v>
      </c>
      <c r="O25" s="7" t="n">
        <v>25292.33</v>
      </c>
      <c r="P25" s="7" t="n">
        <v>30227.33</v>
      </c>
      <c r="Q25" s="7" t="n">
        <v>25402</v>
      </c>
      <c r="R25" s="7" t="n">
        <v>27946.85</v>
      </c>
      <c r="S25" s="8">
        <f>SUM(G25:R25)</f>
        <v/>
      </c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>
        <f>SUM(T25:AE25)</f>
        <v/>
      </c>
      <c r="AG25" s="7">
        <f>S25-AF25</f>
        <v/>
      </c>
      <c r="AH25" s="5">
        <f>IF(S25=0,0,AG25/S25)</f>
        <v/>
      </c>
    </row>
    <row r="26">
      <c r="A26" s="2" t="inlineStr">
        <is>
          <t>CC-2000</t>
        </is>
      </c>
      <c r="B26" s="2" t="inlineStr">
        <is>
          <t>Manejo de Materiales</t>
        </is>
      </c>
      <c r="C26" s="2" t="inlineStr">
        <is>
          <t>SEC</t>
        </is>
      </c>
      <c r="D26" s="2" t="n">
        <v>610000</v>
      </c>
      <c r="E26" s="2" t="inlineStr">
        <is>
          <t>Mano obra interna</t>
        </is>
      </c>
      <c r="F26" s="2" t="inlineStr">
        <is>
          <t>provisiones</t>
        </is>
      </c>
      <c r="G26" s="7" t="n">
        <v>71409.23</v>
      </c>
      <c r="H26" s="7" t="n">
        <v>69370.42</v>
      </c>
      <c r="I26" s="7" t="n">
        <v>71820.39999999999</v>
      </c>
      <c r="J26" s="7" t="n">
        <v>73119.41</v>
      </c>
      <c r="K26" s="7" t="n">
        <v>64742.07</v>
      </c>
      <c r="L26" s="7" t="n">
        <v>62850.5</v>
      </c>
      <c r="M26" s="7" t="n">
        <v>65896.56</v>
      </c>
      <c r="N26" s="7" t="n">
        <v>67417.63</v>
      </c>
      <c r="O26" s="7" t="n">
        <v>65143.05</v>
      </c>
      <c r="P26" s="7" t="n">
        <v>75956.67999999999</v>
      </c>
      <c r="Q26" s="7" t="n">
        <v>68722.25999999999</v>
      </c>
      <c r="R26" s="7" t="n">
        <v>68402.92999999999</v>
      </c>
      <c r="S26" s="8">
        <f>SUM(G26:R26)</f>
        <v/>
      </c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>
        <f>SUM(T26:AE26)</f>
        <v/>
      </c>
      <c r="AG26" s="7">
        <f>S26-AF26</f>
        <v/>
      </c>
      <c r="AH26" s="5">
        <f>IF(S26=0,0,AG26/S26)</f>
        <v/>
      </c>
    </row>
    <row r="27">
      <c r="A27" s="2" t="inlineStr">
        <is>
          <t>CC-2000</t>
        </is>
      </c>
      <c r="B27" s="2" t="inlineStr">
        <is>
          <t>Manejo de Materiales</t>
        </is>
      </c>
      <c r="C27" s="2" t="inlineStr">
        <is>
          <t>SEC</t>
        </is>
      </c>
      <c r="D27" s="2" t="n">
        <v>620000</v>
      </c>
      <c r="E27" s="2" t="inlineStr">
        <is>
          <t>Materiales</t>
        </is>
      </c>
      <c r="F27" s="2" t="inlineStr">
        <is>
          <t>repuestos_mecanicos</t>
        </is>
      </c>
      <c r="G27" s="7" t="n">
        <v>42400.83</v>
      </c>
      <c r="H27" s="7" t="n">
        <v>43052.45</v>
      </c>
      <c r="I27" s="7" t="n">
        <v>42699.92</v>
      </c>
      <c r="J27" s="7" t="n">
        <v>42348.03</v>
      </c>
      <c r="K27" s="7" t="n">
        <v>39072.25</v>
      </c>
      <c r="L27" s="7" t="n">
        <v>38375.62</v>
      </c>
      <c r="M27" s="7" t="n">
        <v>39890.21</v>
      </c>
      <c r="N27" s="7" t="n">
        <v>41873.59</v>
      </c>
      <c r="O27" s="7" t="n">
        <v>37862.12</v>
      </c>
      <c r="P27" s="7" t="n">
        <v>42564.2</v>
      </c>
      <c r="Q27" s="7" t="n">
        <v>40299.54</v>
      </c>
      <c r="R27" s="7" t="n">
        <v>43053.45</v>
      </c>
      <c r="S27" s="8">
        <f>SUM(G27:R27)</f>
        <v/>
      </c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>
        <f>SUM(T27:AE27)</f>
        <v/>
      </c>
      <c r="AG27" s="7">
        <f>S27-AF27</f>
        <v/>
      </c>
      <c r="AH27" s="5">
        <f>IF(S27=0,0,AG27/S27)</f>
        <v/>
      </c>
    </row>
    <row r="28">
      <c r="A28" s="2" t="inlineStr">
        <is>
          <t>CC-2000</t>
        </is>
      </c>
      <c r="B28" s="2" t="inlineStr">
        <is>
          <t>Manejo de Materiales</t>
        </is>
      </c>
      <c r="C28" s="2" t="inlineStr">
        <is>
          <t>SEC</t>
        </is>
      </c>
      <c r="D28" s="2" t="n">
        <v>620000</v>
      </c>
      <c r="E28" s="2" t="inlineStr">
        <is>
          <t>Materiales</t>
        </is>
      </c>
      <c r="F28" s="2" t="inlineStr">
        <is>
          <t>GET</t>
        </is>
      </c>
      <c r="G28" s="7" t="n">
        <v>64554.81</v>
      </c>
      <c r="H28" s="7" t="n">
        <v>63013</v>
      </c>
      <c r="I28" s="7" t="n">
        <v>63299.62</v>
      </c>
      <c r="J28" s="7" t="n">
        <v>62021.9</v>
      </c>
      <c r="K28" s="7" t="n">
        <v>62199.81</v>
      </c>
      <c r="L28" s="7" t="n">
        <v>55356.75</v>
      </c>
      <c r="M28" s="7" t="n">
        <v>62504.85</v>
      </c>
      <c r="N28" s="7" t="n">
        <v>60749.9</v>
      </c>
      <c r="O28" s="7" t="n">
        <v>56917.11</v>
      </c>
      <c r="P28" s="7" t="n">
        <v>64692.56</v>
      </c>
      <c r="Q28" s="7" t="n">
        <v>56865.01</v>
      </c>
      <c r="R28" s="7" t="n">
        <v>61666.1</v>
      </c>
      <c r="S28" s="8">
        <f>SUM(G28:R28)</f>
        <v/>
      </c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>
        <f>SUM(T28:AE28)</f>
        <v/>
      </c>
      <c r="AG28" s="7">
        <f>S28-AF28</f>
        <v/>
      </c>
      <c r="AH28" s="5">
        <f>IF(S28=0,0,AG28/S28)</f>
        <v/>
      </c>
    </row>
    <row r="29">
      <c r="A29" s="2" t="inlineStr">
        <is>
          <t>CC-2000</t>
        </is>
      </c>
      <c r="B29" s="2" t="inlineStr">
        <is>
          <t>Manejo de Materiales</t>
        </is>
      </c>
      <c r="C29" s="2" t="inlineStr">
        <is>
          <t>SEC</t>
        </is>
      </c>
      <c r="D29" s="2" t="n">
        <v>620000</v>
      </c>
      <c r="E29" s="2" t="inlineStr">
        <is>
          <t>Materiales</t>
        </is>
      </c>
      <c r="F29" s="2" t="inlineStr">
        <is>
          <t>consumibles_operacion</t>
        </is>
      </c>
      <c r="G29" s="7" t="n">
        <v>57084.79</v>
      </c>
      <c r="H29" s="7" t="n">
        <v>59482.2</v>
      </c>
      <c r="I29" s="7" t="n">
        <v>62190.32</v>
      </c>
      <c r="J29" s="7" t="n">
        <v>59508.52</v>
      </c>
      <c r="K29" s="7" t="n">
        <v>59388.52</v>
      </c>
      <c r="L29" s="7" t="n">
        <v>56371.98</v>
      </c>
      <c r="M29" s="7" t="n">
        <v>56203.42</v>
      </c>
      <c r="N29" s="7" t="n">
        <v>57906.81</v>
      </c>
      <c r="O29" s="7" t="n">
        <v>51491.95</v>
      </c>
      <c r="P29" s="7" t="n">
        <v>63111.92</v>
      </c>
      <c r="Q29" s="7" t="n">
        <v>52381.97</v>
      </c>
      <c r="R29" s="7" t="n">
        <v>60395.86</v>
      </c>
      <c r="S29" s="8">
        <f>SUM(G29:R29)</f>
        <v/>
      </c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>
        <f>SUM(T29:AE29)</f>
        <v/>
      </c>
      <c r="AG29" s="7">
        <f>S29-AF29</f>
        <v/>
      </c>
      <c r="AH29" s="5">
        <f>IF(S29=0,0,AG29/S29)</f>
        <v/>
      </c>
    </row>
    <row r="30">
      <c r="A30" s="2" t="inlineStr">
        <is>
          <t>CC-2000</t>
        </is>
      </c>
      <c r="B30" s="2" t="inlineStr">
        <is>
          <t>Manejo de Materiales</t>
        </is>
      </c>
      <c r="C30" s="2" t="inlineStr">
        <is>
          <t>SEC</t>
        </is>
      </c>
      <c r="D30" s="2" t="n">
        <v>620000</v>
      </c>
      <c r="E30" s="2" t="inlineStr">
        <is>
          <t>Materiales</t>
        </is>
      </c>
      <c r="F30" s="2" t="inlineStr">
        <is>
          <t>ropa_seguridad</t>
        </is>
      </c>
      <c r="G30" s="7" t="n">
        <v>40905.42</v>
      </c>
      <c r="H30" s="7" t="n">
        <v>37002.76</v>
      </c>
      <c r="I30" s="7" t="n">
        <v>42755.15</v>
      </c>
      <c r="J30" s="7" t="n">
        <v>42386.33</v>
      </c>
      <c r="K30" s="7" t="n">
        <v>40925.85</v>
      </c>
      <c r="L30" s="7" t="n">
        <v>39179.48</v>
      </c>
      <c r="M30" s="7" t="n">
        <v>40539.31</v>
      </c>
      <c r="N30" s="7" t="n">
        <v>39153.82</v>
      </c>
      <c r="O30" s="7" t="n">
        <v>35319.83</v>
      </c>
      <c r="P30" s="7" t="n">
        <v>41700.85</v>
      </c>
      <c r="Q30" s="7" t="n">
        <v>37702.06</v>
      </c>
      <c r="R30" s="7" t="n">
        <v>39577.24</v>
      </c>
      <c r="S30" s="8">
        <f>SUM(G30:R30)</f>
        <v/>
      </c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>
        <f>SUM(T30:AE30)</f>
        <v/>
      </c>
      <c r="AG30" s="7">
        <f>S30-AF30</f>
        <v/>
      </c>
      <c r="AH30" s="5">
        <f>IF(S30=0,0,AG30/S30)</f>
        <v/>
      </c>
    </row>
    <row r="31">
      <c r="A31" s="2" t="inlineStr">
        <is>
          <t>CC-2000</t>
        </is>
      </c>
      <c r="B31" s="2" t="inlineStr">
        <is>
          <t>Manejo de Materiales</t>
        </is>
      </c>
      <c r="C31" s="2" t="inlineStr">
        <is>
          <t>SEC</t>
        </is>
      </c>
      <c r="D31" s="2" t="n">
        <v>630000</v>
      </c>
      <c r="E31" s="2" t="inlineStr">
        <is>
          <t>Servicios externos</t>
        </is>
      </c>
      <c r="F31" s="2" t="inlineStr">
        <is>
          <t>mantenci_mecanica</t>
        </is>
      </c>
      <c r="G31" s="7" t="n">
        <v>59533.89</v>
      </c>
      <c r="H31" s="7" t="n">
        <v>55542.84</v>
      </c>
      <c r="I31" s="7" t="n">
        <v>56557.43</v>
      </c>
      <c r="J31" s="7" t="n">
        <v>53858.73</v>
      </c>
      <c r="K31" s="7" t="n">
        <v>53943.35</v>
      </c>
      <c r="L31" s="7" t="n">
        <v>53795.51</v>
      </c>
      <c r="M31" s="7" t="n">
        <v>58404.34</v>
      </c>
      <c r="N31" s="7" t="n">
        <v>55046.34</v>
      </c>
      <c r="O31" s="7" t="n">
        <v>52636.2</v>
      </c>
      <c r="P31" s="7" t="n">
        <v>57424.19</v>
      </c>
      <c r="Q31" s="7" t="n">
        <v>54297.34</v>
      </c>
      <c r="R31" s="7" t="n">
        <v>54332.89</v>
      </c>
      <c r="S31" s="8">
        <f>SUM(G31:R31)</f>
        <v/>
      </c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>
        <f>SUM(T31:AE31)</f>
        <v/>
      </c>
      <c r="AG31" s="7">
        <f>S31-AF31</f>
        <v/>
      </c>
      <c r="AH31" s="5">
        <f>IF(S31=0,0,AG31/S31)</f>
        <v/>
      </c>
    </row>
    <row r="32">
      <c r="A32" s="2" t="inlineStr">
        <is>
          <t>CC-2000</t>
        </is>
      </c>
      <c r="B32" s="2" t="inlineStr">
        <is>
          <t>Manejo de Materiales</t>
        </is>
      </c>
      <c r="C32" s="2" t="inlineStr">
        <is>
          <t>SEC</t>
        </is>
      </c>
      <c r="D32" s="2" t="n">
        <v>630000</v>
      </c>
      <c r="E32" s="2" t="inlineStr">
        <is>
          <t>Servicios externos</t>
        </is>
      </c>
      <c r="F32" s="2" t="inlineStr">
        <is>
          <t>mantenci_electrica</t>
        </is>
      </c>
      <c r="G32" s="7" t="n">
        <v>37291.27</v>
      </c>
      <c r="H32" s="7" t="n">
        <v>37370.15</v>
      </c>
      <c r="I32" s="7" t="n">
        <v>37749.14</v>
      </c>
      <c r="J32" s="7" t="n">
        <v>39767.21</v>
      </c>
      <c r="K32" s="7" t="n">
        <v>39479.3</v>
      </c>
      <c r="L32" s="7" t="n">
        <v>35774.95</v>
      </c>
      <c r="M32" s="7" t="n">
        <v>37112.06</v>
      </c>
      <c r="N32" s="7" t="n">
        <v>36401.38</v>
      </c>
      <c r="O32" s="7" t="n">
        <v>34818.75</v>
      </c>
      <c r="P32" s="7" t="n">
        <v>41167.82</v>
      </c>
      <c r="Q32" s="7" t="n">
        <v>36132.98</v>
      </c>
      <c r="R32" s="7" t="n">
        <v>39033.64</v>
      </c>
      <c r="S32" s="8">
        <f>SUM(G32:R32)</f>
        <v/>
      </c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>
        <f>SUM(T32:AE32)</f>
        <v/>
      </c>
      <c r="AG32" s="7">
        <f>S32-AF32</f>
        <v/>
      </c>
      <c r="AH32" s="5">
        <f>IF(S32=0,0,AG32/S32)</f>
        <v/>
      </c>
    </row>
    <row r="33">
      <c r="A33" s="2" t="inlineStr">
        <is>
          <t>CC-2000</t>
        </is>
      </c>
      <c r="B33" s="2" t="inlineStr">
        <is>
          <t>Manejo de Materiales</t>
        </is>
      </c>
      <c r="C33" s="2" t="inlineStr">
        <is>
          <t>SEC</t>
        </is>
      </c>
      <c r="D33" s="2" t="n">
        <v>630000</v>
      </c>
      <c r="E33" s="2" t="inlineStr">
        <is>
          <t>Servicios externos</t>
        </is>
      </c>
      <c r="F33" s="2" t="inlineStr">
        <is>
          <t>servicios_operacion</t>
        </is>
      </c>
      <c r="G33" s="7" t="n">
        <v>40003.75</v>
      </c>
      <c r="H33" s="7" t="n">
        <v>36028.75</v>
      </c>
      <c r="I33" s="7" t="n">
        <v>40595.08</v>
      </c>
      <c r="J33" s="7" t="n">
        <v>41172.24</v>
      </c>
      <c r="K33" s="7" t="n">
        <v>35877.54</v>
      </c>
      <c r="L33" s="7" t="n">
        <v>36975.51</v>
      </c>
      <c r="M33" s="7" t="n">
        <v>38934.44</v>
      </c>
      <c r="N33" s="7" t="n">
        <v>39376.04</v>
      </c>
      <c r="O33" s="7" t="n">
        <v>35290.29</v>
      </c>
      <c r="P33" s="7" t="n">
        <v>43037.55</v>
      </c>
      <c r="Q33" s="7" t="n">
        <v>37388.3</v>
      </c>
      <c r="R33" s="7" t="n">
        <v>38582.14</v>
      </c>
      <c r="S33" s="8">
        <f>SUM(G33:R33)</f>
        <v/>
      </c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>
        <f>SUM(T33:AE33)</f>
        <v/>
      </c>
      <c r="AG33" s="7">
        <f>S33-AF33</f>
        <v/>
      </c>
      <c r="AH33" s="5">
        <f>IF(S33=0,0,AG33/S33)</f>
        <v/>
      </c>
    </row>
    <row r="34">
      <c r="A34" s="2" t="inlineStr">
        <is>
          <t>CC-2000</t>
        </is>
      </c>
      <c r="B34" s="2" t="inlineStr">
        <is>
          <t>Manejo de Materiales</t>
        </is>
      </c>
      <c r="C34" s="2" t="inlineStr">
        <is>
          <t>SEC</t>
        </is>
      </c>
      <c r="D34" s="2" t="n">
        <v>630000</v>
      </c>
      <c r="E34" s="2" t="inlineStr">
        <is>
          <t>Servicios externos</t>
        </is>
      </c>
      <c r="F34" s="2" t="inlineStr">
        <is>
          <t>asesoria_consultoria</t>
        </is>
      </c>
      <c r="G34" s="7" t="n">
        <v>50393.31</v>
      </c>
      <c r="H34" s="7" t="n">
        <v>49799.85</v>
      </c>
      <c r="I34" s="7" t="n">
        <v>51478.51</v>
      </c>
      <c r="J34" s="7" t="n">
        <v>51699.64</v>
      </c>
      <c r="K34" s="7" t="n">
        <v>46264.23</v>
      </c>
      <c r="L34" s="7" t="n">
        <v>43880.54</v>
      </c>
      <c r="M34" s="7" t="n">
        <v>48318.89</v>
      </c>
      <c r="N34" s="7" t="n">
        <v>45435.32</v>
      </c>
      <c r="O34" s="7" t="n">
        <v>45712.07</v>
      </c>
      <c r="P34" s="7" t="n">
        <v>50252.57</v>
      </c>
      <c r="Q34" s="7" t="n">
        <v>46307.61</v>
      </c>
      <c r="R34" s="7" t="n">
        <v>49724.13</v>
      </c>
      <c r="S34" s="8">
        <f>SUM(G34:R34)</f>
        <v/>
      </c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>
        <f>SUM(T34:AE34)</f>
        <v/>
      </c>
      <c r="AG34" s="7">
        <f>S34-AF34</f>
        <v/>
      </c>
      <c r="AH34" s="5">
        <f>IF(S34=0,0,AG34/S34)</f>
        <v/>
      </c>
    </row>
    <row r="35">
      <c r="A35" s="2" t="inlineStr">
        <is>
          <t>CC-2000</t>
        </is>
      </c>
      <c r="B35" s="2" t="inlineStr">
        <is>
          <t>Manejo de Materiales</t>
        </is>
      </c>
      <c r="C35" s="2" t="inlineStr">
        <is>
          <t>SEC</t>
        </is>
      </c>
      <c r="D35" s="2" t="n">
        <v>640000</v>
      </c>
      <c r="E35" s="2" t="inlineStr">
        <is>
          <t>Energia electrica</t>
        </is>
      </c>
      <c r="F35" s="2" t="inlineStr">
        <is>
          <t>consumo_energia_planta</t>
        </is>
      </c>
      <c r="G35" s="7" t="n">
        <v>27398.95</v>
      </c>
      <c r="H35" s="7" t="n">
        <v>25555.63</v>
      </c>
      <c r="I35" s="7" t="n">
        <v>26641.62</v>
      </c>
      <c r="J35" s="7" t="n">
        <v>25700.03</v>
      </c>
      <c r="K35" s="7" t="n">
        <v>26888.9</v>
      </c>
      <c r="L35" s="7" t="n">
        <v>24705.46</v>
      </c>
      <c r="M35" s="7" t="n">
        <v>26832.05</v>
      </c>
      <c r="N35" s="7" t="n">
        <v>25566.45</v>
      </c>
      <c r="O35" s="7" t="n">
        <v>25269.6</v>
      </c>
      <c r="P35" s="7" t="n">
        <v>26931.61</v>
      </c>
      <c r="Q35" s="7" t="n">
        <v>25758.41</v>
      </c>
      <c r="R35" s="7" t="n">
        <v>27586.13</v>
      </c>
      <c r="S35" s="8">
        <f>SUM(G35:R35)</f>
        <v/>
      </c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>
        <f>SUM(T35:AE35)</f>
        <v/>
      </c>
      <c r="AG35" s="7">
        <f>S35-AF35</f>
        <v/>
      </c>
      <c r="AH35" s="5">
        <f>IF(S35=0,0,AG35/S35)</f>
        <v/>
      </c>
    </row>
    <row r="36">
      <c r="A36" s="2" t="inlineStr">
        <is>
          <t>CC-2000</t>
        </is>
      </c>
      <c r="B36" s="2" t="inlineStr">
        <is>
          <t>Manejo de Materiales</t>
        </is>
      </c>
      <c r="C36" s="2" t="inlineStr">
        <is>
          <t>SEC</t>
        </is>
      </c>
      <c r="D36" s="2" t="n">
        <v>640000</v>
      </c>
      <c r="E36" s="2" t="inlineStr">
        <is>
          <t>Energia electrica</t>
        </is>
      </c>
      <c r="F36" s="2" t="inlineStr">
        <is>
          <t>consumo_energia_mina</t>
        </is>
      </c>
      <c r="G36" s="7" t="n">
        <v>78074.38</v>
      </c>
      <c r="H36" s="7" t="n">
        <v>75640.11</v>
      </c>
      <c r="I36" s="7" t="n">
        <v>77652.87</v>
      </c>
      <c r="J36" s="7" t="n">
        <v>77234.61</v>
      </c>
      <c r="K36" s="7" t="n">
        <v>70392.52</v>
      </c>
      <c r="L36" s="7" t="n">
        <v>69595.31</v>
      </c>
      <c r="M36" s="7" t="n">
        <v>77070.36</v>
      </c>
      <c r="N36" s="7" t="n">
        <v>78988.87</v>
      </c>
      <c r="O36" s="7" t="n">
        <v>70200.53999999999</v>
      </c>
      <c r="P36" s="7" t="n">
        <v>83112.61</v>
      </c>
      <c r="Q36" s="7" t="n">
        <v>74240.99000000001</v>
      </c>
      <c r="R36" s="7" t="n">
        <v>80714.72</v>
      </c>
      <c r="S36" s="8">
        <f>SUM(G36:R36)</f>
        <v/>
      </c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>
        <f>SUM(T36:AE36)</f>
        <v/>
      </c>
      <c r="AG36" s="7">
        <f>S36-AF36</f>
        <v/>
      </c>
      <c r="AH36" s="5">
        <f>IF(S36=0,0,AG36/S36)</f>
        <v/>
      </c>
    </row>
    <row r="37">
      <c r="A37" s="2" t="inlineStr">
        <is>
          <t>CC-2000</t>
        </is>
      </c>
      <c r="B37" s="2" t="inlineStr">
        <is>
          <t>Manejo de Materiales</t>
        </is>
      </c>
      <c r="C37" s="2" t="inlineStr">
        <is>
          <t>SEC</t>
        </is>
      </c>
      <c r="D37" s="2" t="n">
        <v>640000</v>
      </c>
      <c r="E37" s="2" t="inlineStr">
        <is>
          <t>Energia electrica</t>
        </is>
      </c>
      <c r="F37" s="2" t="inlineStr">
        <is>
          <t>consumo_energia_servicios</t>
        </is>
      </c>
      <c r="G37" s="7" t="n">
        <v>50078.74</v>
      </c>
      <c r="H37" s="7" t="n">
        <v>47376.24</v>
      </c>
      <c r="I37" s="7" t="n">
        <v>46620.82</v>
      </c>
      <c r="J37" s="7" t="n">
        <v>47625.33</v>
      </c>
      <c r="K37" s="7" t="n">
        <v>45486.1</v>
      </c>
      <c r="L37" s="7" t="n">
        <v>47219.92</v>
      </c>
      <c r="M37" s="7" t="n">
        <v>47094.17</v>
      </c>
      <c r="N37" s="7" t="n">
        <v>47544.05</v>
      </c>
      <c r="O37" s="7" t="n">
        <v>46563.98</v>
      </c>
      <c r="P37" s="7" t="n">
        <v>53158.94</v>
      </c>
      <c r="Q37" s="7" t="n">
        <v>47460.94</v>
      </c>
      <c r="R37" s="7" t="n">
        <v>46018.01</v>
      </c>
      <c r="S37" s="8">
        <f>SUM(G37:R37)</f>
        <v/>
      </c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>
        <f>SUM(T37:AE37)</f>
        <v/>
      </c>
      <c r="AG37" s="7">
        <f>S37-AF37</f>
        <v/>
      </c>
      <c r="AH37" s="5">
        <f>IF(S37=0,0,AG37/S37)</f>
        <v/>
      </c>
    </row>
    <row r="38">
      <c r="A38" s="2" t="inlineStr">
        <is>
          <t>CC-2000</t>
        </is>
      </c>
      <c r="B38" s="2" t="inlineStr">
        <is>
          <t>Manejo de Materiales</t>
        </is>
      </c>
      <c r="C38" s="2" t="inlineStr">
        <is>
          <t>SEC</t>
        </is>
      </c>
      <c r="D38" s="2" t="n">
        <v>650000</v>
      </c>
      <c r="E38" s="2" t="inlineStr">
        <is>
          <t>Distribuibles</t>
        </is>
      </c>
      <c r="F38" s="2" t="inlineStr">
        <is>
          <t>campamento</t>
        </is>
      </c>
      <c r="G38" s="7" t="n">
        <v>16004.99</v>
      </c>
      <c r="H38" s="7" t="n">
        <v>14462.1</v>
      </c>
      <c r="I38" s="7" t="n">
        <v>14924.89</v>
      </c>
      <c r="J38" s="7" t="n">
        <v>14585.26</v>
      </c>
      <c r="K38" s="7" t="n">
        <v>14654.93</v>
      </c>
      <c r="L38" s="7" t="n">
        <v>14749.69</v>
      </c>
      <c r="M38" s="7" t="n">
        <v>15602.24</v>
      </c>
      <c r="N38" s="7" t="n">
        <v>15628.15</v>
      </c>
      <c r="O38" s="7" t="n">
        <v>13830.15</v>
      </c>
      <c r="P38" s="7" t="n">
        <v>16163.82</v>
      </c>
      <c r="Q38" s="7" t="n">
        <v>14468.89</v>
      </c>
      <c r="R38" s="7" t="n">
        <v>14959.82</v>
      </c>
      <c r="S38" s="8">
        <f>SUM(G38:R38)</f>
        <v/>
      </c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>
        <f>SUM(T38:AE38)</f>
        <v/>
      </c>
      <c r="AG38" s="7">
        <f>S38-AF38</f>
        <v/>
      </c>
      <c r="AH38" s="5">
        <f>IF(S38=0,0,AG38/S38)</f>
        <v/>
      </c>
    </row>
    <row r="39">
      <c r="A39" s="2" t="inlineStr">
        <is>
          <t>CC-2000</t>
        </is>
      </c>
      <c r="B39" s="2" t="inlineStr">
        <is>
          <t>Manejo de Materiales</t>
        </is>
      </c>
      <c r="C39" s="2" t="inlineStr">
        <is>
          <t>SEC</t>
        </is>
      </c>
      <c r="D39" s="2" t="n">
        <v>650000</v>
      </c>
      <c r="E39" s="2" t="inlineStr">
        <is>
          <t>Distribuibles</t>
        </is>
      </c>
      <c r="F39" s="2" t="inlineStr">
        <is>
          <t>agua_mar</t>
        </is>
      </c>
      <c r="G39" s="7" t="n">
        <v>48371.72</v>
      </c>
      <c r="H39" s="7" t="n">
        <v>46159.35</v>
      </c>
      <c r="I39" s="7" t="n">
        <v>50624.22</v>
      </c>
      <c r="J39" s="7" t="n">
        <v>48634.32</v>
      </c>
      <c r="K39" s="7" t="n">
        <v>51206.55</v>
      </c>
      <c r="L39" s="7" t="n">
        <v>48759.78</v>
      </c>
      <c r="M39" s="7" t="n">
        <v>50172.77</v>
      </c>
      <c r="N39" s="7" t="n">
        <v>46727.03</v>
      </c>
      <c r="O39" s="7" t="n">
        <v>46704.74</v>
      </c>
      <c r="P39" s="7" t="n">
        <v>54100.15</v>
      </c>
      <c r="Q39" s="7" t="n">
        <v>47519.13</v>
      </c>
      <c r="R39" s="7" t="n">
        <v>51131.61</v>
      </c>
      <c r="S39" s="8">
        <f>SUM(G39:R39)</f>
        <v/>
      </c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>
        <f>SUM(T39:AE39)</f>
        <v/>
      </c>
      <c r="AG39" s="7">
        <f>S39-AF39</f>
        <v/>
      </c>
      <c r="AH39" s="5">
        <f>IF(S39=0,0,AG39/S39)</f>
        <v/>
      </c>
    </row>
    <row r="40">
      <c r="A40" s="2" t="inlineStr">
        <is>
          <t>CC-2000</t>
        </is>
      </c>
      <c r="B40" s="2" t="inlineStr">
        <is>
          <t>Manejo de Materiales</t>
        </is>
      </c>
      <c r="C40" s="2" t="inlineStr">
        <is>
          <t>SEC</t>
        </is>
      </c>
      <c r="D40" s="2" t="n">
        <v>650000</v>
      </c>
      <c r="E40" s="2" t="inlineStr">
        <is>
          <t>Distribuibles</t>
        </is>
      </c>
      <c r="F40" s="2" t="inlineStr">
        <is>
          <t>agua_fresca</t>
        </is>
      </c>
      <c r="G40" s="7" t="n">
        <v>28647.56</v>
      </c>
      <c r="H40" s="7" t="n">
        <v>27319.89</v>
      </c>
      <c r="I40" s="7" t="n">
        <v>27669.82</v>
      </c>
      <c r="J40" s="7" t="n">
        <v>26715.63</v>
      </c>
      <c r="K40" s="7" t="n">
        <v>26557.8</v>
      </c>
      <c r="L40" s="7" t="n">
        <v>27101.56</v>
      </c>
      <c r="M40" s="7" t="n">
        <v>27952.76</v>
      </c>
      <c r="N40" s="7" t="n">
        <v>25360.86</v>
      </c>
      <c r="O40" s="7" t="n">
        <v>25897.52</v>
      </c>
      <c r="P40" s="7" t="n">
        <v>27869.99</v>
      </c>
      <c r="Q40" s="7" t="n">
        <v>26269.9</v>
      </c>
      <c r="R40" s="7" t="n">
        <v>28310.82</v>
      </c>
      <c r="S40" s="8">
        <f>SUM(G40:R40)</f>
        <v/>
      </c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>
        <f>SUM(T40:AE40)</f>
        <v/>
      </c>
      <c r="AG40" s="7">
        <f>S40-AF40</f>
        <v/>
      </c>
      <c r="AH40" s="5">
        <f>IF(S40=0,0,AG40/S40)</f>
        <v/>
      </c>
    </row>
    <row r="41">
      <c r="A41" s="2" t="inlineStr">
        <is>
          <t>CC-2000</t>
        </is>
      </c>
      <c r="B41" s="2" t="inlineStr">
        <is>
          <t>Manejo de Materiales</t>
        </is>
      </c>
      <c r="C41" s="2" t="inlineStr">
        <is>
          <t>SEC</t>
        </is>
      </c>
      <c r="D41" s="2" t="n">
        <v>650000</v>
      </c>
      <c r="E41" s="2" t="inlineStr">
        <is>
          <t>Distribuibles</t>
        </is>
      </c>
      <c r="F41" s="2" t="inlineStr">
        <is>
          <t>transporte_personal</t>
        </is>
      </c>
      <c r="G41" s="7" t="n">
        <v>8943.9</v>
      </c>
      <c r="H41" s="7" t="n">
        <v>8466.790000000001</v>
      </c>
      <c r="I41" s="7" t="n">
        <v>8780.059999999999</v>
      </c>
      <c r="J41" s="7" t="n">
        <v>8681.139999999999</v>
      </c>
      <c r="K41" s="7" t="n">
        <v>8955.860000000001</v>
      </c>
      <c r="L41" s="7" t="n">
        <v>8639.559999999999</v>
      </c>
      <c r="M41" s="7" t="n">
        <v>9038.889999999999</v>
      </c>
      <c r="N41" s="7" t="n">
        <v>8464.209999999999</v>
      </c>
      <c r="O41" s="7" t="n">
        <v>8386.530000000001</v>
      </c>
      <c r="P41" s="7" t="n">
        <v>8857.860000000001</v>
      </c>
      <c r="Q41" s="7" t="n">
        <v>8122.96</v>
      </c>
      <c r="R41" s="7" t="n">
        <v>8841.799999999999</v>
      </c>
      <c r="S41" s="8">
        <f>SUM(G41:R41)</f>
        <v/>
      </c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>
        <f>SUM(T41:AE41)</f>
        <v/>
      </c>
      <c r="AG41" s="7">
        <f>S41-AF41</f>
        <v/>
      </c>
      <c r="AH41" s="5">
        <f>IF(S41=0,0,AG41/S41)</f>
        <v/>
      </c>
    </row>
    <row r="42">
      <c r="A42" s="2" t="inlineStr">
        <is>
          <t>CC-2000</t>
        </is>
      </c>
      <c r="B42" s="2" t="inlineStr">
        <is>
          <t>Manejo de Materiales</t>
        </is>
      </c>
      <c r="C42" s="2" t="inlineStr">
        <is>
          <t>SEC</t>
        </is>
      </c>
      <c r="D42" s="2" t="n">
        <v>660000</v>
      </c>
      <c r="E42" s="2" t="inlineStr">
        <is>
          <t>Depreciacion</t>
        </is>
      </c>
      <c r="F42" s="2" t="inlineStr">
        <is>
          <t>depreciacion_equipos</t>
        </is>
      </c>
      <c r="G42" s="7" t="n">
        <v>26728.85</v>
      </c>
      <c r="H42" s="7" t="n">
        <v>24844.87</v>
      </c>
      <c r="I42" s="7" t="n">
        <v>27400.82</v>
      </c>
      <c r="J42" s="7" t="n">
        <v>26738.2</v>
      </c>
      <c r="K42" s="7" t="n">
        <v>26749.14</v>
      </c>
      <c r="L42" s="7" t="n">
        <v>26926.59</v>
      </c>
      <c r="M42" s="7" t="n">
        <v>26176.85</v>
      </c>
      <c r="N42" s="7" t="n">
        <v>28359.05</v>
      </c>
      <c r="O42" s="7" t="n">
        <v>23692.76</v>
      </c>
      <c r="P42" s="7" t="n">
        <v>27455.93</v>
      </c>
      <c r="Q42" s="7" t="n">
        <v>26589.75</v>
      </c>
      <c r="R42" s="7" t="n">
        <v>27991.1</v>
      </c>
      <c r="S42" s="8">
        <f>SUM(G42:R42)</f>
        <v/>
      </c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>
        <f>SUM(T42:AE42)</f>
        <v/>
      </c>
      <c r="AG42" s="7">
        <f>S42-AF42</f>
        <v/>
      </c>
      <c r="AH42" s="5">
        <f>IF(S42=0,0,AG42/S42)</f>
        <v/>
      </c>
    </row>
    <row r="43">
      <c r="A43" s="2" t="inlineStr">
        <is>
          <t>CC-2000</t>
        </is>
      </c>
      <c r="B43" s="2" t="inlineStr">
        <is>
          <t>Manejo de Materiales</t>
        </is>
      </c>
      <c r="C43" s="2" t="inlineStr">
        <is>
          <t>SEC</t>
        </is>
      </c>
      <c r="D43" s="2" t="n">
        <v>660000</v>
      </c>
      <c r="E43" s="2" t="inlineStr">
        <is>
          <t>Depreciacion</t>
        </is>
      </c>
      <c r="F43" s="2" t="inlineStr">
        <is>
          <t>depreciacion_infraestructura</t>
        </is>
      </c>
      <c r="G43" s="7" t="n">
        <v>42617.55</v>
      </c>
      <c r="H43" s="7" t="n">
        <v>40433.8</v>
      </c>
      <c r="I43" s="7" t="n">
        <v>45004.26</v>
      </c>
      <c r="J43" s="7" t="n">
        <v>45424.05</v>
      </c>
      <c r="K43" s="7" t="n">
        <v>44153.01</v>
      </c>
      <c r="L43" s="7" t="n">
        <v>40936.13</v>
      </c>
      <c r="M43" s="7" t="n">
        <v>43371.06</v>
      </c>
      <c r="N43" s="7" t="n">
        <v>43734.05</v>
      </c>
      <c r="O43" s="7" t="n">
        <v>40631.41</v>
      </c>
      <c r="P43" s="7" t="n">
        <v>48132.43</v>
      </c>
      <c r="Q43" s="7" t="n">
        <v>42311.17</v>
      </c>
      <c r="R43" s="7" t="n">
        <v>43597.19</v>
      </c>
      <c r="S43" s="8">
        <f>SUM(G43:R43)</f>
        <v/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>
        <f>SUM(T43:AE43)</f>
        <v/>
      </c>
      <c r="AG43" s="7">
        <f>S43-AF43</f>
        <v/>
      </c>
      <c r="AH43" s="5">
        <f>IF(S43=0,0,AG43/S43)</f>
        <v/>
      </c>
    </row>
    <row r="44">
      <c r="A44" s="2" t="inlineStr">
        <is>
          <t>CC-3000</t>
        </is>
      </c>
      <c r="B44" s="2" t="inlineStr">
        <is>
          <t>Planta de Procesos</t>
        </is>
      </c>
      <c r="C44" s="2" t="inlineStr">
        <is>
          <t>HUM</t>
        </is>
      </c>
      <c r="D44" s="2" t="n">
        <v>610000</v>
      </c>
      <c r="E44" s="2" t="inlineStr">
        <is>
          <t>Mano obra interna</t>
        </is>
      </c>
      <c r="F44" s="2" t="inlineStr">
        <is>
          <t>sueldos_base</t>
        </is>
      </c>
      <c r="G44" s="7" t="n">
        <v>886210.4300000001</v>
      </c>
      <c r="H44" s="7" t="n">
        <v>858381.29</v>
      </c>
      <c r="I44" s="7" t="n">
        <v>920571.5</v>
      </c>
      <c r="J44" s="7" t="n">
        <v>857779.04</v>
      </c>
      <c r="K44" s="7" t="n">
        <v>853081.86</v>
      </c>
      <c r="L44" s="7" t="n">
        <v>825890.1899999999</v>
      </c>
      <c r="M44" s="7" t="n">
        <v>904430.95</v>
      </c>
      <c r="N44" s="7" t="n">
        <v>817548.74</v>
      </c>
      <c r="O44" s="7" t="n">
        <v>821601.34</v>
      </c>
      <c r="P44" s="7" t="n">
        <v>931472.67</v>
      </c>
      <c r="Q44" s="7" t="n">
        <v>863021.3199999999</v>
      </c>
      <c r="R44" s="7" t="n">
        <v>903328.91</v>
      </c>
      <c r="S44" s="8">
        <f>SUM(G44:R44)</f>
        <v/>
      </c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>
        <f>SUM(T44:AE44)</f>
        <v/>
      </c>
      <c r="AG44" s="7">
        <f>S44-AF44</f>
        <v/>
      </c>
      <c r="AH44" s="5">
        <f>IF(S44=0,0,AG44/S44)</f>
        <v/>
      </c>
    </row>
    <row r="45">
      <c r="A45" s="2" t="inlineStr">
        <is>
          <t>CC-3000</t>
        </is>
      </c>
      <c r="B45" s="2" t="inlineStr">
        <is>
          <t>Planta de Procesos</t>
        </is>
      </c>
      <c r="C45" s="2" t="inlineStr">
        <is>
          <t>HUM</t>
        </is>
      </c>
      <c r="D45" s="2" t="n">
        <v>610000</v>
      </c>
      <c r="E45" s="2" t="inlineStr">
        <is>
          <t>Mano obra interna</t>
        </is>
      </c>
      <c r="F45" s="2" t="inlineStr">
        <is>
          <t>bonos</t>
        </is>
      </c>
      <c r="G45" s="7" t="n">
        <v>115016.89</v>
      </c>
      <c r="H45" s="7" t="n">
        <v>114419.29</v>
      </c>
      <c r="I45" s="7" t="n">
        <v>118733.95</v>
      </c>
      <c r="J45" s="7" t="n">
        <v>121752.32</v>
      </c>
      <c r="K45" s="7" t="n">
        <v>124198.35</v>
      </c>
      <c r="L45" s="7" t="n">
        <v>107622.07</v>
      </c>
      <c r="M45" s="7" t="n">
        <v>119560.56</v>
      </c>
      <c r="N45" s="7" t="n">
        <v>125108.6</v>
      </c>
      <c r="O45" s="7" t="n">
        <v>117101.45</v>
      </c>
      <c r="P45" s="7" t="n">
        <v>131497.86</v>
      </c>
      <c r="Q45" s="7" t="n">
        <v>120438.44</v>
      </c>
      <c r="R45" s="7" t="n">
        <v>118888.86</v>
      </c>
      <c r="S45" s="8">
        <f>SUM(G45:R45)</f>
        <v/>
      </c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>
        <f>SUM(T45:AE45)</f>
        <v/>
      </c>
      <c r="AG45" s="7">
        <f>S45-AF45</f>
        <v/>
      </c>
      <c r="AH45" s="5">
        <f>IF(S45=0,0,AG45/S45)</f>
        <v/>
      </c>
    </row>
    <row r="46">
      <c r="A46" s="2" t="inlineStr">
        <is>
          <t>CC-3000</t>
        </is>
      </c>
      <c r="B46" s="2" t="inlineStr">
        <is>
          <t>Planta de Procesos</t>
        </is>
      </c>
      <c r="C46" s="2" t="inlineStr">
        <is>
          <t>HUM</t>
        </is>
      </c>
      <c r="D46" s="2" t="n">
        <v>610000</v>
      </c>
      <c r="E46" s="2" t="inlineStr">
        <is>
          <t>Mano obra interna</t>
        </is>
      </c>
      <c r="F46" s="2" t="inlineStr">
        <is>
          <t>seguros_beneficios</t>
        </is>
      </c>
      <c r="G46" s="7" t="n">
        <v>687776.1899999999</v>
      </c>
      <c r="H46" s="7" t="n">
        <v>644175.08</v>
      </c>
      <c r="I46" s="7" t="n">
        <v>713647.01</v>
      </c>
      <c r="J46" s="7" t="n">
        <v>702991.01</v>
      </c>
      <c r="K46" s="7" t="n">
        <v>673821.83</v>
      </c>
      <c r="L46" s="7" t="n">
        <v>630438.51</v>
      </c>
      <c r="M46" s="7" t="n">
        <v>669454.61</v>
      </c>
      <c r="N46" s="7" t="n">
        <v>666405.89</v>
      </c>
      <c r="O46" s="7" t="n">
        <v>677988.1800000001</v>
      </c>
      <c r="P46" s="7" t="n">
        <v>787465.53</v>
      </c>
      <c r="Q46" s="7" t="n">
        <v>629519.48</v>
      </c>
      <c r="R46" s="7" t="n">
        <v>674016.26</v>
      </c>
      <c r="S46" s="8">
        <f>SUM(G46:R46)</f>
        <v/>
      </c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>
        <f>SUM(T46:AE46)</f>
        <v/>
      </c>
      <c r="AG46" s="7">
        <f>S46-AF46</f>
        <v/>
      </c>
      <c r="AH46" s="5">
        <f>IF(S46=0,0,AG46/S46)</f>
        <v/>
      </c>
    </row>
    <row r="47">
      <c r="A47" s="2" t="inlineStr">
        <is>
          <t>CC-3000</t>
        </is>
      </c>
      <c r="B47" s="2" t="inlineStr">
        <is>
          <t>Planta de Procesos</t>
        </is>
      </c>
      <c r="C47" s="2" t="inlineStr">
        <is>
          <t>HUM</t>
        </is>
      </c>
      <c r="D47" s="2" t="n">
        <v>610000</v>
      </c>
      <c r="E47" s="2" t="inlineStr">
        <is>
          <t>Mano obra interna</t>
        </is>
      </c>
      <c r="F47" s="2" t="inlineStr">
        <is>
          <t>provisiones</t>
        </is>
      </c>
      <c r="G47" s="7" t="n">
        <v>1140871.02</v>
      </c>
      <c r="H47" s="7" t="n">
        <v>993334.33</v>
      </c>
      <c r="I47" s="7" t="n">
        <v>1160163.3</v>
      </c>
      <c r="J47" s="7" t="n">
        <v>1075592.3</v>
      </c>
      <c r="K47" s="7" t="n">
        <v>1061620.71</v>
      </c>
      <c r="L47" s="7" t="n">
        <v>1053169.31</v>
      </c>
      <c r="M47" s="7" t="n">
        <v>1035414.34</v>
      </c>
      <c r="N47" s="7" t="n">
        <v>1015834.18</v>
      </c>
      <c r="O47" s="7" t="n">
        <v>1030921.51</v>
      </c>
      <c r="P47" s="7" t="n">
        <v>1218464.91</v>
      </c>
      <c r="Q47" s="7" t="n">
        <v>1053354.21</v>
      </c>
      <c r="R47" s="7" t="n">
        <v>1125903.42</v>
      </c>
      <c r="S47" s="8">
        <f>SUM(G47:R47)</f>
        <v/>
      </c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>
        <f>SUM(T47:AE47)</f>
        <v/>
      </c>
      <c r="AG47" s="7">
        <f>S47-AF47</f>
        <v/>
      </c>
      <c r="AH47" s="5">
        <f>IF(S47=0,0,AG47/S47)</f>
        <v/>
      </c>
    </row>
    <row r="48">
      <c r="A48" s="2" t="inlineStr">
        <is>
          <t>CC-3000</t>
        </is>
      </c>
      <c r="B48" s="2" t="inlineStr">
        <is>
          <t>Planta de Procesos</t>
        </is>
      </c>
      <c r="C48" s="2" t="inlineStr">
        <is>
          <t>HUM</t>
        </is>
      </c>
      <c r="D48" s="2" t="n">
        <v>620000</v>
      </c>
      <c r="E48" s="2" t="inlineStr">
        <is>
          <t>Materiales</t>
        </is>
      </c>
      <c r="F48" s="2" t="inlineStr">
        <is>
          <t>repuestos_mecanicos</t>
        </is>
      </c>
      <c r="G48" s="7" t="n">
        <v>311650.68</v>
      </c>
      <c r="H48" s="7" t="n">
        <v>297297.26</v>
      </c>
      <c r="I48" s="7" t="n">
        <v>314304.38</v>
      </c>
      <c r="J48" s="7" t="n">
        <v>311696.42</v>
      </c>
      <c r="K48" s="7" t="n">
        <v>304460.96</v>
      </c>
      <c r="L48" s="7" t="n">
        <v>268733.57</v>
      </c>
      <c r="M48" s="7" t="n">
        <v>306222.03</v>
      </c>
      <c r="N48" s="7" t="n">
        <v>292722.83</v>
      </c>
      <c r="O48" s="7" t="n">
        <v>260986.44</v>
      </c>
      <c r="P48" s="7" t="n">
        <v>320857.04</v>
      </c>
      <c r="Q48" s="7" t="n">
        <v>276867.1</v>
      </c>
      <c r="R48" s="7" t="n">
        <v>280269.35</v>
      </c>
      <c r="S48" s="8">
        <f>SUM(G48:R48)</f>
        <v/>
      </c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>
        <f>SUM(T48:AE48)</f>
        <v/>
      </c>
      <c r="AG48" s="7">
        <f>S48-AF48</f>
        <v/>
      </c>
      <c r="AH48" s="5">
        <f>IF(S48=0,0,AG48/S48)</f>
        <v/>
      </c>
    </row>
    <row r="49">
      <c r="A49" s="2" t="inlineStr">
        <is>
          <t>CC-3000</t>
        </is>
      </c>
      <c r="B49" s="2" t="inlineStr">
        <is>
          <t>Planta de Procesos</t>
        </is>
      </c>
      <c r="C49" s="2" t="inlineStr">
        <is>
          <t>HUM</t>
        </is>
      </c>
      <c r="D49" s="2" t="n">
        <v>620000</v>
      </c>
      <c r="E49" s="2" t="inlineStr">
        <is>
          <t>Materiales</t>
        </is>
      </c>
      <c r="F49" s="2" t="inlineStr">
        <is>
          <t>GET</t>
        </is>
      </c>
      <c r="G49" s="7" t="n">
        <v>434300.35</v>
      </c>
      <c r="H49" s="7" t="n">
        <v>437263.68</v>
      </c>
      <c r="I49" s="7" t="n">
        <v>480377.36</v>
      </c>
      <c r="J49" s="7" t="n">
        <v>447581.35</v>
      </c>
      <c r="K49" s="7" t="n">
        <v>457615.22</v>
      </c>
      <c r="L49" s="7" t="n">
        <v>405564.47</v>
      </c>
      <c r="M49" s="7" t="n">
        <v>442574.5</v>
      </c>
      <c r="N49" s="7" t="n">
        <v>427735.84</v>
      </c>
      <c r="O49" s="7" t="n">
        <v>435312.01</v>
      </c>
      <c r="P49" s="7" t="n">
        <v>510364.53</v>
      </c>
      <c r="Q49" s="7" t="n">
        <v>424700.84</v>
      </c>
      <c r="R49" s="7" t="n">
        <v>481418.12</v>
      </c>
      <c r="S49" s="8">
        <f>SUM(G49:R49)</f>
        <v/>
      </c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>
        <f>SUM(T49:AE49)</f>
        <v/>
      </c>
      <c r="AG49" s="7">
        <f>S49-AF49</f>
        <v/>
      </c>
      <c r="AH49" s="5">
        <f>IF(S49=0,0,AG49/S49)</f>
        <v/>
      </c>
    </row>
    <row r="50">
      <c r="A50" s="2" t="inlineStr">
        <is>
          <t>CC-3000</t>
        </is>
      </c>
      <c r="B50" s="2" t="inlineStr">
        <is>
          <t>Planta de Procesos</t>
        </is>
      </c>
      <c r="C50" s="2" t="inlineStr">
        <is>
          <t>HUM</t>
        </is>
      </c>
      <c r="D50" s="2" t="n">
        <v>620000</v>
      </c>
      <c r="E50" s="2" t="inlineStr">
        <is>
          <t>Materiales</t>
        </is>
      </c>
      <c r="F50" s="2" t="inlineStr">
        <is>
          <t>consumibles_operacion</t>
        </is>
      </c>
      <c r="G50" s="7" t="n">
        <v>503401.6</v>
      </c>
      <c r="H50" s="7" t="n">
        <v>443170.13</v>
      </c>
      <c r="I50" s="7" t="n">
        <v>492902.78</v>
      </c>
      <c r="J50" s="7" t="n">
        <v>508794.54</v>
      </c>
      <c r="K50" s="7" t="n">
        <v>475605.49</v>
      </c>
      <c r="L50" s="7" t="n">
        <v>460347.02</v>
      </c>
      <c r="M50" s="7" t="n">
        <v>475842.11</v>
      </c>
      <c r="N50" s="7" t="n">
        <v>472249.21</v>
      </c>
      <c r="O50" s="7" t="n">
        <v>420278.25</v>
      </c>
      <c r="P50" s="7" t="n">
        <v>523707.78</v>
      </c>
      <c r="Q50" s="7" t="n">
        <v>478175.49</v>
      </c>
      <c r="R50" s="7" t="n">
        <v>502651.29</v>
      </c>
      <c r="S50" s="8">
        <f>SUM(G50:R50)</f>
        <v/>
      </c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>
        <f>SUM(T50:AE50)</f>
        <v/>
      </c>
      <c r="AG50" s="7">
        <f>S50-AF50</f>
        <v/>
      </c>
      <c r="AH50" s="5">
        <f>IF(S50=0,0,AG50/S50)</f>
        <v/>
      </c>
    </row>
    <row r="51">
      <c r="A51" s="2" t="inlineStr">
        <is>
          <t>CC-3000</t>
        </is>
      </c>
      <c r="B51" s="2" t="inlineStr">
        <is>
          <t>Planta de Procesos</t>
        </is>
      </c>
      <c r="C51" s="2" t="inlineStr">
        <is>
          <t>HUM</t>
        </is>
      </c>
      <c r="D51" s="2" t="n">
        <v>620000</v>
      </c>
      <c r="E51" s="2" t="inlineStr">
        <is>
          <t>Materiales</t>
        </is>
      </c>
      <c r="F51" s="2" t="inlineStr">
        <is>
          <t>ropa_seguridad</t>
        </is>
      </c>
      <c r="G51" s="7" t="n">
        <v>634998.04</v>
      </c>
      <c r="H51" s="7" t="n">
        <v>592088.9300000001</v>
      </c>
      <c r="I51" s="7" t="n">
        <v>596037.37</v>
      </c>
      <c r="J51" s="7" t="n">
        <v>656124.75</v>
      </c>
      <c r="K51" s="7" t="n">
        <v>601361.75</v>
      </c>
      <c r="L51" s="7" t="n">
        <v>593054.8100000001</v>
      </c>
      <c r="M51" s="7" t="n">
        <v>590668.96</v>
      </c>
      <c r="N51" s="7" t="n">
        <v>586095.1800000001</v>
      </c>
      <c r="O51" s="7" t="n">
        <v>542215.46</v>
      </c>
      <c r="P51" s="7" t="n">
        <v>684625.0699999999</v>
      </c>
      <c r="Q51" s="7" t="n">
        <v>603719.99</v>
      </c>
      <c r="R51" s="7" t="n">
        <v>631007.65</v>
      </c>
      <c r="S51" s="8">
        <f>SUM(G51:R51)</f>
        <v/>
      </c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>
        <f>SUM(T51:AE51)</f>
        <v/>
      </c>
      <c r="AG51" s="7">
        <f>S51-AF51</f>
        <v/>
      </c>
      <c r="AH51" s="5">
        <f>IF(S51=0,0,AG51/S51)</f>
        <v/>
      </c>
    </row>
    <row r="52">
      <c r="A52" s="2" t="inlineStr">
        <is>
          <t>CC-3000</t>
        </is>
      </c>
      <c r="B52" s="2" t="inlineStr">
        <is>
          <t>Planta de Procesos</t>
        </is>
      </c>
      <c r="C52" s="2" t="inlineStr">
        <is>
          <t>HUM</t>
        </is>
      </c>
      <c r="D52" s="2" t="n">
        <v>630000</v>
      </c>
      <c r="E52" s="2" t="inlineStr">
        <is>
          <t>Servicios externos</t>
        </is>
      </c>
      <c r="F52" s="2" t="inlineStr">
        <is>
          <t>mantenci_mecanica</t>
        </is>
      </c>
      <c r="G52" s="7" t="n">
        <v>299217.78</v>
      </c>
      <c r="H52" s="7" t="n">
        <v>275207.42</v>
      </c>
      <c r="I52" s="7" t="n">
        <v>305267.34</v>
      </c>
      <c r="J52" s="7" t="n">
        <v>304729.14</v>
      </c>
      <c r="K52" s="7" t="n">
        <v>290457.58</v>
      </c>
      <c r="L52" s="7" t="n">
        <v>268612.64</v>
      </c>
      <c r="M52" s="7" t="n">
        <v>285463.49</v>
      </c>
      <c r="N52" s="7" t="n">
        <v>287568.7</v>
      </c>
      <c r="O52" s="7" t="n">
        <v>257396.89</v>
      </c>
      <c r="P52" s="7" t="n">
        <v>309666.72</v>
      </c>
      <c r="Q52" s="7" t="n">
        <v>268212.9</v>
      </c>
      <c r="R52" s="7" t="n">
        <v>293071.57</v>
      </c>
      <c r="S52" s="8">
        <f>SUM(G52:R52)</f>
        <v/>
      </c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>
        <f>SUM(T52:AE52)</f>
        <v/>
      </c>
      <c r="AG52" s="7">
        <f>S52-AF52</f>
        <v/>
      </c>
      <c r="AH52" s="5">
        <f>IF(S52=0,0,AG52/S52)</f>
        <v/>
      </c>
    </row>
    <row r="53">
      <c r="A53" s="2" t="inlineStr">
        <is>
          <t>CC-3000</t>
        </is>
      </c>
      <c r="B53" s="2" t="inlineStr">
        <is>
          <t>Planta de Procesos</t>
        </is>
      </c>
      <c r="C53" s="2" t="inlineStr">
        <is>
          <t>HUM</t>
        </is>
      </c>
      <c r="D53" s="2" t="n">
        <v>630000</v>
      </c>
      <c r="E53" s="2" t="inlineStr">
        <is>
          <t>Servicios externos</t>
        </is>
      </c>
      <c r="F53" s="2" t="inlineStr">
        <is>
          <t>mantenci_electrica</t>
        </is>
      </c>
      <c r="G53" s="7" t="n">
        <v>276515.54</v>
      </c>
      <c r="H53" s="7" t="n">
        <v>297142.89</v>
      </c>
      <c r="I53" s="7" t="n">
        <v>286370.28</v>
      </c>
      <c r="J53" s="7" t="n">
        <v>291454.87</v>
      </c>
      <c r="K53" s="7" t="n">
        <v>267453.35</v>
      </c>
      <c r="L53" s="7" t="n">
        <v>263630.64</v>
      </c>
      <c r="M53" s="7" t="n">
        <v>293073.31</v>
      </c>
      <c r="N53" s="7" t="n">
        <v>272760.61</v>
      </c>
      <c r="O53" s="7" t="n">
        <v>270609.86</v>
      </c>
      <c r="P53" s="7" t="n">
        <v>290306.28</v>
      </c>
      <c r="Q53" s="7" t="n">
        <v>275994.44</v>
      </c>
      <c r="R53" s="7" t="n">
        <v>298269.89</v>
      </c>
      <c r="S53" s="8">
        <f>SUM(G53:R53)</f>
        <v/>
      </c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>
        <f>SUM(T53:AE53)</f>
        <v/>
      </c>
      <c r="AG53" s="7">
        <f>S53-AF53</f>
        <v/>
      </c>
      <c r="AH53" s="5">
        <f>IF(S53=0,0,AG53/S53)</f>
        <v/>
      </c>
    </row>
    <row r="54">
      <c r="A54" s="2" t="inlineStr">
        <is>
          <t>CC-3000</t>
        </is>
      </c>
      <c r="B54" s="2" t="inlineStr">
        <is>
          <t>Planta de Procesos</t>
        </is>
      </c>
      <c r="C54" s="2" t="inlineStr">
        <is>
          <t>HUM</t>
        </is>
      </c>
      <c r="D54" s="2" t="n">
        <v>630000</v>
      </c>
      <c r="E54" s="2" t="inlineStr">
        <is>
          <t>Servicios externos</t>
        </is>
      </c>
      <c r="F54" s="2" t="inlineStr">
        <is>
          <t>servicios_operacion</t>
        </is>
      </c>
      <c r="G54" s="7" t="n">
        <v>461007</v>
      </c>
      <c r="H54" s="7" t="n">
        <v>422747.25</v>
      </c>
      <c r="I54" s="7" t="n">
        <v>461321.33</v>
      </c>
      <c r="J54" s="7" t="n">
        <v>455030.83</v>
      </c>
      <c r="K54" s="7" t="n">
        <v>414752.5</v>
      </c>
      <c r="L54" s="7" t="n">
        <v>429212.6</v>
      </c>
      <c r="M54" s="7" t="n">
        <v>437046.08</v>
      </c>
      <c r="N54" s="7" t="n">
        <v>408904.7</v>
      </c>
      <c r="O54" s="7" t="n">
        <v>420992.94</v>
      </c>
      <c r="P54" s="7" t="n">
        <v>445333.26</v>
      </c>
      <c r="Q54" s="7" t="n">
        <v>414416.72</v>
      </c>
      <c r="R54" s="7" t="n">
        <v>434235.25</v>
      </c>
      <c r="S54" s="8">
        <f>SUM(G54:R54)</f>
        <v/>
      </c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>
        <f>SUM(T54:AE54)</f>
        <v/>
      </c>
      <c r="AG54" s="7">
        <f>S54-AF54</f>
        <v/>
      </c>
      <c r="AH54" s="5">
        <f>IF(S54=0,0,AG54/S54)</f>
        <v/>
      </c>
    </row>
    <row r="55">
      <c r="A55" s="2" t="inlineStr">
        <is>
          <t>CC-3000</t>
        </is>
      </c>
      <c r="B55" s="2" t="inlineStr">
        <is>
          <t>Planta de Procesos</t>
        </is>
      </c>
      <c r="C55" s="2" t="inlineStr">
        <is>
          <t>HUM</t>
        </is>
      </c>
      <c r="D55" s="2" t="n">
        <v>630000</v>
      </c>
      <c r="E55" s="2" t="inlineStr">
        <is>
          <t>Servicios externos</t>
        </is>
      </c>
      <c r="F55" s="2" t="inlineStr">
        <is>
          <t>asesoria_consultoria</t>
        </is>
      </c>
      <c r="G55" s="7" t="n">
        <v>677684.3100000001</v>
      </c>
      <c r="H55" s="7" t="n">
        <v>656864.26</v>
      </c>
      <c r="I55" s="7" t="n">
        <v>653086.3100000001</v>
      </c>
      <c r="J55" s="7" t="n">
        <v>656599.22</v>
      </c>
      <c r="K55" s="7" t="n">
        <v>619647.5600000001</v>
      </c>
      <c r="L55" s="7" t="n">
        <v>597223.37</v>
      </c>
      <c r="M55" s="7" t="n">
        <v>679836.78</v>
      </c>
      <c r="N55" s="7" t="n">
        <v>673191.15</v>
      </c>
      <c r="O55" s="7" t="n">
        <v>604622.09</v>
      </c>
      <c r="P55" s="7" t="n">
        <v>671107.85</v>
      </c>
      <c r="Q55" s="7" t="n">
        <v>629325.74</v>
      </c>
      <c r="R55" s="7" t="n">
        <v>647356.79</v>
      </c>
      <c r="S55" s="8">
        <f>SUM(G55:R55)</f>
        <v/>
      </c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>
        <f>SUM(T55:AE55)</f>
        <v/>
      </c>
      <c r="AG55" s="7">
        <f>S55-AF55</f>
        <v/>
      </c>
      <c r="AH55" s="5">
        <f>IF(S55=0,0,AG55/S55)</f>
        <v/>
      </c>
    </row>
    <row r="56">
      <c r="A56" s="2" t="inlineStr">
        <is>
          <t>CC-3000</t>
        </is>
      </c>
      <c r="B56" s="2" t="inlineStr">
        <is>
          <t>Planta de Procesos</t>
        </is>
      </c>
      <c r="C56" s="2" t="inlineStr">
        <is>
          <t>HUM</t>
        </is>
      </c>
      <c r="D56" s="2" t="n">
        <v>640000</v>
      </c>
      <c r="E56" s="2" t="inlineStr">
        <is>
          <t>Energia electrica</t>
        </is>
      </c>
      <c r="F56" s="2" t="inlineStr">
        <is>
          <t>consumo_energia_planta</t>
        </is>
      </c>
      <c r="G56" s="7" t="n">
        <v>281127.87</v>
      </c>
      <c r="H56" s="7" t="n">
        <v>267880.06</v>
      </c>
      <c r="I56" s="7" t="n">
        <v>282759.71</v>
      </c>
      <c r="J56" s="7" t="n">
        <v>296997.14</v>
      </c>
      <c r="K56" s="7" t="n">
        <v>290130.26</v>
      </c>
      <c r="L56" s="7" t="n">
        <v>275728</v>
      </c>
      <c r="M56" s="7" t="n">
        <v>279795.06</v>
      </c>
      <c r="N56" s="7" t="n">
        <v>273425.49</v>
      </c>
      <c r="O56" s="7" t="n">
        <v>259834.17</v>
      </c>
      <c r="P56" s="7" t="n">
        <v>318853.03</v>
      </c>
      <c r="Q56" s="7" t="n">
        <v>284543.4</v>
      </c>
      <c r="R56" s="7" t="n">
        <v>279778.54</v>
      </c>
      <c r="S56" s="8">
        <f>SUM(G56:R56)</f>
        <v/>
      </c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>
        <f>SUM(T56:AE56)</f>
        <v/>
      </c>
      <c r="AG56" s="7">
        <f>S56-AF56</f>
        <v/>
      </c>
      <c r="AH56" s="5">
        <f>IF(S56=0,0,AG56/S56)</f>
        <v/>
      </c>
    </row>
    <row r="57">
      <c r="A57" s="2" t="inlineStr">
        <is>
          <t>CC-3000</t>
        </is>
      </c>
      <c r="B57" s="2" t="inlineStr">
        <is>
          <t>Planta de Procesos</t>
        </is>
      </c>
      <c r="C57" s="2" t="inlineStr">
        <is>
          <t>HUM</t>
        </is>
      </c>
      <c r="D57" s="2" t="n">
        <v>640000</v>
      </c>
      <c r="E57" s="2" t="inlineStr">
        <is>
          <t>Energia electrica</t>
        </is>
      </c>
      <c r="F57" s="2" t="inlineStr">
        <is>
          <t>consumo_energia_mina</t>
        </is>
      </c>
      <c r="G57" s="7" t="n">
        <v>369369.41</v>
      </c>
      <c r="H57" s="7" t="n">
        <v>376085.43</v>
      </c>
      <c r="I57" s="7" t="n">
        <v>377787.02</v>
      </c>
      <c r="J57" s="7" t="n">
        <v>380895.01</v>
      </c>
      <c r="K57" s="7" t="n">
        <v>362225.22</v>
      </c>
      <c r="L57" s="7" t="n">
        <v>342302.76</v>
      </c>
      <c r="M57" s="7" t="n">
        <v>355821.54</v>
      </c>
      <c r="N57" s="7" t="n">
        <v>353210.3</v>
      </c>
      <c r="O57" s="7" t="n">
        <v>323753.57</v>
      </c>
      <c r="P57" s="7" t="n">
        <v>387940.76</v>
      </c>
      <c r="Q57" s="7" t="n">
        <v>343553.42</v>
      </c>
      <c r="R57" s="7" t="n">
        <v>364050.14</v>
      </c>
      <c r="S57" s="8">
        <f>SUM(G57:R57)</f>
        <v/>
      </c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>
        <f>SUM(T57:AE57)</f>
        <v/>
      </c>
      <c r="AG57" s="7">
        <f>S57-AF57</f>
        <v/>
      </c>
      <c r="AH57" s="5">
        <f>IF(S57=0,0,AG57/S57)</f>
        <v/>
      </c>
    </row>
    <row r="58">
      <c r="A58" s="2" t="inlineStr">
        <is>
          <t>CC-3000</t>
        </is>
      </c>
      <c r="B58" s="2" t="inlineStr">
        <is>
          <t>Planta de Procesos</t>
        </is>
      </c>
      <c r="C58" s="2" t="inlineStr">
        <is>
          <t>HUM</t>
        </is>
      </c>
      <c r="D58" s="2" t="n">
        <v>640000</v>
      </c>
      <c r="E58" s="2" t="inlineStr">
        <is>
          <t>Energia electrica</t>
        </is>
      </c>
      <c r="F58" s="2" t="inlineStr">
        <is>
          <t>consumo_energia_servicios</t>
        </is>
      </c>
      <c r="G58" s="7" t="n">
        <v>713493</v>
      </c>
      <c r="H58" s="7" t="n">
        <v>711469.45</v>
      </c>
      <c r="I58" s="7" t="n">
        <v>761530.24</v>
      </c>
      <c r="J58" s="7" t="n">
        <v>792796.09</v>
      </c>
      <c r="K58" s="7" t="n">
        <v>715417.91</v>
      </c>
      <c r="L58" s="7" t="n">
        <v>664435.0699999999</v>
      </c>
      <c r="M58" s="7" t="n">
        <v>724574.46</v>
      </c>
      <c r="N58" s="7" t="n">
        <v>763871.22</v>
      </c>
      <c r="O58" s="7" t="n">
        <v>672356.8</v>
      </c>
      <c r="P58" s="7" t="n">
        <v>774314.73</v>
      </c>
      <c r="Q58" s="7" t="n">
        <v>748735.09</v>
      </c>
      <c r="R58" s="7" t="n">
        <v>729158.6</v>
      </c>
      <c r="S58" s="8">
        <f>SUM(G58:R58)</f>
        <v/>
      </c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>
        <f>SUM(T58:AE58)</f>
        <v/>
      </c>
      <c r="AG58" s="7">
        <f>S58-AF58</f>
        <v/>
      </c>
      <c r="AH58" s="5">
        <f>IF(S58=0,0,AG58/S58)</f>
        <v/>
      </c>
    </row>
    <row r="59">
      <c r="A59" s="2" t="inlineStr">
        <is>
          <t>CC-3000</t>
        </is>
      </c>
      <c r="B59" s="2" t="inlineStr">
        <is>
          <t>Planta de Procesos</t>
        </is>
      </c>
      <c r="C59" s="2" t="inlineStr">
        <is>
          <t>HUM</t>
        </is>
      </c>
      <c r="D59" s="2" t="n">
        <v>650000</v>
      </c>
      <c r="E59" s="2" t="inlineStr">
        <is>
          <t>Distribuibles</t>
        </is>
      </c>
      <c r="F59" s="2" t="inlineStr">
        <is>
          <t>campamento</t>
        </is>
      </c>
      <c r="G59" s="7" t="n">
        <v>143099.71</v>
      </c>
      <c r="H59" s="7" t="n">
        <v>141396.01</v>
      </c>
      <c r="I59" s="7" t="n">
        <v>152357.19</v>
      </c>
      <c r="J59" s="7" t="n">
        <v>149837.47</v>
      </c>
      <c r="K59" s="7" t="n">
        <v>142912.63</v>
      </c>
      <c r="L59" s="7" t="n">
        <v>140230.52</v>
      </c>
      <c r="M59" s="7" t="n">
        <v>151564</v>
      </c>
      <c r="N59" s="7" t="n">
        <v>146342.21</v>
      </c>
      <c r="O59" s="7" t="n">
        <v>137098.29</v>
      </c>
      <c r="P59" s="7" t="n">
        <v>162542.73</v>
      </c>
      <c r="Q59" s="7" t="n">
        <v>148310.28</v>
      </c>
      <c r="R59" s="7" t="n">
        <v>149836.53</v>
      </c>
      <c r="S59" s="8">
        <f>SUM(G59:R59)</f>
        <v/>
      </c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>
        <f>SUM(T59:AE59)</f>
        <v/>
      </c>
      <c r="AG59" s="7">
        <f>S59-AF59</f>
        <v/>
      </c>
      <c r="AH59" s="5">
        <f>IF(S59=0,0,AG59/S59)</f>
        <v/>
      </c>
    </row>
    <row r="60">
      <c r="A60" s="2" t="inlineStr">
        <is>
          <t>CC-3000</t>
        </is>
      </c>
      <c r="B60" s="2" t="inlineStr">
        <is>
          <t>Planta de Procesos</t>
        </is>
      </c>
      <c r="C60" s="2" t="inlineStr">
        <is>
          <t>HUM</t>
        </is>
      </c>
      <c r="D60" s="2" t="n">
        <v>650000</v>
      </c>
      <c r="E60" s="2" t="inlineStr">
        <is>
          <t>Distribuibles</t>
        </is>
      </c>
      <c r="F60" s="2" t="inlineStr">
        <is>
          <t>agua_mar</t>
        </is>
      </c>
      <c r="G60" s="7" t="n">
        <v>309332.45</v>
      </c>
      <c r="H60" s="7" t="n">
        <v>278216.63</v>
      </c>
      <c r="I60" s="7" t="n">
        <v>287841.2</v>
      </c>
      <c r="J60" s="7" t="n">
        <v>300699.88</v>
      </c>
      <c r="K60" s="7" t="n">
        <v>273503.9</v>
      </c>
      <c r="L60" s="7" t="n">
        <v>288113.45</v>
      </c>
      <c r="M60" s="7" t="n">
        <v>283765.6</v>
      </c>
      <c r="N60" s="7" t="n">
        <v>294168.56</v>
      </c>
      <c r="O60" s="7" t="n">
        <v>269929.01</v>
      </c>
      <c r="P60" s="7" t="n">
        <v>293520.32</v>
      </c>
      <c r="Q60" s="7" t="n">
        <v>285351.93</v>
      </c>
      <c r="R60" s="7" t="n">
        <v>301976.08</v>
      </c>
      <c r="S60" s="8">
        <f>SUM(G60:R60)</f>
        <v/>
      </c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>
        <f>SUM(T60:AE60)</f>
        <v/>
      </c>
      <c r="AG60" s="7">
        <f>S60-AF60</f>
        <v/>
      </c>
      <c r="AH60" s="5">
        <f>IF(S60=0,0,AG60/S60)</f>
        <v/>
      </c>
    </row>
    <row r="61">
      <c r="A61" s="2" t="inlineStr">
        <is>
          <t>CC-3000</t>
        </is>
      </c>
      <c r="B61" s="2" t="inlineStr">
        <is>
          <t>Planta de Procesos</t>
        </is>
      </c>
      <c r="C61" s="2" t="inlineStr">
        <is>
          <t>HUM</t>
        </is>
      </c>
      <c r="D61" s="2" t="n">
        <v>650000</v>
      </c>
      <c r="E61" s="2" t="inlineStr">
        <is>
          <t>Distribuibles</t>
        </is>
      </c>
      <c r="F61" s="2" t="inlineStr">
        <is>
          <t>agua_fresca</t>
        </is>
      </c>
      <c r="G61" s="7" t="n">
        <v>387711.53</v>
      </c>
      <c r="H61" s="7" t="n">
        <v>350014.37</v>
      </c>
      <c r="I61" s="7" t="n">
        <v>370499.05</v>
      </c>
      <c r="J61" s="7" t="n">
        <v>383429.18</v>
      </c>
      <c r="K61" s="7" t="n">
        <v>345455.23</v>
      </c>
      <c r="L61" s="7" t="n">
        <v>330433.36</v>
      </c>
      <c r="M61" s="7" t="n">
        <v>343349.78</v>
      </c>
      <c r="N61" s="7" t="n">
        <v>379329.14</v>
      </c>
      <c r="O61" s="7" t="n">
        <v>324983.88</v>
      </c>
      <c r="P61" s="7" t="n">
        <v>399123.04</v>
      </c>
      <c r="Q61" s="7" t="n">
        <v>345444.57</v>
      </c>
      <c r="R61" s="7" t="n">
        <v>352997.26</v>
      </c>
      <c r="S61" s="8">
        <f>SUM(G61:R61)</f>
        <v/>
      </c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>
        <f>SUM(T61:AE61)</f>
        <v/>
      </c>
      <c r="AG61" s="7">
        <f>S61-AF61</f>
        <v/>
      </c>
      <c r="AH61" s="5">
        <f>IF(S61=0,0,AG61/S61)</f>
        <v/>
      </c>
    </row>
    <row r="62">
      <c r="A62" s="2" t="inlineStr">
        <is>
          <t>CC-3000</t>
        </is>
      </c>
      <c r="B62" s="2" t="inlineStr">
        <is>
          <t>Planta de Procesos</t>
        </is>
      </c>
      <c r="C62" s="2" t="inlineStr">
        <is>
          <t>HUM</t>
        </is>
      </c>
      <c r="D62" s="2" t="n">
        <v>650000</v>
      </c>
      <c r="E62" s="2" t="inlineStr">
        <is>
          <t>Distribuibles</t>
        </is>
      </c>
      <c r="F62" s="2" t="inlineStr">
        <is>
          <t>transporte_personal</t>
        </is>
      </c>
      <c r="G62" s="7" t="n">
        <v>129204.59</v>
      </c>
      <c r="H62" s="7" t="n">
        <v>118243.53</v>
      </c>
      <c r="I62" s="7" t="n">
        <v>125385.33</v>
      </c>
      <c r="J62" s="7" t="n">
        <v>119139.42</v>
      </c>
      <c r="K62" s="7" t="n">
        <v>116819.69</v>
      </c>
      <c r="L62" s="7" t="n">
        <v>118714.31</v>
      </c>
      <c r="M62" s="7" t="n">
        <v>118367.59</v>
      </c>
      <c r="N62" s="7" t="n">
        <v>120581.3</v>
      </c>
      <c r="O62" s="7" t="n">
        <v>107055.34</v>
      </c>
      <c r="P62" s="7" t="n">
        <v>135504.98</v>
      </c>
      <c r="Q62" s="7" t="n">
        <v>120062.26</v>
      </c>
      <c r="R62" s="7" t="n">
        <v>126204.67</v>
      </c>
      <c r="S62" s="8">
        <f>SUM(G62:R62)</f>
        <v/>
      </c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>
        <f>SUM(T62:AE62)</f>
        <v/>
      </c>
      <c r="AG62" s="7">
        <f>S62-AF62</f>
        <v/>
      </c>
      <c r="AH62" s="5">
        <f>IF(S62=0,0,AG62/S62)</f>
        <v/>
      </c>
    </row>
    <row r="63">
      <c r="A63" s="2" t="inlineStr">
        <is>
          <t>CC-3000</t>
        </is>
      </c>
      <c r="B63" s="2" t="inlineStr">
        <is>
          <t>Planta de Procesos</t>
        </is>
      </c>
      <c r="C63" s="2" t="inlineStr">
        <is>
          <t>HUM</t>
        </is>
      </c>
      <c r="D63" s="2" t="n">
        <v>660000</v>
      </c>
      <c r="E63" s="2" t="inlineStr">
        <is>
          <t>Depreciacion</t>
        </is>
      </c>
      <c r="F63" s="2" t="inlineStr">
        <is>
          <t>depreciacion_equipos</t>
        </is>
      </c>
      <c r="G63" s="7" t="n">
        <v>462859.37</v>
      </c>
      <c r="H63" s="7" t="n">
        <v>477416.94</v>
      </c>
      <c r="I63" s="7" t="n">
        <v>504617.68</v>
      </c>
      <c r="J63" s="7" t="n">
        <v>478680.95</v>
      </c>
      <c r="K63" s="7" t="n">
        <v>457973.25</v>
      </c>
      <c r="L63" s="7" t="n">
        <v>438367.03</v>
      </c>
      <c r="M63" s="7" t="n">
        <v>435331.63</v>
      </c>
      <c r="N63" s="7" t="n">
        <v>478105.51</v>
      </c>
      <c r="O63" s="7" t="n">
        <v>438771.63</v>
      </c>
      <c r="P63" s="7" t="n">
        <v>506972.07</v>
      </c>
      <c r="Q63" s="7" t="n">
        <v>463661.57</v>
      </c>
      <c r="R63" s="7" t="n">
        <v>492762.48</v>
      </c>
      <c r="S63" s="8">
        <f>SUM(G63:R63)</f>
        <v/>
      </c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>
        <f>SUM(T63:AE63)</f>
        <v/>
      </c>
      <c r="AG63" s="7">
        <f>S63-AF63</f>
        <v/>
      </c>
      <c r="AH63" s="5">
        <f>IF(S63=0,0,AG63/S63)</f>
        <v/>
      </c>
    </row>
    <row r="64">
      <c r="A64" s="2" t="inlineStr">
        <is>
          <t>CC-3000</t>
        </is>
      </c>
      <c r="B64" s="2" t="inlineStr">
        <is>
          <t>Planta de Procesos</t>
        </is>
      </c>
      <c r="C64" s="2" t="inlineStr">
        <is>
          <t>HUM</t>
        </is>
      </c>
      <c r="D64" s="2" t="n">
        <v>660000</v>
      </c>
      <c r="E64" s="2" t="inlineStr">
        <is>
          <t>Depreciacion</t>
        </is>
      </c>
      <c r="F64" s="2" t="inlineStr">
        <is>
          <t>depreciacion_infraestructura</t>
        </is>
      </c>
      <c r="G64" s="7" t="n">
        <v>171660.54</v>
      </c>
      <c r="H64" s="7" t="n">
        <v>166351.67</v>
      </c>
      <c r="I64" s="7" t="n">
        <v>185830.45</v>
      </c>
      <c r="J64" s="7" t="n">
        <v>177607.7</v>
      </c>
      <c r="K64" s="7" t="n">
        <v>175762.34</v>
      </c>
      <c r="L64" s="7" t="n">
        <v>157484.01</v>
      </c>
      <c r="M64" s="7" t="n">
        <v>166749.01</v>
      </c>
      <c r="N64" s="7" t="n">
        <v>168072.05</v>
      </c>
      <c r="O64" s="7" t="n">
        <v>155149.85</v>
      </c>
      <c r="P64" s="7" t="n">
        <v>192253.16</v>
      </c>
      <c r="Q64" s="7" t="n">
        <v>165199.82</v>
      </c>
      <c r="R64" s="7" t="n">
        <v>182359.28</v>
      </c>
      <c r="S64" s="8">
        <f>SUM(G64:R64)</f>
        <v/>
      </c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>
        <f>SUM(T64:AE64)</f>
        <v/>
      </c>
      <c r="AG64" s="7">
        <f>S64-AF64</f>
        <v/>
      </c>
      <c r="AH64" s="5">
        <f>IF(S64=0,0,AG64/S64)</f>
        <v/>
      </c>
    </row>
    <row r="65">
      <c r="A65" s="2" t="inlineStr">
        <is>
          <t>CC-4000</t>
        </is>
      </c>
      <c r="B65" s="2" t="inlineStr">
        <is>
          <t>Servicios Auxiliares</t>
        </is>
      </c>
      <c r="C65" s="2" t="inlineStr">
        <is>
          <t>AUX</t>
        </is>
      </c>
      <c r="D65" s="2" t="n">
        <v>610000</v>
      </c>
      <c r="E65" s="2" t="inlineStr">
        <is>
          <t>Mano obra interna</t>
        </is>
      </c>
      <c r="F65" s="2" t="inlineStr">
        <is>
          <t>sueldos_base</t>
        </is>
      </c>
      <c r="G65" s="7" t="n">
        <v>124806.28</v>
      </c>
      <c r="H65" s="7" t="n">
        <v>122679.96</v>
      </c>
      <c r="I65" s="7" t="n">
        <v>131714.28</v>
      </c>
      <c r="J65" s="7" t="n">
        <v>126773.61</v>
      </c>
      <c r="K65" s="7" t="n">
        <v>126862.82</v>
      </c>
      <c r="L65" s="7" t="n">
        <v>112762.49</v>
      </c>
      <c r="M65" s="7" t="n">
        <v>119418.62</v>
      </c>
      <c r="N65" s="7" t="n">
        <v>126533.79</v>
      </c>
      <c r="O65" s="7" t="n">
        <v>117491.37</v>
      </c>
      <c r="P65" s="7" t="n">
        <v>133812.87</v>
      </c>
      <c r="Q65" s="7" t="n">
        <v>117873.5</v>
      </c>
      <c r="R65" s="7" t="n">
        <v>116334.32</v>
      </c>
      <c r="S65" s="8">
        <f>SUM(G65:R65)</f>
        <v/>
      </c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>
        <f>SUM(T65:AE65)</f>
        <v/>
      </c>
      <c r="AG65" s="7">
        <f>S65-AF65</f>
        <v/>
      </c>
      <c r="AH65" s="5">
        <f>IF(S65=0,0,AG65/S65)</f>
        <v/>
      </c>
    </row>
    <row r="66">
      <c r="A66" s="2" t="inlineStr">
        <is>
          <t>CC-4000</t>
        </is>
      </c>
      <c r="B66" s="2" t="inlineStr">
        <is>
          <t>Servicios Auxiliares</t>
        </is>
      </c>
      <c r="C66" s="2" t="inlineStr">
        <is>
          <t>AUX</t>
        </is>
      </c>
      <c r="D66" s="2" t="n">
        <v>610000</v>
      </c>
      <c r="E66" s="2" t="inlineStr">
        <is>
          <t>Mano obra interna</t>
        </is>
      </c>
      <c r="F66" s="2" t="inlineStr">
        <is>
          <t>bonos</t>
        </is>
      </c>
      <c r="G66" s="7" t="n">
        <v>175318.19</v>
      </c>
      <c r="H66" s="7" t="n">
        <v>166592.36</v>
      </c>
      <c r="I66" s="7" t="n">
        <v>172166</v>
      </c>
      <c r="J66" s="7" t="n">
        <v>186246.22</v>
      </c>
      <c r="K66" s="7" t="n">
        <v>166837.91</v>
      </c>
      <c r="L66" s="7" t="n">
        <v>165750.99</v>
      </c>
      <c r="M66" s="7" t="n">
        <v>186575.77</v>
      </c>
      <c r="N66" s="7" t="n">
        <v>174332.19</v>
      </c>
      <c r="O66" s="7" t="n">
        <v>157129.6</v>
      </c>
      <c r="P66" s="7" t="n">
        <v>194550.07</v>
      </c>
      <c r="Q66" s="7" t="n">
        <v>177103.12</v>
      </c>
      <c r="R66" s="7" t="n">
        <v>174260.34</v>
      </c>
      <c r="S66" s="8">
        <f>SUM(G66:R66)</f>
        <v/>
      </c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>
        <f>SUM(T66:AE66)</f>
        <v/>
      </c>
      <c r="AG66" s="7">
        <f>S66-AF66</f>
        <v/>
      </c>
      <c r="AH66" s="5">
        <f>IF(S66=0,0,AG66/S66)</f>
        <v/>
      </c>
    </row>
    <row r="67">
      <c r="A67" s="2" t="inlineStr">
        <is>
          <t>CC-4000</t>
        </is>
      </c>
      <c r="B67" s="2" t="inlineStr">
        <is>
          <t>Servicios Auxiliares</t>
        </is>
      </c>
      <c r="C67" s="2" t="inlineStr">
        <is>
          <t>AUX</t>
        </is>
      </c>
      <c r="D67" s="2" t="n">
        <v>610000</v>
      </c>
      <c r="E67" s="2" t="inlineStr">
        <is>
          <t>Mano obra interna</t>
        </is>
      </c>
      <c r="F67" s="2" t="inlineStr">
        <is>
          <t>seguros_beneficios</t>
        </is>
      </c>
      <c r="G67" s="7" t="n">
        <v>55564.57</v>
      </c>
      <c r="H67" s="7" t="n">
        <v>50269.91</v>
      </c>
      <c r="I67" s="7" t="n">
        <v>55396.99</v>
      </c>
      <c r="J67" s="7" t="n">
        <v>51223.67</v>
      </c>
      <c r="K67" s="7" t="n">
        <v>51489.01</v>
      </c>
      <c r="L67" s="7" t="n">
        <v>50299.49</v>
      </c>
      <c r="M67" s="7" t="n">
        <v>53924.9</v>
      </c>
      <c r="N67" s="7" t="n">
        <v>53386.67</v>
      </c>
      <c r="O67" s="7" t="n">
        <v>50925.47</v>
      </c>
      <c r="P67" s="7" t="n">
        <v>54453.42</v>
      </c>
      <c r="Q67" s="7" t="n">
        <v>51788.72</v>
      </c>
      <c r="R67" s="7" t="n">
        <v>50881.78</v>
      </c>
      <c r="S67" s="8">
        <f>SUM(G67:R67)</f>
        <v/>
      </c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>
        <f>SUM(T67:AE67)</f>
        <v/>
      </c>
      <c r="AG67" s="7">
        <f>S67-AF67</f>
        <v/>
      </c>
      <c r="AH67" s="5">
        <f>IF(S67=0,0,AG67/S67)</f>
        <v/>
      </c>
    </row>
    <row r="68">
      <c r="A68" s="2" t="inlineStr">
        <is>
          <t>CC-4000</t>
        </is>
      </c>
      <c r="B68" s="2" t="inlineStr">
        <is>
          <t>Servicios Auxiliares</t>
        </is>
      </c>
      <c r="C68" s="2" t="inlineStr">
        <is>
          <t>AUX</t>
        </is>
      </c>
      <c r="D68" s="2" t="n">
        <v>610000</v>
      </c>
      <c r="E68" s="2" t="inlineStr">
        <is>
          <t>Mano obra interna</t>
        </is>
      </c>
      <c r="F68" s="2" t="inlineStr">
        <is>
          <t>provisiones</t>
        </is>
      </c>
      <c r="G68" s="7" t="n">
        <v>103531.27</v>
      </c>
      <c r="H68" s="7" t="n">
        <v>100440.06</v>
      </c>
      <c r="I68" s="7" t="n">
        <v>98951.2</v>
      </c>
      <c r="J68" s="7" t="n">
        <v>98568.14999999999</v>
      </c>
      <c r="K68" s="7" t="n">
        <v>104729.88</v>
      </c>
      <c r="L68" s="7" t="n">
        <v>94730.09</v>
      </c>
      <c r="M68" s="7" t="n">
        <v>99852.46000000001</v>
      </c>
      <c r="N68" s="7" t="n">
        <v>103320.67</v>
      </c>
      <c r="O68" s="7" t="n">
        <v>91483.55</v>
      </c>
      <c r="P68" s="7" t="n">
        <v>105617.66</v>
      </c>
      <c r="Q68" s="7" t="n">
        <v>97510.44</v>
      </c>
      <c r="R68" s="7" t="n">
        <v>97733.33</v>
      </c>
      <c r="S68" s="8">
        <f>SUM(G68:R68)</f>
        <v/>
      </c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>
        <f>SUM(T68:AE68)</f>
        <v/>
      </c>
      <c r="AG68" s="7">
        <f>S68-AF68</f>
        <v/>
      </c>
      <c r="AH68" s="5">
        <f>IF(S68=0,0,AG68/S68)</f>
        <v/>
      </c>
    </row>
    <row r="69">
      <c r="A69" s="2" t="inlineStr">
        <is>
          <t>CC-4000</t>
        </is>
      </c>
      <c r="B69" s="2" t="inlineStr">
        <is>
          <t>Servicios Auxiliares</t>
        </is>
      </c>
      <c r="C69" s="2" t="inlineStr">
        <is>
          <t>AUX</t>
        </is>
      </c>
      <c r="D69" s="2" t="n">
        <v>620000</v>
      </c>
      <c r="E69" s="2" t="inlineStr">
        <is>
          <t>Materiales</t>
        </is>
      </c>
      <c r="F69" s="2" t="inlineStr">
        <is>
          <t>repuestos_mecanicos</t>
        </is>
      </c>
      <c r="G69" s="7" t="n">
        <v>83280.59</v>
      </c>
      <c r="H69" s="7" t="n">
        <v>76294.77</v>
      </c>
      <c r="I69" s="7" t="n">
        <v>82333.08</v>
      </c>
      <c r="J69" s="7" t="n">
        <v>76615.74000000001</v>
      </c>
      <c r="K69" s="7" t="n">
        <v>79019.92</v>
      </c>
      <c r="L69" s="7" t="n">
        <v>71576.08</v>
      </c>
      <c r="M69" s="7" t="n">
        <v>83710.28999999999</v>
      </c>
      <c r="N69" s="7" t="n">
        <v>79562.03999999999</v>
      </c>
      <c r="O69" s="7" t="n">
        <v>70550.95</v>
      </c>
      <c r="P69" s="7" t="n">
        <v>84216.42</v>
      </c>
      <c r="Q69" s="7" t="n">
        <v>72869.96000000001</v>
      </c>
      <c r="R69" s="7" t="n">
        <v>81092.00999999999</v>
      </c>
      <c r="S69" s="8">
        <f>SUM(G69:R69)</f>
        <v/>
      </c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>
        <f>SUM(T69:AE69)</f>
        <v/>
      </c>
      <c r="AG69" s="7">
        <f>S69-AF69</f>
        <v/>
      </c>
      <c r="AH69" s="5">
        <f>IF(S69=0,0,AG69/S69)</f>
        <v/>
      </c>
    </row>
    <row r="70">
      <c r="A70" s="2" t="inlineStr">
        <is>
          <t>CC-4000</t>
        </is>
      </c>
      <c r="B70" s="2" t="inlineStr">
        <is>
          <t>Servicios Auxiliares</t>
        </is>
      </c>
      <c r="C70" s="2" t="inlineStr">
        <is>
          <t>AUX</t>
        </is>
      </c>
      <c r="D70" s="2" t="n">
        <v>620000</v>
      </c>
      <c r="E70" s="2" t="inlineStr">
        <is>
          <t>Materiales</t>
        </is>
      </c>
      <c r="F70" s="2" t="inlineStr">
        <is>
          <t>GET</t>
        </is>
      </c>
      <c r="G70" s="7" t="n">
        <v>61578.98</v>
      </c>
      <c r="H70" s="7" t="n">
        <v>62027.45</v>
      </c>
      <c r="I70" s="7" t="n">
        <v>63662.96</v>
      </c>
      <c r="J70" s="7" t="n">
        <v>66605.03</v>
      </c>
      <c r="K70" s="7" t="n">
        <v>62398.3</v>
      </c>
      <c r="L70" s="7" t="n">
        <v>62933.2</v>
      </c>
      <c r="M70" s="7" t="n">
        <v>66561.52</v>
      </c>
      <c r="N70" s="7" t="n">
        <v>66695.19</v>
      </c>
      <c r="O70" s="7" t="n">
        <v>57124.9</v>
      </c>
      <c r="P70" s="7" t="n">
        <v>70328.2</v>
      </c>
      <c r="Q70" s="7" t="n">
        <v>60712.86</v>
      </c>
      <c r="R70" s="7" t="n">
        <v>63555.08</v>
      </c>
      <c r="S70" s="8">
        <f>SUM(G70:R70)</f>
        <v/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>
        <f>SUM(T70:AE70)</f>
        <v/>
      </c>
      <c r="AG70" s="7">
        <f>S70-AF70</f>
        <v/>
      </c>
      <c r="AH70" s="5">
        <f>IF(S70=0,0,AG70/S70)</f>
        <v/>
      </c>
    </row>
    <row r="71">
      <c r="A71" s="2" t="inlineStr">
        <is>
          <t>CC-4000</t>
        </is>
      </c>
      <c r="B71" s="2" t="inlineStr">
        <is>
          <t>Servicios Auxiliares</t>
        </is>
      </c>
      <c r="C71" s="2" t="inlineStr">
        <is>
          <t>AUX</t>
        </is>
      </c>
      <c r="D71" s="2" t="n">
        <v>620000</v>
      </c>
      <c r="E71" s="2" t="inlineStr">
        <is>
          <t>Materiales</t>
        </is>
      </c>
      <c r="F71" s="2" t="inlineStr">
        <is>
          <t>consumibles_operacion</t>
        </is>
      </c>
      <c r="G71" s="7" t="n">
        <v>105418.24</v>
      </c>
      <c r="H71" s="7" t="n">
        <v>93256.83</v>
      </c>
      <c r="I71" s="7" t="n">
        <v>101753.21</v>
      </c>
      <c r="J71" s="7" t="n">
        <v>102202.4</v>
      </c>
      <c r="K71" s="7" t="n">
        <v>92776.94</v>
      </c>
      <c r="L71" s="7" t="n">
        <v>98686.78</v>
      </c>
      <c r="M71" s="7" t="n">
        <v>96736.08</v>
      </c>
      <c r="N71" s="7" t="n">
        <v>100681.44</v>
      </c>
      <c r="O71" s="7" t="n">
        <v>96788.73</v>
      </c>
      <c r="P71" s="7" t="n">
        <v>109464.05</v>
      </c>
      <c r="Q71" s="7" t="n">
        <v>100171.97</v>
      </c>
      <c r="R71" s="7" t="n">
        <v>95179.74000000001</v>
      </c>
      <c r="S71" s="8">
        <f>SUM(G71:R71)</f>
        <v/>
      </c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>
        <f>SUM(T71:AE71)</f>
        <v/>
      </c>
      <c r="AG71" s="7">
        <f>S71-AF71</f>
        <v/>
      </c>
      <c r="AH71" s="5">
        <f>IF(S71=0,0,AG71/S71)</f>
        <v/>
      </c>
    </row>
    <row r="72">
      <c r="A72" s="2" t="inlineStr">
        <is>
          <t>CC-4000</t>
        </is>
      </c>
      <c r="B72" s="2" t="inlineStr">
        <is>
          <t>Servicios Auxiliares</t>
        </is>
      </c>
      <c r="C72" s="2" t="inlineStr">
        <is>
          <t>AUX</t>
        </is>
      </c>
      <c r="D72" s="2" t="n">
        <v>620000</v>
      </c>
      <c r="E72" s="2" t="inlineStr">
        <is>
          <t>Materiales</t>
        </is>
      </c>
      <c r="F72" s="2" t="inlineStr">
        <is>
          <t>ropa_seguridad</t>
        </is>
      </c>
      <c r="G72" s="7" t="n">
        <v>59595.1</v>
      </c>
      <c r="H72" s="7" t="n">
        <v>57992.07</v>
      </c>
      <c r="I72" s="7" t="n">
        <v>61645.31</v>
      </c>
      <c r="J72" s="7" t="n">
        <v>56971.58</v>
      </c>
      <c r="K72" s="7" t="n">
        <v>58912.71</v>
      </c>
      <c r="L72" s="7" t="n">
        <v>53489.14</v>
      </c>
      <c r="M72" s="7" t="n">
        <v>55422.51</v>
      </c>
      <c r="N72" s="7" t="n">
        <v>58170.52</v>
      </c>
      <c r="O72" s="7" t="n">
        <v>55045.44</v>
      </c>
      <c r="P72" s="7" t="n">
        <v>66475.45</v>
      </c>
      <c r="Q72" s="7" t="n">
        <v>57911.3</v>
      </c>
      <c r="R72" s="7" t="n">
        <v>59946.95</v>
      </c>
      <c r="S72" s="8">
        <f>SUM(G72:R72)</f>
        <v/>
      </c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>
        <f>SUM(T72:AE72)</f>
        <v/>
      </c>
      <c r="AG72" s="7">
        <f>S72-AF72</f>
        <v/>
      </c>
      <c r="AH72" s="5">
        <f>IF(S72=0,0,AG72/S72)</f>
        <v/>
      </c>
    </row>
    <row r="73">
      <c r="A73" s="2" t="inlineStr">
        <is>
          <t>CC-4000</t>
        </is>
      </c>
      <c r="B73" s="2" t="inlineStr">
        <is>
          <t>Servicios Auxiliares</t>
        </is>
      </c>
      <c r="C73" s="2" t="inlineStr">
        <is>
          <t>AUX</t>
        </is>
      </c>
      <c r="D73" s="2" t="n">
        <v>630000</v>
      </c>
      <c r="E73" s="2" t="inlineStr">
        <is>
          <t>Servicios externos</t>
        </is>
      </c>
      <c r="F73" s="2" t="inlineStr">
        <is>
          <t>mantenci_mecanica</t>
        </is>
      </c>
      <c r="G73" s="7" t="n">
        <v>53179.04</v>
      </c>
      <c r="H73" s="7" t="n">
        <v>48427.79</v>
      </c>
      <c r="I73" s="7" t="n">
        <v>49869.07</v>
      </c>
      <c r="J73" s="7" t="n">
        <v>54022.93</v>
      </c>
      <c r="K73" s="7" t="n">
        <v>51138.02</v>
      </c>
      <c r="L73" s="7" t="n">
        <v>49666.75</v>
      </c>
      <c r="M73" s="7" t="n">
        <v>48457.84</v>
      </c>
      <c r="N73" s="7" t="n">
        <v>49611.44</v>
      </c>
      <c r="O73" s="7" t="n">
        <v>44222.93</v>
      </c>
      <c r="P73" s="7" t="n">
        <v>51499.57</v>
      </c>
      <c r="Q73" s="7" t="n">
        <v>46878.62</v>
      </c>
      <c r="R73" s="7" t="n">
        <v>49646.15</v>
      </c>
      <c r="S73" s="8">
        <f>SUM(G73:R73)</f>
        <v/>
      </c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>
        <f>SUM(T73:AE73)</f>
        <v/>
      </c>
      <c r="AG73" s="7">
        <f>S73-AF73</f>
        <v/>
      </c>
      <c r="AH73" s="5">
        <f>IF(S73=0,0,AG73/S73)</f>
        <v/>
      </c>
    </row>
    <row r="74">
      <c r="A74" s="2" t="inlineStr">
        <is>
          <t>CC-4000</t>
        </is>
      </c>
      <c r="B74" s="2" t="inlineStr">
        <is>
          <t>Servicios Auxiliares</t>
        </is>
      </c>
      <c r="C74" s="2" t="inlineStr">
        <is>
          <t>AUX</t>
        </is>
      </c>
      <c r="D74" s="2" t="n">
        <v>630000</v>
      </c>
      <c r="E74" s="2" t="inlineStr">
        <is>
          <t>Servicios externos</t>
        </is>
      </c>
      <c r="F74" s="2" t="inlineStr">
        <is>
          <t>mantenci_electrica</t>
        </is>
      </c>
      <c r="G74" s="7" t="n">
        <v>114954.68</v>
      </c>
      <c r="H74" s="7" t="n">
        <v>103679.61</v>
      </c>
      <c r="I74" s="7" t="n">
        <v>112232.84</v>
      </c>
      <c r="J74" s="7" t="n">
        <v>113881.1</v>
      </c>
      <c r="K74" s="7" t="n">
        <v>101963.2</v>
      </c>
      <c r="L74" s="7" t="n">
        <v>97267.17</v>
      </c>
      <c r="M74" s="7" t="n">
        <v>103039.82</v>
      </c>
      <c r="N74" s="7" t="n">
        <v>111060.83</v>
      </c>
      <c r="O74" s="7" t="n">
        <v>100888.45</v>
      </c>
      <c r="P74" s="7" t="n">
        <v>113932</v>
      </c>
      <c r="Q74" s="7" t="n">
        <v>106827.25</v>
      </c>
      <c r="R74" s="7" t="n">
        <v>104437.87</v>
      </c>
      <c r="S74" s="8">
        <f>SUM(G74:R74)</f>
        <v/>
      </c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>
        <f>SUM(T74:AE74)</f>
        <v/>
      </c>
      <c r="AG74" s="7">
        <f>S74-AF74</f>
        <v/>
      </c>
      <c r="AH74" s="5">
        <f>IF(S74=0,0,AG74/S74)</f>
        <v/>
      </c>
    </row>
    <row r="75">
      <c r="A75" s="2" t="inlineStr">
        <is>
          <t>CC-4000</t>
        </is>
      </c>
      <c r="B75" s="2" t="inlineStr">
        <is>
          <t>Servicios Auxiliares</t>
        </is>
      </c>
      <c r="C75" s="2" t="inlineStr">
        <is>
          <t>AUX</t>
        </is>
      </c>
      <c r="D75" s="2" t="n">
        <v>630000</v>
      </c>
      <c r="E75" s="2" t="inlineStr">
        <is>
          <t>Servicios externos</t>
        </is>
      </c>
      <c r="F75" s="2" t="inlineStr">
        <is>
          <t>servicios_operacion</t>
        </is>
      </c>
      <c r="G75" s="7" t="n">
        <v>41270.28</v>
      </c>
      <c r="H75" s="7" t="n">
        <v>41433.38</v>
      </c>
      <c r="I75" s="7" t="n">
        <v>44552.91</v>
      </c>
      <c r="J75" s="7" t="n">
        <v>41423.11</v>
      </c>
      <c r="K75" s="7" t="n">
        <v>39864.95</v>
      </c>
      <c r="L75" s="7" t="n">
        <v>39775.71</v>
      </c>
      <c r="M75" s="7" t="n">
        <v>39919.91</v>
      </c>
      <c r="N75" s="7" t="n">
        <v>42942.72</v>
      </c>
      <c r="O75" s="7" t="n">
        <v>39209.5</v>
      </c>
      <c r="P75" s="7" t="n">
        <v>45074.49</v>
      </c>
      <c r="Q75" s="7" t="n">
        <v>42205.73</v>
      </c>
      <c r="R75" s="7" t="n">
        <v>43535.39</v>
      </c>
      <c r="S75" s="8">
        <f>SUM(G75:R75)</f>
        <v/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>
        <f>SUM(T75:AE75)</f>
        <v/>
      </c>
      <c r="AG75" s="7">
        <f>S75-AF75</f>
        <v/>
      </c>
      <c r="AH75" s="5">
        <f>IF(S75=0,0,AG75/S75)</f>
        <v/>
      </c>
    </row>
    <row r="76">
      <c r="A76" s="2" t="inlineStr">
        <is>
          <t>CC-4000</t>
        </is>
      </c>
      <c r="B76" s="2" t="inlineStr">
        <is>
          <t>Servicios Auxiliares</t>
        </is>
      </c>
      <c r="C76" s="2" t="inlineStr">
        <is>
          <t>AUX</t>
        </is>
      </c>
      <c r="D76" s="2" t="n">
        <v>630000</v>
      </c>
      <c r="E76" s="2" t="inlineStr">
        <is>
          <t>Servicios externos</t>
        </is>
      </c>
      <c r="F76" s="2" t="inlineStr">
        <is>
          <t>asesoria_consultoria</t>
        </is>
      </c>
      <c r="G76" s="7" t="n">
        <v>70079.39</v>
      </c>
      <c r="H76" s="7" t="n">
        <v>69905.52</v>
      </c>
      <c r="I76" s="7" t="n">
        <v>72346.5</v>
      </c>
      <c r="J76" s="7" t="n">
        <v>75899.41</v>
      </c>
      <c r="K76" s="7" t="n">
        <v>72787.47</v>
      </c>
      <c r="L76" s="7" t="n">
        <v>68286.07000000001</v>
      </c>
      <c r="M76" s="7" t="n">
        <v>74481.53999999999</v>
      </c>
      <c r="N76" s="7" t="n">
        <v>70838.21000000001</v>
      </c>
      <c r="O76" s="7" t="n">
        <v>69140.91</v>
      </c>
      <c r="P76" s="7" t="n">
        <v>72945.27</v>
      </c>
      <c r="Q76" s="7" t="n">
        <v>66334.03999999999</v>
      </c>
      <c r="R76" s="7" t="n">
        <v>74962.61</v>
      </c>
      <c r="S76" s="8">
        <f>SUM(G76:R76)</f>
        <v/>
      </c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>
        <f>SUM(T76:AE76)</f>
        <v/>
      </c>
      <c r="AG76" s="7">
        <f>S76-AF76</f>
        <v/>
      </c>
      <c r="AH76" s="5">
        <f>IF(S76=0,0,AG76/S76)</f>
        <v/>
      </c>
    </row>
    <row r="77">
      <c r="A77" s="2" t="inlineStr">
        <is>
          <t>CC-4000</t>
        </is>
      </c>
      <c r="B77" s="2" t="inlineStr">
        <is>
          <t>Servicios Auxiliares</t>
        </is>
      </c>
      <c r="C77" s="2" t="inlineStr">
        <is>
          <t>AUX</t>
        </is>
      </c>
      <c r="D77" s="2" t="n">
        <v>640000</v>
      </c>
      <c r="E77" s="2" t="inlineStr">
        <is>
          <t>Energia electrica</t>
        </is>
      </c>
      <c r="F77" s="2" t="inlineStr">
        <is>
          <t>consumo_energia_planta</t>
        </is>
      </c>
      <c r="G77" s="7" t="n">
        <v>32705.32</v>
      </c>
      <c r="H77" s="7" t="n">
        <v>33009.65</v>
      </c>
      <c r="I77" s="7" t="n">
        <v>33280.44</v>
      </c>
      <c r="J77" s="7" t="n">
        <v>32729.06</v>
      </c>
      <c r="K77" s="7" t="n">
        <v>31697.63</v>
      </c>
      <c r="L77" s="7" t="n">
        <v>32099.91</v>
      </c>
      <c r="M77" s="7" t="n">
        <v>31022.93</v>
      </c>
      <c r="N77" s="7" t="n">
        <v>32717.2</v>
      </c>
      <c r="O77" s="7" t="n">
        <v>28861.6</v>
      </c>
      <c r="P77" s="7" t="n">
        <v>32813.45</v>
      </c>
      <c r="Q77" s="7" t="n">
        <v>32657.51</v>
      </c>
      <c r="R77" s="7" t="n">
        <v>31025.26</v>
      </c>
      <c r="S77" s="8">
        <f>SUM(G77:R77)</f>
        <v/>
      </c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>
        <f>SUM(T77:AE77)</f>
        <v/>
      </c>
      <c r="AG77" s="7">
        <f>S77-AF77</f>
        <v/>
      </c>
      <c r="AH77" s="5">
        <f>IF(S77=0,0,AG77/S77)</f>
        <v/>
      </c>
    </row>
    <row r="78">
      <c r="A78" s="2" t="inlineStr">
        <is>
          <t>CC-4000</t>
        </is>
      </c>
      <c r="B78" s="2" t="inlineStr">
        <is>
          <t>Servicios Auxiliares</t>
        </is>
      </c>
      <c r="C78" s="2" t="inlineStr">
        <is>
          <t>AUX</t>
        </is>
      </c>
      <c r="D78" s="2" t="n">
        <v>640000</v>
      </c>
      <c r="E78" s="2" t="inlineStr">
        <is>
          <t>Energia electrica</t>
        </is>
      </c>
      <c r="F78" s="2" t="inlineStr">
        <is>
          <t>consumo_energia_mina</t>
        </is>
      </c>
      <c r="G78" s="7" t="n">
        <v>106348.42</v>
      </c>
      <c r="H78" s="7" t="n">
        <v>99448.53</v>
      </c>
      <c r="I78" s="7" t="n">
        <v>109376.83</v>
      </c>
      <c r="J78" s="7" t="n">
        <v>107560.78</v>
      </c>
      <c r="K78" s="7" t="n">
        <v>96535.06</v>
      </c>
      <c r="L78" s="7" t="n">
        <v>97047.11</v>
      </c>
      <c r="M78" s="7" t="n">
        <v>96166.19</v>
      </c>
      <c r="N78" s="7" t="n">
        <v>100962.76</v>
      </c>
      <c r="O78" s="7" t="n">
        <v>97135.37</v>
      </c>
      <c r="P78" s="7" t="n">
        <v>106359.53</v>
      </c>
      <c r="Q78" s="7" t="n">
        <v>102315.75</v>
      </c>
      <c r="R78" s="7" t="n">
        <v>97867.97</v>
      </c>
      <c r="S78" s="8">
        <f>SUM(G78:R78)</f>
        <v/>
      </c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>
        <f>SUM(T78:AE78)</f>
        <v/>
      </c>
      <c r="AG78" s="7">
        <f>S78-AF78</f>
        <v/>
      </c>
      <c r="AH78" s="5">
        <f>IF(S78=0,0,AG78/S78)</f>
        <v/>
      </c>
    </row>
    <row r="79">
      <c r="A79" s="2" t="inlineStr">
        <is>
          <t>CC-4000</t>
        </is>
      </c>
      <c r="B79" s="2" t="inlineStr">
        <is>
          <t>Servicios Auxiliares</t>
        </is>
      </c>
      <c r="C79" s="2" t="inlineStr">
        <is>
          <t>AUX</t>
        </is>
      </c>
      <c r="D79" s="2" t="n">
        <v>640000</v>
      </c>
      <c r="E79" s="2" t="inlineStr">
        <is>
          <t>Energia electrica</t>
        </is>
      </c>
      <c r="F79" s="2" t="inlineStr">
        <is>
          <t>consumo_energia_servicios</t>
        </is>
      </c>
      <c r="G79" s="7" t="n">
        <v>88362.91</v>
      </c>
      <c r="H79" s="7" t="n">
        <v>85170.8</v>
      </c>
      <c r="I79" s="7" t="n">
        <v>92083.28999999999</v>
      </c>
      <c r="J79" s="7" t="n">
        <v>93330.22</v>
      </c>
      <c r="K79" s="7" t="n">
        <v>86456.72</v>
      </c>
      <c r="L79" s="7" t="n">
        <v>92876.2</v>
      </c>
      <c r="M79" s="7" t="n">
        <v>97218.89999999999</v>
      </c>
      <c r="N79" s="7" t="n">
        <v>91828.22</v>
      </c>
      <c r="O79" s="7" t="n">
        <v>86038.35000000001</v>
      </c>
      <c r="P79" s="7" t="n">
        <v>103932.76</v>
      </c>
      <c r="Q79" s="7" t="n">
        <v>91624.46000000001</v>
      </c>
      <c r="R79" s="7" t="n">
        <v>89332.92</v>
      </c>
      <c r="S79" s="8">
        <f>SUM(G79:R79)</f>
        <v/>
      </c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>
        <f>SUM(T79:AE79)</f>
        <v/>
      </c>
      <c r="AG79" s="7">
        <f>S79-AF79</f>
        <v/>
      </c>
      <c r="AH79" s="5">
        <f>IF(S79=0,0,AG79/S79)</f>
        <v/>
      </c>
    </row>
    <row r="80">
      <c r="A80" s="2" t="inlineStr">
        <is>
          <t>CC-4000</t>
        </is>
      </c>
      <c r="B80" s="2" t="inlineStr">
        <is>
          <t>Servicios Auxiliares</t>
        </is>
      </c>
      <c r="C80" s="2" t="inlineStr">
        <is>
          <t>AUX</t>
        </is>
      </c>
      <c r="D80" s="2" t="n">
        <v>650000</v>
      </c>
      <c r="E80" s="2" t="inlineStr">
        <is>
          <t>Distribuibles</t>
        </is>
      </c>
      <c r="F80" s="2" t="inlineStr">
        <is>
          <t>campamento</t>
        </is>
      </c>
      <c r="G80" s="7" t="n">
        <v>25199.39</v>
      </c>
      <c r="H80" s="7" t="n">
        <v>23458.97</v>
      </c>
      <c r="I80" s="7" t="n">
        <v>24982.37</v>
      </c>
      <c r="J80" s="7" t="n">
        <v>24915.85</v>
      </c>
      <c r="K80" s="7" t="n">
        <v>23441.43</v>
      </c>
      <c r="L80" s="7" t="n">
        <v>22048.21</v>
      </c>
      <c r="M80" s="7" t="n">
        <v>23711.02</v>
      </c>
      <c r="N80" s="7" t="n">
        <v>25019.58</v>
      </c>
      <c r="O80" s="7" t="n">
        <v>23007.82</v>
      </c>
      <c r="P80" s="7" t="n">
        <v>25510.29</v>
      </c>
      <c r="Q80" s="7" t="n">
        <v>22237.51</v>
      </c>
      <c r="R80" s="7" t="n">
        <v>25233.06</v>
      </c>
      <c r="S80" s="8">
        <f>SUM(G80:R80)</f>
        <v/>
      </c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>
        <f>SUM(T80:AE80)</f>
        <v/>
      </c>
      <c r="AG80" s="7">
        <f>S80-AF80</f>
        <v/>
      </c>
      <c r="AH80" s="5">
        <f>IF(S80=0,0,AG80/S80)</f>
        <v/>
      </c>
    </row>
    <row r="81">
      <c r="A81" s="2" t="inlineStr">
        <is>
          <t>CC-4000</t>
        </is>
      </c>
      <c r="B81" s="2" t="inlineStr">
        <is>
          <t>Servicios Auxiliares</t>
        </is>
      </c>
      <c r="C81" s="2" t="inlineStr">
        <is>
          <t>AUX</t>
        </is>
      </c>
      <c r="D81" s="2" t="n">
        <v>650000</v>
      </c>
      <c r="E81" s="2" t="inlineStr">
        <is>
          <t>Distribuibles</t>
        </is>
      </c>
      <c r="F81" s="2" t="inlineStr">
        <is>
          <t>agua_mar</t>
        </is>
      </c>
      <c r="G81" s="7" t="n">
        <v>57251.77</v>
      </c>
      <c r="H81" s="7" t="n">
        <v>53711.1</v>
      </c>
      <c r="I81" s="7" t="n">
        <v>54260.91</v>
      </c>
      <c r="J81" s="7" t="n">
        <v>58087.14</v>
      </c>
      <c r="K81" s="7" t="n">
        <v>53397.76</v>
      </c>
      <c r="L81" s="7" t="n">
        <v>53416.74</v>
      </c>
      <c r="M81" s="7" t="n">
        <v>55653.57</v>
      </c>
      <c r="N81" s="7" t="n">
        <v>56446.85</v>
      </c>
      <c r="O81" s="7" t="n">
        <v>51586.01</v>
      </c>
      <c r="P81" s="7" t="n">
        <v>60425.11</v>
      </c>
      <c r="Q81" s="7" t="n">
        <v>50723.92</v>
      </c>
      <c r="R81" s="7" t="n">
        <v>57097.04</v>
      </c>
      <c r="S81" s="8">
        <f>SUM(G81:R81)</f>
        <v/>
      </c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>
        <f>SUM(T81:AE81)</f>
        <v/>
      </c>
      <c r="AG81" s="7">
        <f>S81-AF81</f>
        <v/>
      </c>
      <c r="AH81" s="5">
        <f>IF(S81=0,0,AG81/S81)</f>
        <v/>
      </c>
    </row>
    <row r="82">
      <c r="A82" s="2" t="inlineStr">
        <is>
          <t>CC-4000</t>
        </is>
      </c>
      <c r="B82" s="2" t="inlineStr">
        <is>
          <t>Servicios Auxiliares</t>
        </is>
      </c>
      <c r="C82" s="2" t="inlineStr">
        <is>
          <t>AUX</t>
        </is>
      </c>
      <c r="D82" s="2" t="n">
        <v>650000</v>
      </c>
      <c r="E82" s="2" t="inlineStr">
        <is>
          <t>Distribuibles</t>
        </is>
      </c>
      <c r="F82" s="2" t="inlineStr">
        <is>
          <t>agua_fresca</t>
        </is>
      </c>
      <c r="G82" s="7" t="n">
        <v>22204.07</v>
      </c>
      <c r="H82" s="7" t="n">
        <v>21949.12</v>
      </c>
      <c r="I82" s="7" t="n">
        <v>23328.75</v>
      </c>
      <c r="J82" s="7" t="n">
        <v>23594.53</v>
      </c>
      <c r="K82" s="7" t="n">
        <v>22995.77</v>
      </c>
      <c r="L82" s="7" t="n">
        <v>22118.16</v>
      </c>
      <c r="M82" s="7" t="n">
        <v>21491.92</v>
      </c>
      <c r="N82" s="7" t="n">
        <v>22256.19</v>
      </c>
      <c r="O82" s="7" t="n">
        <v>20465.3</v>
      </c>
      <c r="P82" s="7" t="n">
        <v>24053.24</v>
      </c>
      <c r="Q82" s="7" t="n">
        <v>22243.41</v>
      </c>
      <c r="R82" s="7" t="n">
        <v>22070.12</v>
      </c>
      <c r="S82" s="8">
        <f>SUM(G82:R82)</f>
        <v/>
      </c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>
        <f>SUM(T82:AE82)</f>
        <v/>
      </c>
      <c r="AG82" s="7">
        <f>S82-AF82</f>
        <v/>
      </c>
      <c r="AH82" s="5">
        <f>IF(S82=0,0,AG82/S82)</f>
        <v/>
      </c>
    </row>
    <row r="83">
      <c r="A83" s="2" t="inlineStr">
        <is>
          <t>CC-4000</t>
        </is>
      </c>
      <c r="B83" s="2" t="inlineStr">
        <is>
          <t>Servicios Auxiliares</t>
        </is>
      </c>
      <c r="C83" s="2" t="inlineStr">
        <is>
          <t>AUX</t>
        </is>
      </c>
      <c r="D83" s="2" t="n">
        <v>650000</v>
      </c>
      <c r="E83" s="2" t="inlineStr">
        <is>
          <t>Distribuibles</t>
        </is>
      </c>
      <c r="F83" s="2" t="inlineStr">
        <is>
          <t>transporte_personal</t>
        </is>
      </c>
      <c r="G83" s="7" t="n">
        <v>49376.14</v>
      </c>
      <c r="H83" s="7" t="n">
        <v>49822.98</v>
      </c>
      <c r="I83" s="7" t="n">
        <v>51269.36</v>
      </c>
      <c r="J83" s="7" t="n">
        <v>50758.26</v>
      </c>
      <c r="K83" s="7" t="n">
        <v>49858.09</v>
      </c>
      <c r="L83" s="7" t="n">
        <v>45672.38</v>
      </c>
      <c r="M83" s="7" t="n">
        <v>49883.97</v>
      </c>
      <c r="N83" s="7" t="n">
        <v>45760.8</v>
      </c>
      <c r="O83" s="7" t="n">
        <v>42617.21</v>
      </c>
      <c r="P83" s="7" t="n">
        <v>51095.46</v>
      </c>
      <c r="Q83" s="7" t="n">
        <v>45108.49</v>
      </c>
      <c r="R83" s="7" t="n">
        <v>49182.84</v>
      </c>
      <c r="S83" s="8">
        <f>SUM(G83:R83)</f>
        <v/>
      </c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>
        <f>SUM(T83:AE83)</f>
        <v/>
      </c>
      <c r="AG83" s="7">
        <f>S83-AF83</f>
        <v/>
      </c>
      <c r="AH83" s="5">
        <f>IF(S83=0,0,AG83/S83)</f>
        <v/>
      </c>
    </row>
    <row r="84">
      <c r="A84" s="2" t="inlineStr">
        <is>
          <t>CC-4000</t>
        </is>
      </c>
      <c r="B84" s="2" t="inlineStr">
        <is>
          <t>Servicios Auxiliares</t>
        </is>
      </c>
      <c r="C84" s="2" t="inlineStr">
        <is>
          <t>AUX</t>
        </is>
      </c>
      <c r="D84" s="2" t="n">
        <v>660000</v>
      </c>
      <c r="E84" s="2" t="inlineStr">
        <is>
          <t>Depreciacion</t>
        </is>
      </c>
      <c r="F84" s="2" t="inlineStr">
        <is>
          <t>depreciacion_equipos</t>
        </is>
      </c>
      <c r="G84" s="7" t="n">
        <v>95240.03999999999</v>
      </c>
      <c r="H84" s="7" t="n">
        <v>88797.41</v>
      </c>
      <c r="I84" s="7" t="n">
        <v>90756.39999999999</v>
      </c>
      <c r="J84" s="7" t="n">
        <v>92249.06</v>
      </c>
      <c r="K84" s="7" t="n">
        <v>84562.46000000001</v>
      </c>
      <c r="L84" s="7" t="n">
        <v>88502.28999999999</v>
      </c>
      <c r="M84" s="7" t="n">
        <v>89693.17</v>
      </c>
      <c r="N84" s="7" t="n">
        <v>94415.03999999999</v>
      </c>
      <c r="O84" s="7" t="n">
        <v>88206.46000000001</v>
      </c>
      <c r="P84" s="7" t="n">
        <v>92878.10000000001</v>
      </c>
      <c r="Q84" s="7" t="n">
        <v>92493.42999999999</v>
      </c>
      <c r="R84" s="7" t="n">
        <v>96674.67</v>
      </c>
      <c r="S84" s="8">
        <f>SUM(G84:R84)</f>
        <v/>
      </c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>
        <f>SUM(T84:AE84)</f>
        <v/>
      </c>
      <c r="AG84" s="7">
        <f>S84-AF84</f>
        <v/>
      </c>
      <c r="AH84" s="5">
        <f>IF(S84=0,0,AG84/S84)</f>
        <v/>
      </c>
    </row>
    <row r="85">
      <c r="A85" s="2" t="inlineStr">
        <is>
          <t>CC-4000</t>
        </is>
      </c>
      <c r="B85" s="2" t="inlineStr">
        <is>
          <t>Servicios Auxiliares</t>
        </is>
      </c>
      <c r="C85" s="2" t="inlineStr">
        <is>
          <t>AUX</t>
        </is>
      </c>
      <c r="D85" s="2" t="n">
        <v>660000</v>
      </c>
      <c r="E85" s="2" t="inlineStr">
        <is>
          <t>Depreciacion</t>
        </is>
      </c>
      <c r="F85" s="2" t="inlineStr">
        <is>
          <t>depreciacion_infraestructura</t>
        </is>
      </c>
      <c r="G85" s="7" t="n">
        <v>14107.46</v>
      </c>
      <c r="H85" s="7" t="n">
        <v>13929.16</v>
      </c>
      <c r="I85" s="7" t="n">
        <v>13230.95</v>
      </c>
      <c r="J85" s="7" t="n">
        <v>14697.07</v>
      </c>
      <c r="K85" s="7" t="n">
        <v>13400.32</v>
      </c>
      <c r="L85" s="7" t="n">
        <v>13653.55</v>
      </c>
      <c r="M85" s="7" t="n">
        <v>13430.17</v>
      </c>
      <c r="N85" s="7" t="n">
        <v>14071.92</v>
      </c>
      <c r="O85" s="7" t="n">
        <v>12546.08</v>
      </c>
      <c r="P85" s="7" t="n">
        <v>14437.39</v>
      </c>
      <c r="Q85" s="7" t="n">
        <v>13883.49</v>
      </c>
      <c r="R85" s="7" t="n">
        <v>14143.89</v>
      </c>
      <c r="S85" s="8">
        <f>SUM(G85:R85)</f>
        <v/>
      </c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>
        <f>SUM(T85:AE85)</f>
        <v/>
      </c>
      <c r="AG85" s="7">
        <f>S85-AF85</f>
        <v/>
      </c>
      <c r="AH85" s="5">
        <f>IF(S85=0,0,AG85/S85)</f>
        <v/>
      </c>
    </row>
    <row r="86">
      <c r="A86" s="2" t="inlineStr">
        <is>
          <t>CC-5000</t>
        </is>
      </c>
      <c r="B86" s="2" t="inlineStr">
        <is>
          <t>Infraestructura</t>
        </is>
      </c>
      <c r="C86" s="2" t="inlineStr">
        <is>
          <t>INF</t>
        </is>
      </c>
      <c r="D86" s="2" t="n">
        <v>610000</v>
      </c>
      <c r="E86" s="2" t="inlineStr">
        <is>
          <t>Mano obra interna</t>
        </is>
      </c>
      <c r="F86" s="2" t="inlineStr">
        <is>
          <t>sueldos_base</t>
        </is>
      </c>
      <c r="G86" s="7" t="n">
        <v>45359.55</v>
      </c>
      <c r="H86" s="7" t="n">
        <v>44893.89</v>
      </c>
      <c r="I86" s="7" t="n">
        <v>44231.12</v>
      </c>
      <c r="J86" s="7" t="n">
        <v>44744.26</v>
      </c>
      <c r="K86" s="7" t="n">
        <v>41401.98</v>
      </c>
      <c r="L86" s="7" t="n">
        <v>41458.27</v>
      </c>
      <c r="M86" s="7" t="n">
        <v>41723.54</v>
      </c>
      <c r="N86" s="7" t="n">
        <v>44197.66</v>
      </c>
      <c r="O86" s="7" t="n">
        <v>39669.09</v>
      </c>
      <c r="P86" s="7" t="n">
        <v>48969.5</v>
      </c>
      <c r="Q86" s="7" t="n">
        <v>41351.54</v>
      </c>
      <c r="R86" s="7" t="n">
        <v>43049.12</v>
      </c>
      <c r="S86" s="8">
        <f>SUM(G86:R86)</f>
        <v/>
      </c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>
        <f>SUM(T86:AE86)</f>
        <v/>
      </c>
      <c r="AG86" s="7">
        <f>S86-AF86</f>
        <v/>
      </c>
      <c r="AH86" s="5">
        <f>IF(S86=0,0,AG86/S86)</f>
        <v/>
      </c>
    </row>
    <row r="87">
      <c r="A87" s="2" t="inlineStr">
        <is>
          <t>CC-5000</t>
        </is>
      </c>
      <c r="B87" s="2" t="inlineStr">
        <is>
          <t>Infraestructura</t>
        </is>
      </c>
      <c r="C87" s="2" t="inlineStr">
        <is>
          <t>INF</t>
        </is>
      </c>
      <c r="D87" s="2" t="n">
        <v>610000</v>
      </c>
      <c r="E87" s="2" t="inlineStr">
        <is>
          <t>Mano obra interna</t>
        </is>
      </c>
      <c r="F87" s="2" t="inlineStr">
        <is>
          <t>bonos</t>
        </is>
      </c>
      <c r="G87" s="7" t="n">
        <v>79664.69</v>
      </c>
      <c r="H87" s="7" t="n">
        <v>73939.39</v>
      </c>
      <c r="I87" s="7" t="n">
        <v>77727.14</v>
      </c>
      <c r="J87" s="7" t="n">
        <v>82554.77</v>
      </c>
      <c r="K87" s="7" t="n">
        <v>77286</v>
      </c>
      <c r="L87" s="7" t="n">
        <v>72055.89999999999</v>
      </c>
      <c r="M87" s="7" t="n">
        <v>73761.47</v>
      </c>
      <c r="N87" s="7" t="n">
        <v>77747.41</v>
      </c>
      <c r="O87" s="7" t="n">
        <v>74837.17</v>
      </c>
      <c r="P87" s="7" t="n">
        <v>82741.96000000001</v>
      </c>
      <c r="Q87" s="7" t="n">
        <v>73337.71000000001</v>
      </c>
      <c r="R87" s="7" t="n">
        <v>78293.87</v>
      </c>
      <c r="S87" s="8">
        <f>SUM(G87:R87)</f>
        <v/>
      </c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>
        <f>SUM(T87:AE87)</f>
        <v/>
      </c>
      <c r="AG87" s="7">
        <f>S87-AF87</f>
        <v/>
      </c>
      <c r="AH87" s="5">
        <f>IF(S87=0,0,AG87/S87)</f>
        <v/>
      </c>
    </row>
    <row r="88">
      <c r="A88" s="2" t="inlineStr">
        <is>
          <t>CC-5000</t>
        </is>
      </c>
      <c r="B88" s="2" t="inlineStr">
        <is>
          <t>Infraestructura</t>
        </is>
      </c>
      <c r="C88" s="2" t="inlineStr">
        <is>
          <t>INF</t>
        </is>
      </c>
      <c r="D88" s="2" t="n">
        <v>610000</v>
      </c>
      <c r="E88" s="2" t="inlineStr">
        <is>
          <t>Mano obra interna</t>
        </is>
      </c>
      <c r="F88" s="2" t="inlineStr">
        <is>
          <t>seguros_beneficios</t>
        </is>
      </c>
      <c r="G88" s="7" t="n">
        <v>73074.19</v>
      </c>
      <c r="H88" s="7" t="n">
        <v>66200.74000000001</v>
      </c>
      <c r="I88" s="7" t="n">
        <v>67972.05</v>
      </c>
      <c r="J88" s="7" t="n">
        <v>69915.89999999999</v>
      </c>
      <c r="K88" s="7" t="n">
        <v>69646.05</v>
      </c>
      <c r="L88" s="7" t="n">
        <v>61145.6</v>
      </c>
      <c r="M88" s="7" t="n">
        <v>68348.06</v>
      </c>
      <c r="N88" s="7" t="n">
        <v>70529.41</v>
      </c>
      <c r="O88" s="7" t="n">
        <v>60999.36</v>
      </c>
      <c r="P88" s="7" t="n">
        <v>76867.11</v>
      </c>
      <c r="Q88" s="7" t="n">
        <v>66289.78</v>
      </c>
      <c r="R88" s="7" t="n">
        <v>68989.64</v>
      </c>
      <c r="S88" s="8">
        <f>SUM(G88:R88)</f>
        <v/>
      </c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>
        <f>SUM(T88:AE88)</f>
        <v/>
      </c>
      <c r="AG88" s="7">
        <f>S88-AF88</f>
        <v/>
      </c>
      <c r="AH88" s="5">
        <f>IF(S88=0,0,AG88/S88)</f>
        <v/>
      </c>
    </row>
    <row r="89">
      <c r="A89" s="2" t="inlineStr">
        <is>
          <t>CC-5000</t>
        </is>
      </c>
      <c r="B89" s="2" t="inlineStr">
        <is>
          <t>Infraestructura</t>
        </is>
      </c>
      <c r="C89" s="2" t="inlineStr">
        <is>
          <t>INF</t>
        </is>
      </c>
      <c r="D89" s="2" t="n">
        <v>610000</v>
      </c>
      <c r="E89" s="2" t="inlineStr">
        <is>
          <t>Mano obra interna</t>
        </is>
      </c>
      <c r="F89" s="2" t="inlineStr">
        <is>
          <t>provisiones</t>
        </is>
      </c>
      <c r="G89" s="7" t="n">
        <v>12085.81</v>
      </c>
      <c r="H89" s="7" t="n">
        <v>10554.33</v>
      </c>
      <c r="I89" s="7" t="n">
        <v>11903.29</v>
      </c>
      <c r="J89" s="7" t="n">
        <v>11900.44</v>
      </c>
      <c r="K89" s="7" t="n">
        <v>11083.77</v>
      </c>
      <c r="L89" s="7" t="n">
        <v>10087.32</v>
      </c>
      <c r="M89" s="7" t="n">
        <v>11252.86</v>
      </c>
      <c r="N89" s="7" t="n">
        <v>10740.69</v>
      </c>
      <c r="O89" s="7" t="n">
        <v>10518.19</v>
      </c>
      <c r="P89" s="7" t="n">
        <v>12440.88</v>
      </c>
      <c r="Q89" s="7" t="n">
        <v>10897.34</v>
      </c>
      <c r="R89" s="7" t="n">
        <v>11560.18</v>
      </c>
      <c r="S89" s="8">
        <f>SUM(G89:R89)</f>
        <v/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>
        <f>SUM(T89:AE89)</f>
        <v/>
      </c>
      <c r="AG89" s="7">
        <f>S89-AF89</f>
        <v/>
      </c>
      <c r="AH89" s="5">
        <f>IF(S89=0,0,AG89/S89)</f>
        <v/>
      </c>
    </row>
    <row r="90">
      <c r="A90" s="2" t="inlineStr">
        <is>
          <t>CC-5000</t>
        </is>
      </c>
      <c r="B90" s="2" t="inlineStr">
        <is>
          <t>Infraestructura</t>
        </is>
      </c>
      <c r="C90" s="2" t="inlineStr">
        <is>
          <t>INF</t>
        </is>
      </c>
      <c r="D90" s="2" t="n">
        <v>620000</v>
      </c>
      <c r="E90" s="2" t="inlineStr">
        <is>
          <t>Materiales</t>
        </is>
      </c>
      <c r="F90" s="2" t="inlineStr">
        <is>
          <t>repuestos_mecanicos</t>
        </is>
      </c>
      <c r="G90" s="7" t="n">
        <v>52211.91</v>
      </c>
      <c r="H90" s="7" t="n">
        <v>48160.04</v>
      </c>
      <c r="I90" s="7" t="n">
        <v>47577.01</v>
      </c>
      <c r="J90" s="7" t="n">
        <v>48745.05</v>
      </c>
      <c r="K90" s="7" t="n">
        <v>46493.76</v>
      </c>
      <c r="L90" s="7" t="n">
        <v>44972.7</v>
      </c>
      <c r="M90" s="7" t="n">
        <v>48520.94</v>
      </c>
      <c r="N90" s="7" t="n">
        <v>47365.96</v>
      </c>
      <c r="O90" s="7" t="n">
        <v>43976.71</v>
      </c>
      <c r="P90" s="7" t="n">
        <v>55204.29</v>
      </c>
      <c r="Q90" s="7" t="n">
        <v>47392.5</v>
      </c>
      <c r="R90" s="7" t="n">
        <v>47781.19</v>
      </c>
      <c r="S90" s="8">
        <f>SUM(G90:R90)</f>
        <v/>
      </c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>
        <f>SUM(T90:AE90)</f>
        <v/>
      </c>
      <c r="AG90" s="7">
        <f>S90-AF90</f>
        <v/>
      </c>
      <c r="AH90" s="5">
        <f>IF(S90=0,0,AG90/S90)</f>
        <v/>
      </c>
    </row>
    <row r="91">
      <c r="A91" s="2" t="inlineStr">
        <is>
          <t>CC-5000</t>
        </is>
      </c>
      <c r="B91" s="2" t="inlineStr">
        <is>
          <t>Infraestructura</t>
        </is>
      </c>
      <c r="C91" s="2" t="inlineStr">
        <is>
          <t>INF</t>
        </is>
      </c>
      <c r="D91" s="2" t="n">
        <v>620000</v>
      </c>
      <c r="E91" s="2" t="inlineStr">
        <is>
          <t>Materiales</t>
        </is>
      </c>
      <c r="F91" s="2" t="inlineStr">
        <is>
          <t>GET</t>
        </is>
      </c>
      <c r="G91" s="7" t="n">
        <v>36720.01</v>
      </c>
      <c r="H91" s="7" t="n">
        <v>37763.41</v>
      </c>
      <c r="I91" s="7" t="n">
        <v>39902.54</v>
      </c>
      <c r="J91" s="7" t="n">
        <v>38590.9</v>
      </c>
      <c r="K91" s="7" t="n">
        <v>36281.09</v>
      </c>
      <c r="L91" s="7" t="n">
        <v>36462.48</v>
      </c>
      <c r="M91" s="7" t="n">
        <v>38922.09</v>
      </c>
      <c r="N91" s="7" t="n">
        <v>35457.23</v>
      </c>
      <c r="O91" s="7" t="n">
        <v>35902.8</v>
      </c>
      <c r="P91" s="7" t="n">
        <v>41531.96</v>
      </c>
      <c r="Q91" s="7" t="n">
        <v>35210.63</v>
      </c>
      <c r="R91" s="7" t="n">
        <v>36575.92</v>
      </c>
      <c r="S91" s="8">
        <f>SUM(G91:R91)</f>
        <v/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>
        <f>SUM(T91:AE91)</f>
        <v/>
      </c>
      <c r="AG91" s="7">
        <f>S91-AF91</f>
        <v/>
      </c>
      <c r="AH91" s="5">
        <f>IF(S91=0,0,AG91/S91)</f>
        <v/>
      </c>
    </row>
    <row r="92">
      <c r="A92" s="2" t="inlineStr">
        <is>
          <t>CC-5000</t>
        </is>
      </c>
      <c r="B92" s="2" t="inlineStr">
        <is>
          <t>Infraestructura</t>
        </is>
      </c>
      <c r="C92" s="2" t="inlineStr">
        <is>
          <t>INF</t>
        </is>
      </c>
      <c r="D92" s="2" t="n">
        <v>620000</v>
      </c>
      <c r="E92" s="2" t="inlineStr">
        <is>
          <t>Materiales</t>
        </is>
      </c>
      <c r="F92" s="2" t="inlineStr">
        <is>
          <t>consumibles_operacion</t>
        </is>
      </c>
      <c r="G92" s="7" t="n">
        <v>26180.27</v>
      </c>
      <c r="H92" s="7" t="n">
        <v>24376.15</v>
      </c>
      <c r="I92" s="7" t="n">
        <v>25134.28</v>
      </c>
      <c r="J92" s="7" t="n">
        <v>27421.2</v>
      </c>
      <c r="K92" s="7" t="n">
        <v>25156.94</v>
      </c>
      <c r="L92" s="7" t="n">
        <v>24247.34</v>
      </c>
      <c r="M92" s="7" t="n">
        <v>24315.53</v>
      </c>
      <c r="N92" s="7" t="n">
        <v>25439.9</v>
      </c>
      <c r="O92" s="7" t="n">
        <v>24377.56</v>
      </c>
      <c r="P92" s="7" t="n">
        <v>26612.19</v>
      </c>
      <c r="Q92" s="7" t="n">
        <v>24246.02</v>
      </c>
      <c r="R92" s="7" t="n">
        <v>24829.05</v>
      </c>
      <c r="S92" s="8">
        <f>SUM(G92:R92)</f>
        <v/>
      </c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>
        <f>SUM(T92:AE92)</f>
        <v/>
      </c>
      <c r="AG92" s="7">
        <f>S92-AF92</f>
        <v/>
      </c>
      <c r="AH92" s="5">
        <f>IF(S92=0,0,AG92/S92)</f>
        <v/>
      </c>
    </row>
    <row r="93">
      <c r="A93" s="2" t="inlineStr">
        <is>
          <t>CC-5000</t>
        </is>
      </c>
      <c r="B93" s="2" t="inlineStr">
        <is>
          <t>Infraestructura</t>
        </is>
      </c>
      <c r="C93" s="2" t="inlineStr">
        <is>
          <t>INF</t>
        </is>
      </c>
      <c r="D93" s="2" t="n">
        <v>620000</v>
      </c>
      <c r="E93" s="2" t="inlineStr">
        <is>
          <t>Materiales</t>
        </is>
      </c>
      <c r="F93" s="2" t="inlineStr">
        <is>
          <t>ropa_seguridad</t>
        </is>
      </c>
      <c r="G93" s="7" t="n">
        <v>22956.5</v>
      </c>
      <c r="H93" s="7" t="n">
        <v>23516.36</v>
      </c>
      <c r="I93" s="7" t="n">
        <v>22864.92</v>
      </c>
      <c r="J93" s="7" t="n">
        <v>22069.76</v>
      </c>
      <c r="K93" s="7" t="n">
        <v>22747.46</v>
      </c>
      <c r="L93" s="7" t="n">
        <v>22089.04</v>
      </c>
      <c r="M93" s="7" t="n">
        <v>22426.02</v>
      </c>
      <c r="N93" s="7" t="n">
        <v>23257.14</v>
      </c>
      <c r="O93" s="7" t="n">
        <v>20122.47</v>
      </c>
      <c r="P93" s="7" t="n">
        <v>24208.39</v>
      </c>
      <c r="Q93" s="7" t="n">
        <v>21209.92</v>
      </c>
      <c r="R93" s="7" t="n">
        <v>22472.49</v>
      </c>
      <c r="S93" s="8">
        <f>SUM(G93:R93)</f>
        <v/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>
        <f>SUM(T93:AE93)</f>
        <v/>
      </c>
      <c r="AG93" s="7">
        <f>S93-AF93</f>
        <v/>
      </c>
      <c r="AH93" s="5">
        <f>IF(S93=0,0,AG93/S93)</f>
        <v/>
      </c>
    </row>
    <row r="94">
      <c r="A94" s="2" t="inlineStr">
        <is>
          <t>CC-5000</t>
        </is>
      </c>
      <c r="B94" s="2" t="inlineStr">
        <is>
          <t>Infraestructura</t>
        </is>
      </c>
      <c r="C94" s="2" t="inlineStr">
        <is>
          <t>INF</t>
        </is>
      </c>
      <c r="D94" s="2" t="n">
        <v>630000</v>
      </c>
      <c r="E94" s="2" t="inlineStr">
        <is>
          <t>Servicios externos</t>
        </is>
      </c>
      <c r="F94" s="2" t="inlineStr">
        <is>
          <t>mantenci_mecanica</t>
        </is>
      </c>
      <c r="G94" s="7" t="n">
        <v>28614.17</v>
      </c>
      <c r="H94" s="7" t="n">
        <v>25448.57</v>
      </c>
      <c r="I94" s="7" t="n">
        <v>28202.4</v>
      </c>
      <c r="J94" s="7" t="n">
        <v>27442.94</v>
      </c>
      <c r="K94" s="7" t="n">
        <v>28035.37</v>
      </c>
      <c r="L94" s="7" t="n">
        <v>27017.94</v>
      </c>
      <c r="M94" s="7" t="n">
        <v>27941.4</v>
      </c>
      <c r="N94" s="7" t="n">
        <v>26911.05</v>
      </c>
      <c r="O94" s="7" t="n">
        <v>25821.41</v>
      </c>
      <c r="P94" s="7" t="n">
        <v>29944.68</v>
      </c>
      <c r="Q94" s="7" t="n">
        <v>25904.28</v>
      </c>
      <c r="R94" s="7" t="n">
        <v>28977.9</v>
      </c>
      <c r="S94" s="8">
        <f>SUM(G94:R94)</f>
        <v/>
      </c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>
        <f>SUM(T94:AE94)</f>
        <v/>
      </c>
      <c r="AG94" s="7">
        <f>S94-AF94</f>
        <v/>
      </c>
      <c r="AH94" s="5">
        <f>IF(S94=0,0,AG94/S94)</f>
        <v/>
      </c>
    </row>
    <row r="95">
      <c r="A95" s="2" t="inlineStr">
        <is>
          <t>CC-5000</t>
        </is>
      </c>
      <c r="B95" s="2" t="inlineStr">
        <is>
          <t>Infraestructura</t>
        </is>
      </c>
      <c r="C95" s="2" t="inlineStr">
        <is>
          <t>INF</t>
        </is>
      </c>
      <c r="D95" s="2" t="n">
        <v>630000</v>
      </c>
      <c r="E95" s="2" t="inlineStr">
        <is>
          <t>Servicios externos</t>
        </is>
      </c>
      <c r="F95" s="2" t="inlineStr">
        <is>
          <t>mantenci_electrica</t>
        </is>
      </c>
      <c r="G95" s="7" t="n">
        <v>4225.82</v>
      </c>
      <c r="H95" s="7" t="n">
        <v>3766.9</v>
      </c>
      <c r="I95" s="7" t="n">
        <v>4181.58</v>
      </c>
      <c r="J95" s="7" t="n">
        <v>3998.6</v>
      </c>
      <c r="K95" s="7" t="n">
        <v>3854.57</v>
      </c>
      <c r="L95" s="7" t="n">
        <v>3689.15</v>
      </c>
      <c r="M95" s="7" t="n">
        <v>3816.02</v>
      </c>
      <c r="N95" s="7" t="n">
        <v>4105.78</v>
      </c>
      <c r="O95" s="7" t="n">
        <v>3746.75</v>
      </c>
      <c r="P95" s="7" t="n">
        <v>4188.7</v>
      </c>
      <c r="Q95" s="7" t="n">
        <v>3901.31</v>
      </c>
      <c r="R95" s="7" t="n">
        <v>4074.15</v>
      </c>
      <c r="S95" s="8">
        <f>SUM(G95:R95)</f>
        <v/>
      </c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>
        <f>SUM(T95:AE95)</f>
        <v/>
      </c>
      <c r="AG95" s="7">
        <f>S95-AF95</f>
        <v/>
      </c>
      <c r="AH95" s="5">
        <f>IF(S95=0,0,AG95/S95)</f>
        <v/>
      </c>
    </row>
    <row r="96">
      <c r="A96" s="2" t="inlineStr">
        <is>
          <t>CC-5000</t>
        </is>
      </c>
      <c r="B96" s="2" t="inlineStr">
        <is>
          <t>Infraestructura</t>
        </is>
      </c>
      <c r="C96" s="2" t="inlineStr">
        <is>
          <t>INF</t>
        </is>
      </c>
      <c r="D96" s="2" t="n">
        <v>630000</v>
      </c>
      <c r="E96" s="2" t="inlineStr">
        <is>
          <t>Servicios externos</t>
        </is>
      </c>
      <c r="F96" s="2" t="inlineStr">
        <is>
          <t>servicios_operacion</t>
        </is>
      </c>
      <c r="G96" s="7" t="n">
        <v>15857.94</v>
      </c>
      <c r="H96" s="7" t="n">
        <v>15126.65</v>
      </c>
      <c r="I96" s="7" t="n">
        <v>17151.23</v>
      </c>
      <c r="J96" s="7" t="n">
        <v>16942.9</v>
      </c>
      <c r="K96" s="7" t="n">
        <v>16757.93</v>
      </c>
      <c r="L96" s="7" t="n">
        <v>14397.04</v>
      </c>
      <c r="M96" s="7" t="n">
        <v>16064.98</v>
      </c>
      <c r="N96" s="7" t="n">
        <v>16354.12</v>
      </c>
      <c r="O96" s="7" t="n">
        <v>15023.01</v>
      </c>
      <c r="P96" s="7" t="n">
        <v>17668.74</v>
      </c>
      <c r="Q96" s="7" t="n">
        <v>14796.55</v>
      </c>
      <c r="R96" s="7" t="n">
        <v>15247.45</v>
      </c>
      <c r="S96" s="8">
        <f>SUM(G96:R96)</f>
        <v/>
      </c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>
        <f>SUM(T96:AE96)</f>
        <v/>
      </c>
      <c r="AG96" s="7">
        <f>S96-AF96</f>
        <v/>
      </c>
      <c r="AH96" s="5">
        <f>IF(S96=0,0,AG96/S96)</f>
        <v/>
      </c>
    </row>
    <row r="97">
      <c r="A97" s="2" t="inlineStr">
        <is>
          <t>CC-5000</t>
        </is>
      </c>
      <c r="B97" s="2" t="inlineStr">
        <is>
          <t>Infraestructura</t>
        </is>
      </c>
      <c r="C97" s="2" t="inlineStr">
        <is>
          <t>INF</t>
        </is>
      </c>
      <c r="D97" s="2" t="n">
        <v>630000</v>
      </c>
      <c r="E97" s="2" t="inlineStr">
        <is>
          <t>Servicios externos</t>
        </is>
      </c>
      <c r="F97" s="2" t="inlineStr">
        <is>
          <t>asesoria_consultoria</t>
        </is>
      </c>
      <c r="G97" s="7" t="n">
        <v>71388.47</v>
      </c>
      <c r="H97" s="7" t="n">
        <v>71365.81</v>
      </c>
      <c r="I97" s="7" t="n">
        <v>74290.57000000001</v>
      </c>
      <c r="J97" s="7" t="n">
        <v>78514.41</v>
      </c>
      <c r="K97" s="7" t="n">
        <v>69124.39</v>
      </c>
      <c r="L97" s="7" t="n">
        <v>69808.02</v>
      </c>
      <c r="M97" s="7" t="n">
        <v>77595.49000000001</v>
      </c>
      <c r="N97" s="7" t="n">
        <v>73491.89999999999</v>
      </c>
      <c r="O97" s="7" t="n">
        <v>65420.21</v>
      </c>
      <c r="P97" s="7" t="n">
        <v>77301.17999999999</v>
      </c>
      <c r="Q97" s="7" t="n">
        <v>72256.14</v>
      </c>
      <c r="R97" s="7" t="n">
        <v>70243.42</v>
      </c>
      <c r="S97" s="8">
        <f>SUM(G97:R97)</f>
        <v/>
      </c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>
        <f>SUM(T97:AE97)</f>
        <v/>
      </c>
      <c r="AG97" s="7">
        <f>S97-AF97</f>
        <v/>
      </c>
      <c r="AH97" s="5">
        <f>IF(S97=0,0,AG97/S97)</f>
        <v/>
      </c>
    </row>
    <row r="98">
      <c r="A98" s="2" t="inlineStr">
        <is>
          <t>CC-5000</t>
        </is>
      </c>
      <c r="B98" s="2" t="inlineStr">
        <is>
          <t>Infraestructura</t>
        </is>
      </c>
      <c r="C98" s="2" t="inlineStr">
        <is>
          <t>INF</t>
        </is>
      </c>
      <c r="D98" s="2" t="n">
        <v>640000</v>
      </c>
      <c r="E98" s="2" t="inlineStr">
        <is>
          <t>Energia electrica</t>
        </is>
      </c>
      <c r="F98" s="2" t="inlineStr">
        <is>
          <t>consumo_energia_planta</t>
        </is>
      </c>
      <c r="G98" s="7" t="n">
        <v>32544.03</v>
      </c>
      <c r="H98" s="7" t="n">
        <v>31399.36</v>
      </c>
      <c r="I98" s="7" t="n">
        <v>29738.41</v>
      </c>
      <c r="J98" s="7" t="n">
        <v>30417.9</v>
      </c>
      <c r="K98" s="7" t="n">
        <v>29319.74</v>
      </c>
      <c r="L98" s="7" t="n">
        <v>27484.43</v>
      </c>
      <c r="M98" s="7" t="n">
        <v>31952.41</v>
      </c>
      <c r="N98" s="7" t="n">
        <v>29863.55</v>
      </c>
      <c r="O98" s="7" t="n">
        <v>27921.83</v>
      </c>
      <c r="P98" s="7" t="n">
        <v>31369.55</v>
      </c>
      <c r="Q98" s="7" t="n">
        <v>31318.87</v>
      </c>
      <c r="R98" s="7" t="n">
        <v>32224.12</v>
      </c>
      <c r="S98" s="8">
        <f>SUM(G98:R98)</f>
        <v/>
      </c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>
        <f>SUM(T98:AE98)</f>
        <v/>
      </c>
      <c r="AG98" s="7">
        <f>S98-AF98</f>
        <v/>
      </c>
      <c r="AH98" s="5">
        <f>IF(S98=0,0,AG98/S98)</f>
        <v/>
      </c>
    </row>
    <row r="99">
      <c r="A99" s="2" t="inlineStr">
        <is>
          <t>CC-5000</t>
        </is>
      </c>
      <c r="B99" s="2" t="inlineStr">
        <is>
          <t>Infraestructura</t>
        </is>
      </c>
      <c r="C99" s="2" t="inlineStr">
        <is>
          <t>INF</t>
        </is>
      </c>
      <c r="D99" s="2" t="n">
        <v>640000</v>
      </c>
      <c r="E99" s="2" t="inlineStr">
        <is>
          <t>Energia electrica</t>
        </is>
      </c>
      <c r="F99" s="2" t="inlineStr">
        <is>
          <t>consumo_energia_mina</t>
        </is>
      </c>
      <c r="G99" s="7" t="n">
        <v>38936.8</v>
      </c>
      <c r="H99" s="7" t="n">
        <v>38458.31</v>
      </c>
      <c r="I99" s="7" t="n">
        <v>40309.46</v>
      </c>
      <c r="J99" s="7" t="n">
        <v>39376.17</v>
      </c>
      <c r="K99" s="7" t="n">
        <v>35960.47</v>
      </c>
      <c r="L99" s="7" t="n">
        <v>37110.14</v>
      </c>
      <c r="M99" s="7" t="n">
        <v>38148.79</v>
      </c>
      <c r="N99" s="7" t="n">
        <v>38803.42</v>
      </c>
      <c r="O99" s="7" t="n">
        <v>35385.23</v>
      </c>
      <c r="P99" s="7" t="n">
        <v>43014.53</v>
      </c>
      <c r="Q99" s="7" t="n">
        <v>37165.94</v>
      </c>
      <c r="R99" s="7" t="n">
        <v>38716.4</v>
      </c>
      <c r="S99" s="8">
        <f>SUM(G99:R99)</f>
        <v/>
      </c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>
        <f>SUM(T99:AE99)</f>
        <v/>
      </c>
      <c r="AG99" s="7">
        <f>S99-AF99</f>
        <v/>
      </c>
      <c r="AH99" s="5">
        <f>IF(S99=0,0,AG99/S99)</f>
        <v/>
      </c>
    </row>
    <row r="100">
      <c r="A100" s="2" t="inlineStr">
        <is>
          <t>CC-5000</t>
        </is>
      </c>
      <c r="B100" s="2" t="inlineStr">
        <is>
          <t>Infraestructura</t>
        </is>
      </c>
      <c r="C100" s="2" t="inlineStr">
        <is>
          <t>INF</t>
        </is>
      </c>
      <c r="D100" s="2" t="n">
        <v>640000</v>
      </c>
      <c r="E100" s="2" t="inlineStr">
        <is>
          <t>Energia electrica</t>
        </is>
      </c>
      <c r="F100" s="2" t="inlineStr">
        <is>
          <t>consumo_energia_servicios</t>
        </is>
      </c>
      <c r="G100" s="7" t="n">
        <v>32833.71</v>
      </c>
      <c r="H100" s="7" t="n">
        <v>29983.82</v>
      </c>
      <c r="I100" s="7" t="n">
        <v>31165.52</v>
      </c>
      <c r="J100" s="7" t="n">
        <v>31585.53</v>
      </c>
      <c r="K100" s="7" t="n">
        <v>30882.85</v>
      </c>
      <c r="L100" s="7" t="n">
        <v>28544.65</v>
      </c>
      <c r="M100" s="7" t="n">
        <v>31582.52</v>
      </c>
      <c r="N100" s="7" t="n">
        <v>31989.52</v>
      </c>
      <c r="O100" s="7" t="n">
        <v>29023.93</v>
      </c>
      <c r="P100" s="7" t="n">
        <v>33407.07</v>
      </c>
      <c r="Q100" s="7" t="n">
        <v>29168.94</v>
      </c>
      <c r="R100" s="7" t="n">
        <v>32892.09</v>
      </c>
      <c r="S100" s="8">
        <f>SUM(G100:R100)</f>
        <v/>
      </c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>
        <f>SUM(T100:AE100)</f>
        <v/>
      </c>
      <c r="AG100" s="7">
        <f>S100-AF100</f>
        <v/>
      </c>
      <c r="AH100" s="5">
        <f>IF(S100=0,0,AG100/S100)</f>
        <v/>
      </c>
    </row>
    <row r="101">
      <c r="A101" s="2" t="inlineStr">
        <is>
          <t>CC-5000</t>
        </is>
      </c>
      <c r="B101" s="2" t="inlineStr">
        <is>
          <t>Infraestructura</t>
        </is>
      </c>
      <c r="C101" s="2" t="inlineStr">
        <is>
          <t>INF</t>
        </is>
      </c>
      <c r="D101" s="2" t="n">
        <v>650000</v>
      </c>
      <c r="E101" s="2" t="inlineStr">
        <is>
          <t>Distribuibles</t>
        </is>
      </c>
      <c r="F101" s="2" t="inlineStr">
        <is>
          <t>campamento</t>
        </is>
      </c>
      <c r="G101" s="7" t="n">
        <v>11113.21</v>
      </c>
      <c r="H101" s="7" t="n">
        <v>10151.34</v>
      </c>
      <c r="I101" s="7" t="n">
        <v>11552.76</v>
      </c>
      <c r="J101" s="7" t="n">
        <v>10464.6</v>
      </c>
      <c r="K101" s="7" t="n">
        <v>10908</v>
      </c>
      <c r="L101" s="7" t="n">
        <v>10287.55</v>
      </c>
      <c r="M101" s="7" t="n">
        <v>10440.18</v>
      </c>
      <c r="N101" s="7" t="n">
        <v>10868.92</v>
      </c>
      <c r="O101" s="7" t="n">
        <v>10437.67</v>
      </c>
      <c r="P101" s="7" t="n">
        <v>11576.33</v>
      </c>
      <c r="Q101" s="7" t="n">
        <v>10333.92</v>
      </c>
      <c r="R101" s="7" t="n">
        <v>10535.79</v>
      </c>
      <c r="S101" s="8">
        <f>SUM(G101:R101)</f>
        <v/>
      </c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>
        <f>SUM(T101:AE101)</f>
        <v/>
      </c>
      <c r="AG101" s="7">
        <f>S101-AF101</f>
        <v/>
      </c>
      <c r="AH101" s="5">
        <f>IF(S101=0,0,AG101/S101)</f>
        <v/>
      </c>
    </row>
    <row r="102">
      <c r="A102" s="2" t="inlineStr">
        <is>
          <t>CC-5000</t>
        </is>
      </c>
      <c r="B102" s="2" t="inlineStr">
        <is>
          <t>Infraestructura</t>
        </is>
      </c>
      <c r="C102" s="2" t="inlineStr">
        <is>
          <t>INF</t>
        </is>
      </c>
      <c r="D102" s="2" t="n">
        <v>650000</v>
      </c>
      <c r="E102" s="2" t="inlineStr">
        <is>
          <t>Distribuibles</t>
        </is>
      </c>
      <c r="F102" s="2" t="inlineStr">
        <is>
          <t>agua_mar</t>
        </is>
      </c>
      <c r="G102" s="7" t="n">
        <v>23969.32</v>
      </c>
      <c r="H102" s="7" t="n">
        <v>23764.84</v>
      </c>
      <c r="I102" s="7" t="n">
        <v>24127.3</v>
      </c>
      <c r="J102" s="7" t="n">
        <v>22774.57</v>
      </c>
      <c r="K102" s="7" t="n">
        <v>23420.78</v>
      </c>
      <c r="L102" s="7" t="n">
        <v>20944.94</v>
      </c>
      <c r="M102" s="7" t="n">
        <v>24169.13</v>
      </c>
      <c r="N102" s="7" t="n">
        <v>24372.44</v>
      </c>
      <c r="O102" s="7" t="n">
        <v>21863.25</v>
      </c>
      <c r="P102" s="7" t="n">
        <v>26184.19</v>
      </c>
      <c r="Q102" s="7" t="n">
        <v>21354.36</v>
      </c>
      <c r="R102" s="7" t="n">
        <v>22793.04</v>
      </c>
      <c r="S102" s="8">
        <f>SUM(G102:R102)</f>
        <v/>
      </c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>
        <f>SUM(T102:AE102)</f>
        <v/>
      </c>
      <c r="AG102" s="7">
        <f>S102-AF102</f>
        <v/>
      </c>
      <c r="AH102" s="5">
        <f>IF(S102=0,0,AG102/S102)</f>
        <v/>
      </c>
    </row>
    <row r="103">
      <c r="A103" s="2" t="inlineStr">
        <is>
          <t>CC-5000</t>
        </is>
      </c>
      <c r="B103" s="2" t="inlineStr">
        <is>
          <t>Infraestructura</t>
        </is>
      </c>
      <c r="C103" s="2" t="inlineStr">
        <is>
          <t>INF</t>
        </is>
      </c>
      <c r="D103" s="2" t="n">
        <v>650000</v>
      </c>
      <c r="E103" s="2" t="inlineStr">
        <is>
          <t>Distribuibles</t>
        </is>
      </c>
      <c r="F103" s="2" t="inlineStr">
        <is>
          <t>agua_fresca</t>
        </is>
      </c>
      <c r="G103" s="7" t="n">
        <v>6839.36</v>
      </c>
      <c r="H103" s="7" t="n">
        <v>6967.33</v>
      </c>
      <c r="I103" s="7" t="n">
        <v>7053.29</v>
      </c>
      <c r="J103" s="7" t="n">
        <v>6873.51</v>
      </c>
      <c r="K103" s="7" t="n">
        <v>6500.9</v>
      </c>
      <c r="L103" s="7" t="n">
        <v>6793.11</v>
      </c>
      <c r="M103" s="7" t="n">
        <v>6458.71</v>
      </c>
      <c r="N103" s="7" t="n">
        <v>6711.13</v>
      </c>
      <c r="O103" s="7" t="n">
        <v>6179.6</v>
      </c>
      <c r="P103" s="7" t="n">
        <v>7058.25</v>
      </c>
      <c r="Q103" s="7" t="n">
        <v>6370.18</v>
      </c>
      <c r="R103" s="7" t="n">
        <v>6946.44</v>
      </c>
      <c r="S103" s="8">
        <f>SUM(G103:R103)</f>
        <v/>
      </c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>
        <f>SUM(T103:AE103)</f>
        <v/>
      </c>
      <c r="AG103" s="7">
        <f>S103-AF103</f>
        <v/>
      </c>
      <c r="AH103" s="5">
        <f>IF(S103=0,0,AG103/S103)</f>
        <v/>
      </c>
    </row>
    <row r="104">
      <c r="A104" s="2" t="inlineStr">
        <is>
          <t>CC-5000</t>
        </is>
      </c>
      <c r="B104" s="2" t="inlineStr">
        <is>
          <t>Infraestructura</t>
        </is>
      </c>
      <c r="C104" s="2" t="inlineStr">
        <is>
          <t>INF</t>
        </is>
      </c>
      <c r="D104" s="2" t="n">
        <v>650000</v>
      </c>
      <c r="E104" s="2" t="inlineStr">
        <is>
          <t>Distribuibles</t>
        </is>
      </c>
      <c r="F104" s="2" t="inlineStr">
        <is>
          <t>transporte_personal</t>
        </is>
      </c>
      <c r="G104" s="7" t="n">
        <v>26258.39</v>
      </c>
      <c r="H104" s="7" t="n">
        <v>25615.84</v>
      </c>
      <c r="I104" s="7" t="n">
        <v>27504.97</v>
      </c>
      <c r="J104" s="7" t="n">
        <v>27773.36</v>
      </c>
      <c r="K104" s="7" t="n">
        <v>24508.1</v>
      </c>
      <c r="L104" s="7" t="n">
        <v>23569.76</v>
      </c>
      <c r="M104" s="7" t="n">
        <v>25404.5</v>
      </c>
      <c r="N104" s="7" t="n">
        <v>26077.18</v>
      </c>
      <c r="O104" s="7" t="n">
        <v>22998.62</v>
      </c>
      <c r="P104" s="7" t="n">
        <v>28713.16</v>
      </c>
      <c r="Q104" s="7" t="n">
        <v>25292.77</v>
      </c>
      <c r="R104" s="7" t="n">
        <v>27123.08</v>
      </c>
      <c r="S104" s="8">
        <f>SUM(G104:R104)</f>
        <v/>
      </c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>
        <f>SUM(T104:AE104)</f>
        <v/>
      </c>
      <c r="AG104" s="7">
        <f>S104-AF104</f>
        <v/>
      </c>
      <c r="AH104" s="5">
        <f>IF(S104=0,0,AG104/S104)</f>
        <v/>
      </c>
    </row>
    <row r="105">
      <c r="A105" s="2" t="inlineStr">
        <is>
          <t>CC-5000</t>
        </is>
      </c>
      <c r="B105" s="2" t="inlineStr">
        <is>
          <t>Infraestructura</t>
        </is>
      </c>
      <c r="C105" s="2" t="inlineStr">
        <is>
          <t>INF</t>
        </is>
      </c>
      <c r="D105" s="2" t="n">
        <v>660000</v>
      </c>
      <c r="E105" s="2" t="inlineStr">
        <is>
          <t>Depreciacion</t>
        </is>
      </c>
      <c r="F105" s="2" t="inlineStr">
        <is>
          <t>depreciacion_equipos</t>
        </is>
      </c>
      <c r="G105" s="7" t="n">
        <v>16843.79</v>
      </c>
      <c r="H105" s="7" t="n">
        <v>15522.19</v>
      </c>
      <c r="I105" s="7" t="n">
        <v>17382.27</v>
      </c>
      <c r="J105" s="7" t="n">
        <v>17828.51</v>
      </c>
      <c r="K105" s="7" t="n">
        <v>15626.44</v>
      </c>
      <c r="L105" s="7" t="n">
        <v>16221.2</v>
      </c>
      <c r="M105" s="7" t="n">
        <v>17439.77</v>
      </c>
      <c r="N105" s="7" t="n">
        <v>16713.34</v>
      </c>
      <c r="O105" s="7" t="n">
        <v>15231.44</v>
      </c>
      <c r="P105" s="7" t="n">
        <v>19126.35</v>
      </c>
      <c r="Q105" s="7" t="n">
        <v>15357.32</v>
      </c>
      <c r="R105" s="7" t="n">
        <v>16396.27</v>
      </c>
      <c r="S105" s="8">
        <f>SUM(G105:R105)</f>
        <v/>
      </c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>
        <f>SUM(T105:AE105)</f>
        <v/>
      </c>
      <c r="AG105" s="7">
        <f>S105-AF105</f>
        <v/>
      </c>
      <c r="AH105" s="5">
        <f>IF(S105=0,0,AG105/S105)</f>
        <v/>
      </c>
    </row>
    <row r="106">
      <c r="A106" s="2" t="inlineStr">
        <is>
          <t>CC-5000</t>
        </is>
      </c>
      <c r="B106" s="2" t="inlineStr">
        <is>
          <t>Infraestructura</t>
        </is>
      </c>
      <c r="C106" s="2" t="inlineStr">
        <is>
          <t>INF</t>
        </is>
      </c>
      <c r="D106" s="2" t="n">
        <v>660000</v>
      </c>
      <c r="E106" s="2" t="inlineStr">
        <is>
          <t>Depreciacion</t>
        </is>
      </c>
      <c r="F106" s="2" t="inlineStr">
        <is>
          <t>depreciacion_infraestructura</t>
        </is>
      </c>
      <c r="G106" s="7" t="n">
        <v>31859.96</v>
      </c>
      <c r="H106" s="7" t="n">
        <v>28664.07</v>
      </c>
      <c r="I106" s="7" t="n">
        <v>31955.39</v>
      </c>
      <c r="J106" s="7" t="n">
        <v>29877.71</v>
      </c>
      <c r="K106" s="7" t="n">
        <v>30627.02</v>
      </c>
      <c r="L106" s="7" t="n">
        <v>29155.47</v>
      </c>
      <c r="M106" s="7" t="n">
        <v>29731.11</v>
      </c>
      <c r="N106" s="7" t="n">
        <v>29890.13</v>
      </c>
      <c r="O106" s="7" t="n">
        <v>26694.27</v>
      </c>
      <c r="P106" s="7" t="n">
        <v>30686.97</v>
      </c>
      <c r="Q106" s="7" t="n">
        <v>29629.45</v>
      </c>
      <c r="R106" s="7" t="n">
        <v>31539.55</v>
      </c>
      <c r="S106" s="8">
        <f>SUM(G106:R106)</f>
        <v/>
      </c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>
        <f>SUM(T106:AE106)</f>
        <v/>
      </c>
      <c r="AG106" s="7">
        <f>S106-AF106</f>
        <v/>
      </c>
      <c r="AH106" s="5">
        <f>IF(S106=0,0,AG106/S106)</f>
        <v/>
      </c>
    </row>
    <row r="107">
      <c r="A107" s="2" t="inlineStr">
        <is>
          <t>CC-7000</t>
        </is>
      </c>
      <c r="B107" s="2" t="inlineStr">
        <is>
          <t>Fuera de Sitio</t>
        </is>
      </c>
      <c r="C107" s="2" t="inlineStr">
        <is>
          <t>EXT</t>
        </is>
      </c>
      <c r="D107" s="2" t="n">
        <v>610000</v>
      </c>
      <c r="E107" s="2" t="inlineStr">
        <is>
          <t>Mano obra interna</t>
        </is>
      </c>
      <c r="F107" s="2" t="inlineStr">
        <is>
          <t>sueldos_base</t>
        </is>
      </c>
      <c r="G107" s="7" t="n">
        <v>69772.2</v>
      </c>
      <c r="H107" s="7" t="n">
        <v>70967.55</v>
      </c>
      <c r="I107" s="7" t="n">
        <v>70624.22</v>
      </c>
      <c r="J107" s="7" t="n">
        <v>74437.77</v>
      </c>
      <c r="K107" s="7" t="n">
        <v>71119.67999999999</v>
      </c>
      <c r="L107" s="7" t="n">
        <v>70463.31</v>
      </c>
      <c r="M107" s="7" t="n">
        <v>74984.71000000001</v>
      </c>
      <c r="N107" s="7" t="n">
        <v>74913.36</v>
      </c>
      <c r="O107" s="7" t="n">
        <v>69411.16</v>
      </c>
      <c r="P107" s="7" t="n">
        <v>74582.61</v>
      </c>
      <c r="Q107" s="7" t="n">
        <v>69612.55</v>
      </c>
      <c r="R107" s="7" t="n">
        <v>76501.5</v>
      </c>
      <c r="S107" s="8">
        <f>SUM(G107:R107)</f>
        <v/>
      </c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>
        <f>SUM(T107:AE107)</f>
        <v/>
      </c>
      <c r="AG107" s="7">
        <f>S107-AF107</f>
        <v/>
      </c>
      <c r="AH107" s="5">
        <f>IF(S107=0,0,AG107/S107)</f>
        <v/>
      </c>
    </row>
    <row r="108">
      <c r="A108" s="2" t="inlineStr">
        <is>
          <t>CC-7000</t>
        </is>
      </c>
      <c r="B108" s="2" t="inlineStr">
        <is>
          <t>Fuera de Sitio</t>
        </is>
      </c>
      <c r="C108" s="2" t="inlineStr">
        <is>
          <t>EXT</t>
        </is>
      </c>
      <c r="D108" s="2" t="n">
        <v>610000</v>
      </c>
      <c r="E108" s="2" t="inlineStr">
        <is>
          <t>Mano obra interna</t>
        </is>
      </c>
      <c r="F108" s="2" t="inlineStr">
        <is>
          <t>bonos</t>
        </is>
      </c>
      <c r="G108" s="7" t="n">
        <v>114508.67</v>
      </c>
      <c r="H108" s="7" t="n">
        <v>110819.82</v>
      </c>
      <c r="I108" s="7" t="n">
        <v>109892.91</v>
      </c>
      <c r="J108" s="7" t="n">
        <v>110196.15</v>
      </c>
      <c r="K108" s="7" t="n">
        <v>114953.65</v>
      </c>
      <c r="L108" s="7" t="n">
        <v>109676.4</v>
      </c>
      <c r="M108" s="7" t="n">
        <v>105750.76</v>
      </c>
      <c r="N108" s="7" t="n">
        <v>110639.18</v>
      </c>
      <c r="O108" s="7" t="n">
        <v>102401.82</v>
      </c>
      <c r="P108" s="7" t="n">
        <v>117965.36</v>
      </c>
      <c r="Q108" s="7" t="n">
        <v>106238.1</v>
      </c>
      <c r="R108" s="7" t="n">
        <v>113682.83</v>
      </c>
      <c r="S108" s="8">
        <f>SUM(G108:R108)</f>
        <v/>
      </c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>
        <f>SUM(T108:AE108)</f>
        <v/>
      </c>
      <c r="AG108" s="7">
        <f>S108-AF108</f>
        <v/>
      </c>
      <c r="AH108" s="5">
        <f>IF(S108=0,0,AG108/S108)</f>
        <v/>
      </c>
    </row>
    <row r="109">
      <c r="A109" s="2" t="inlineStr">
        <is>
          <t>CC-7000</t>
        </is>
      </c>
      <c r="B109" s="2" t="inlineStr">
        <is>
          <t>Fuera de Sitio</t>
        </is>
      </c>
      <c r="C109" s="2" t="inlineStr">
        <is>
          <t>EXT</t>
        </is>
      </c>
      <c r="D109" s="2" t="n">
        <v>610000</v>
      </c>
      <c r="E109" s="2" t="inlineStr">
        <is>
          <t>Mano obra interna</t>
        </is>
      </c>
      <c r="F109" s="2" t="inlineStr">
        <is>
          <t>seguros_beneficios</t>
        </is>
      </c>
      <c r="G109" s="7" t="n">
        <v>112107.83</v>
      </c>
      <c r="H109" s="7" t="n">
        <v>107027.24</v>
      </c>
      <c r="I109" s="7" t="n">
        <v>112108.8</v>
      </c>
      <c r="J109" s="7" t="n">
        <v>108875.46</v>
      </c>
      <c r="K109" s="7" t="n">
        <v>96955.95</v>
      </c>
      <c r="L109" s="7" t="n">
        <v>98710.39999999999</v>
      </c>
      <c r="M109" s="7" t="n">
        <v>104175.16</v>
      </c>
      <c r="N109" s="7" t="n">
        <v>108182.16</v>
      </c>
      <c r="O109" s="7" t="n">
        <v>101712.91</v>
      </c>
      <c r="P109" s="7" t="n">
        <v>111492.53</v>
      </c>
      <c r="Q109" s="7" t="n">
        <v>98257.69</v>
      </c>
      <c r="R109" s="7" t="n">
        <v>103473.44</v>
      </c>
      <c r="S109" s="8">
        <f>SUM(G109:R109)</f>
        <v/>
      </c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>
        <f>SUM(T109:AE109)</f>
        <v/>
      </c>
      <c r="AG109" s="7">
        <f>S109-AF109</f>
        <v/>
      </c>
      <c r="AH109" s="5">
        <f>IF(S109=0,0,AG109/S109)</f>
        <v/>
      </c>
    </row>
    <row r="110">
      <c r="A110" s="2" t="inlineStr">
        <is>
          <t>CC-7000</t>
        </is>
      </c>
      <c r="B110" s="2" t="inlineStr">
        <is>
          <t>Fuera de Sitio</t>
        </is>
      </c>
      <c r="C110" s="2" t="inlineStr">
        <is>
          <t>EXT</t>
        </is>
      </c>
      <c r="D110" s="2" t="n">
        <v>610000</v>
      </c>
      <c r="E110" s="2" t="inlineStr">
        <is>
          <t>Mano obra interna</t>
        </is>
      </c>
      <c r="F110" s="2" t="inlineStr">
        <is>
          <t>provisiones</t>
        </is>
      </c>
      <c r="G110" s="7" t="n">
        <v>63519.17</v>
      </c>
      <c r="H110" s="7" t="n">
        <v>59067.62</v>
      </c>
      <c r="I110" s="7" t="n">
        <v>66724.98</v>
      </c>
      <c r="J110" s="7" t="n">
        <v>62384.15</v>
      </c>
      <c r="K110" s="7" t="n">
        <v>64590.11</v>
      </c>
      <c r="L110" s="7" t="n">
        <v>56170.83</v>
      </c>
      <c r="M110" s="7" t="n">
        <v>59358.42</v>
      </c>
      <c r="N110" s="7" t="n">
        <v>61679.9</v>
      </c>
      <c r="O110" s="7" t="n">
        <v>59915.48</v>
      </c>
      <c r="P110" s="7" t="n">
        <v>65309.43</v>
      </c>
      <c r="Q110" s="7" t="n">
        <v>62088.19</v>
      </c>
      <c r="R110" s="7" t="n">
        <v>61995.88</v>
      </c>
      <c r="S110" s="8">
        <f>SUM(G110:R110)</f>
        <v/>
      </c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>
        <f>SUM(T110:AE110)</f>
        <v/>
      </c>
      <c r="AG110" s="7">
        <f>S110-AF110</f>
        <v/>
      </c>
      <c r="AH110" s="5">
        <f>IF(S110=0,0,AG110/S110)</f>
        <v/>
      </c>
    </row>
    <row r="111">
      <c r="A111" s="2" t="inlineStr">
        <is>
          <t>CC-7000</t>
        </is>
      </c>
      <c r="B111" s="2" t="inlineStr">
        <is>
          <t>Fuera de Sitio</t>
        </is>
      </c>
      <c r="C111" s="2" t="inlineStr">
        <is>
          <t>EXT</t>
        </is>
      </c>
      <c r="D111" s="2" t="n">
        <v>620000</v>
      </c>
      <c r="E111" s="2" t="inlineStr">
        <is>
          <t>Materiales</t>
        </is>
      </c>
      <c r="F111" s="2" t="inlineStr">
        <is>
          <t>repuestos_mecanicos</t>
        </is>
      </c>
      <c r="G111" s="7" t="n">
        <v>118155.08</v>
      </c>
      <c r="H111" s="7" t="n">
        <v>108821.18</v>
      </c>
      <c r="I111" s="7" t="n">
        <v>122808.77</v>
      </c>
      <c r="J111" s="7" t="n">
        <v>121412.21</v>
      </c>
      <c r="K111" s="7" t="n">
        <v>116817.06</v>
      </c>
      <c r="L111" s="7" t="n">
        <v>108579.68</v>
      </c>
      <c r="M111" s="7" t="n">
        <v>111269.72</v>
      </c>
      <c r="N111" s="7" t="n">
        <v>109798.08</v>
      </c>
      <c r="O111" s="7" t="n">
        <v>98543.34</v>
      </c>
      <c r="P111" s="7" t="n">
        <v>123134.62</v>
      </c>
      <c r="Q111" s="7" t="n">
        <v>109506.62</v>
      </c>
      <c r="R111" s="7" t="n">
        <v>115848.81</v>
      </c>
      <c r="S111" s="8">
        <f>SUM(G111:R111)</f>
        <v/>
      </c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>
        <f>SUM(T111:AE111)</f>
        <v/>
      </c>
      <c r="AG111" s="7">
        <f>S111-AF111</f>
        <v/>
      </c>
      <c r="AH111" s="5">
        <f>IF(S111=0,0,AG111/S111)</f>
        <v/>
      </c>
    </row>
    <row r="112">
      <c r="A112" s="2" t="inlineStr">
        <is>
          <t>CC-7000</t>
        </is>
      </c>
      <c r="B112" s="2" t="inlineStr">
        <is>
          <t>Fuera de Sitio</t>
        </is>
      </c>
      <c r="C112" s="2" t="inlineStr">
        <is>
          <t>EXT</t>
        </is>
      </c>
      <c r="D112" s="2" t="n">
        <v>620000</v>
      </c>
      <c r="E112" s="2" t="inlineStr">
        <is>
          <t>Materiales</t>
        </is>
      </c>
      <c r="F112" s="2" t="inlineStr">
        <is>
          <t>GET</t>
        </is>
      </c>
      <c r="G112" s="7" t="n">
        <v>78123.03999999999</v>
      </c>
      <c r="H112" s="7" t="n">
        <v>71441.24000000001</v>
      </c>
      <c r="I112" s="7" t="n">
        <v>80070.45</v>
      </c>
      <c r="J112" s="7" t="n">
        <v>76210.28999999999</v>
      </c>
      <c r="K112" s="7" t="n">
        <v>75198.88</v>
      </c>
      <c r="L112" s="7" t="n">
        <v>71336.00999999999</v>
      </c>
      <c r="M112" s="7" t="n">
        <v>71518.92</v>
      </c>
      <c r="N112" s="7" t="n">
        <v>79204.13</v>
      </c>
      <c r="O112" s="7" t="n">
        <v>67618.78999999999</v>
      </c>
      <c r="P112" s="7" t="n">
        <v>82590.53</v>
      </c>
      <c r="Q112" s="7" t="n">
        <v>76789.92</v>
      </c>
      <c r="R112" s="7" t="n">
        <v>74388.88</v>
      </c>
      <c r="S112" s="8">
        <f>SUM(G112:R112)</f>
        <v/>
      </c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>
        <f>SUM(T112:AE112)</f>
        <v/>
      </c>
      <c r="AG112" s="7">
        <f>S112-AF112</f>
        <v/>
      </c>
      <c r="AH112" s="5">
        <f>IF(S112=0,0,AG112/S112)</f>
        <v/>
      </c>
    </row>
    <row r="113">
      <c r="A113" s="2" t="inlineStr">
        <is>
          <t>CC-7000</t>
        </is>
      </c>
      <c r="B113" s="2" t="inlineStr">
        <is>
          <t>Fuera de Sitio</t>
        </is>
      </c>
      <c r="C113" s="2" t="inlineStr">
        <is>
          <t>EXT</t>
        </is>
      </c>
      <c r="D113" s="2" t="n">
        <v>620000</v>
      </c>
      <c r="E113" s="2" t="inlineStr">
        <is>
          <t>Materiales</t>
        </is>
      </c>
      <c r="F113" s="2" t="inlineStr">
        <is>
          <t>consumibles_operacion</t>
        </is>
      </c>
      <c r="G113" s="7" t="n">
        <v>22967.41</v>
      </c>
      <c r="H113" s="7" t="n">
        <v>22065.62</v>
      </c>
      <c r="I113" s="7" t="n">
        <v>22301.65</v>
      </c>
      <c r="J113" s="7" t="n">
        <v>23026.47</v>
      </c>
      <c r="K113" s="7" t="n">
        <v>22447.88</v>
      </c>
      <c r="L113" s="7" t="n">
        <v>20504.56</v>
      </c>
      <c r="M113" s="7" t="n">
        <v>22716.42</v>
      </c>
      <c r="N113" s="7" t="n">
        <v>21614.05</v>
      </c>
      <c r="O113" s="7" t="n">
        <v>22163.59</v>
      </c>
      <c r="P113" s="7" t="n">
        <v>24963.63</v>
      </c>
      <c r="Q113" s="7" t="n">
        <v>20840.63</v>
      </c>
      <c r="R113" s="7" t="n">
        <v>23981.73</v>
      </c>
      <c r="S113" s="8">
        <f>SUM(G113:R113)</f>
        <v/>
      </c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>
        <f>SUM(T113:AE113)</f>
        <v/>
      </c>
      <c r="AG113" s="7">
        <f>S113-AF113</f>
        <v/>
      </c>
      <c r="AH113" s="5">
        <f>IF(S113=0,0,AG113/S113)</f>
        <v/>
      </c>
    </row>
    <row r="114">
      <c r="A114" s="2" t="inlineStr">
        <is>
          <t>CC-7000</t>
        </is>
      </c>
      <c r="B114" s="2" t="inlineStr">
        <is>
          <t>Fuera de Sitio</t>
        </is>
      </c>
      <c r="C114" s="2" t="inlineStr">
        <is>
          <t>EXT</t>
        </is>
      </c>
      <c r="D114" s="2" t="n">
        <v>620000</v>
      </c>
      <c r="E114" s="2" t="inlineStr">
        <is>
          <t>Materiales</t>
        </is>
      </c>
      <c r="F114" s="2" t="inlineStr">
        <is>
          <t>ropa_seguridad</t>
        </is>
      </c>
      <c r="G114" s="7" t="n">
        <v>22019.51</v>
      </c>
      <c r="H114" s="7" t="n">
        <v>20890.76</v>
      </c>
      <c r="I114" s="7" t="n">
        <v>21959.99</v>
      </c>
      <c r="J114" s="7" t="n">
        <v>22680.57</v>
      </c>
      <c r="K114" s="7" t="n">
        <v>20617.28</v>
      </c>
      <c r="L114" s="7" t="n">
        <v>19860.14</v>
      </c>
      <c r="M114" s="7" t="n">
        <v>22279.86</v>
      </c>
      <c r="N114" s="7" t="n">
        <v>23185.26</v>
      </c>
      <c r="O114" s="7" t="n">
        <v>20377.39</v>
      </c>
      <c r="P114" s="7" t="n">
        <v>23408.21</v>
      </c>
      <c r="Q114" s="7" t="n">
        <v>22373.14</v>
      </c>
      <c r="R114" s="7" t="n">
        <v>21567.97</v>
      </c>
      <c r="S114" s="8">
        <f>SUM(G114:R114)</f>
        <v/>
      </c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>
        <f>SUM(T114:AE114)</f>
        <v/>
      </c>
      <c r="AG114" s="7">
        <f>S114-AF114</f>
        <v/>
      </c>
      <c r="AH114" s="5">
        <f>IF(S114=0,0,AG114/S114)</f>
        <v/>
      </c>
    </row>
    <row r="115">
      <c r="A115" s="2" t="inlineStr">
        <is>
          <t>CC-7000</t>
        </is>
      </c>
      <c r="B115" s="2" t="inlineStr">
        <is>
          <t>Fuera de Sitio</t>
        </is>
      </c>
      <c r="C115" s="2" t="inlineStr">
        <is>
          <t>EXT</t>
        </is>
      </c>
      <c r="D115" s="2" t="n">
        <v>630000</v>
      </c>
      <c r="E115" s="2" t="inlineStr">
        <is>
          <t>Servicios externos</t>
        </is>
      </c>
      <c r="F115" s="2" t="inlineStr">
        <is>
          <t>mantenci_mecanica</t>
        </is>
      </c>
      <c r="G115" s="7" t="n">
        <v>29471.99</v>
      </c>
      <c r="H115" s="7" t="n">
        <v>29975.48</v>
      </c>
      <c r="I115" s="7" t="n">
        <v>31513.81</v>
      </c>
      <c r="J115" s="7" t="n">
        <v>29032.15</v>
      </c>
      <c r="K115" s="7" t="n">
        <v>30279.33</v>
      </c>
      <c r="L115" s="7" t="n">
        <v>29185.51</v>
      </c>
      <c r="M115" s="7" t="n">
        <v>28298.67</v>
      </c>
      <c r="N115" s="7" t="n">
        <v>30133.5</v>
      </c>
      <c r="O115" s="7" t="n">
        <v>28267.54</v>
      </c>
      <c r="P115" s="7" t="n">
        <v>32035.61</v>
      </c>
      <c r="Q115" s="7" t="n">
        <v>30396.87</v>
      </c>
      <c r="R115" s="7" t="n">
        <v>29775.63</v>
      </c>
      <c r="S115" s="8">
        <f>SUM(G115:R115)</f>
        <v/>
      </c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>
        <f>SUM(T115:AE115)</f>
        <v/>
      </c>
      <c r="AG115" s="7">
        <f>S115-AF115</f>
        <v/>
      </c>
      <c r="AH115" s="5">
        <f>IF(S115=0,0,AG115/S115)</f>
        <v/>
      </c>
    </row>
    <row r="116">
      <c r="A116" s="2" t="inlineStr">
        <is>
          <t>CC-7000</t>
        </is>
      </c>
      <c r="B116" s="2" t="inlineStr">
        <is>
          <t>Fuera de Sitio</t>
        </is>
      </c>
      <c r="C116" s="2" t="inlineStr">
        <is>
          <t>EXT</t>
        </is>
      </c>
      <c r="D116" s="2" t="n">
        <v>630000</v>
      </c>
      <c r="E116" s="2" t="inlineStr">
        <is>
          <t>Servicios externos</t>
        </is>
      </c>
      <c r="F116" s="2" t="inlineStr">
        <is>
          <t>mantenci_electrica</t>
        </is>
      </c>
      <c r="G116" s="7" t="n">
        <v>60433.09</v>
      </c>
      <c r="H116" s="7" t="n">
        <v>62764.93</v>
      </c>
      <c r="I116" s="7" t="n">
        <v>65231.37</v>
      </c>
      <c r="J116" s="7" t="n">
        <v>67564.10000000001</v>
      </c>
      <c r="K116" s="7" t="n">
        <v>59803.84</v>
      </c>
      <c r="L116" s="7" t="n">
        <v>58950.34</v>
      </c>
      <c r="M116" s="7" t="n">
        <v>62179.46</v>
      </c>
      <c r="N116" s="7" t="n">
        <v>65102.35</v>
      </c>
      <c r="O116" s="7" t="n">
        <v>57530.11</v>
      </c>
      <c r="P116" s="7" t="n">
        <v>69538.42999999999</v>
      </c>
      <c r="Q116" s="7" t="n">
        <v>57959.6</v>
      </c>
      <c r="R116" s="7" t="n">
        <v>62683.31</v>
      </c>
      <c r="S116" s="8">
        <f>SUM(G116:R116)</f>
        <v/>
      </c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>
        <f>SUM(T116:AE116)</f>
        <v/>
      </c>
      <c r="AG116" s="7">
        <f>S116-AF116</f>
        <v/>
      </c>
      <c r="AH116" s="5">
        <f>IF(S116=0,0,AG116/S116)</f>
        <v/>
      </c>
    </row>
    <row r="117">
      <c r="A117" s="2" t="inlineStr">
        <is>
          <t>CC-7000</t>
        </is>
      </c>
      <c r="B117" s="2" t="inlineStr">
        <is>
          <t>Fuera de Sitio</t>
        </is>
      </c>
      <c r="C117" s="2" t="inlineStr">
        <is>
          <t>EXT</t>
        </is>
      </c>
      <c r="D117" s="2" t="n">
        <v>630000</v>
      </c>
      <c r="E117" s="2" t="inlineStr">
        <is>
          <t>Servicios externos</t>
        </is>
      </c>
      <c r="F117" s="2" t="inlineStr">
        <is>
          <t>servicios_operacion</t>
        </is>
      </c>
      <c r="G117" s="7" t="n">
        <v>79500.66</v>
      </c>
      <c r="H117" s="7" t="n">
        <v>84328.2</v>
      </c>
      <c r="I117" s="7" t="n">
        <v>80570.55</v>
      </c>
      <c r="J117" s="7" t="n">
        <v>82225.48</v>
      </c>
      <c r="K117" s="7" t="n">
        <v>76370.16</v>
      </c>
      <c r="L117" s="7" t="n">
        <v>81599.34</v>
      </c>
      <c r="M117" s="7" t="n">
        <v>82485.27</v>
      </c>
      <c r="N117" s="7" t="n">
        <v>85685.25</v>
      </c>
      <c r="O117" s="7" t="n">
        <v>71471.33</v>
      </c>
      <c r="P117" s="7" t="n">
        <v>84195.11</v>
      </c>
      <c r="Q117" s="7" t="n">
        <v>77514.28999999999</v>
      </c>
      <c r="R117" s="7" t="n">
        <v>83647.78</v>
      </c>
      <c r="S117" s="8">
        <f>SUM(G117:R117)</f>
        <v/>
      </c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>
        <f>SUM(T117:AE117)</f>
        <v/>
      </c>
      <c r="AG117" s="7">
        <f>S117-AF117</f>
        <v/>
      </c>
      <c r="AH117" s="5">
        <f>IF(S117=0,0,AG117/S117)</f>
        <v/>
      </c>
    </row>
    <row r="118">
      <c r="A118" s="2" t="inlineStr">
        <is>
          <t>CC-7000</t>
        </is>
      </c>
      <c r="B118" s="2" t="inlineStr">
        <is>
          <t>Fuera de Sitio</t>
        </is>
      </c>
      <c r="C118" s="2" t="inlineStr">
        <is>
          <t>EXT</t>
        </is>
      </c>
      <c r="D118" s="2" t="n">
        <v>630000</v>
      </c>
      <c r="E118" s="2" t="inlineStr">
        <is>
          <t>Servicios externos</t>
        </is>
      </c>
      <c r="F118" s="2" t="inlineStr">
        <is>
          <t>asesoria_consultoria</t>
        </is>
      </c>
      <c r="G118" s="7" t="n">
        <v>36856.94</v>
      </c>
      <c r="H118" s="7" t="n">
        <v>37223.19</v>
      </c>
      <c r="I118" s="7" t="n">
        <v>36496.64</v>
      </c>
      <c r="J118" s="7" t="n">
        <v>38125.85</v>
      </c>
      <c r="K118" s="7" t="n">
        <v>36030.49</v>
      </c>
      <c r="L118" s="7" t="n">
        <v>35273.96</v>
      </c>
      <c r="M118" s="7" t="n">
        <v>37183.18</v>
      </c>
      <c r="N118" s="7" t="n">
        <v>34885.71</v>
      </c>
      <c r="O118" s="7" t="n">
        <v>36056.43</v>
      </c>
      <c r="P118" s="7" t="n">
        <v>41113.63</v>
      </c>
      <c r="Q118" s="7" t="n">
        <v>35434.87</v>
      </c>
      <c r="R118" s="7" t="n">
        <v>37618.71</v>
      </c>
      <c r="S118" s="8">
        <f>SUM(G118:R118)</f>
        <v/>
      </c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>
        <f>SUM(T118:AE118)</f>
        <v/>
      </c>
      <c r="AG118" s="7">
        <f>S118-AF118</f>
        <v/>
      </c>
      <c r="AH118" s="5">
        <f>IF(S118=0,0,AG118/S118)</f>
        <v/>
      </c>
    </row>
    <row r="119">
      <c r="A119" s="2" t="inlineStr">
        <is>
          <t>CC-7000</t>
        </is>
      </c>
      <c r="B119" s="2" t="inlineStr">
        <is>
          <t>Fuera de Sitio</t>
        </is>
      </c>
      <c r="C119" s="2" t="inlineStr">
        <is>
          <t>EXT</t>
        </is>
      </c>
      <c r="D119" s="2" t="n">
        <v>640000</v>
      </c>
      <c r="E119" s="2" t="inlineStr">
        <is>
          <t>Energia electrica</t>
        </is>
      </c>
      <c r="F119" s="2" t="inlineStr">
        <is>
          <t>consumo_energia_planta</t>
        </is>
      </c>
      <c r="G119" s="7" t="n">
        <v>104047.25</v>
      </c>
      <c r="H119" s="7" t="n">
        <v>100309</v>
      </c>
      <c r="I119" s="7" t="n">
        <v>109604.66</v>
      </c>
      <c r="J119" s="7" t="n">
        <v>110735.55</v>
      </c>
      <c r="K119" s="7" t="n">
        <v>98861.34</v>
      </c>
      <c r="L119" s="7" t="n">
        <v>101869.24</v>
      </c>
      <c r="M119" s="7" t="n">
        <v>103454.34</v>
      </c>
      <c r="N119" s="7" t="n">
        <v>109152.22</v>
      </c>
      <c r="O119" s="7" t="n">
        <v>98274.02</v>
      </c>
      <c r="P119" s="7" t="n">
        <v>118859.12</v>
      </c>
      <c r="Q119" s="7" t="n">
        <v>101314.88</v>
      </c>
      <c r="R119" s="7" t="n">
        <v>111761.7</v>
      </c>
      <c r="S119" s="8">
        <f>SUM(G119:R119)</f>
        <v/>
      </c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>
        <f>SUM(T119:AE119)</f>
        <v/>
      </c>
      <c r="AG119" s="7">
        <f>S119-AF119</f>
        <v/>
      </c>
      <c r="AH119" s="5">
        <f>IF(S119=0,0,AG119/S119)</f>
        <v/>
      </c>
    </row>
    <row r="120">
      <c r="A120" s="2" t="inlineStr">
        <is>
          <t>CC-7000</t>
        </is>
      </c>
      <c r="B120" s="2" t="inlineStr">
        <is>
          <t>Fuera de Sitio</t>
        </is>
      </c>
      <c r="C120" s="2" t="inlineStr">
        <is>
          <t>EXT</t>
        </is>
      </c>
      <c r="D120" s="2" t="n">
        <v>640000</v>
      </c>
      <c r="E120" s="2" t="inlineStr">
        <is>
          <t>Energia electrica</t>
        </is>
      </c>
      <c r="F120" s="2" t="inlineStr">
        <is>
          <t>consumo_energia_mina</t>
        </is>
      </c>
      <c r="G120" s="7" t="n">
        <v>5757.63</v>
      </c>
      <c r="H120" s="7" t="n">
        <v>5627.26</v>
      </c>
      <c r="I120" s="7" t="n">
        <v>5883.79</v>
      </c>
      <c r="J120" s="7" t="n">
        <v>5609.23</v>
      </c>
      <c r="K120" s="7" t="n">
        <v>5354.26</v>
      </c>
      <c r="L120" s="7" t="n">
        <v>5422.95</v>
      </c>
      <c r="M120" s="7" t="n">
        <v>5408.33</v>
      </c>
      <c r="N120" s="7" t="n">
        <v>5222.47</v>
      </c>
      <c r="O120" s="7" t="n">
        <v>5337.6</v>
      </c>
      <c r="P120" s="7" t="n">
        <v>5855.23</v>
      </c>
      <c r="Q120" s="7" t="n">
        <v>5087.06</v>
      </c>
      <c r="R120" s="7" t="n">
        <v>5676.92</v>
      </c>
      <c r="S120" s="8">
        <f>SUM(G120:R120)</f>
        <v/>
      </c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>
        <f>SUM(T120:AE120)</f>
        <v/>
      </c>
      <c r="AG120" s="7">
        <f>S120-AF120</f>
        <v/>
      </c>
      <c r="AH120" s="5">
        <f>IF(S120=0,0,AG120/S120)</f>
        <v/>
      </c>
    </row>
    <row r="121">
      <c r="A121" s="2" t="inlineStr">
        <is>
          <t>CC-7000</t>
        </is>
      </c>
      <c r="B121" s="2" t="inlineStr">
        <is>
          <t>Fuera de Sitio</t>
        </is>
      </c>
      <c r="C121" s="2" t="inlineStr">
        <is>
          <t>EXT</t>
        </is>
      </c>
      <c r="D121" s="2" t="n">
        <v>640000</v>
      </c>
      <c r="E121" s="2" t="inlineStr">
        <is>
          <t>Energia electrica</t>
        </is>
      </c>
      <c r="F121" s="2" t="inlineStr">
        <is>
          <t>consumo_energia_servicios</t>
        </is>
      </c>
      <c r="G121" s="7" t="n">
        <v>67980.57000000001</v>
      </c>
      <c r="H121" s="7" t="n">
        <v>65367.48</v>
      </c>
      <c r="I121" s="7" t="n">
        <v>66058.63</v>
      </c>
      <c r="J121" s="7" t="n">
        <v>61805.32</v>
      </c>
      <c r="K121" s="7" t="n">
        <v>64444.19</v>
      </c>
      <c r="L121" s="7" t="n">
        <v>61616.36</v>
      </c>
      <c r="M121" s="7" t="n">
        <v>61431.93</v>
      </c>
      <c r="N121" s="7" t="n">
        <v>66624.81</v>
      </c>
      <c r="O121" s="7" t="n">
        <v>56282.19</v>
      </c>
      <c r="P121" s="7" t="n">
        <v>67560.82000000001</v>
      </c>
      <c r="Q121" s="7" t="n">
        <v>58588.71</v>
      </c>
      <c r="R121" s="7" t="n">
        <v>67752.92</v>
      </c>
      <c r="S121" s="8">
        <f>SUM(G121:R121)</f>
        <v/>
      </c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>
        <f>SUM(T121:AE121)</f>
        <v/>
      </c>
      <c r="AG121" s="7">
        <f>S121-AF121</f>
        <v/>
      </c>
      <c r="AH121" s="5">
        <f>IF(S121=0,0,AG121/S121)</f>
        <v/>
      </c>
    </row>
    <row r="122">
      <c r="A122" s="2" t="inlineStr">
        <is>
          <t>CC-7000</t>
        </is>
      </c>
      <c r="B122" s="2" t="inlineStr">
        <is>
          <t>Fuera de Sitio</t>
        </is>
      </c>
      <c r="C122" s="2" t="inlineStr">
        <is>
          <t>EXT</t>
        </is>
      </c>
      <c r="D122" s="2" t="n">
        <v>650000</v>
      </c>
      <c r="E122" s="2" t="inlineStr">
        <is>
          <t>Distribuibles</t>
        </is>
      </c>
      <c r="F122" s="2" t="inlineStr">
        <is>
          <t>campamento</t>
        </is>
      </c>
      <c r="G122" s="7" t="n">
        <v>50045.45</v>
      </c>
      <c r="H122" s="7" t="n">
        <v>49962.03</v>
      </c>
      <c r="I122" s="7" t="n">
        <v>51537.08</v>
      </c>
      <c r="J122" s="7" t="n">
        <v>49715.26</v>
      </c>
      <c r="K122" s="7" t="n">
        <v>49869.72</v>
      </c>
      <c r="L122" s="7" t="n">
        <v>48458.31</v>
      </c>
      <c r="M122" s="7" t="n">
        <v>48289.7</v>
      </c>
      <c r="N122" s="7" t="n">
        <v>46529.23</v>
      </c>
      <c r="O122" s="7" t="n">
        <v>46774.47</v>
      </c>
      <c r="P122" s="7" t="n">
        <v>53749.99</v>
      </c>
      <c r="Q122" s="7" t="n">
        <v>44025.94</v>
      </c>
      <c r="R122" s="7" t="n">
        <v>51118.51</v>
      </c>
      <c r="S122" s="8">
        <f>SUM(G122:R122)</f>
        <v/>
      </c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>
        <f>SUM(T122:AE122)</f>
        <v/>
      </c>
      <c r="AG122" s="7">
        <f>S122-AF122</f>
        <v/>
      </c>
      <c r="AH122" s="5">
        <f>IF(S122=0,0,AG122/S122)</f>
        <v/>
      </c>
    </row>
    <row r="123">
      <c r="A123" s="2" t="inlineStr">
        <is>
          <t>CC-7000</t>
        </is>
      </c>
      <c r="B123" s="2" t="inlineStr">
        <is>
          <t>Fuera de Sitio</t>
        </is>
      </c>
      <c r="C123" s="2" t="inlineStr">
        <is>
          <t>EXT</t>
        </is>
      </c>
      <c r="D123" s="2" t="n">
        <v>650000</v>
      </c>
      <c r="E123" s="2" t="inlineStr">
        <is>
          <t>Distribuibles</t>
        </is>
      </c>
      <c r="F123" s="2" t="inlineStr">
        <is>
          <t>agua_mar</t>
        </is>
      </c>
      <c r="G123" s="7" t="n">
        <v>38012.62</v>
      </c>
      <c r="H123" s="7" t="n">
        <v>36475.18</v>
      </c>
      <c r="I123" s="7" t="n">
        <v>38307.11</v>
      </c>
      <c r="J123" s="7" t="n">
        <v>37842.85</v>
      </c>
      <c r="K123" s="7" t="n">
        <v>37524.51</v>
      </c>
      <c r="L123" s="7" t="n">
        <v>36527.74</v>
      </c>
      <c r="M123" s="7" t="n">
        <v>37523.2</v>
      </c>
      <c r="N123" s="7" t="n">
        <v>37418.96</v>
      </c>
      <c r="O123" s="7" t="n">
        <v>36231.25</v>
      </c>
      <c r="P123" s="7" t="n">
        <v>38377.98</v>
      </c>
      <c r="Q123" s="7" t="n">
        <v>38599.97</v>
      </c>
      <c r="R123" s="7" t="n">
        <v>39394.09</v>
      </c>
      <c r="S123" s="8">
        <f>SUM(G123:R123)</f>
        <v/>
      </c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>
        <f>SUM(T123:AE123)</f>
        <v/>
      </c>
      <c r="AG123" s="7">
        <f>S123-AF123</f>
        <v/>
      </c>
      <c r="AH123" s="5">
        <f>IF(S123=0,0,AG123/S123)</f>
        <v/>
      </c>
    </row>
    <row r="124">
      <c r="A124" s="2" t="inlineStr">
        <is>
          <t>CC-7000</t>
        </is>
      </c>
      <c r="B124" s="2" t="inlineStr">
        <is>
          <t>Fuera de Sitio</t>
        </is>
      </c>
      <c r="C124" s="2" t="inlineStr">
        <is>
          <t>EXT</t>
        </is>
      </c>
      <c r="D124" s="2" t="n">
        <v>650000</v>
      </c>
      <c r="E124" s="2" t="inlineStr">
        <is>
          <t>Distribuibles</t>
        </is>
      </c>
      <c r="F124" s="2" t="inlineStr">
        <is>
          <t>agua_fresca</t>
        </is>
      </c>
      <c r="G124" s="7" t="n">
        <v>18965.13</v>
      </c>
      <c r="H124" s="7" t="n">
        <v>17685.38</v>
      </c>
      <c r="I124" s="7" t="n">
        <v>19745.87</v>
      </c>
      <c r="J124" s="7" t="n">
        <v>17415.77</v>
      </c>
      <c r="K124" s="7" t="n">
        <v>17027.81</v>
      </c>
      <c r="L124" s="7" t="n">
        <v>17963.04</v>
      </c>
      <c r="M124" s="7" t="n">
        <v>18654.71</v>
      </c>
      <c r="N124" s="7" t="n">
        <v>17616.51</v>
      </c>
      <c r="O124" s="7" t="n">
        <v>17065.92</v>
      </c>
      <c r="P124" s="7" t="n">
        <v>19623.85</v>
      </c>
      <c r="Q124" s="7" t="n">
        <v>17605.23</v>
      </c>
      <c r="R124" s="7" t="n">
        <v>18607.14</v>
      </c>
      <c r="S124" s="8">
        <f>SUM(G124:R124)</f>
        <v/>
      </c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>
        <f>SUM(T124:AE124)</f>
        <v/>
      </c>
      <c r="AG124" s="7">
        <f>S124-AF124</f>
        <v/>
      </c>
      <c r="AH124" s="5">
        <f>IF(S124=0,0,AG124/S124)</f>
        <v/>
      </c>
    </row>
    <row r="125">
      <c r="A125" s="2" t="inlineStr">
        <is>
          <t>CC-7000</t>
        </is>
      </c>
      <c r="B125" s="2" t="inlineStr">
        <is>
          <t>Fuera de Sitio</t>
        </is>
      </c>
      <c r="C125" s="2" t="inlineStr">
        <is>
          <t>EXT</t>
        </is>
      </c>
      <c r="D125" s="2" t="n">
        <v>650000</v>
      </c>
      <c r="E125" s="2" t="inlineStr">
        <is>
          <t>Distribuibles</t>
        </is>
      </c>
      <c r="F125" s="2" t="inlineStr">
        <is>
          <t>transporte_personal</t>
        </is>
      </c>
      <c r="G125" s="7" t="n">
        <v>12379.49</v>
      </c>
      <c r="H125" s="7" t="n">
        <v>11934.44</v>
      </c>
      <c r="I125" s="7" t="n">
        <v>12493.33</v>
      </c>
      <c r="J125" s="7" t="n">
        <v>11769.15</v>
      </c>
      <c r="K125" s="7" t="n">
        <v>11082.67</v>
      </c>
      <c r="L125" s="7" t="n">
        <v>11024.41</v>
      </c>
      <c r="M125" s="7" t="n">
        <v>11622.22</v>
      </c>
      <c r="N125" s="7" t="n">
        <v>11181</v>
      </c>
      <c r="O125" s="7" t="n">
        <v>10826.86</v>
      </c>
      <c r="P125" s="7" t="n">
        <v>12527</v>
      </c>
      <c r="Q125" s="7" t="n">
        <v>11619.38</v>
      </c>
      <c r="R125" s="7" t="n">
        <v>11252.55</v>
      </c>
      <c r="S125" s="8">
        <f>SUM(G125:R125)</f>
        <v/>
      </c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>
        <f>SUM(T125:AE125)</f>
        <v/>
      </c>
      <c r="AG125" s="7">
        <f>S125-AF125</f>
        <v/>
      </c>
      <c r="AH125" s="5">
        <f>IF(S125=0,0,AG125/S125)</f>
        <v/>
      </c>
    </row>
    <row r="126">
      <c r="A126" s="2" t="inlineStr">
        <is>
          <t>CC-7000</t>
        </is>
      </c>
      <c r="B126" s="2" t="inlineStr">
        <is>
          <t>Fuera de Sitio</t>
        </is>
      </c>
      <c r="C126" s="2" t="inlineStr">
        <is>
          <t>EXT</t>
        </is>
      </c>
      <c r="D126" s="2" t="n">
        <v>660000</v>
      </c>
      <c r="E126" s="2" t="inlineStr">
        <is>
          <t>Depreciacion</t>
        </is>
      </c>
      <c r="F126" s="2" t="inlineStr">
        <is>
          <t>depreciacion_equipos</t>
        </is>
      </c>
      <c r="G126" s="7" t="n">
        <v>17794.39</v>
      </c>
      <c r="H126" s="7" t="n">
        <v>17737.23</v>
      </c>
      <c r="I126" s="7" t="n">
        <v>18009.33</v>
      </c>
      <c r="J126" s="7" t="n">
        <v>19775.44</v>
      </c>
      <c r="K126" s="7" t="n">
        <v>17347.95</v>
      </c>
      <c r="L126" s="7" t="n">
        <v>18270.53</v>
      </c>
      <c r="M126" s="7" t="n">
        <v>19314.95</v>
      </c>
      <c r="N126" s="7" t="n">
        <v>18323.93</v>
      </c>
      <c r="O126" s="7" t="n">
        <v>16219.25</v>
      </c>
      <c r="P126" s="7" t="n">
        <v>20080.98</v>
      </c>
      <c r="Q126" s="7" t="n">
        <v>17253.92</v>
      </c>
      <c r="R126" s="7" t="n">
        <v>17957.48</v>
      </c>
      <c r="S126" s="8">
        <f>SUM(G126:R126)</f>
        <v/>
      </c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>
        <f>SUM(T126:AE126)</f>
        <v/>
      </c>
      <c r="AG126" s="7">
        <f>S126-AF126</f>
        <v/>
      </c>
      <c r="AH126" s="5">
        <f>IF(S126=0,0,AG126/S126)</f>
        <v/>
      </c>
    </row>
    <row r="127">
      <c r="A127" s="2" t="inlineStr">
        <is>
          <t>CC-7000</t>
        </is>
      </c>
      <c r="B127" s="2" t="inlineStr">
        <is>
          <t>Fuera de Sitio</t>
        </is>
      </c>
      <c r="C127" s="2" t="inlineStr">
        <is>
          <t>EXT</t>
        </is>
      </c>
      <c r="D127" s="2" t="n">
        <v>660000</v>
      </c>
      <c r="E127" s="2" t="inlineStr">
        <is>
          <t>Depreciacion</t>
        </is>
      </c>
      <c r="F127" s="2" t="inlineStr">
        <is>
          <t>depreciacion_infraestructura</t>
        </is>
      </c>
      <c r="G127" s="7" t="n">
        <v>64766.1</v>
      </c>
      <c r="H127" s="7" t="n">
        <v>60918.03</v>
      </c>
      <c r="I127" s="7" t="n">
        <v>66725.89</v>
      </c>
      <c r="J127" s="7" t="n">
        <v>65031.22</v>
      </c>
      <c r="K127" s="7" t="n">
        <v>64750</v>
      </c>
      <c r="L127" s="7" t="n">
        <v>56985.42</v>
      </c>
      <c r="M127" s="7" t="n">
        <v>60964.83</v>
      </c>
      <c r="N127" s="7" t="n">
        <v>63397.89</v>
      </c>
      <c r="O127" s="7" t="n">
        <v>61263.42</v>
      </c>
      <c r="P127" s="7" t="n">
        <v>70428.3</v>
      </c>
      <c r="Q127" s="7" t="n">
        <v>62241.94</v>
      </c>
      <c r="R127" s="7" t="n">
        <v>64441.58</v>
      </c>
      <c r="S127" s="8">
        <f>SUM(G127:R127)</f>
        <v/>
      </c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>
        <f>SUM(T127:AE127)</f>
        <v/>
      </c>
      <c r="AG127" s="7">
        <f>S127-AF127</f>
        <v/>
      </c>
      <c r="AH127" s="5">
        <f>IF(S127=0,0,AG127/S127)</f>
        <v/>
      </c>
    </row>
    <row r="128">
      <c r="A128" s="2" t="inlineStr">
        <is>
          <t>CC-8000</t>
        </is>
      </c>
      <c r="B128" s="2" t="inlineStr">
        <is>
          <t>Costos del Dueno</t>
        </is>
      </c>
      <c r="C128" s="2" t="inlineStr">
        <is>
          <t>MOV</t>
        </is>
      </c>
      <c r="D128" s="2" t="n">
        <v>610000</v>
      </c>
      <c r="E128" s="2" t="inlineStr">
        <is>
          <t>Mano obra interna</t>
        </is>
      </c>
      <c r="F128" s="2" t="inlineStr">
        <is>
          <t>sueldos_base</t>
        </is>
      </c>
      <c r="G128" s="7" t="n">
        <v>25834.5</v>
      </c>
      <c r="H128" s="7" t="n">
        <v>22787.93</v>
      </c>
      <c r="I128" s="7" t="n">
        <v>23827.07</v>
      </c>
      <c r="J128" s="7" t="n">
        <v>25741.93</v>
      </c>
      <c r="K128" s="7" t="n">
        <v>23509.02</v>
      </c>
      <c r="L128" s="7" t="n">
        <v>23700.34</v>
      </c>
      <c r="M128" s="7" t="n">
        <v>23315.9</v>
      </c>
      <c r="N128" s="7" t="n">
        <v>24965.3</v>
      </c>
      <c r="O128" s="7" t="n">
        <v>23147.83</v>
      </c>
      <c r="P128" s="7" t="n">
        <v>25848.8</v>
      </c>
      <c r="Q128" s="7" t="n">
        <v>23719.06</v>
      </c>
      <c r="R128" s="7" t="n">
        <v>25619.51</v>
      </c>
      <c r="S128" s="8">
        <f>SUM(G128:R128)</f>
        <v/>
      </c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>
        <f>SUM(T128:AE128)</f>
        <v/>
      </c>
      <c r="AG128" s="7">
        <f>S128-AF128</f>
        <v/>
      </c>
      <c r="AH128" s="5">
        <f>IF(S128=0,0,AG128/S128)</f>
        <v/>
      </c>
    </row>
    <row r="129">
      <c r="A129" s="2" t="inlineStr">
        <is>
          <t>CC-8000</t>
        </is>
      </c>
      <c r="B129" s="2" t="inlineStr">
        <is>
          <t>Costos del Dueno</t>
        </is>
      </c>
      <c r="C129" s="2" t="inlineStr">
        <is>
          <t>MOV</t>
        </is>
      </c>
      <c r="D129" s="2" t="n">
        <v>610000</v>
      </c>
      <c r="E129" s="2" t="inlineStr">
        <is>
          <t>Mano obra interna</t>
        </is>
      </c>
      <c r="F129" s="2" t="inlineStr">
        <is>
          <t>bonos</t>
        </is>
      </c>
      <c r="G129" s="7" t="n">
        <v>81877.28</v>
      </c>
      <c r="H129" s="7" t="n">
        <v>79392.83</v>
      </c>
      <c r="I129" s="7" t="n">
        <v>85447.17</v>
      </c>
      <c r="J129" s="7" t="n">
        <v>81324.28</v>
      </c>
      <c r="K129" s="7" t="n">
        <v>84253.84</v>
      </c>
      <c r="L129" s="7" t="n">
        <v>72872.3</v>
      </c>
      <c r="M129" s="7" t="n">
        <v>79770.33</v>
      </c>
      <c r="N129" s="7" t="n">
        <v>82677.92</v>
      </c>
      <c r="O129" s="7" t="n">
        <v>74457.07000000001</v>
      </c>
      <c r="P129" s="7" t="n">
        <v>84482.8</v>
      </c>
      <c r="Q129" s="7" t="n">
        <v>77282.25999999999</v>
      </c>
      <c r="R129" s="7" t="n">
        <v>85615.38</v>
      </c>
      <c r="S129" s="8">
        <f>SUM(G129:R129)</f>
        <v/>
      </c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>
        <f>SUM(T129:AE129)</f>
        <v/>
      </c>
      <c r="AG129" s="7">
        <f>S129-AF129</f>
        <v/>
      </c>
      <c r="AH129" s="5">
        <f>IF(S129=0,0,AG129/S129)</f>
        <v/>
      </c>
    </row>
    <row r="130">
      <c r="A130" s="2" t="inlineStr">
        <is>
          <t>CC-8000</t>
        </is>
      </c>
      <c r="B130" s="2" t="inlineStr">
        <is>
          <t>Costos del Dueno</t>
        </is>
      </c>
      <c r="C130" s="2" t="inlineStr">
        <is>
          <t>MOV</t>
        </is>
      </c>
      <c r="D130" s="2" t="n">
        <v>610000</v>
      </c>
      <c r="E130" s="2" t="inlineStr">
        <is>
          <t>Mano obra interna</t>
        </is>
      </c>
      <c r="F130" s="2" t="inlineStr">
        <is>
          <t>seguros_beneficios</t>
        </is>
      </c>
      <c r="G130" s="7" t="n">
        <v>98976.24000000001</v>
      </c>
      <c r="H130" s="7" t="n">
        <v>93072.67</v>
      </c>
      <c r="I130" s="7" t="n">
        <v>101509.14</v>
      </c>
      <c r="J130" s="7" t="n">
        <v>99859.21000000001</v>
      </c>
      <c r="K130" s="7" t="n">
        <v>96106.17</v>
      </c>
      <c r="L130" s="7" t="n">
        <v>90971.85000000001</v>
      </c>
      <c r="M130" s="7" t="n">
        <v>91503.34</v>
      </c>
      <c r="N130" s="7" t="n">
        <v>97735.03999999999</v>
      </c>
      <c r="O130" s="7" t="n">
        <v>88883.21000000001</v>
      </c>
      <c r="P130" s="7" t="n">
        <v>103083.63</v>
      </c>
      <c r="Q130" s="7" t="n">
        <v>90354.03999999999</v>
      </c>
      <c r="R130" s="7" t="n">
        <v>94900.7</v>
      </c>
      <c r="S130" s="8">
        <f>SUM(G130:R130)</f>
        <v/>
      </c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>
        <f>SUM(T130:AE130)</f>
        <v/>
      </c>
      <c r="AG130" s="7">
        <f>S130-AF130</f>
        <v/>
      </c>
      <c r="AH130" s="5">
        <f>IF(S130=0,0,AG130/S130)</f>
        <v/>
      </c>
    </row>
    <row r="131">
      <c r="A131" s="2" t="inlineStr">
        <is>
          <t>CC-8000</t>
        </is>
      </c>
      <c r="B131" s="2" t="inlineStr">
        <is>
          <t>Costos del Dueno</t>
        </is>
      </c>
      <c r="C131" s="2" t="inlineStr">
        <is>
          <t>MOV</t>
        </is>
      </c>
      <c r="D131" s="2" t="n">
        <v>610000</v>
      </c>
      <c r="E131" s="2" t="inlineStr">
        <is>
          <t>Mano obra interna</t>
        </is>
      </c>
      <c r="F131" s="2" t="inlineStr">
        <is>
          <t>provisiones</t>
        </is>
      </c>
      <c r="G131" s="7" t="n">
        <v>52985.17</v>
      </c>
      <c r="H131" s="7" t="n">
        <v>49290.44</v>
      </c>
      <c r="I131" s="7" t="n">
        <v>49333.32</v>
      </c>
      <c r="J131" s="7" t="n">
        <v>48483.99</v>
      </c>
      <c r="K131" s="7" t="n">
        <v>48013.28</v>
      </c>
      <c r="L131" s="7" t="n">
        <v>47896.04</v>
      </c>
      <c r="M131" s="7" t="n">
        <v>50901.46</v>
      </c>
      <c r="N131" s="7" t="n">
        <v>47991.33</v>
      </c>
      <c r="O131" s="7" t="n">
        <v>46333.73</v>
      </c>
      <c r="P131" s="7" t="n">
        <v>51331.94</v>
      </c>
      <c r="Q131" s="7" t="n">
        <v>45875.86</v>
      </c>
      <c r="R131" s="7" t="n">
        <v>53137.54</v>
      </c>
      <c r="S131" s="8">
        <f>SUM(G131:R131)</f>
        <v/>
      </c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>
        <f>SUM(T131:AE131)</f>
        <v/>
      </c>
      <c r="AG131" s="7">
        <f>S131-AF131</f>
        <v/>
      </c>
      <c r="AH131" s="5">
        <f>IF(S131=0,0,AG131/S131)</f>
        <v/>
      </c>
    </row>
    <row r="132">
      <c r="A132" s="2" t="inlineStr">
        <is>
          <t>CC-8000</t>
        </is>
      </c>
      <c r="B132" s="2" t="inlineStr">
        <is>
          <t>Costos del Dueno</t>
        </is>
      </c>
      <c r="C132" s="2" t="inlineStr">
        <is>
          <t>MOV</t>
        </is>
      </c>
      <c r="D132" s="2" t="n">
        <v>620000</v>
      </c>
      <c r="E132" s="2" t="inlineStr">
        <is>
          <t>Materiales</t>
        </is>
      </c>
      <c r="F132" s="2" t="inlineStr">
        <is>
          <t>repuestos_mecanicos</t>
        </is>
      </c>
      <c r="G132" s="7" t="n">
        <v>46003.49</v>
      </c>
      <c r="H132" s="7" t="n">
        <v>46147.2</v>
      </c>
      <c r="I132" s="7" t="n">
        <v>50370</v>
      </c>
      <c r="J132" s="7" t="n">
        <v>48089.53</v>
      </c>
      <c r="K132" s="7" t="n">
        <v>44836.86</v>
      </c>
      <c r="L132" s="7" t="n">
        <v>44467.18</v>
      </c>
      <c r="M132" s="7" t="n">
        <v>48457.91</v>
      </c>
      <c r="N132" s="7" t="n">
        <v>44906.74</v>
      </c>
      <c r="O132" s="7" t="n">
        <v>44172.62</v>
      </c>
      <c r="P132" s="7" t="n">
        <v>53514.94</v>
      </c>
      <c r="Q132" s="7" t="n">
        <v>44844.42</v>
      </c>
      <c r="R132" s="7" t="n">
        <v>45084.71</v>
      </c>
      <c r="S132" s="8">
        <f>SUM(G132:R132)</f>
        <v/>
      </c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>
        <f>SUM(T132:AE132)</f>
        <v/>
      </c>
      <c r="AG132" s="7">
        <f>S132-AF132</f>
        <v/>
      </c>
      <c r="AH132" s="5">
        <f>IF(S132=0,0,AG132/S132)</f>
        <v/>
      </c>
    </row>
    <row r="133">
      <c r="A133" s="2" t="inlineStr">
        <is>
          <t>CC-8000</t>
        </is>
      </c>
      <c r="B133" s="2" t="inlineStr">
        <is>
          <t>Costos del Dueno</t>
        </is>
      </c>
      <c r="C133" s="2" t="inlineStr">
        <is>
          <t>MOV</t>
        </is>
      </c>
      <c r="D133" s="2" t="n">
        <v>620000</v>
      </c>
      <c r="E133" s="2" t="inlineStr">
        <is>
          <t>Materiales</t>
        </is>
      </c>
      <c r="F133" s="2" t="inlineStr">
        <is>
          <t>GET</t>
        </is>
      </c>
      <c r="G133" s="7" t="n">
        <v>37717.13</v>
      </c>
      <c r="H133" s="7" t="n">
        <v>33868.95</v>
      </c>
      <c r="I133" s="7" t="n">
        <v>36128.38</v>
      </c>
      <c r="J133" s="7" t="n">
        <v>35153.58</v>
      </c>
      <c r="K133" s="7" t="n">
        <v>34567.54</v>
      </c>
      <c r="L133" s="7" t="n">
        <v>36249.31</v>
      </c>
      <c r="M133" s="7" t="n">
        <v>37407.89</v>
      </c>
      <c r="N133" s="7" t="n">
        <v>35649.3</v>
      </c>
      <c r="O133" s="7" t="n">
        <v>35465.63</v>
      </c>
      <c r="P133" s="7" t="n">
        <v>39995.5</v>
      </c>
      <c r="Q133" s="7" t="n">
        <v>34983.95</v>
      </c>
      <c r="R133" s="7" t="n">
        <v>34994.31</v>
      </c>
      <c r="S133" s="8">
        <f>SUM(G133:R133)</f>
        <v/>
      </c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>
        <f>SUM(T133:AE133)</f>
        <v/>
      </c>
      <c r="AG133" s="7">
        <f>S133-AF133</f>
        <v/>
      </c>
      <c r="AH133" s="5">
        <f>IF(S133=0,0,AG133/S133)</f>
        <v/>
      </c>
    </row>
    <row r="134">
      <c r="A134" s="2" t="inlineStr">
        <is>
          <t>CC-8000</t>
        </is>
      </c>
      <c r="B134" s="2" t="inlineStr">
        <is>
          <t>Costos del Dueno</t>
        </is>
      </c>
      <c r="C134" s="2" t="inlineStr">
        <is>
          <t>MOV</t>
        </is>
      </c>
      <c r="D134" s="2" t="n">
        <v>620000</v>
      </c>
      <c r="E134" s="2" t="inlineStr">
        <is>
          <t>Materiales</t>
        </is>
      </c>
      <c r="F134" s="2" t="inlineStr">
        <is>
          <t>consumibles_operacion</t>
        </is>
      </c>
      <c r="G134" s="7" t="n">
        <v>72552.14999999999</v>
      </c>
      <c r="H134" s="7" t="n">
        <v>67091.47</v>
      </c>
      <c r="I134" s="7" t="n">
        <v>69656.13</v>
      </c>
      <c r="J134" s="7" t="n">
        <v>68884.71000000001</v>
      </c>
      <c r="K134" s="7" t="n">
        <v>64397.51</v>
      </c>
      <c r="L134" s="7" t="n">
        <v>68042.98</v>
      </c>
      <c r="M134" s="7" t="n">
        <v>66242.46000000001</v>
      </c>
      <c r="N134" s="7" t="n">
        <v>69275.5</v>
      </c>
      <c r="O134" s="7" t="n">
        <v>60637.36</v>
      </c>
      <c r="P134" s="7" t="n">
        <v>75724.05</v>
      </c>
      <c r="Q134" s="7" t="n">
        <v>65898.92999999999</v>
      </c>
      <c r="R134" s="7" t="n">
        <v>71283.89999999999</v>
      </c>
      <c r="S134" s="8">
        <f>SUM(G134:R134)</f>
        <v/>
      </c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>
        <f>SUM(T134:AE134)</f>
        <v/>
      </c>
      <c r="AG134" s="7">
        <f>S134-AF134</f>
        <v/>
      </c>
      <c r="AH134" s="5">
        <f>IF(S134=0,0,AG134/S134)</f>
        <v/>
      </c>
    </row>
    <row r="135">
      <c r="A135" s="2" t="inlineStr">
        <is>
          <t>CC-8000</t>
        </is>
      </c>
      <c r="B135" s="2" t="inlineStr">
        <is>
          <t>Costos del Dueno</t>
        </is>
      </c>
      <c r="C135" s="2" t="inlineStr">
        <is>
          <t>MOV</t>
        </is>
      </c>
      <c r="D135" s="2" t="n">
        <v>620000</v>
      </c>
      <c r="E135" s="2" t="inlineStr">
        <is>
          <t>Materiales</t>
        </is>
      </c>
      <c r="F135" s="2" t="inlineStr">
        <is>
          <t>ropa_seguridad</t>
        </is>
      </c>
      <c r="G135" s="7" t="n">
        <v>15488.41</v>
      </c>
      <c r="H135" s="7" t="n">
        <v>15275.15</v>
      </c>
      <c r="I135" s="7" t="n">
        <v>15692.54</v>
      </c>
      <c r="J135" s="7" t="n">
        <v>16595.11</v>
      </c>
      <c r="K135" s="7" t="n">
        <v>15050.56</v>
      </c>
      <c r="L135" s="7" t="n">
        <v>15470.79</v>
      </c>
      <c r="M135" s="7" t="n">
        <v>15264.82</v>
      </c>
      <c r="N135" s="7" t="n">
        <v>16793.87</v>
      </c>
      <c r="O135" s="7" t="n">
        <v>14705.36</v>
      </c>
      <c r="P135" s="7" t="n">
        <v>16437.8</v>
      </c>
      <c r="Q135" s="7" t="n">
        <v>14598.46</v>
      </c>
      <c r="R135" s="7" t="n">
        <v>15862.89</v>
      </c>
      <c r="S135" s="8">
        <f>SUM(G135:R135)</f>
        <v/>
      </c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>
        <f>SUM(T135:AE135)</f>
        <v/>
      </c>
      <c r="AG135" s="7">
        <f>S135-AF135</f>
        <v/>
      </c>
      <c r="AH135" s="5">
        <f>IF(S135=0,0,AG135/S135)</f>
        <v/>
      </c>
    </row>
    <row r="136">
      <c r="A136" s="2" t="inlineStr">
        <is>
          <t>CC-8000</t>
        </is>
      </c>
      <c r="B136" s="2" t="inlineStr">
        <is>
          <t>Costos del Dueno</t>
        </is>
      </c>
      <c r="C136" s="2" t="inlineStr">
        <is>
          <t>MOV</t>
        </is>
      </c>
      <c r="D136" s="2" t="n">
        <v>630000</v>
      </c>
      <c r="E136" s="2" t="inlineStr">
        <is>
          <t>Servicios externos</t>
        </is>
      </c>
      <c r="F136" s="2" t="inlineStr">
        <is>
          <t>mantenci_mecanica</t>
        </is>
      </c>
      <c r="G136" s="7" t="n">
        <v>24644.72</v>
      </c>
      <c r="H136" s="7" t="n">
        <v>23377.29</v>
      </c>
      <c r="I136" s="7" t="n">
        <v>23200.03</v>
      </c>
      <c r="J136" s="7" t="n">
        <v>23646.73</v>
      </c>
      <c r="K136" s="7" t="n">
        <v>21400.08</v>
      </c>
      <c r="L136" s="7" t="n">
        <v>21734.54</v>
      </c>
      <c r="M136" s="7" t="n">
        <v>23170.35</v>
      </c>
      <c r="N136" s="7" t="n">
        <v>23434.04</v>
      </c>
      <c r="O136" s="7" t="n">
        <v>22307.57</v>
      </c>
      <c r="P136" s="7" t="n">
        <v>24013.63</v>
      </c>
      <c r="Q136" s="7" t="n">
        <v>23200.46</v>
      </c>
      <c r="R136" s="7" t="n">
        <v>23651.64</v>
      </c>
      <c r="S136" s="8">
        <f>SUM(G136:R136)</f>
        <v/>
      </c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>
        <f>SUM(T136:AE136)</f>
        <v/>
      </c>
      <c r="AG136" s="7">
        <f>S136-AF136</f>
        <v/>
      </c>
      <c r="AH136" s="5">
        <f>IF(S136=0,0,AG136/S136)</f>
        <v/>
      </c>
    </row>
    <row r="137">
      <c r="A137" s="2" t="inlineStr">
        <is>
          <t>CC-8000</t>
        </is>
      </c>
      <c r="B137" s="2" t="inlineStr">
        <is>
          <t>Costos del Dueno</t>
        </is>
      </c>
      <c r="C137" s="2" t="inlineStr">
        <is>
          <t>MOV</t>
        </is>
      </c>
      <c r="D137" s="2" t="n">
        <v>630000</v>
      </c>
      <c r="E137" s="2" t="inlineStr">
        <is>
          <t>Servicios externos</t>
        </is>
      </c>
      <c r="F137" s="2" t="inlineStr">
        <is>
          <t>mantenci_electrica</t>
        </is>
      </c>
      <c r="G137" s="7" t="n">
        <v>60698.14</v>
      </c>
      <c r="H137" s="7" t="n">
        <v>60798.91</v>
      </c>
      <c r="I137" s="7" t="n">
        <v>64433.44</v>
      </c>
      <c r="J137" s="7" t="n">
        <v>62880.71</v>
      </c>
      <c r="K137" s="7" t="n">
        <v>59128.51</v>
      </c>
      <c r="L137" s="7" t="n">
        <v>60252.18</v>
      </c>
      <c r="M137" s="7" t="n">
        <v>59892.46</v>
      </c>
      <c r="N137" s="7" t="n">
        <v>65703.31</v>
      </c>
      <c r="O137" s="7" t="n">
        <v>60859.17</v>
      </c>
      <c r="P137" s="7" t="n">
        <v>67344.24000000001</v>
      </c>
      <c r="Q137" s="7" t="n">
        <v>57487.8</v>
      </c>
      <c r="R137" s="7" t="n">
        <v>63961.25</v>
      </c>
      <c r="S137" s="8">
        <f>SUM(G137:R137)</f>
        <v/>
      </c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>
        <f>SUM(T137:AE137)</f>
        <v/>
      </c>
      <c r="AG137" s="7">
        <f>S137-AF137</f>
        <v/>
      </c>
      <c r="AH137" s="5">
        <f>IF(S137=0,0,AG137/S137)</f>
        <v/>
      </c>
    </row>
    <row r="138">
      <c r="A138" s="2" t="inlineStr">
        <is>
          <t>CC-8000</t>
        </is>
      </c>
      <c r="B138" s="2" t="inlineStr">
        <is>
          <t>Costos del Dueno</t>
        </is>
      </c>
      <c r="C138" s="2" t="inlineStr">
        <is>
          <t>MOV</t>
        </is>
      </c>
      <c r="D138" s="2" t="n">
        <v>630000</v>
      </c>
      <c r="E138" s="2" t="inlineStr">
        <is>
          <t>Servicios externos</t>
        </is>
      </c>
      <c r="F138" s="2" t="inlineStr">
        <is>
          <t>servicios_operacion</t>
        </is>
      </c>
      <c r="G138" s="7" t="n">
        <v>55117.45</v>
      </c>
      <c r="H138" s="7" t="n">
        <v>55043.67</v>
      </c>
      <c r="I138" s="7" t="n">
        <v>52231.51</v>
      </c>
      <c r="J138" s="7" t="n">
        <v>55836.29</v>
      </c>
      <c r="K138" s="7" t="n">
        <v>53246.84</v>
      </c>
      <c r="L138" s="7" t="n">
        <v>49062.37</v>
      </c>
      <c r="M138" s="7" t="n">
        <v>51000</v>
      </c>
      <c r="N138" s="7" t="n">
        <v>54602.94</v>
      </c>
      <c r="O138" s="7" t="n">
        <v>48754.16</v>
      </c>
      <c r="P138" s="7" t="n">
        <v>61043.81</v>
      </c>
      <c r="Q138" s="7" t="n">
        <v>54139.66</v>
      </c>
      <c r="R138" s="7" t="n">
        <v>54621.15</v>
      </c>
      <c r="S138" s="8">
        <f>SUM(G138:R138)</f>
        <v/>
      </c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>
        <f>SUM(T138:AE138)</f>
        <v/>
      </c>
      <c r="AG138" s="7">
        <f>S138-AF138</f>
        <v/>
      </c>
      <c r="AH138" s="5">
        <f>IF(S138=0,0,AG138/S138)</f>
        <v/>
      </c>
    </row>
    <row r="139">
      <c r="A139" s="2" t="inlineStr">
        <is>
          <t>CC-8000</t>
        </is>
      </c>
      <c r="B139" s="2" t="inlineStr">
        <is>
          <t>Costos del Dueno</t>
        </is>
      </c>
      <c r="C139" s="2" t="inlineStr">
        <is>
          <t>MOV</t>
        </is>
      </c>
      <c r="D139" s="2" t="n">
        <v>630000</v>
      </c>
      <c r="E139" s="2" t="inlineStr">
        <is>
          <t>Servicios externos</t>
        </is>
      </c>
      <c r="F139" s="2" t="inlineStr">
        <is>
          <t>asesoria_consultoria</t>
        </is>
      </c>
      <c r="G139" s="7" t="n">
        <v>11670.77</v>
      </c>
      <c r="H139" s="7" t="n">
        <v>10617.87</v>
      </c>
      <c r="I139" s="7" t="n">
        <v>12145.27</v>
      </c>
      <c r="J139" s="7" t="n">
        <v>11432.46</v>
      </c>
      <c r="K139" s="7" t="n">
        <v>11153.5</v>
      </c>
      <c r="L139" s="7" t="n">
        <v>11228.63</v>
      </c>
      <c r="M139" s="7" t="n">
        <v>10580.01</v>
      </c>
      <c r="N139" s="7" t="n">
        <v>11225.25</v>
      </c>
      <c r="O139" s="7" t="n">
        <v>10623.41</v>
      </c>
      <c r="P139" s="7" t="n">
        <v>11627.25</v>
      </c>
      <c r="Q139" s="7" t="n">
        <v>10318.52</v>
      </c>
      <c r="R139" s="7" t="n">
        <v>11455.99</v>
      </c>
      <c r="S139" s="8">
        <f>SUM(G139:R139)</f>
        <v/>
      </c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>
        <f>SUM(T139:AE139)</f>
        <v/>
      </c>
      <c r="AG139" s="7">
        <f>S139-AF139</f>
        <v/>
      </c>
      <c r="AH139" s="5">
        <f>IF(S139=0,0,AG139/S139)</f>
        <v/>
      </c>
    </row>
    <row r="140">
      <c r="A140" s="2" t="inlineStr">
        <is>
          <t>CC-8000</t>
        </is>
      </c>
      <c r="B140" s="2" t="inlineStr">
        <is>
          <t>Costos del Dueno</t>
        </is>
      </c>
      <c r="C140" s="2" t="inlineStr">
        <is>
          <t>MOV</t>
        </is>
      </c>
      <c r="D140" s="2" t="n">
        <v>640000</v>
      </c>
      <c r="E140" s="2" t="inlineStr">
        <is>
          <t>Energia electrica</t>
        </is>
      </c>
      <c r="F140" s="2" t="inlineStr">
        <is>
          <t>consumo_energia_planta</t>
        </is>
      </c>
      <c r="G140" s="7" t="n">
        <v>13799.44</v>
      </c>
      <c r="H140" s="7" t="n">
        <v>13475.64</v>
      </c>
      <c r="I140" s="7" t="n">
        <v>14517.17</v>
      </c>
      <c r="J140" s="7" t="n">
        <v>13853.7</v>
      </c>
      <c r="K140" s="7" t="n">
        <v>13139.26</v>
      </c>
      <c r="L140" s="7" t="n">
        <v>13202.65</v>
      </c>
      <c r="M140" s="7" t="n">
        <v>13450.33</v>
      </c>
      <c r="N140" s="7" t="n">
        <v>13192.57</v>
      </c>
      <c r="O140" s="7" t="n">
        <v>13321.14</v>
      </c>
      <c r="P140" s="7" t="n">
        <v>14773.11</v>
      </c>
      <c r="Q140" s="7" t="n">
        <v>12728.6</v>
      </c>
      <c r="R140" s="7" t="n">
        <v>14125.1</v>
      </c>
      <c r="S140" s="8">
        <f>SUM(G140:R140)</f>
        <v/>
      </c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>
        <f>SUM(T140:AE140)</f>
        <v/>
      </c>
      <c r="AG140" s="7">
        <f>S140-AF140</f>
        <v/>
      </c>
      <c r="AH140" s="5">
        <f>IF(S140=0,0,AG140/S140)</f>
        <v/>
      </c>
    </row>
    <row r="141">
      <c r="A141" s="2" t="inlineStr">
        <is>
          <t>CC-8000</t>
        </is>
      </c>
      <c r="B141" s="2" t="inlineStr">
        <is>
          <t>Costos del Dueno</t>
        </is>
      </c>
      <c r="C141" s="2" t="inlineStr">
        <is>
          <t>MOV</t>
        </is>
      </c>
      <c r="D141" s="2" t="n">
        <v>640000</v>
      </c>
      <c r="E141" s="2" t="inlineStr">
        <is>
          <t>Energia electrica</t>
        </is>
      </c>
      <c r="F141" s="2" t="inlineStr">
        <is>
          <t>consumo_energia_mina</t>
        </is>
      </c>
      <c r="G141" s="7" t="n">
        <v>91278.03</v>
      </c>
      <c r="H141" s="7" t="n">
        <v>87606.05</v>
      </c>
      <c r="I141" s="7" t="n">
        <v>90069.39999999999</v>
      </c>
      <c r="J141" s="7" t="n">
        <v>88385.92999999999</v>
      </c>
      <c r="K141" s="7" t="n">
        <v>88225.39999999999</v>
      </c>
      <c r="L141" s="7" t="n">
        <v>84546.10000000001</v>
      </c>
      <c r="M141" s="7" t="n">
        <v>87055.73</v>
      </c>
      <c r="N141" s="7" t="n">
        <v>87843.57000000001</v>
      </c>
      <c r="O141" s="7" t="n">
        <v>77119.00999999999</v>
      </c>
      <c r="P141" s="7" t="n">
        <v>87682.60000000001</v>
      </c>
      <c r="Q141" s="7" t="n">
        <v>87842.07000000001</v>
      </c>
      <c r="R141" s="7" t="n">
        <v>92130.81</v>
      </c>
      <c r="S141" s="8">
        <f>SUM(G141:R141)</f>
        <v/>
      </c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>
        <f>SUM(T141:AE141)</f>
        <v/>
      </c>
      <c r="AG141" s="7">
        <f>S141-AF141</f>
        <v/>
      </c>
      <c r="AH141" s="5">
        <f>IF(S141=0,0,AG141/S141)</f>
        <v/>
      </c>
    </row>
    <row r="142">
      <c r="A142" s="2" t="inlineStr">
        <is>
          <t>CC-8000</t>
        </is>
      </c>
      <c r="B142" s="2" t="inlineStr">
        <is>
          <t>Costos del Dueno</t>
        </is>
      </c>
      <c r="C142" s="2" t="inlineStr">
        <is>
          <t>MOV</t>
        </is>
      </c>
      <c r="D142" s="2" t="n">
        <v>640000</v>
      </c>
      <c r="E142" s="2" t="inlineStr">
        <is>
          <t>Energia electrica</t>
        </is>
      </c>
      <c r="F142" s="2" t="inlineStr">
        <is>
          <t>consumo_energia_servicios</t>
        </is>
      </c>
      <c r="G142" s="7" t="n">
        <v>24890.11</v>
      </c>
      <c r="H142" s="7" t="n">
        <v>22854.92</v>
      </c>
      <c r="I142" s="7" t="n">
        <v>23294.2</v>
      </c>
      <c r="J142" s="7" t="n">
        <v>23674.62</v>
      </c>
      <c r="K142" s="7" t="n">
        <v>23956.86</v>
      </c>
      <c r="L142" s="7" t="n">
        <v>22086.49</v>
      </c>
      <c r="M142" s="7" t="n">
        <v>24415.36</v>
      </c>
      <c r="N142" s="7" t="n">
        <v>24038.77</v>
      </c>
      <c r="O142" s="7" t="n">
        <v>22280.57</v>
      </c>
      <c r="P142" s="7" t="n">
        <v>26727.91</v>
      </c>
      <c r="Q142" s="7" t="n">
        <v>23891.88</v>
      </c>
      <c r="R142" s="7" t="n">
        <v>24524.86</v>
      </c>
      <c r="S142" s="8">
        <f>SUM(G142:R142)</f>
        <v/>
      </c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>
        <f>SUM(T142:AE142)</f>
        <v/>
      </c>
      <c r="AG142" s="7">
        <f>S142-AF142</f>
        <v/>
      </c>
      <c r="AH142" s="5">
        <f>IF(S142=0,0,AG142/S142)</f>
        <v/>
      </c>
    </row>
    <row r="143">
      <c r="A143" s="2" t="inlineStr">
        <is>
          <t>CC-8000</t>
        </is>
      </c>
      <c r="B143" s="2" t="inlineStr">
        <is>
          <t>Costos del Dueno</t>
        </is>
      </c>
      <c r="C143" s="2" t="inlineStr">
        <is>
          <t>MOV</t>
        </is>
      </c>
      <c r="D143" s="2" t="n">
        <v>650000</v>
      </c>
      <c r="E143" s="2" t="inlineStr">
        <is>
          <t>Distribuibles</t>
        </is>
      </c>
      <c r="F143" s="2" t="inlineStr">
        <is>
          <t>campamento</t>
        </is>
      </c>
      <c r="G143" s="7" t="n">
        <v>20582.46</v>
      </c>
      <c r="H143" s="7" t="n">
        <v>19274.18</v>
      </c>
      <c r="I143" s="7" t="n">
        <v>22517.6</v>
      </c>
      <c r="J143" s="7" t="n">
        <v>21340.13</v>
      </c>
      <c r="K143" s="7" t="n">
        <v>19652.4</v>
      </c>
      <c r="L143" s="7" t="n">
        <v>20061.98</v>
      </c>
      <c r="M143" s="7" t="n">
        <v>19542.01</v>
      </c>
      <c r="N143" s="7" t="n">
        <v>19878.7</v>
      </c>
      <c r="O143" s="7" t="n">
        <v>19546.12</v>
      </c>
      <c r="P143" s="7" t="n">
        <v>22028.68</v>
      </c>
      <c r="Q143" s="7" t="n">
        <v>19588.55</v>
      </c>
      <c r="R143" s="7" t="n">
        <v>21366.85</v>
      </c>
      <c r="S143" s="8">
        <f>SUM(G143:R143)</f>
        <v/>
      </c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>
        <f>SUM(T143:AE143)</f>
        <v/>
      </c>
      <c r="AG143" s="7">
        <f>S143-AF143</f>
        <v/>
      </c>
      <c r="AH143" s="5">
        <f>IF(S143=0,0,AG143/S143)</f>
        <v/>
      </c>
    </row>
    <row r="144">
      <c r="A144" s="2" t="inlineStr">
        <is>
          <t>CC-8000</t>
        </is>
      </c>
      <c r="B144" s="2" t="inlineStr">
        <is>
          <t>Costos del Dueno</t>
        </is>
      </c>
      <c r="C144" s="2" t="inlineStr">
        <is>
          <t>MOV</t>
        </is>
      </c>
      <c r="D144" s="2" t="n">
        <v>650000</v>
      </c>
      <c r="E144" s="2" t="inlineStr">
        <is>
          <t>Distribuibles</t>
        </is>
      </c>
      <c r="F144" s="2" t="inlineStr">
        <is>
          <t>agua_mar</t>
        </is>
      </c>
      <c r="G144" s="7" t="n">
        <v>38498.38</v>
      </c>
      <c r="H144" s="7" t="n">
        <v>36339.39</v>
      </c>
      <c r="I144" s="7" t="n">
        <v>37103.46</v>
      </c>
      <c r="J144" s="7" t="n">
        <v>37624.13</v>
      </c>
      <c r="K144" s="7" t="n">
        <v>36589.64</v>
      </c>
      <c r="L144" s="7" t="n">
        <v>35676.87</v>
      </c>
      <c r="M144" s="7" t="n">
        <v>35303.49</v>
      </c>
      <c r="N144" s="7" t="n">
        <v>34426.82</v>
      </c>
      <c r="O144" s="7" t="n">
        <v>34360.86</v>
      </c>
      <c r="P144" s="7" t="n">
        <v>37185.61</v>
      </c>
      <c r="Q144" s="7" t="n">
        <v>34810.87</v>
      </c>
      <c r="R144" s="7" t="n">
        <v>35475.58</v>
      </c>
      <c r="S144" s="8">
        <f>SUM(G144:R144)</f>
        <v/>
      </c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>
        <f>SUM(T144:AE144)</f>
        <v/>
      </c>
      <c r="AG144" s="7">
        <f>S144-AF144</f>
        <v/>
      </c>
      <c r="AH144" s="5">
        <f>IF(S144=0,0,AG144/S144)</f>
        <v/>
      </c>
    </row>
    <row r="145">
      <c r="A145" s="2" t="inlineStr">
        <is>
          <t>CC-8000</t>
        </is>
      </c>
      <c r="B145" s="2" t="inlineStr">
        <is>
          <t>Costos del Dueno</t>
        </is>
      </c>
      <c r="C145" s="2" t="inlineStr">
        <is>
          <t>MOV</t>
        </is>
      </c>
      <c r="D145" s="2" t="n">
        <v>650000</v>
      </c>
      <c r="E145" s="2" t="inlineStr">
        <is>
          <t>Distribuibles</t>
        </is>
      </c>
      <c r="F145" s="2" t="inlineStr">
        <is>
          <t>agua_fresca</t>
        </is>
      </c>
      <c r="G145" s="7" t="n">
        <v>14840.52</v>
      </c>
      <c r="H145" s="7" t="n">
        <v>14560.29</v>
      </c>
      <c r="I145" s="7" t="n">
        <v>16033.57</v>
      </c>
      <c r="J145" s="7" t="n">
        <v>15491.83</v>
      </c>
      <c r="K145" s="7" t="n">
        <v>14104.43</v>
      </c>
      <c r="L145" s="7" t="n">
        <v>14830.54</v>
      </c>
      <c r="M145" s="7" t="n">
        <v>14844.14</v>
      </c>
      <c r="N145" s="7" t="n">
        <v>14299.23</v>
      </c>
      <c r="O145" s="7" t="n">
        <v>13856.38</v>
      </c>
      <c r="P145" s="7" t="n">
        <v>15406.59</v>
      </c>
      <c r="Q145" s="7" t="n">
        <v>14133.97</v>
      </c>
      <c r="R145" s="7" t="n">
        <v>15608.76</v>
      </c>
      <c r="S145" s="8">
        <f>SUM(G145:R145)</f>
        <v/>
      </c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>
        <f>SUM(T145:AE145)</f>
        <v/>
      </c>
      <c r="AG145" s="7">
        <f>S145-AF145</f>
        <v/>
      </c>
      <c r="AH145" s="5">
        <f>IF(S145=0,0,AG145/S145)</f>
        <v/>
      </c>
    </row>
    <row r="146">
      <c r="A146" s="2" t="inlineStr">
        <is>
          <t>CC-8000</t>
        </is>
      </c>
      <c r="B146" s="2" t="inlineStr">
        <is>
          <t>Costos del Dueno</t>
        </is>
      </c>
      <c r="C146" s="2" t="inlineStr">
        <is>
          <t>MOV</t>
        </is>
      </c>
      <c r="D146" s="2" t="n">
        <v>650000</v>
      </c>
      <c r="E146" s="2" t="inlineStr">
        <is>
          <t>Distribuibles</t>
        </is>
      </c>
      <c r="F146" s="2" t="inlineStr">
        <is>
          <t>transporte_personal</t>
        </is>
      </c>
      <c r="G146" s="7" t="n">
        <v>12434.23</v>
      </c>
      <c r="H146" s="7" t="n">
        <v>11740.67</v>
      </c>
      <c r="I146" s="7" t="n">
        <v>11926.23</v>
      </c>
      <c r="J146" s="7" t="n">
        <v>11896.99</v>
      </c>
      <c r="K146" s="7" t="n">
        <v>12508.04</v>
      </c>
      <c r="L146" s="7" t="n">
        <v>11212.32</v>
      </c>
      <c r="M146" s="7" t="n">
        <v>12124.87</v>
      </c>
      <c r="N146" s="7" t="n">
        <v>11943.53</v>
      </c>
      <c r="O146" s="7" t="n">
        <v>10489.85</v>
      </c>
      <c r="P146" s="7" t="n">
        <v>13578.06</v>
      </c>
      <c r="Q146" s="7" t="n">
        <v>10998.92</v>
      </c>
      <c r="R146" s="7" t="n">
        <v>12361.31</v>
      </c>
      <c r="S146" s="8">
        <f>SUM(G146:R146)</f>
        <v/>
      </c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>
        <f>SUM(T146:AE146)</f>
        <v/>
      </c>
      <c r="AG146" s="7">
        <f>S146-AF146</f>
        <v/>
      </c>
      <c r="AH146" s="5">
        <f>IF(S146=0,0,AG146/S146)</f>
        <v/>
      </c>
    </row>
    <row r="147">
      <c r="A147" s="2" t="inlineStr">
        <is>
          <t>CC-8000</t>
        </is>
      </c>
      <c r="B147" s="2" t="inlineStr">
        <is>
          <t>Costos del Dueno</t>
        </is>
      </c>
      <c r="C147" s="2" t="inlineStr">
        <is>
          <t>MOV</t>
        </is>
      </c>
      <c r="D147" s="2" t="n">
        <v>660000</v>
      </c>
      <c r="E147" s="2" t="inlineStr">
        <is>
          <t>Depreciacion</t>
        </is>
      </c>
      <c r="F147" s="2" t="inlineStr">
        <is>
          <t>depreciacion_equipos</t>
        </is>
      </c>
      <c r="G147" s="7" t="n">
        <v>28227.5</v>
      </c>
      <c r="H147" s="7" t="n">
        <v>28714.93</v>
      </c>
      <c r="I147" s="7" t="n">
        <v>30134.68</v>
      </c>
      <c r="J147" s="7" t="n">
        <v>28231.25</v>
      </c>
      <c r="K147" s="7" t="n">
        <v>27494.67</v>
      </c>
      <c r="L147" s="7" t="n">
        <v>26564.3</v>
      </c>
      <c r="M147" s="7" t="n">
        <v>27106.69</v>
      </c>
      <c r="N147" s="7" t="n">
        <v>26526.96</v>
      </c>
      <c r="O147" s="7" t="n">
        <v>25168.96</v>
      </c>
      <c r="P147" s="7" t="n">
        <v>31255.11</v>
      </c>
      <c r="Q147" s="7" t="n">
        <v>27083.22</v>
      </c>
      <c r="R147" s="7" t="n">
        <v>29433.15</v>
      </c>
      <c r="S147" s="8">
        <f>SUM(G147:R147)</f>
        <v/>
      </c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>
        <f>SUM(T147:AE147)</f>
        <v/>
      </c>
      <c r="AG147" s="7">
        <f>S147-AF147</f>
        <v/>
      </c>
      <c r="AH147" s="5">
        <f>IF(S147=0,0,AG147/S147)</f>
        <v/>
      </c>
    </row>
    <row r="148">
      <c r="A148" s="2" t="inlineStr">
        <is>
          <t>CC-8000</t>
        </is>
      </c>
      <c r="B148" s="2" t="inlineStr">
        <is>
          <t>Costos del Dueno</t>
        </is>
      </c>
      <c r="C148" s="2" t="inlineStr">
        <is>
          <t>MOV</t>
        </is>
      </c>
      <c r="D148" s="2" t="n">
        <v>660000</v>
      </c>
      <c r="E148" s="2" t="inlineStr">
        <is>
          <t>Depreciacion</t>
        </is>
      </c>
      <c r="F148" s="2" t="inlineStr">
        <is>
          <t>depreciacion_infraestructura</t>
        </is>
      </c>
      <c r="G148" s="7" t="n">
        <v>31677.39</v>
      </c>
      <c r="H148" s="7" t="n">
        <v>29147.99</v>
      </c>
      <c r="I148" s="7" t="n">
        <v>29923.21</v>
      </c>
      <c r="J148" s="7" t="n">
        <v>31056.76</v>
      </c>
      <c r="K148" s="7" t="n">
        <v>31392.23</v>
      </c>
      <c r="L148" s="7" t="n">
        <v>29993.27</v>
      </c>
      <c r="M148" s="7" t="n">
        <v>31112.16</v>
      </c>
      <c r="N148" s="7" t="n">
        <v>31076.08</v>
      </c>
      <c r="O148" s="7" t="n">
        <v>28153.55</v>
      </c>
      <c r="P148" s="7" t="n">
        <v>31218.61</v>
      </c>
      <c r="Q148" s="7" t="n">
        <v>28430.09</v>
      </c>
      <c r="R148" s="7" t="n">
        <v>30877.23</v>
      </c>
      <c r="S148" s="8">
        <f>SUM(G148:R148)</f>
        <v/>
      </c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>
        <f>SUM(T148:AE148)</f>
        <v/>
      </c>
      <c r="AG148" s="7">
        <f>S148-AF148</f>
        <v/>
      </c>
      <c r="AH148" s="5">
        <f>IF(S148=0,0,AG148/S148)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10" customWidth="1" min="5" max="5"/>
    <col width="18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</cols>
  <sheetData>
    <row r="1">
      <c r="A1" s="1" t="inlineStr">
        <is>
          <t>fleet_group</t>
        </is>
      </c>
      <c r="B1" s="1" t="inlineStr">
        <is>
          <t>fleet_description</t>
        </is>
      </c>
      <c r="C1" s="1" t="inlineStr">
        <is>
          <t>sap_func_loc_l2</t>
        </is>
      </c>
      <c r="D1" s="1" t="inlineStr">
        <is>
          <t>cost_center</t>
        </is>
      </c>
      <c r="E1" s="1" t="inlineStr">
        <is>
          <t>planning_group</t>
        </is>
      </c>
      <c r="F1" s="1" t="inlineStr">
        <is>
          <t>maint_cost_type</t>
        </is>
      </c>
      <c r="G1" s="1" t="inlineStr">
        <is>
          <t>maint_cost_type_desc</t>
        </is>
      </c>
      <c r="H1" s="1" t="inlineStr">
        <is>
          <t>jan_budget_usd</t>
        </is>
      </c>
      <c r="I1" s="1" t="inlineStr">
        <is>
          <t>feb_budget_usd</t>
        </is>
      </c>
      <c r="J1" s="1" t="inlineStr">
        <is>
          <t>mar_budget_usd</t>
        </is>
      </c>
      <c r="K1" s="1" t="inlineStr">
        <is>
          <t>apr_budget_usd</t>
        </is>
      </c>
      <c r="L1" s="1" t="inlineStr">
        <is>
          <t>may_budget_usd</t>
        </is>
      </c>
      <c r="M1" s="1" t="inlineStr">
        <is>
          <t>jun_budget_usd</t>
        </is>
      </c>
      <c r="N1" s="1" t="inlineStr">
        <is>
          <t>jul_budget_usd</t>
        </is>
      </c>
      <c r="O1" s="1" t="inlineStr">
        <is>
          <t>aug_budget_usd</t>
        </is>
      </c>
      <c r="P1" s="1" t="inlineStr">
        <is>
          <t>sep_budget_usd</t>
        </is>
      </c>
      <c r="Q1" s="1" t="inlineStr">
        <is>
          <t>oct_budget_usd</t>
        </is>
      </c>
      <c r="R1" s="1" t="inlineStr">
        <is>
          <t>nov_budget_usd</t>
        </is>
      </c>
      <c r="S1" s="1" t="inlineStr">
        <is>
          <t>dec_budget_usd</t>
        </is>
      </c>
      <c r="T1" s="1" t="inlineStr">
        <is>
          <t>annual_budget_usd</t>
        </is>
      </c>
      <c r="U1" s="1" t="inlineStr">
        <is>
          <t>budget_source</t>
        </is>
      </c>
    </row>
    <row r="2">
      <c r="A2" s="2" t="inlineStr">
        <is>
          <t>1000_1200</t>
        </is>
      </c>
      <c r="B2" s="2" t="inlineStr">
        <is>
          <t>Instalaciones Mina</t>
        </is>
      </c>
      <c r="C2" s="2" t="inlineStr">
        <is>
          <t>SN-1000-1200</t>
        </is>
      </c>
      <c r="D2" s="2" t="inlineStr">
        <is>
          <t>CC-1000</t>
        </is>
      </c>
      <c r="E2" s="2" t="inlineStr">
        <is>
          <t>M01</t>
        </is>
      </c>
      <c r="F2" s="2" t="inlineStr">
        <is>
          <t>LABOR_INTERNAL</t>
        </is>
      </c>
      <c r="G2" s="2" t="inlineStr">
        <is>
          <t>Mano obra interna mantencion</t>
        </is>
      </c>
      <c r="H2" s="7" t="n">
        <v>141279.53</v>
      </c>
      <c r="I2" s="7" t="n">
        <v>125760.94</v>
      </c>
      <c r="J2" s="7" t="n">
        <v>124724.91</v>
      </c>
      <c r="K2" s="7" t="n">
        <v>141471.73</v>
      </c>
      <c r="L2" s="7" t="n">
        <v>134799.41</v>
      </c>
      <c r="M2" s="7" t="n">
        <v>119076.86</v>
      </c>
      <c r="N2" s="7" t="n">
        <v>143688.46</v>
      </c>
      <c r="O2" s="7" t="n">
        <v>128383.91</v>
      </c>
      <c r="P2" s="7" t="n">
        <v>126362.15</v>
      </c>
      <c r="Q2" s="7" t="n">
        <v>152890.27</v>
      </c>
      <c r="R2" s="7" t="n">
        <v>118106.31</v>
      </c>
      <c r="S2" s="7" t="n">
        <v>143041.01</v>
      </c>
      <c r="T2" s="8">
        <f>SUM(H2:S2)</f>
        <v/>
      </c>
      <c r="U2" s="2" t="inlineStr">
        <is>
          <t>CONTRACTOR_QUOTE</t>
        </is>
      </c>
    </row>
    <row r="3">
      <c r="A3" s="2" t="inlineStr">
        <is>
          <t>1000_1200</t>
        </is>
      </c>
      <c r="B3" s="2" t="inlineStr">
        <is>
          <t>Instalaciones Mina</t>
        </is>
      </c>
      <c r="C3" s="2" t="inlineStr">
        <is>
          <t>SN-1000-1200</t>
        </is>
      </c>
      <c r="D3" s="2" t="inlineStr">
        <is>
          <t>CC-1000</t>
        </is>
      </c>
      <c r="E3" s="2" t="inlineStr">
        <is>
          <t>M01</t>
        </is>
      </c>
      <c r="F3" s="2" t="inlineStr">
        <is>
          <t>SPARE_PARTS</t>
        </is>
      </c>
      <c r="G3" s="2" t="inlineStr">
        <is>
          <t>Repuestos y materiales mecanicos</t>
        </is>
      </c>
      <c r="H3" s="7" t="n">
        <v>148305.1</v>
      </c>
      <c r="I3" s="7" t="n">
        <v>148896.52</v>
      </c>
      <c r="J3" s="7" t="n">
        <v>153776.81</v>
      </c>
      <c r="K3" s="7" t="n">
        <v>151242.09</v>
      </c>
      <c r="L3" s="7" t="n">
        <v>129766.2</v>
      </c>
      <c r="M3" s="7" t="n">
        <v>126149.69</v>
      </c>
      <c r="N3" s="7" t="n">
        <v>142055.56</v>
      </c>
      <c r="O3" s="7" t="n">
        <v>142796.78</v>
      </c>
      <c r="P3" s="7" t="n">
        <v>142543.39</v>
      </c>
      <c r="Q3" s="7" t="n">
        <v>150729.43</v>
      </c>
      <c r="R3" s="7" t="n">
        <v>130779.11</v>
      </c>
      <c r="S3" s="7" t="n">
        <v>133909.69</v>
      </c>
      <c r="T3" s="8">
        <f>SUM(H3:S3)</f>
        <v/>
      </c>
      <c r="U3" s="2" t="inlineStr">
        <is>
          <t>HISTORICAL</t>
        </is>
      </c>
    </row>
    <row r="4">
      <c r="A4" s="2" t="inlineStr">
        <is>
          <t>1000_1200</t>
        </is>
      </c>
      <c r="B4" s="2" t="inlineStr">
        <is>
          <t>Instalaciones Mina</t>
        </is>
      </c>
      <c r="C4" s="2" t="inlineStr">
        <is>
          <t>SN-1000-1200</t>
        </is>
      </c>
      <c r="D4" s="2" t="inlineStr">
        <is>
          <t>CC-1000</t>
        </is>
      </c>
      <c r="E4" s="2" t="inlineStr">
        <is>
          <t>M01</t>
        </is>
      </c>
      <c r="F4" s="2" t="inlineStr">
        <is>
          <t>GET</t>
        </is>
      </c>
      <c r="G4" s="2" t="inlineStr">
        <is>
          <t>Elementos de desgaste (GET)</t>
        </is>
      </c>
      <c r="H4" s="7" t="n">
        <v>43688.99</v>
      </c>
      <c r="I4" s="7" t="n">
        <v>38843.62</v>
      </c>
      <c r="J4" s="7" t="n">
        <v>46565.17</v>
      </c>
      <c r="K4" s="7" t="n">
        <v>43932.6</v>
      </c>
      <c r="L4" s="7" t="n">
        <v>44780.84</v>
      </c>
      <c r="M4" s="7" t="n">
        <v>39733.73</v>
      </c>
      <c r="N4" s="7" t="n">
        <v>42998.59</v>
      </c>
      <c r="O4" s="7" t="n">
        <v>42354.13</v>
      </c>
      <c r="P4" s="7" t="n">
        <v>43077.33</v>
      </c>
      <c r="Q4" s="7" t="n">
        <v>48178.43</v>
      </c>
      <c r="R4" s="7" t="n">
        <v>41603.47</v>
      </c>
      <c r="S4" s="7" t="n">
        <v>43709.79</v>
      </c>
      <c r="T4" s="8">
        <f>SUM(H4:S4)</f>
        <v/>
      </c>
      <c r="U4" s="2" t="inlineStr">
        <is>
          <t>HISTORICAL</t>
        </is>
      </c>
    </row>
    <row r="5">
      <c r="A5" s="2" t="inlineStr">
        <is>
          <t>1000_1200</t>
        </is>
      </c>
      <c r="B5" s="2" t="inlineStr">
        <is>
          <t>Instalaciones Mina</t>
        </is>
      </c>
      <c r="C5" s="2" t="inlineStr">
        <is>
          <t>SN-1000-1200</t>
        </is>
      </c>
      <c r="D5" s="2" t="inlineStr">
        <is>
          <t>CC-1000</t>
        </is>
      </c>
      <c r="E5" s="2" t="inlineStr">
        <is>
          <t>M01</t>
        </is>
      </c>
      <c r="F5" s="2" t="inlineStr">
        <is>
          <t>CONSUMABLES</t>
        </is>
      </c>
      <c r="G5" s="2" t="inlineStr">
        <is>
          <t>Consumibles operacion</t>
        </is>
      </c>
      <c r="H5" s="7" t="n">
        <v>40716.51</v>
      </c>
      <c r="I5" s="7" t="n">
        <v>33167.05</v>
      </c>
      <c r="J5" s="7" t="n">
        <v>38553.7</v>
      </c>
      <c r="K5" s="7" t="n">
        <v>37307.48</v>
      </c>
      <c r="L5" s="7" t="n">
        <v>38519.19</v>
      </c>
      <c r="M5" s="7" t="n">
        <v>31297.62</v>
      </c>
      <c r="N5" s="7" t="n">
        <v>33744.29</v>
      </c>
      <c r="O5" s="7" t="n">
        <v>32980.46</v>
      </c>
      <c r="P5" s="7" t="n">
        <v>31575.99</v>
      </c>
      <c r="Q5" s="7" t="n">
        <v>40856.52</v>
      </c>
      <c r="R5" s="7" t="n">
        <v>32673.58</v>
      </c>
      <c r="S5" s="7" t="n">
        <v>37815.86</v>
      </c>
      <c r="T5" s="8">
        <f>SUM(H5:S5)</f>
        <v/>
      </c>
      <c r="U5" s="2" t="inlineStr">
        <is>
          <t>ENGINEERING_ESTIMATE</t>
        </is>
      </c>
    </row>
    <row r="6">
      <c r="A6" s="2" t="inlineStr">
        <is>
          <t>1000_1200</t>
        </is>
      </c>
      <c r="B6" s="2" t="inlineStr">
        <is>
          <t>Instalaciones Mina</t>
        </is>
      </c>
      <c r="C6" s="2" t="inlineStr">
        <is>
          <t>SN-1000-1200</t>
        </is>
      </c>
      <c r="D6" s="2" t="inlineStr">
        <is>
          <t>CC-1000</t>
        </is>
      </c>
      <c r="E6" s="2" t="inlineStr">
        <is>
          <t>M01</t>
        </is>
      </c>
      <c r="F6" s="2" t="inlineStr">
        <is>
          <t>LUBRICANTS</t>
        </is>
      </c>
      <c r="G6" s="2" t="inlineStr">
        <is>
          <t>Lubricantes</t>
        </is>
      </c>
      <c r="H6" s="7" t="n">
        <v>29717.24</v>
      </c>
      <c r="I6" s="7" t="n">
        <v>34769.01</v>
      </c>
      <c r="J6" s="7" t="n">
        <v>34320.44</v>
      </c>
      <c r="K6" s="7" t="n">
        <v>30500.82</v>
      </c>
      <c r="L6" s="7" t="n">
        <v>30590.68</v>
      </c>
      <c r="M6" s="7" t="n">
        <v>33722.85</v>
      </c>
      <c r="N6" s="7" t="n">
        <v>30413.08</v>
      </c>
      <c r="O6" s="7" t="n">
        <v>33754.13</v>
      </c>
      <c r="P6" s="7" t="n">
        <v>28381.62</v>
      </c>
      <c r="Q6" s="7" t="n">
        <v>33971.04</v>
      </c>
      <c r="R6" s="7" t="n">
        <v>33496.66</v>
      </c>
      <c r="S6" s="7" t="n">
        <v>29553.42</v>
      </c>
      <c r="T6" s="8">
        <f>SUM(H6:S6)</f>
        <v/>
      </c>
      <c r="U6" s="2" t="inlineStr">
        <is>
          <t>HISTORICAL</t>
        </is>
      </c>
    </row>
    <row r="7">
      <c r="A7" s="2" t="inlineStr">
        <is>
          <t>1000_1200</t>
        </is>
      </c>
      <c r="B7" s="2" t="inlineStr">
        <is>
          <t>Instalaciones Mina</t>
        </is>
      </c>
      <c r="C7" s="2" t="inlineStr">
        <is>
          <t>SN-1000-1200</t>
        </is>
      </c>
      <c r="D7" s="2" t="inlineStr">
        <is>
          <t>CC-1000</t>
        </is>
      </c>
      <c r="E7" s="2" t="inlineStr">
        <is>
          <t>M01</t>
        </is>
      </c>
      <c r="F7" s="2" t="inlineStr">
        <is>
          <t>SVC_FIXED</t>
        </is>
      </c>
      <c r="G7" s="2" t="inlineStr">
        <is>
          <t>Servicios mantencion marco fijo</t>
        </is>
      </c>
      <c r="H7" s="7" t="n">
        <v>84131.09</v>
      </c>
      <c r="I7" s="7" t="n">
        <v>71707.39</v>
      </c>
      <c r="J7" s="7" t="n">
        <v>81457.38</v>
      </c>
      <c r="K7" s="7" t="n">
        <v>79608.72</v>
      </c>
      <c r="L7" s="7" t="n">
        <v>72034.88</v>
      </c>
      <c r="M7" s="7" t="n">
        <v>74640</v>
      </c>
      <c r="N7" s="7" t="n">
        <v>87375.98</v>
      </c>
      <c r="O7" s="7" t="n">
        <v>76714.2</v>
      </c>
      <c r="P7" s="7" t="n">
        <v>76119.22</v>
      </c>
      <c r="Q7" s="7" t="n">
        <v>83199.32000000001</v>
      </c>
      <c r="R7" s="7" t="n">
        <v>71705.33</v>
      </c>
      <c r="S7" s="7" t="n">
        <v>78157.74000000001</v>
      </c>
      <c r="T7" s="8">
        <f>SUM(H7:S7)</f>
        <v/>
      </c>
      <c r="U7" s="2" t="inlineStr">
        <is>
          <t>HISTORICAL</t>
        </is>
      </c>
    </row>
    <row r="8">
      <c r="A8" s="2" t="inlineStr">
        <is>
          <t>1000_1200</t>
        </is>
      </c>
      <c r="B8" s="2" t="inlineStr">
        <is>
          <t>Instalaciones Mina</t>
        </is>
      </c>
      <c r="C8" s="2" t="inlineStr">
        <is>
          <t>SN-1000-1200</t>
        </is>
      </c>
      <c r="D8" s="2" t="inlineStr">
        <is>
          <t>CC-1000</t>
        </is>
      </c>
      <c r="E8" s="2" t="inlineStr">
        <is>
          <t>M01</t>
        </is>
      </c>
      <c r="F8" s="2" t="inlineStr">
        <is>
          <t>SVC_VARIABLE</t>
        </is>
      </c>
      <c r="G8" s="2" t="inlineStr">
        <is>
          <t>Servicios mantencion marco variable</t>
        </is>
      </c>
      <c r="H8" s="7" t="n">
        <v>51707.83</v>
      </c>
      <c r="I8" s="7" t="n">
        <v>53048.16</v>
      </c>
      <c r="J8" s="7" t="n">
        <v>46596.01</v>
      </c>
      <c r="K8" s="7" t="n">
        <v>52706.49</v>
      </c>
      <c r="L8" s="7" t="n">
        <v>44034.29</v>
      </c>
      <c r="M8" s="7" t="n">
        <v>42537.57</v>
      </c>
      <c r="N8" s="7" t="n">
        <v>45816.73</v>
      </c>
      <c r="O8" s="7" t="n">
        <v>49189.41</v>
      </c>
      <c r="P8" s="7" t="n">
        <v>41849.08</v>
      </c>
      <c r="Q8" s="7" t="n">
        <v>55668.88</v>
      </c>
      <c r="R8" s="7" t="n">
        <v>43341.72</v>
      </c>
      <c r="S8" s="7" t="n">
        <v>50112.57</v>
      </c>
      <c r="T8" s="8">
        <f>SUM(H8:S8)</f>
        <v/>
      </c>
      <c r="U8" s="2" t="inlineStr">
        <is>
          <t>CONTRACTOR_QUOTE</t>
        </is>
      </c>
    </row>
    <row r="9">
      <c r="A9" s="2" t="inlineStr">
        <is>
          <t>1000_1200</t>
        </is>
      </c>
      <c r="B9" s="2" t="inlineStr">
        <is>
          <t>Instalaciones Mina</t>
        </is>
      </c>
      <c r="C9" s="2" t="inlineStr">
        <is>
          <t>SN-1000-1200</t>
        </is>
      </c>
      <c r="D9" s="2" t="inlineStr">
        <is>
          <t>CC-1000</t>
        </is>
      </c>
      <c r="E9" s="2" t="inlineStr">
        <is>
          <t>M01</t>
        </is>
      </c>
      <c r="F9" s="2" t="inlineStr">
        <is>
          <t>SVC_EXTERNAL</t>
        </is>
      </c>
      <c r="G9" s="2" t="inlineStr">
        <is>
          <t>Servicios mantencion externa</t>
        </is>
      </c>
      <c r="H9" s="7" t="n">
        <v>62168.15</v>
      </c>
      <c r="I9" s="7" t="n">
        <v>56227.31</v>
      </c>
      <c r="J9" s="7" t="n">
        <v>58308.47</v>
      </c>
      <c r="K9" s="7" t="n">
        <v>65171</v>
      </c>
      <c r="L9" s="7" t="n">
        <v>57345.27</v>
      </c>
      <c r="M9" s="7" t="n">
        <v>60913.4</v>
      </c>
      <c r="N9" s="7" t="n">
        <v>56579.39</v>
      </c>
      <c r="O9" s="7" t="n">
        <v>58176.33</v>
      </c>
      <c r="P9" s="7" t="n">
        <v>51369.48</v>
      </c>
      <c r="Q9" s="7" t="n">
        <v>64604.13</v>
      </c>
      <c r="R9" s="7" t="n">
        <v>56659.13</v>
      </c>
      <c r="S9" s="7" t="n">
        <v>54826.69</v>
      </c>
      <c r="T9" s="8">
        <f>SUM(H9:S9)</f>
        <v/>
      </c>
      <c r="U9" s="2" t="inlineStr">
        <is>
          <t>HISTORICAL</t>
        </is>
      </c>
    </row>
    <row r="10">
      <c r="A10" s="2" t="inlineStr">
        <is>
          <t>1000_1200</t>
        </is>
      </c>
      <c r="B10" s="2" t="inlineStr">
        <is>
          <t>Instalaciones Mina</t>
        </is>
      </c>
      <c r="C10" s="2" t="inlineStr">
        <is>
          <t>SN-1000-1200</t>
        </is>
      </c>
      <c r="D10" s="2" t="inlineStr">
        <is>
          <t>CC-1000</t>
        </is>
      </c>
      <c r="E10" s="2" t="inlineStr">
        <is>
          <t>M01</t>
        </is>
      </c>
      <c r="F10" s="2" t="inlineStr">
        <is>
          <t>OTHER_SERVICES</t>
        </is>
      </c>
      <c r="G10" s="2" t="inlineStr">
        <is>
          <t>Otros servicios de mantencion</t>
        </is>
      </c>
      <c r="H10" s="7" t="n">
        <v>24308.65</v>
      </c>
      <c r="I10" s="7" t="n">
        <v>21943.34</v>
      </c>
      <c r="J10" s="7" t="n">
        <v>23889.54</v>
      </c>
      <c r="K10" s="7" t="n">
        <v>24265.08</v>
      </c>
      <c r="L10" s="7" t="n">
        <v>20096.27</v>
      </c>
      <c r="M10" s="7" t="n">
        <v>20634.31</v>
      </c>
      <c r="N10" s="7" t="n">
        <v>20199.18</v>
      </c>
      <c r="O10" s="7" t="n">
        <v>20284.23</v>
      </c>
      <c r="P10" s="7" t="n">
        <v>18847.24</v>
      </c>
      <c r="Q10" s="7" t="n">
        <v>23952.13</v>
      </c>
      <c r="R10" s="7" t="n">
        <v>21383.36</v>
      </c>
      <c r="S10" s="7" t="n">
        <v>20653.37</v>
      </c>
      <c r="T10" s="8">
        <f>SUM(H10:S10)</f>
        <v/>
      </c>
      <c r="U10" s="2" t="inlineStr">
        <is>
          <t>HISTORICAL</t>
        </is>
      </c>
    </row>
    <row r="11">
      <c r="A11" s="2" t="inlineStr">
        <is>
          <t>2000_2100</t>
        </is>
      </c>
      <c r="B11" s="2" t="inlineStr">
        <is>
          <t>Chancado Primario</t>
        </is>
      </c>
      <c r="C11" s="2" t="inlineStr">
        <is>
          <t>SN-2000-2100</t>
        </is>
      </c>
      <c r="D11" s="2" t="inlineStr">
        <is>
          <t>CC-2000</t>
        </is>
      </c>
      <c r="E11" s="2" t="inlineStr">
        <is>
          <t>M01</t>
        </is>
      </c>
      <c r="F11" s="2" t="inlineStr">
        <is>
          <t>LABOR_INTERNAL</t>
        </is>
      </c>
      <c r="G11" s="2" t="inlineStr">
        <is>
          <t>Mano obra interna mantencion</t>
        </is>
      </c>
      <c r="H11" s="7" t="n">
        <v>54946.57</v>
      </c>
      <c r="I11" s="7" t="n">
        <v>56812.89</v>
      </c>
      <c r="J11" s="7" t="n">
        <v>60163.48</v>
      </c>
      <c r="K11" s="7" t="n">
        <v>55498.06</v>
      </c>
      <c r="L11" s="7" t="n">
        <v>58727.36</v>
      </c>
      <c r="M11" s="7" t="n">
        <v>52760.71</v>
      </c>
      <c r="N11" s="7" t="n">
        <v>56383.72</v>
      </c>
      <c r="O11" s="7" t="n">
        <v>52090.47</v>
      </c>
      <c r="P11" s="7" t="n">
        <v>49438.44</v>
      </c>
      <c r="Q11" s="7" t="n">
        <v>63260.77</v>
      </c>
      <c r="R11" s="7" t="n">
        <v>59497.1</v>
      </c>
      <c r="S11" s="7" t="n">
        <v>59270.47</v>
      </c>
      <c r="T11" s="8">
        <f>SUM(H11:S11)</f>
        <v/>
      </c>
      <c r="U11" s="2" t="inlineStr">
        <is>
          <t>HISTORICAL</t>
        </is>
      </c>
    </row>
    <row r="12">
      <c r="A12" s="2" t="inlineStr">
        <is>
          <t>2000_2100</t>
        </is>
      </c>
      <c r="B12" s="2" t="inlineStr">
        <is>
          <t>Chancado Primario</t>
        </is>
      </c>
      <c r="C12" s="2" t="inlineStr">
        <is>
          <t>SN-2000-2100</t>
        </is>
      </c>
      <c r="D12" s="2" t="inlineStr">
        <is>
          <t>CC-2000</t>
        </is>
      </c>
      <c r="E12" s="2" t="inlineStr">
        <is>
          <t>M01</t>
        </is>
      </c>
      <c r="F12" s="2" t="inlineStr">
        <is>
          <t>SPARE_PARTS</t>
        </is>
      </c>
      <c r="G12" s="2" t="inlineStr">
        <is>
          <t>Repuestos y materiales mecanicos</t>
        </is>
      </c>
      <c r="H12" s="7" t="n">
        <v>60698.52</v>
      </c>
      <c r="I12" s="7" t="n">
        <v>61954.42</v>
      </c>
      <c r="J12" s="7" t="n">
        <v>57869.64</v>
      </c>
      <c r="K12" s="7" t="n">
        <v>64517.97</v>
      </c>
      <c r="L12" s="7" t="n">
        <v>60153.48</v>
      </c>
      <c r="M12" s="7" t="n">
        <v>60625.74</v>
      </c>
      <c r="N12" s="7" t="n">
        <v>60831.37</v>
      </c>
      <c r="O12" s="7" t="n">
        <v>61297.66</v>
      </c>
      <c r="P12" s="7" t="n">
        <v>53144.05</v>
      </c>
      <c r="Q12" s="7" t="n">
        <v>67679.92</v>
      </c>
      <c r="R12" s="7" t="n">
        <v>62194.94</v>
      </c>
      <c r="S12" s="7" t="n">
        <v>65533.43</v>
      </c>
      <c r="T12" s="8">
        <f>SUM(H12:S12)</f>
        <v/>
      </c>
      <c r="U12" s="2" t="inlineStr">
        <is>
          <t>HISTORICAL</t>
        </is>
      </c>
    </row>
    <row r="13">
      <c r="A13" s="2" t="inlineStr">
        <is>
          <t>2000_2100</t>
        </is>
      </c>
      <c r="B13" s="2" t="inlineStr">
        <is>
          <t>Chancado Primario</t>
        </is>
      </c>
      <c r="C13" s="2" t="inlineStr">
        <is>
          <t>SN-2000-2100</t>
        </is>
      </c>
      <c r="D13" s="2" t="inlineStr">
        <is>
          <t>CC-2000</t>
        </is>
      </c>
      <c r="E13" s="2" t="inlineStr">
        <is>
          <t>M01</t>
        </is>
      </c>
      <c r="F13" s="2" t="inlineStr">
        <is>
          <t>GET</t>
        </is>
      </c>
      <c r="G13" s="2" t="inlineStr">
        <is>
          <t>Elementos de desgaste (GET)</t>
        </is>
      </c>
      <c r="H13" s="7" t="n">
        <v>27140.31</v>
      </c>
      <c r="I13" s="7" t="n">
        <v>24263.14</v>
      </c>
      <c r="J13" s="7" t="n">
        <v>23339.02</v>
      </c>
      <c r="K13" s="7" t="n">
        <v>26618.16</v>
      </c>
      <c r="L13" s="7" t="n">
        <v>22835.1</v>
      </c>
      <c r="M13" s="7" t="n">
        <v>21044.71</v>
      </c>
      <c r="N13" s="7" t="n">
        <v>23889.55</v>
      </c>
      <c r="O13" s="7" t="n">
        <v>22262.71</v>
      </c>
      <c r="P13" s="7" t="n">
        <v>20806.81</v>
      </c>
      <c r="Q13" s="7" t="n">
        <v>25922.6</v>
      </c>
      <c r="R13" s="7" t="n">
        <v>23970.21</v>
      </c>
      <c r="S13" s="7" t="n">
        <v>26567.27</v>
      </c>
      <c r="T13" s="8">
        <f>SUM(H13:S13)</f>
        <v/>
      </c>
      <c r="U13" s="2" t="inlineStr">
        <is>
          <t>CONTRACTOR_QUOTE</t>
        </is>
      </c>
    </row>
    <row r="14">
      <c r="A14" s="2" t="inlineStr">
        <is>
          <t>2000_2100</t>
        </is>
      </c>
      <c r="B14" s="2" t="inlineStr">
        <is>
          <t>Chancado Primario</t>
        </is>
      </c>
      <c r="C14" s="2" t="inlineStr">
        <is>
          <t>SN-2000-2100</t>
        </is>
      </c>
      <c r="D14" s="2" t="inlineStr">
        <is>
          <t>CC-2000</t>
        </is>
      </c>
      <c r="E14" s="2" t="inlineStr">
        <is>
          <t>M01</t>
        </is>
      </c>
      <c r="F14" s="2" t="inlineStr">
        <is>
          <t>CONSUMABLES</t>
        </is>
      </c>
      <c r="G14" s="2" t="inlineStr">
        <is>
          <t>Consumibles operacion</t>
        </is>
      </c>
      <c r="H14" s="7" t="n">
        <v>16357.76</v>
      </c>
      <c r="I14" s="7" t="n">
        <v>15481.68</v>
      </c>
      <c r="J14" s="7" t="n">
        <v>17140.1</v>
      </c>
      <c r="K14" s="7" t="n">
        <v>17322.95</v>
      </c>
      <c r="L14" s="7" t="n">
        <v>16363.15</v>
      </c>
      <c r="M14" s="7" t="n">
        <v>14860.47</v>
      </c>
      <c r="N14" s="7" t="n">
        <v>15893.71</v>
      </c>
      <c r="O14" s="7" t="n">
        <v>16130.81</v>
      </c>
      <c r="P14" s="7" t="n">
        <v>13708.59</v>
      </c>
      <c r="Q14" s="7" t="n">
        <v>18927.09</v>
      </c>
      <c r="R14" s="7" t="n">
        <v>15826.63</v>
      </c>
      <c r="S14" s="7" t="n">
        <v>17384.8</v>
      </c>
      <c r="T14" s="8">
        <f>SUM(H14:S14)</f>
        <v/>
      </c>
      <c r="U14" s="2" t="inlineStr">
        <is>
          <t>HISTORICAL</t>
        </is>
      </c>
    </row>
    <row r="15">
      <c r="A15" s="2" t="inlineStr">
        <is>
          <t>2000_2100</t>
        </is>
      </c>
      <c r="B15" s="2" t="inlineStr">
        <is>
          <t>Chancado Primario</t>
        </is>
      </c>
      <c r="C15" s="2" t="inlineStr">
        <is>
          <t>SN-2000-2100</t>
        </is>
      </c>
      <c r="D15" s="2" t="inlineStr">
        <is>
          <t>CC-2000</t>
        </is>
      </c>
      <c r="E15" s="2" t="inlineStr">
        <is>
          <t>M01</t>
        </is>
      </c>
      <c r="F15" s="2" t="inlineStr">
        <is>
          <t>LUBRICANTS</t>
        </is>
      </c>
      <c r="G15" s="2" t="inlineStr">
        <is>
          <t>Lubricantes</t>
        </is>
      </c>
      <c r="H15" s="7" t="n">
        <v>19567.2</v>
      </c>
      <c r="I15" s="7" t="n">
        <v>16400.88</v>
      </c>
      <c r="J15" s="7" t="n">
        <v>17659.47</v>
      </c>
      <c r="K15" s="7" t="n">
        <v>17648.52</v>
      </c>
      <c r="L15" s="7" t="n">
        <v>17071.69</v>
      </c>
      <c r="M15" s="7" t="n">
        <v>17226.23</v>
      </c>
      <c r="N15" s="7" t="n">
        <v>17294.92</v>
      </c>
      <c r="O15" s="7" t="n">
        <v>18263.53</v>
      </c>
      <c r="P15" s="7" t="n">
        <v>16390.7</v>
      </c>
      <c r="Q15" s="7" t="n">
        <v>17743.25</v>
      </c>
      <c r="R15" s="7" t="n">
        <v>18632.23</v>
      </c>
      <c r="S15" s="7" t="n">
        <v>16990.78</v>
      </c>
      <c r="T15" s="8">
        <f>SUM(H15:S15)</f>
        <v/>
      </c>
      <c r="U15" s="2" t="inlineStr">
        <is>
          <t>CONTRACTOR_QUOTE</t>
        </is>
      </c>
    </row>
    <row r="16">
      <c r="A16" s="2" t="inlineStr">
        <is>
          <t>2000_2100</t>
        </is>
      </c>
      <c r="B16" s="2" t="inlineStr">
        <is>
          <t>Chancado Primario</t>
        </is>
      </c>
      <c r="C16" s="2" t="inlineStr">
        <is>
          <t>SN-2000-2100</t>
        </is>
      </c>
      <c r="D16" s="2" t="inlineStr">
        <is>
          <t>CC-2000</t>
        </is>
      </c>
      <c r="E16" s="2" t="inlineStr">
        <is>
          <t>M01</t>
        </is>
      </c>
      <c r="F16" s="2" t="inlineStr">
        <is>
          <t>SVC_FIXED</t>
        </is>
      </c>
      <c r="G16" s="2" t="inlineStr">
        <is>
          <t>Servicios mantencion marco fijo</t>
        </is>
      </c>
      <c r="H16" s="7" t="n">
        <v>30534.84</v>
      </c>
      <c r="I16" s="7" t="n">
        <v>29509.37</v>
      </c>
      <c r="J16" s="7" t="n">
        <v>27702.43</v>
      </c>
      <c r="K16" s="7" t="n">
        <v>26070.6</v>
      </c>
      <c r="L16" s="7" t="n">
        <v>28789.93</v>
      </c>
      <c r="M16" s="7" t="n">
        <v>25133.22</v>
      </c>
      <c r="N16" s="7" t="n">
        <v>28720.9</v>
      </c>
      <c r="O16" s="7" t="n">
        <v>29869.82</v>
      </c>
      <c r="P16" s="7" t="n">
        <v>26156.35</v>
      </c>
      <c r="Q16" s="7" t="n">
        <v>31915.53</v>
      </c>
      <c r="R16" s="7" t="n">
        <v>25247.61</v>
      </c>
      <c r="S16" s="7" t="n">
        <v>30309.55</v>
      </c>
      <c r="T16" s="8">
        <f>SUM(H16:S16)</f>
        <v/>
      </c>
      <c r="U16" s="2" t="inlineStr">
        <is>
          <t>HISTORICAL</t>
        </is>
      </c>
    </row>
    <row r="17">
      <c r="A17" s="2" t="inlineStr">
        <is>
          <t>2000_2100</t>
        </is>
      </c>
      <c r="B17" s="2" t="inlineStr">
        <is>
          <t>Chancado Primario</t>
        </is>
      </c>
      <c r="C17" s="2" t="inlineStr">
        <is>
          <t>SN-2000-2100</t>
        </is>
      </c>
      <c r="D17" s="2" t="inlineStr">
        <is>
          <t>CC-2000</t>
        </is>
      </c>
      <c r="E17" s="2" t="inlineStr">
        <is>
          <t>M01</t>
        </is>
      </c>
      <c r="F17" s="2" t="inlineStr">
        <is>
          <t>SVC_VARIABLE</t>
        </is>
      </c>
      <c r="G17" s="2" t="inlineStr">
        <is>
          <t>Servicios mantencion marco variable</t>
        </is>
      </c>
      <c r="H17" s="7" t="n">
        <v>21969.61</v>
      </c>
      <c r="I17" s="7" t="n">
        <v>19914.85</v>
      </c>
      <c r="J17" s="7" t="n">
        <v>21870.04</v>
      </c>
      <c r="K17" s="7" t="n">
        <v>21679.06</v>
      </c>
      <c r="L17" s="7" t="n">
        <v>20376.33</v>
      </c>
      <c r="M17" s="7" t="n">
        <v>17933.56</v>
      </c>
      <c r="N17" s="7" t="n">
        <v>20779.24</v>
      </c>
      <c r="O17" s="7" t="n">
        <v>18242.19</v>
      </c>
      <c r="P17" s="7" t="n">
        <v>17504.2</v>
      </c>
      <c r="Q17" s="7" t="n">
        <v>22186.55</v>
      </c>
      <c r="R17" s="7" t="n">
        <v>20941.89</v>
      </c>
      <c r="S17" s="7" t="n">
        <v>21401.37</v>
      </c>
      <c r="T17" s="8">
        <f>SUM(H17:S17)</f>
        <v/>
      </c>
      <c r="U17" s="2" t="inlineStr">
        <is>
          <t>HISTORICAL</t>
        </is>
      </c>
    </row>
    <row r="18">
      <c r="A18" s="2" t="inlineStr">
        <is>
          <t>2000_2100</t>
        </is>
      </c>
      <c r="B18" s="2" t="inlineStr">
        <is>
          <t>Chancado Primario</t>
        </is>
      </c>
      <c r="C18" s="2" t="inlineStr">
        <is>
          <t>SN-2000-2100</t>
        </is>
      </c>
      <c r="D18" s="2" t="inlineStr">
        <is>
          <t>CC-2000</t>
        </is>
      </c>
      <c r="E18" s="2" t="inlineStr">
        <is>
          <t>M01</t>
        </is>
      </c>
      <c r="F18" s="2" t="inlineStr">
        <is>
          <t>SVC_EXTERNAL</t>
        </is>
      </c>
      <c r="G18" s="2" t="inlineStr">
        <is>
          <t>Servicios mantencion externa</t>
        </is>
      </c>
      <c r="H18" s="7" t="n">
        <v>36494.43</v>
      </c>
      <c r="I18" s="7" t="n">
        <v>31120.43</v>
      </c>
      <c r="J18" s="7" t="n">
        <v>31619.66</v>
      </c>
      <c r="K18" s="7" t="n">
        <v>31396.96</v>
      </c>
      <c r="L18" s="7" t="n">
        <v>31714.55</v>
      </c>
      <c r="M18" s="7" t="n">
        <v>28462.39</v>
      </c>
      <c r="N18" s="7" t="n">
        <v>32632.57</v>
      </c>
      <c r="O18" s="7" t="n">
        <v>34191.44</v>
      </c>
      <c r="P18" s="7" t="n">
        <v>30623.11</v>
      </c>
      <c r="Q18" s="7" t="n">
        <v>38577.22</v>
      </c>
      <c r="R18" s="7" t="n">
        <v>31411.16</v>
      </c>
      <c r="S18" s="7" t="n">
        <v>29953.01</v>
      </c>
      <c r="T18" s="8">
        <f>SUM(H18:S18)</f>
        <v/>
      </c>
      <c r="U18" s="2" t="inlineStr">
        <is>
          <t>HISTORICAL</t>
        </is>
      </c>
    </row>
    <row r="19">
      <c r="A19" s="2" t="inlineStr">
        <is>
          <t>2000_2100</t>
        </is>
      </c>
      <c r="B19" s="2" t="inlineStr">
        <is>
          <t>Chancado Primario</t>
        </is>
      </c>
      <c r="C19" s="2" t="inlineStr">
        <is>
          <t>SN-2000-2100</t>
        </is>
      </c>
      <c r="D19" s="2" t="inlineStr">
        <is>
          <t>CC-2000</t>
        </is>
      </c>
      <c r="E19" s="2" t="inlineStr">
        <is>
          <t>M01</t>
        </is>
      </c>
      <c r="F19" s="2" t="inlineStr">
        <is>
          <t>OTHER_SERVICES</t>
        </is>
      </c>
      <c r="G19" s="2" t="inlineStr">
        <is>
          <t>Otros servicios de mantencion</t>
        </is>
      </c>
      <c r="H19" s="7" t="n">
        <v>12707.25</v>
      </c>
      <c r="I19" s="7" t="n">
        <v>12598.33</v>
      </c>
      <c r="J19" s="7" t="n">
        <v>14573.18</v>
      </c>
      <c r="K19" s="7" t="n">
        <v>13270.94</v>
      </c>
      <c r="L19" s="7" t="n">
        <v>14113.25</v>
      </c>
      <c r="M19" s="7" t="n">
        <v>12738.51</v>
      </c>
      <c r="N19" s="7" t="n">
        <v>14350.75</v>
      </c>
      <c r="O19" s="7" t="n">
        <v>13671.72</v>
      </c>
      <c r="P19" s="7" t="n">
        <v>11553.57</v>
      </c>
      <c r="Q19" s="7" t="n">
        <v>14271.85</v>
      </c>
      <c r="R19" s="7" t="n">
        <v>12672.65</v>
      </c>
      <c r="S19" s="7" t="n">
        <v>14595.75</v>
      </c>
      <c r="T19" s="8">
        <f>SUM(H19:S19)</f>
        <v/>
      </c>
      <c r="U19" s="2" t="inlineStr">
        <is>
          <t>CONTRACTOR_QUOTE</t>
        </is>
      </c>
    </row>
    <row r="20">
      <c r="A20" s="2" t="inlineStr">
        <is>
          <t>2000_2200</t>
        </is>
      </c>
      <c r="B20" s="2" t="inlineStr">
        <is>
          <t>Acopio de Gruesos</t>
        </is>
      </c>
      <c r="C20" s="2" t="inlineStr">
        <is>
          <t>SN-2000-2200</t>
        </is>
      </c>
      <c r="D20" s="2" t="inlineStr">
        <is>
          <t>CC-2000</t>
        </is>
      </c>
      <c r="E20" s="2" t="inlineStr">
        <is>
          <t>M01</t>
        </is>
      </c>
      <c r="F20" s="2" t="inlineStr">
        <is>
          <t>LABOR_INTERNAL</t>
        </is>
      </c>
      <c r="G20" s="2" t="inlineStr">
        <is>
          <t>Mano obra interna mantencion</t>
        </is>
      </c>
      <c r="H20" s="7" t="n">
        <v>33267.32</v>
      </c>
      <c r="I20" s="7" t="n">
        <v>34199.83</v>
      </c>
      <c r="J20" s="7" t="n">
        <v>31501.35</v>
      </c>
      <c r="K20" s="7" t="n">
        <v>31013.41</v>
      </c>
      <c r="L20" s="7" t="n">
        <v>31690.38</v>
      </c>
      <c r="M20" s="7" t="n">
        <v>33724.17</v>
      </c>
      <c r="N20" s="7" t="n">
        <v>33686.39</v>
      </c>
      <c r="O20" s="7" t="n">
        <v>32808.77</v>
      </c>
      <c r="P20" s="7" t="n">
        <v>33601.01</v>
      </c>
      <c r="Q20" s="7" t="n">
        <v>36046.91</v>
      </c>
      <c r="R20" s="7" t="n">
        <v>33109.3</v>
      </c>
      <c r="S20" s="7" t="n">
        <v>37237.48</v>
      </c>
      <c r="T20" s="8">
        <f>SUM(H20:S20)</f>
        <v/>
      </c>
      <c r="U20" s="2" t="inlineStr">
        <is>
          <t>CONTRACTOR_QUOTE</t>
        </is>
      </c>
    </row>
    <row r="21">
      <c r="A21" s="2" t="inlineStr">
        <is>
          <t>2000_2200</t>
        </is>
      </c>
      <c r="B21" s="2" t="inlineStr">
        <is>
          <t>Acopio de Gruesos</t>
        </is>
      </c>
      <c r="C21" s="2" t="inlineStr">
        <is>
          <t>SN-2000-2200</t>
        </is>
      </c>
      <c r="D21" s="2" t="inlineStr">
        <is>
          <t>CC-2000</t>
        </is>
      </c>
      <c r="E21" s="2" t="inlineStr">
        <is>
          <t>M01</t>
        </is>
      </c>
      <c r="F21" s="2" t="inlineStr">
        <is>
          <t>SPARE_PARTS</t>
        </is>
      </c>
      <c r="G21" s="2" t="inlineStr">
        <is>
          <t>Repuestos y materiales mecanicos</t>
        </is>
      </c>
      <c r="H21" s="7" t="n">
        <v>37729.27</v>
      </c>
      <c r="I21" s="7" t="n">
        <v>33602.98</v>
      </c>
      <c r="J21" s="7" t="n">
        <v>41392.24</v>
      </c>
      <c r="K21" s="7" t="n">
        <v>41852.27</v>
      </c>
      <c r="L21" s="7" t="n">
        <v>36729.56</v>
      </c>
      <c r="M21" s="7" t="n">
        <v>35980.99</v>
      </c>
      <c r="N21" s="7" t="n">
        <v>37053.17</v>
      </c>
      <c r="O21" s="7" t="n">
        <v>41313.53</v>
      </c>
      <c r="P21" s="7" t="n">
        <v>37831.6</v>
      </c>
      <c r="Q21" s="7" t="n">
        <v>36834.09</v>
      </c>
      <c r="R21" s="7" t="n">
        <v>38437.56</v>
      </c>
      <c r="S21" s="7" t="n">
        <v>38935.06</v>
      </c>
      <c r="T21" s="8">
        <f>SUM(H21:S21)</f>
        <v/>
      </c>
      <c r="U21" s="2" t="inlineStr">
        <is>
          <t>HISTORICAL</t>
        </is>
      </c>
    </row>
    <row r="22">
      <c r="A22" s="2" t="inlineStr">
        <is>
          <t>2000_2200</t>
        </is>
      </c>
      <c r="B22" s="2" t="inlineStr">
        <is>
          <t>Acopio de Gruesos</t>
        </is>
      </c>
      <c r="C22" s="2" t="inlineStr">
        <is>
          <t>SN-2000-2200</t>
        </is>
      </c>
      <c r="D22" s="2" t="inlineStr">
        <is>
          <t>CC-2000</t>
        </is>
      </c>
      <c r="E22" s="2" t="inlineStr">
        <is>
          <t>M01</t>
        </is>
      </c>
      <c r="F22" s="2" t="inlineStr">
        <is>
          <t>GET</t>
        </is>
      </c>
      <c r="G22" s="2" t="inlineStr">
        <is>
          <t>Elementos de desgaste (GET)</t>
        </is>
      </c>
      <c r="H22" s="7" t="n">
        <v>9922.58</v>
      </c>
      <c r="I22" s="7" t="n">
        <v>11061.98</v>
      </c>
      <c r="J22" s="7" t="n">
        <v>9732.040000000001</v>
      </c>
      <c r="K22" s="7" t="n">
        <v>11479.79</v>
      </c>
      <c r="L22" s="7" t="n">
        <v>11256.13</v>
      </c>
      <c r="M22" s="7" t="n">
        <v>9139.6</v>
      </c>
      <c r="N22" s="7" t="n">
        <v>10916.72</v>
      </c>
      <c r="O22" s="7" t="n">
        <v>10546.54</v>
      </c>
      <c r="P22" s="7" t="n">
        <v>10613.73</v>
      </c>
      <c r="Q22" s="7" t="n">
        <v>11944.09</v>
      </c>
      <c r="R22" s="7" t="n">
        <v>10511.85</v>
      </c>
      <c r="S22" s="7" t="n">
        <v>11510.12</v>
      </c>
      <c r="T22" s="8">
        <f>SUM(H22:S22)</f>
        <v/>
      </c>
      <c r="U22" s="2" t="inlineStr">
        <is>
          <t>HISTORICAL</t>
        </is>
      </c>
    </row>
    <row r="23">
      <c r="A23" s="2" t="inlineStr">
        <is>
          <t>2000_2200</t>
        </is>
      </c>
      <c r="B23" s="2" t="inlineStr">
        <is>
          <t>Acopio de Gruesos</t>
        </is>
      </c>
      <c r="C23" s="2" t="inlineStr">
        <is>
          <t>SN-2000-2200</t>
        </is>
      </c>
      <c r="D23" s="2" t="inlineStr">
        <is>
          <t>CC-2000</t>
        </is>
      </c>
      <c r="E23" s="2" t="inlineStr">
        <is>
          <t>M01</t>
        </is>
      </c>
      <c r="F23" s="2" t="inlineStr">
        <is>
          <t>CONSUMABLES</t>
        </is>
      </c>
      <c r="G23" s="2" t="inlineStr">
        <is>
          <t>Consumibles operacion</t>
        </is>
      </c>
      <c r="H23" s="7" t="n">
        <v>7108.9</v>
      </c>
      <c r="I23" s="7" t="n">
        <v>5906.68</v>
      </c>
      <c r="J23" s="7" t="n">
        <v>7308.47</v>
      </c>
      <c r="K23" s="7" t="n">
        <v>6986.99</v>
      </c>
      <c r="L23" s="7" t="n">
        <v>6371.1</v>
      </c>
      <c r="M23" s="7" t="n">
        <v>6029.5</v>
      </c>
      <c r="N23" s="7" t="n">
        <v>6060.21</v>
      </c>
      <c r="O23" s="7" t="n">
        <v>5982.7</v>
      </c>
      <c r="P23" s="7" t="n">
        <v>5973.6</v>
      </c>
      <c r="Q23" s="7" t="n">
        <v>7510.09</v>
      </c>
      <c r="R23" s="7" t="n">
        <v>6348.83</v>
      </c>
      <c r="S23" s="7" t="n">
        <v>6548.91</v>
      </c>
      <c r="T23" s="8">
        <f>SUM(H23:S23)</f>
        <v/>
      </c>
      <c r="U23" s="2" t="inlineStr">
        <is>
          <t>HISTORICAL</t>
        </is>
      </c>
    </row>
    <row r="24">
      <c r="A24" s="2" t="inlineStr">
        <is>
          <t>2000_2200</t>
        </is>
      </c>
      <c r="B24" s="2" t="inlineStr">
        <is>
          <t>Acopio de Gruesos</t>
        </is>
      </c>
      <c r="C24" s="2" t="inlineStr">
        <is>
          <t>SN-2000-2200</t>
        </is>
      </c>
      <c r="D24" s="2" t="inlineStr">
        <is>
          <t>CC-2000</t>
        </is>
      </c>
      <c r="E24" s="2" t="inlineStr">
        <is>
          <t>M01</t>
        </is>
      </c>
      <c r="F24" s="2" t="inlineStr">
        <is>
          <t>LUBRICANTS</t>
        </is>
      </c>
      <c r="G24" s="2" t="inlineStr">
        <is>
          <t>Lubricantes</t>
        </is>
      </c>
      <c r="H24" s="7" t="n">
        <v>7903.2</v>
      </c>
      <c r="I24" s="7" t="n">
        <v>6285.29</v>
      </c>
      <c r="J24" s="7" t="n">
        <v>7000.05</v>
      </c>
      <c r="K24" s="7" t="n">
        <v>7594.38</v>
      </c>
      <c r="L24" s="7" t="n">
        <v>7006.47</v>
      </c>
      <c r="M24" s="7" t="n">
        <v>6490</v>
      </c>
      <c r="N24" s="7" t="n">
        <v>7749.05</v>
      </c>
      <c r="O24" s="7" t="n">
        <v>7213.37</v>
      </c>
      <c r="P24" s="7" t="n">
        <v>6294.45</v>
      </c>
      <c r="Q24" s="7" t="n">
        <v>8132.81</v>
      </c>
      <c r="R24" s="7" t="n">
        <v>6347.98</v>
      </c>
      <c r="S24" s="7" t="n">
        <v>7103.27</v>
      </c>
      <c r="T24" s="8">
        <f>SUM(H24:S24)</f>
        <v/>
      </c>
      <c r="U24" s="2" t="inlineStr">
        <is>
          <t>ENGINEERING_ESTIMATE</t>
        </is>
      </c>
    </row>
    <row r="25">
      <c r="A25" s="2" t="inlineStr">
        <is>
          <t>2000_2200</t>
        </is>
      </c>
      <c r="B25" s="2" t="inlineStr">
        <is>
          <t>Acopio de Gruesos</t>
        </is>
      </c>
      <c r="C25" s="2" t="inlineStr">
        <is>
          <t>SN-2000-2200</t>
        </is>
      </c>
      <c r="D25" s="2" t="inlineStr">
        <is>
          <t>CC-2000</t>
        </is>
      </c>
      <c r="E25" s="2" t="inlineStr">
        <is>
          <t>M01</t>
        </is>
      </c>
      <c r="F25" s="2" t="inlineStr">
        <is>
          <t>SVC_FIXED</t>
        </is>
      </c>
      <c r="G25" s="2" t="inlineStr">
        <is>
          <t>Servicios mantencion marco fijo</t>
        </is>
      </c>
      <c r="H25" s="7" t="n">
        <v>19511.34</v>
      </c>
      <c r="I25" s="7" t="n">
        <v>17879.27</v>
      </c>
      <c r="J25" s="7" t="n">
        <v>20460.15</v>
      </c>
      <c r="K25" s="7" t="n">
        <v>21778.24</v>
      </c>
      <c r="L25" s="7" t="n">
        <v>20009.73</v>
      </c>
      <c r="M25" s="7" t="n">
        <v>19093.17</v>
      </c>
      <c r="N25" s="7" t="n">
        <v>18832.71</v>
      </c>
      <c r="O25" s="7" t="n">
        <v>19971.94</v>
      </c>
      <c r="P25" s="7" t="n">
        <v>19619.46</v>
      </c>
      <c r="Q25" s="7" t="n">
        <v>20580.07</v>
      </c>
      <c r="R25" s="7" t="n">
        <v>17968.24</v>
      </c>
      <c r="S25" s="7" t="n">
        <v>19785.58</v>
      </c>
      <c r="T25" s="8">
        <f>SUM(H25:S25)</f>
        <v/>
      </c>
      <c r="U25" s="2" t="inlineStr">
        <is>
          <t>HISTORICAL</t>
        </is>
      </c>
    </row>
    <row r="26">
      <c r="A26" s="2" t="inlineStr">
        <is>
          <t>2000_2200</t>
        </is>
      </c>
      <c r="B26" s="2" t="inlineStr">
        <is>
          <t>Acopio de Gruesos</t>
        </is>
      </c>
      <c r="C26" s="2" t="inlineStr">
        <is>
          <t>SN-2000-2200</t>
        </is>
      </c>
      <c r="D26" s="2" t="inlineStr">
        <is>
          <t>CC-2000</t>
        </is>
      </c>
      <c r="E26" s="2" t="inlineStr">
        <is>
          <t>M01</t>
        </is>
      </c>
      <c r="F26" s="2" t="inlineStr">
        <is>
          <t>SVC_VARIABLE</t>
        </is>
      </c>
      <c r="G26" s="2" t="inlineStr">
        <is>
          <t>Servicios mantencion marco variable</t>
        </is>
      </c>
      <c r="H26" s="7" t="n">
        <v>10177.24</v>
      </c>
      <c r="I26" s="7" t="n">
        <v>10332.24</v>
      </c>
      <c r="J26" s="7" t="n">
        <v>11920.39</v>
      </c>
      <c r="K26" s="7" t="n">
        <v>10864.51</v>
      </c>
      <c r="L26" s="7" t="n">
        <v>11738.71</v>
      </c>
      <c r="M26" s="7" t="n">
        <v>10803.04</v>
      </c>
      <c r="N26" s="7" t="n">
        <v>10560.58</v>
      </c>
      <c r="O26" s="7" t="n">
        <v>10299.99</v>
      </c>
      <c r="P26" s="7" t="n">
        <v>10470.98</v>
      </c>
      <c r="Q26" s="7" t="n">
        <v>11234.88</v>
      </c>
      <c r="R26" s="7" t="n">
        <v>11396.49</v>
      </c>
      <c r="S26" s="7" t="n">
        <v>10162.81</v>
      </c>
      <c r="T26" s="8">
        <f>SUM(H26:S26)</f>
        <v/>
      </c>
      <c r="U26" s="2" t="inlineStr">
        <is>
          <t>HISTORICAL</t>
        </is>
      </c>
    </row>
    <row r="27">
      <c r="A27" s="2" t="inlineStr">
        <is>
          <t>2000_2200</t>
        </is>
      </c>
      <c r="B27" s="2" t="inlineStr">
        <is>
          <t>Acopio de Gruesos</t>
        </is>
      </c>
      <c r="C27" s="2" t="inlineStr">
        <is>
          <t>SN-2000-2200</t>
        </is>
      </c>
      <c r="D27" s="2" t="inlineStr">
        <is>
          <t>CC-2000</t>
        </is>
      </c>
      <c r="E27" s="2" t="inlineStr">
        <is>
          <t>M01</t>
        </is>
      </c>
      <c r="F27" s="2" t="inlineStr">
        <is>
          <t>SVC_EXTERNAL</t>
        </is>
      </c>
      <c r="G27" s="2" t="inlineStr">
        <is>
          <t>Servicios mantencion externa</t>
        </is>
      </c>
      <c r="H27" s="7" t="n">
        <v>12855.47</v>
      </c>
      <c r="I27" s="7" t="n">
        <v>12956.85</v>
      </c>
      <c r="J27" s="7" t="n">
        <v>11880.98</v>
      </c>
      <c r="K27" s="7" t="n">
        <v>12815.39</v>
      </c>
      <c r="L27" s="7" t="n">
        <v>11334.06</v>
      </c>
      <c r="M27" s="7" t="n">
        <v>11937.31</v>
      </c>
      <c r="N27" s="7" t="n">
        <v>11146.92</v>
      </c>
      <c r="O27" s="7" t="n">
        <v>12463.28</v>
      </c>
      <c r="P27" s="7" t="n">
        <v>11527.74</v>
      </c>
      <c r="Q27" s="7" t="n">
        <v>12081.28</v>
      </c>
      <c r="R27" s="7" t="n">
        <v>12388.46</v>
      </c>
      <c r="S27" s="7" t="n">
        <v>12693.94</v>
      </c>
      <c r="T27" s="8">
        <f>SUM(H27:S27)</f>
        <v/>
      </c>
      <c r="U27" s="2" t="inlineStr">
        <is>
          <t>CONTRACTOR_QUOTE</t>
        </is>
      </c>
    </row>
    <row r="28">
      <c r="A28" s="2" t="inlineStr">
        <is>
          <t>2000_2200</t>
        </is>
      </c>
      <c r="B28" s="2" t="inlineStr">
        <is>
          <t>Acopio de Gruesos</t>
        </is>
      </c>
      <c r="C28" s="2" t="inlineStr">
        <is>
          <t>SN-2000-2200</t>
        </is>
      </c>
      <c r="D28" s="2" t="inlineStr">
        <is>
          <t>CC-2000</t>
        </is>
      </c>
      <c r="E28" s="2" t="inlineStr">
        <is>
          <t>M01</t>
        </is>
      </c>
      <c r="F28" s="2" t="inlineStr">
        <is>
          <t>OTHER_SERVICES</t>
        </is>
      </c>
      <c r="G28" s="2" t="inlineStr">
        <is>
          <t>Otros servicios de mantencion</t>
        </is>
      </c>
      <c r="H28" s="7" t="n">
        <v>5709.56</v>
      </c>
      <c r="I28" s="7" t="n">
        <v>5300.5</v>
      </c>
      <c r="J28" s="7" t="n">
        <v>5991.24</v>
      </c>
      <c r="K28" s="7" t="n">
        <v>5958.76</v>
      </c>
      <c r="L28" s="7" t="n">
        <v>5540.09</v>
      </c>
      <c r="M28" s="7" t="n">
        <v>5541.58</v>
      </c>
      <c r="N28" s="7" t="n">
        <v>5811.06</v>
      </c>
      <c r="O28" s="7" t="n">
        <v>5096.49</v>
      </c>
      <c r="P28" s="7" t="n">
        <v>5477.49</v>
      </c>
      <c r="Q28" s="7" t="n">
        <v>5506.58</v>
      </c>
      <c r="R28" s="7" t="n">
        <v>4684.99</v>
      </c>
      <c r="S28" s="7" t="n">
        <v>5937.14</v>
      </c>
      <c r="T28" s="8">
        <f>SUM(H28:S28)</f>
        <v/>
      </c>
      <c r="U28" s="2" t="inlineStr">
        <is>
          <t>HISTORICAL</t>
        </is>
      </c>
    </row>
    <row r="29">
      <c r="A29" s="2" t="inlineStr">
        <is>
          <t>3000_3100</t>
        </is>
      </c>
      <c r="B29" s="2" t="inlineStr">
        <is>
          <t>Molienda</t>
        </is>
      </c>
      <c r="C29" s="2" t="inlineStr">
        <is>
          <t>SN-3000-3100</t>
        </is>
      </c>
      <c r="D29" s="2" t="inlineStr">
        <is>
          <t>CC-3000</t>
        </is>
      </c>
      <c r="E29" s="2" t="inlineStr">
        <is>
          <t>P01</t>
        </is>
      </c>
      <c r="F29" s="2" t="inlineStr">
        <is>
          <t>LABOR_INTERNAL</t>
        </is>
      </c>
      <c r="G29" s="2" t="inlineStr">
        <is>
          <t>Mano obra interna mantencion</t>
        </is>
      </c>
      <c r="H29" s="7" t="n">
        <v>173883.33</v>
      </c>
      <c r="I29" s="7" t="n">
        <v>139505.11</v>
      </c>
      <c r="J29" s="7" t="n">
        <v>153194.16</v>
      </c>
      <c r="K29" s="7" t="n">
        <v>162573.05</v>
      </c>
      <c r="L29" s="7" t="n">
        <v>162158.18</v>
      </c>
      <c r="M29" s="7" t="n">
        <v>157988.48</v>
      </c>
      <c r="N29" s="7" t="n">
        <v>167705.25</v>
      </c>
      <c r="O29" s="7" t="n">
        <v>145246.09</v>
      </c>
      <c r="P29" s="7" t="n">
        <v>141150.38</v>
      </c>
      <c r="Q29" s="7" t="n">
        <v>175081.36</v>
      </c>
      <c r="R29" s="7" t="n">
        <v>157196.07</v>
      </c>
      <c r="S29" s="7" t="n">
        <v>151924.49</v>
      </c>
      <c r="T29" s="8">
        <f>SUM(H29:S29)</f>
        <v/>
      </c>
      <c r="U29" s="2" t="inlineStr">
        <is>
          <t>HISTORICAL</t>
        </is>
      </c>
    </row>
    <row r="30">
      <c r="A30" s="2" t="inlineStr">
        <is>
          <t>3000_3100</t>
        </is>
      </c>
      <c r="B30" s="2" t="inlineStr">
        <is>
          <t>Molienda</t>
        </is>
      </c>
      <c r="C30" s="2" t="inlineStr">
        <is>
          <t>SN-3000-3100</t>
        </is>
      </c>
      <c r="D30" s="2" t="inlineStr">
        <is>
          <t>CC-3000</t>
        </is>
      </c>
      <c r="E30" s="2" t="inlineStr">
        <is>
          <t>P01</t>
        </is>
      </c>
      <c r="F30" s="2" t="inlineStr">
        <is>
          <t>SPARE_PARTS</t>
        </is>
      </c>
      <c r="G30" s="2" t="inlineStr">
        <is>
          <t>Repuestos y materiales mecanicos</t>
        </is>
      </c>
      <c r="H30" s="7" t="n">
        <v>174733.3</v>
      </c>
      <c r="I30" s="7" t="n">
        <v>169118.42</v>
      </c>
      <c r="J30" s="7" t="n">
        <v>147852.74</v>
      </c>
      <c r="K30" s="7" t="n">
        <v>156541.02</v>
      </c>
      <c r="L30" s="7" t="n">
        <v>153685.65</v>
      </c>
      <c r="M30" s="7" t="n">
        <v>166386.34</v>
      </c>
      <c r="N30" s="7" t="n">
        <v>172896.95</v>
      </c>
      <c r="O30" s="7" t="n">
        <v>162671.07</v>
      </c>
      <c r="P30" s="7" t="n">
        <v>134326.69</v>
      </c>
      <c r="Q30" s="7" t="n">
        <v>160596.1</v>
      </c>
      <c r="R30" s="7" t="n">
        <v>151628.42</v>
      </c>
      <c r="S30" s="7" t="n">
        <v>175863.64</v>
      </c>
      <c r="T30" s="8">
        <f>SUM(H30:S30)</f>
        <v/>
      </c>
      <c r="U30" s="2" t="inlineStr">
        <is>
          <t>HISTORICAL</t>
        </is>
      </c>
    </row>
    <row r="31">
      <c r="A31" s="2" t="inlineStr">
        <is>
          <t>3000_3100</t>
        </is>
      </c>
      <c r="B31" s="2" t="inlineStr">
        <is>
          <t>Molienda</t>
        </is>
      </c>
      <c r="C31" s="2" t="inlineStr">
        <is>
          <t>SN-3000-3100</t>
        </is>
      </c>
      <c r="D31" s="2" t="inlineStr">
        <is>
          <t>CC-3000</t>
        </is>
      </c>
      <c r="E31" s="2" t="inlineStr">
        <is>
          <t>P01</t>
        </is>
      </c>
      <c r="F31" s="2" t="inlineStr">
        <is>
          <t>GET</t>
        </is>
      </c>
      <c r="G31" s="2" t="inlineStr">
        <is>
          <t>Elementos de desgaste (GET)</t>
        </is>
      </c>
      <c r="H31" s="7" t="n">
        <v>58565.37</v>
      </c>
      <c r="I31" s="7" t="n">
        <v>60314.64</v>
      </c>
      <c r="J31" s="7" t="n">
        <v>66448.86</v>
      </c>
      <c r="K31" s="7" t="n">
        <v>64899.88</v>
      </c>
      <c r="L31" s="7" t="n">
        <v>63850.77</v>
      </c>
      <c r="M31" s="7" t="n">
        <v>62126.2</v>
      </c>
      <c r="N31" s="7" t="n">
        <v>58796.94</v>
      </c>
      <c r="O31" s="7" t="n">
        <v>59438.72</v>
      </c>
      <c r="P31" s="7" t="n">
        <v>60513.72</v>
      </c>
      <c r="Q31" s="7" t="n">
        <v>59856.86</v>
      </c>
      <c r="R31" s="7" t="n">
        <v>59364.31</v>
      </c>
      <c r="S31" s="7" t="n">
        <v>67271.37</v>
      </c>
      <c r="T31" s="8">
        <f>SUM(H31:S31)</f>
        <v/>
      </c>
      <c r="U31" s="2" t="inlineStr">
        <is>
          <t>ENGINEERING_ESTIMATE</t>
        </is>
      </c>
    </row>
    <row r="32">
      <c r="A32" s="2" t="inlineStr">
        <is>
          <t>3000_3100</t>
        </is>
      </c>
      <c r="B32" s="2" t="inlineStr">
        <is>
          <t>Molienda</t>
        </is>
      </c>
      <c r="C32" s="2" t="inlineStr">
        <is>
          <t>SN-3000-3100</t>
        </is>
      </c>
      <c r="D32" s="2" t="inlineStr">
        <is>
          <t>CC-3000</t>
        </is>
      </c>
      <c r="E32" s="2" t="inlineStr">
        <is>
          <t>P01</t>
        </is>
      </c>
      <c r="F32" s="2" t="inlineStr">
        <is>
          <t>CONSUMABLES</t>
        </is>
      </c>
      <c r="G32" s="2" t="inlineStr">
        <is>
          <t>Consumibles operacion</t>
        </is>
      </c>
      <c r="H32" s="7" t="n">
        <v>35273.25</v>
      </c>
      <c r="I32" s="7" t="n">
        <v>40548.45</v>
      </c>
      <c r="J32" s="7" t="n">
        <v>42663.65</v>
      </c>
      <c r="K32" s="7" t="n">
        <v>40329.87</v>
      </c>
      <c r="L32" s="7" t="n">
        <v>36293.23</v>
      </c>
      <c r="M32" s="7" t="n">
        <v>36457.03</v>
      </c>
      <c r="N32" s="7" t="n">
        <v>40234.33</v>
      </c>
      <c r="O32" s="7" t="n">
        <v>40571.02</v>
      </c>
      <c r="P32" s="7" t="n">
        <v>34453.69</v>
      </c>
      <c r="Q32" s="7" t="n">
        <v>39772.4</v>
      </c>
      <c r="R32" s="7" t="n">
        <v>38736.19</v>
      </c>
      <c r="S32" s="7" t="n">
        <v>40221.79</v>
      </c>
      <c r="T32" s="8">
        <f>SUM(H32:S32)</f>
        <v/>
      </c>
      <c r="U32" s="2" t="inlineStr">
        <is>
          <t>CONTRACTOR_QUOTE</t>
        </is>
      </c>
    </row>
    <row r="33">
      <c r="A33" s="2" t="inlineStr">
        <is>
          <t>3000_3100</t>
        </is>
      </c>
      <c r="B33" s="2" t="inlineStr">
        <is>
          <t>Molienda</t>
        </is>
      </c>
      <c r="C33" s="2" t="inlineStr">
        <is>
          <t>SN-3000-3100</t>
        </is>
      </c>
      <c r="D33" s="2" t="inlineStr">
        <is>
          <t>CC-3000</t>
        </is>
      </c>
      <c r="E33" s="2" t="inlineStr">
        <is>
          <t>P01</t>
        </is>
      </c>
      <c r="F33" s="2" t="inlineStr">
        <is>
          <t>LUBRICANTS</t>
        </is>
      </c>
      <c r="G33" s="2" t="inlineStr">
        <is>
          <t>Lubricantes</t>
        </is>
      </c>
      <c r="H33" s="7" t="n">
        <v>42817.39</v>
      </c>
      <c r="I33" s="7" t="n">
        <v>36304.02</v>
      </c>
      <c r="J33" s="7" t="n">
        <v>38391.5</v>
      </c>
      <c r="K33" s="7" t="n">
        <v>42168.87</v>
      </c>
      <c r="L33" s="7" t="n">
        <v>37912.34</v>
      </c>
      <c r="M33" s="7" t="n">
        <v>41015.03</v>
      </c>
      <c r="N33" s="7" t="n">
        <v>42899.43</v>
      </c>
      <c r="O33" s="7" t="n">
        <v>42340.86</v>
      </c>
      <c r="P33" s="7" t="n">
        <v>40909.6</v>
      </c>
      <c r="Q33" s="7" t="n">
        <v>40703.89</v>
      </c>
      <c r="R33" s="7" t="n">
        <v>37470.65</v>
      </c>
      <c r="S33" s="7" t="n">
        <v>39224.21</v>
      </c>
      <c r="T33" s="8">
        <f>SUM(H33:S33)</f>
        <v/>
      </c>
      <c r="U33" s="2" t="inlineStr">
        <is>
          <t>CONTRACTOR_QUOTE</t>
        </is>
      </c>
    </row>
    <row r="34">
      <c r="A34" s="2" t="inlineStr">
        <is>
          <t>3000_3100</t>
        </is>
      </c>
      <c r="B34" s="2" t="inlineStr">
        <is>
          <t>Molienda</t>
        </is>
      </c>
      <c r="C34" s="2" t="inlineStr">
        <is>
          <t>SN-3000-3100</t>
        </is>
      </c>
      <c r="D34" s="2" t="inlineStr">
        <is>
          <t>CC-3000</t>
        </is>
      </c>
      <c r="E34" s="2" t="inlineStr">
        <is>
          <t>P01</t>
        </is>
      </c>
      <c r="F34" s="2" t="inlineStr">
        <is>
          <t>SVC_FIXED</t>
        </is>
      </c>
      <c r="G34" s="2" t="inlineStr">
        <is>
          <t>Servicios mantencion marco fijo</t>
        </is>
      </c>
      <c r="H34" s="7" t="n">
        <v>80632.28999999999</v>
      </c>
      <c r="I34" s="7" t="n">
        <v>75887.08</v>
      </c>
      <c r="J34" s="7" t="n">
        <v>92463.73</v>
      </c>
      <c r="K34" s="7" t="n">
        <v>88191.41</v>
      </c>
      <c r="L34" s="7" t="n">
        <v>82705.77</v>
      </c>
      <c r="M34" s="7" t="n">
        <v>86841.46000000001</v>
      </c>
      <c r="N34" s="7" t="n">
        <v>88946.28999999999</v>
      </c>
      <c r="O34" s="7" t="n">
        <v>77688.67</v>
      </c>
      <c r="P34" s="7" t="n">
        <v>77478.03</v>
      </c>
      <c r="Q34" s="7" t="n">
        <v>89363.47</v>
      </c>
      <c r="R34" s="7" t="n">
        <v>85981.39999999999</v>
      </c>
      <c r="S34" s="7" t="n">
        <v>78411.42999999999</v>
      </c>
      <c r="T34" s="8">
        <f>SUM(H34:S34)</f>
        <v/>
      </c>
      <c r="U34" s="2" t="inlineStr">
        <is>
          <t>HISTORICAL</t>
        </is>
      </c>
    </row>
    <row r="35">
      <c r="A35" s="2" t="inlineStr">
        <is>
          <t>3000_3100</t>
        </is>
      </c>
      <c r="B35" s="2" t="inlineStr">
        <is>
          <t>Molienda</t>
        </is>
      </c>
      <c r="C35" s="2" t="inlineStr">
        <is>
          <t>SN-3000-3100</t>
        </is>
      </c>
      <c r="D35" s="2" t="inlineStr">
        <is>
          <t>CC-3000</t>
        </is>
      </c>
      <c r="E35" s="2" t="inlineStr">
        <is>
          <t>P01</t>
        </is>
      </c>
      <c r="F35" s="2" t="inlineStr">
        <is>
          <t>SVC_VARIABLE</t>
        </is>
      </c>
      <c r="G35" s="2" t="inlineStr">
        <is>
          <t>Servicios mantencion marco variable</t>
        </is>
      </c>
      <c r="H35" s="7" t="n">
        <v>62958.01</v>
      </c>
      <c r="I35" s="7" t="n">
        <v>60225.59</v>
      </c>
      <c r="J35" s="7" t="n">
        <v>58816.85</v>
      </c>
      <c r="K35" s="7" t="n">
        <v>59113.27</v>
      </c>
      <c r="L35" s="7" t="n">
        <v>59993.73</v>
      </c>
      <c r="M35" s="7" t="n">
        <v>56787.98</v>
      </c>
      <c r="N35" s="7" t="n">
        <v>60953.4</v>
      </c>
      <c r="O35" s="7" t="n">
        <v>61068.13</v>
      </c>
      <c r="P35" s="7" t="n">
        <v>56221.55</v>
      </c>
      <c r="Q35" s="7" t="n">
        <v>55078.18</v>
      </c>
      <c r="R35" s="7" t="n">
        <v>52748.02</v>
      </c>
      <c r="S35" s="7" t="n">
        <v>56361.34</v>
      </c>
      <c r="T35" s="8">
        <f>SUM(H35:S35)</f>
        <v/>
      </c>
      <c r="U35" s="2" t="inlineStr">
        <is>
          <t>CONTRACTOR_QUOTE</t>
        </is>
      </c>
    </row>
    <row r="36">
      <c r="A36" s="2" t="inlineStr">
        <is>
          <t>3000_3100</t>
        </is>
      </c>
      <c r="B36" s="2" t="inlineStr">
        <is>
          <t>Molienda</t>
        </is>
      </c>
      <c r="C36" s="2" t="inlineStr">
        <is>
          <t>SN-3000-3100</t>
        </is>
      </c>
      <c r="D36" s="2" t="inlineStr">
        <is>
          <t>CC-3000</t>
        </is>
      </c>
      <c r="E36" s="2" t="inlineStr">
        <is>
          <t>P01</t>
        </is>
      </c>
      <c r="F36" s="2" t="inlineStr">
        <is>
          <t>SVC_EXTERNAL</t>
        </is>
      </c>
      <c r="G36" s="2" t="inlineStr">
        <is>
          <t>Servicios mantencion externa</t>
        </is>
      </c>
      <c r="H36" s="7" t="n">
        <v>62488.59</v>
      </c>
      <c r="I36" s="7" t="n">
        <v>61243.62</v>
      </c>
      <c r="J36" s="7" t="n">
        <v>71420.59</v>
      </c>
      <c r="K36" s="7" t="n">
        <v>64035.42</v>
      </c>
      <c r="L36" s="7" t="n">
        <v>58282.54</v>
      </c>
      <c r="M36" s="7" t="n">
        <v>54674.83</v>
      </c>
      <c r="N36" s="7" t="n">
        <v>60136.42</v>
      </c>
      <c r="O36" s="7" t="n">
        <v>68968.78999999999</v>
      </c>
      <c r="P36" s="7" t="n">
        <v>64440.59</v>
      </c>
      <c r="Q36" s="7" t="n">
        <v>68824.82000000001</v>
      </c>
      <c r="R36" s="7" t="n">
        <v>63223.37</v>
      </c>
      <c r="S36" s="7" t="n">
        <v>68204.85000000001</v>
      </c>
      <c r="T36" s="8">
        <f>SUM(H36:S36)</f>
        <v/>
      </c>
      <c r="U36" s="2" t="inlineStr">
        <is>
          <t>HISTORICAL</t>
        </is>
      </c>
    </row>
    <row r="37">
      <c r="A37" s="2" t="inlineStr">
        <is>
          <t>3000_3100</t>
        </is>
      </c>
      <c r="B37" s="2" t="inlineStr">
        <is>
          <t>Molienda</t>
        </is>
      </c>
      <c r="C37" s="2" t="inlineStr">
        <is>
          <t>SN-3000-3100</t>
        </is>
      </c>
      <c r="D37" s="2" t="inlineStr">
        <is>
          <t>CC-3000</t>
        </is>
      </c>
      <c r="E37" s="2" t="inlineStr">
        <is>
          <t>P01</t>
        </is>
      </c>
      <c r="F37" s="2" t="inlineStr">
        <is>
          <t>OTHER_SERVICES</t>
        </is>
      </c>
      <c r="G37" s="2" t="inlineStr">
        <is>
          <t>Otros servicios de mantencion</t>
        </is>
      </c>
      <c r="H37" s="7" t="n">
        <v>27361.46</v>
      </c>
      <c r="I37" s="7" t="n">
        <v>27711.06</v>
      </c>
      <c r="J37" s="7" t="n">
        <v>28105.64</v>
      </c>
      <c r="K37" s="7" t="n">
        <v>25837.09</v>
      </c>
      <c r="L37" s="7" t="n">
        <v>27906.57</v>
      </c>
      <c r="M37" s="7" t="n">
        <v>25736.73</v>
      </c>
      <c r="N37" s="7" t="n">
        <v>27795.16</v>
      </c>
      <c r="O37" s="7" t="n">
        <v>25445.53</v>
      </c>
      <c r="P37" s="7" t="n">
        <v>21844.36</v>
      </c>
      <c r="Q37" s="7" t="n">
        <v>26228.71</v>
      </c>
      <c r="R37" s="7" t="n">
        <v>27384.47</v>
      </c>
      <c r="S37" s="7" t="n">
        <v>23978.65</v>
      </c>
      <c r="T37" s="8">
        <f>SUM(H37:S37)</f>
        <v/>
      </c>
      <c r="U37" s="2" t="inlineStr">
        <is>
          <t>CONTRACTOR_QUOTE</t>
        </is>
      </c>
    </row>
    <row r="38">
      <c r="A38" s="2" t="inlineStr">
        <is>
          <t>3000_3200</t>
        </is>
      </c>
      <c r="B38" s="2" t="inlineStr">
        <is>
          <t>Lixiviacion</t>
        </is>
      </c>
      <c r="C38" s="2" t="inlineStr">
        <is>
          <t>SN-3000-3200</t>
        </is>
      </c>
      <c r="D38" s="2" t="inlineStr">
        <is>
          <t>CC-3000</t>
        </is>
      </c>
      <c r="E38" s="2" t="inlineStr">
        <is>
          <t>P02</t>
        </is>
      </c>
      <c r="F38" s="2" t="inlineStr">
        <is>
          <t>LABOR_INTERNAL</t>
        </is>
      </c>
      <c r="G38" s="2" t="inlineStr">
        <is>
          <t>Mano obra interna mantencion</t>
        </is>
      </c>
      <c r="H38" s="7" t="n">
        <v>39228.46</v>
      </c>
      <c r="I38" s="7" t="n">
        <v>37624.75</v>
      </c>
      <c r="J38" s="7" t="n">
        <v>36730.92</v>
      </c>
      <c r="K38" s="7" t="n">
        <v>36826.67</v>
      </c>
      <c r="L38" s="7" t="n">
        <v>35201.44</v>
      </c>
      <c r="M38" s="7" t="n">
        <v>33939.42</v>
      </c>
      <c r="N38" s="7" t="n">
        <v>35762.27</v>
      </c>
      <c r="O38" s="7" t="n">
        <v>40478.79</v>
      </c>
      <c r="P38" s="7" t="n">
        <v>33482.7</v>
      </c>
      <c r="Q38" s="7" t="n">
        <v>40028.07</v>
      </c>
      <c r="R38" s="7" t="n">
        <v>38916</v>
      </c>
      <c r="S38" s="7" t="n">
        <v>36487.7</v>
      </c>
      <c r="T38" s="8">
        <f>SUM(H38:S38)</f>
        <v/>
      </c>
      <c r="U38" s="2" t="inlineStr">
        <is>
          <t>ENGINEERING_ESTIMATE</t>
        </is>
      </c>
    </row>
    <row r="39">
      <c r="A39" s="2" t="inlineStr">
        <is>
          <t>3000_3200</t>
        </is>
      </c>
      <c r="B39" s="2" t="inlineStr">
        <is>
          <t>Lixiviacion</t>
        </is>
      </c>
      <c r="C39" s="2" t="inlineStr">
        <is>
          <t>SN-3000-3200</t>
        </is>
      </c>
      <c r="D39" s="2" t="inlineStr">
        <is>
          <t>CC-3000</t>
        </is>
      </c>
      <c r="E39" s="2" t="inlineStr">
        <is>
          <t>P02</t>
        </is>
      </c>
      <c r="F39" s="2" t="inlineStr">
        <is>
          <t>SPARE_PARTS</t>
        </is>
      </c>
      <c r="G39" s="2" t="inlineStr">
        <is>
          <t>Repuestos y materiales mecanicos</t>
        </is>
      </c>
      <c r="H39" s="7" t="n">
        <v>48708.23</v>
      </c>
      <c r="I39" s="7" t="n">
        <v>40363.19</v>
      </c>
      <c r="J39" s="7" t="n">
        <v>40821.93</v>
      </c>
      <c r="K39" s="7" t="n">
        <v>45437.92</v>
      </c>
      <c r="L39" s="7" t="n">
        <v>41737.33</v>
      </c>
      <c r="M39" s="7" t="n">
        <v>42355.33</v>
      </c>
      <c r="N39" s="7" t="n">
        <v>43458.86</v>
      </c>
      <c r="O39" s="7" t="n">
        <v>43262.8</v>
      </c>
      <c r="P39" s="7" t="n">
        <v>43505.9</v>
      </c>
      <c r="Q39" s="7" t="n">
        <v>44191.56</v>
      </c>
      <c r="R39" s="7" t="n">
        <v>42271.62</v>
      </c>
      <c r="S39" s="7" t="n">
        <v>43573.22</v>
      </c>
      <c r="T39" s="8">
        <f>SUM(H39:S39)</f>
        <v/>
      </c>
      <c r="U39" s="2" t="inlineStr">
        <is>
          <t>CONTRACTOR_QUOTE</t>
        </is>
      </c>
    </row>
    <row r="40">
      <c r="A40" s="2" t="inlineStr">
        <is>
          <t>3000_3200</t>
        </is>
      </c>
      <c r="B40" s="2" t="inlineStr">
        <is>
          <t>Lixiviacion</t>
        </is>
      </c>
      <c r="C40" s="2" t="inlineStr">
        <is>
          <t>SN-3000-3200</t>
        </is>
      </c>
      <c r="D40" s="2" t="inlineStr">
        <is>
          <t>CC-3000</t>
        </is>
      </c>
      <c r="E40" s="2" t="inlineStr">
        <is>
          <t>P02</t>
        </is>
      </c>
      <c r="F40" s="2" t="inlineStr">
        <is>
          <t>GET</t>
        </is>
      </c>
      <c r="G40" s="2" t="inlineStr">
        <is>
          <t>Elementos de desgaste (GET)</t>
        </is>
      </c>
      <c r="H40" s="7" t="n">
        <v>11807.77</v>
      </c>
      <c r="I40" s="7" t="n">
        <v>11276.27</v>
      </c>
      <c r="J40" s="7" t="n">
        <v>12986.45</v>
      </c>
      <c r="K40" s="7" t="n">
        <v>12353.8</v>
      </c>
      <c r="L40" s="7" t="n">
        <v>10594.78</v>
      </c>
      <c r="M40" s="7" t="n">
        <v>11014.08</v>
      </c>
      <c r="N40" s="7" t="n">
        <v>12157.03</v>
      </c>
      <c r="O40" s="7" t="n">
        <v>11546.87</v>
      </c>
      <c r="P40" s="7" t="n">
        <v>10397.37</v>
      </c>
      <c r="Q40" s="7" t="n">
        <v>12094.9</v>
      </c>
      <c r="R40" s="7" t="n">
        <v>10835.67</v>
      </c>
      <c r="S40" s="7" t="n">
        <v>10549.33</v>
      </c>
      <c r="T40" s="8">
        <f>SUM(H40:S40)</f>
        <v/>
      </c>
      <c r="U40" s="2" t="inlineStr">
        <is>
          <t>CONTRACTOR_QUOTE</t>
        </is>
      </c>
    </row>
    <row r="41">
      <c r="A41" s="2" t="inlineStr">
        <is>
          <t>3000_3200</t>
        </is>
      </c>
      <c r="B41" s="2" t="inlineStr">
        <is>
          <t>Lixiviacion</t>
        </is>
      </c>
      <c r="C41" s="2" t="inlineStr">
        <is>
          <t>SN-3000-3200</t>
        </is>
      </c>
      <c r="D41" s="2" t="inlineStr">
        <is>
          <t>CC-3000</t>
        </is>
      </c>
      <c r="E41" s="2" t="inlineStr">
        <is>
          <t>P02</t>
        </is>
      </c>
      <c r="F41" s="2" t="inlineStr">
        <is>
          <t>CONSUMABLES</t>
        </is>
      </c>
      <c r="G41" s="2" t="inlineStr">
        <is>
          <t>Consumibles operacion</t>
        </is>
      </c>
      <c r="H41" s="7" t="n">
        <v>8942.389999999999</v>
      </c>
      <c r="I41" s="7" t="n">
        <v>9280.870000000001</v>
      </c>
      <c r="J41" s="7" t="n">
        <v>9112.860000000001</v>
      </c>
      <c r="K41" s="7" t="n">
        <v>8905.41</v>
      </c>
      <c r="L41" s="7" t="n">
        <v>9528.110000000001</v>
      </c>
      <c r="M41" s="7" t="n">
        <v>9324.08</v>
      </c>
      <c r="N41" s="7" t="n">
        <v>9419.889999999999</v>
      </c>
      <c r="O41" s="7" t="n">
        <v>9699.42</v>
      </c>
      <c r="P41" s="7" t="n">
        <v>8320.190000000001</v>
      </c>
      <c r="Q41" s="7" t="n">
        <v>9056.77</v>
      </c>
      <c r="R41" s="7" t="n">
        <v>9077.9</v>
      </c>
      <c r="S41" s="7" t="n">
        <v>8866.17</v>
      </c>
      <c r="T41" s="8">
        <f>SUM(H41:S41)</f>
        <v/>
      </c>
      <c r="U41" s="2" t="inlineStr">
        <is>
          <t>CONTRACTOR_QUOTE</t>
        </is>
      </c>
    </row>
    <row r="42">
      <c r="A42" s="2" t="inlineStr">
        <is>
          <t>3000_3200</t>
        </is>
      </c>
      <c r="B42" s="2" t="inlineStr">
        <is>
          <t>Lixiviacion</t>
        </is>
      </c>
      <c r="C42" s="2" t="inlineStr">
        <is>
          <t>SN-3000-3200</t>
        </is>
      </c>
      <c r="D42" s="2" t="inlineStr">
        <is>
          <t>CC-3000</t>
        </is>
      </c>
      <c r="E42" s="2" t="inlineStr">
        <is>
          <t>P02</t>
        </is>
      </c>
      <c r="F42" s="2" t="inlineStr">
        <is>
          <t>LUBRICANTS</t>
        </is>
      </c>
      <c r="G42" s="2" t="inlineStr">
        <is>
          <t>Lubricantes</t>
        </is>
      </c>
      <c r="H42" s="7" t="n">
        <v>10441.27</v>
      </c>
      <c r="I42" s="7" t="n">
        <v>9843.68</v>
      </c>
      <c r="J42" s="7" t="n">
        <v>10851.29</v>
      </c>
      <c r="K42" s="7" t="n">
        <v>10780.31</v>
      </c>
      <c r="L42" s="7" t="n">
        <v>8943.030000000001</v>
      </c>
      <c r="M42" s="7" t="n">
        <v>9068.469999999999</v>
      </c>
      <c r="N42" s="7" t="n">
        <v>10628.89</v>
      </c>
      <c r="O42" s="7" t="n">
        <v>9693.290000000001</v>
      </c>
      <c r="P42" s="7" t="n">
        <v>9234.17</v>
      </c>
      <c r="Q42" s="7" t="n">
        <v>9990.620000000001</v>
      </c>
      <c r="R42" s="7" t="n">
        <v>9675.48</v>
      </c>
      <c r="S42" s="7" t="n">
        <v>9564.77</v>
      </c>
      <c r="T42" s="8">
        <f>SUM(H42:S42)</f>
        <v/>
      </c>
      <c r="U42" s="2" t="inlineStr">
        <is>
          <t>ENGINEERING_ESTIMATE</t>
        </is>
      </c>
    </row>
    <row r="43">
      <c r="A43" s="2" t="inlineStr">
        <is>
          <t>3000_3200</t>
        </is>
      </c>
      <c r="B43" s="2" t="inlineStr">
        <is>
          <t>Lixiviacion</t>
        </is>
      </c>
      <c r="C43" s="2" t="inlineStr">
        <is>
          <t>SN-3000-3200</t>
        </is>
      </c>
      <c r="D43" s="2" t="inlineStr">
        <is>
          <t>CC-3000</t>
        </is>
      </c>
      <c r="E43" s="2" t="inlineStr">
        <is>
          <t>P02</t>
        </is>
      </c>
      <c r="F43" s="2" t="inlineStr">
        <is>
          <t>SVC_FIXED</t>
        </is>
      </c>
      <c r="G43" s="2" t="inlineStr">
        <is>
          <t>Servicios mantencion marco fijo</t>
        </is>
      </c>
      <c r="H43" s="7" t="n">
        <v>18479.39</v>
      </c>
      <c r="I43" s="7" t="n">
        <v>16856.61</v>
      </c>
      <c r="J43" s="7" t="n">
        <v>19551.44</v>
      </c>
      <c r="K43" s="7" t="n">
        <v>20717.18</v>
      </c>
      <c r="L43" s="7" t="n">
        <v>17226.57</v>
      </c>
      <c r="M43" s="7" t="n">
        <v>16095.56</v>
      </c>
      <c r="N43" s="7" t="n">
        <v>18343.54</v>
      </c>
      <c r="O43" s="7" t="n">
        <v>19534.75</v>
      </c>
      <c r="P43" s="7" t="n">
        <v>18984.03</v>
      </c>
      <c r="Q43" s="7" t="n">
        <v>18282.17</v>
      </c>
      <c r="R43" s="7" t="n">
        <v>19060.41</v>
      </c>
      <c r="S43" s="7" t="n">
        <v>18404.15</v>
      </c>
      <c r="T43" s="8">
        <f>SUM(H43:S43)</f>
        <v/>
      </c>
      <c r="U43" s="2" t="inlineStr">
        <is>
          <t>HISTORICAL</t>
        </is>
      </c>
    </row>
    <row r="44">
      <c r="A44" s="2" t="inlineStr">
        <is>
          <t>3000_3200</t>
        </is>
      </c>
      <c r="B44" s="2" t="inlineStr">
        <is>
          <t>Lixiviacion</t>
        </is>
      </c>
      <c r="C44" s="2" t="inlineStr">
        <is>
          <t>SN-3000-3200</t>
        </is>
      </c>
      <c r="D44" s="2" t="inlineStr">
        <is>
          <t>CC-3000</t>
        </is>
      </c>
      <c r="E44" s="2" t="inlineStr">
        <is>
          <t>P02</t>
        </is>
      </c>
      <c r="F44" s="2" t="inlineStr">
        <is>
          <t>SVC_VARIABLE</t>
        </is>
      </c>
      <c r="G44" s="2" t="inlineStr">
        <is>
          <t>Servicios mantencion marco variable</t>
        </is>
      </c>
      <c r="H44" s="7" t="n">
        <v>13296.85</v>
      </c>
      <c r="I44" s="7" t="n">
        <v>12557.23</v>
      </c>
      <c r="J44" s="7" t="n">
        <v>11920.88</v>
      </c>
      <c r="K44" s="7" t="n">
        <v>13352.5</v>
      </c>
      <c r="L44" s="7" t="n">
        <v>10945.01</v>
      </c>
      <c r="M44" s="7" t="n">
        <v>11072.42</v>
      </c>
      <c r="N44" s="7" t="n">
        <v>12380.22</v>
      </c>
      <c r="O44" s="7" t="n">
        <v>13196.86</v>
      </c>
      <c r="P44" s="7" t="n">
        <v>11100.59</v>
      </c>
      <c r="Q44" s="7" t="n">
        <v>13753.76</v>
      </c>
      <c r="R44" s="7" t="n">
        <v>12590.71</v>
      </c>
      <c r="S44" s="7" t="n">
        <v>10990.56</v>
      </c>
      <c r="T44" s="8">
        <f>SUM(H44:S44)</f>
        <v/>
      </c>
      <c r="U44" s="2" t="inlineStr">
        <is>
          <t>HISTORICAL</t>
        </is>
      </c>
    </row>
    <row r="45">
      <c r="A45" s="2" t="inlineStr">
        <is>
          <t>3000_3200</t>
        </is>
      </c>
      <c r="B45" s="2" t="inlineStr">
        <is>
          <t>Lixiviacion</t>
        </is>
      </c>
      <c r="C45" s="2" t="inlineStr">
        <is>
          <t>SN-3000-3200</t>
        </is>
      </c>
      <c r="D45" s="2" t="inlineStr">
        <is>
          <t>CC-3000</t>
        </is>
      </c>
      <c r="E45" s="2" t="inlineStr">
        <is>
          <t>P02</t>
        </is>
      </c>
      <c r="F45" s="2" t="inlineStr">
        <is>
          <t>SVC_EXTERNAL</t>
        </is>
      </c>
      <c r="G45" s="2" t="inlineStr">
        <is>
          <t>Servicios mantencion externa</t>
        </is>
      </c>
      <c r="H45" s="7" t="n">
        <v>15837.42</v>
      </c>
      <c r="I45" s="7" t="n">
        <v>14673.83</v>
      </c>
      <c r="J45" s="7" t="n">
        <v>13940.61</v>
      </c>
      <c r="K45" s="7" t="n">
        <v>14788.14</v>
      </c>
      <c r="L45" s="7" t="n">
        <v>14590.85</v>
      </c>
      <c r="M45" s="7" t="n">
        <v>14612.31</v>
      </c>
      <c r="N45" s="7" t="n">
        <v>15531.11</v>
      </c>
      <c r="O45" s="7" t="n">
        <v>13480.36</v>
      </c>
      <c r="P45" s="7" t="n">
        <v>13652.19</v>
      </c>
      <c r="Q45" s="7" t="n">
        <v>14780.71</v>
      </c>
      <c r="R45" s="7" t="n">
        <v>14953.65</v>
      </c>
      <c r="S45" s="7" t="n">
        <v>15391.07</v>
      </c>
      <c r="T45" s="8">
        <f>SUM(H45:S45)</f>
        <v/>
      </c>
      <c r="U45" s="2" t="inlineStr">
        <is>
          <t>CONTRACTOR_QUOTE</t>
        </is>
      </c>
    </row>
    <row r="46">
      <c r="A46" s="2" t="inlineStr">
        <is>
          <t>3000_3200</t>
        </is>
      </c>
      <c r="B46" s="2" t="inlineStr">
        <is>
          <t>Lixiviacion</t>
        </is>
      </c>
      <c r="C46" s="2" t="inlineStr">
        <is>
          <t>SN-3000-3200</t>
        </is>
      </c>
      <c r="D46" s="2" t="inlineStr">
        <is>
          <t>CC-3000</t>
        </is>
      </c>
      <c r="E46" s="2" t="inlineStr">
        <is>
          <t>P02</t>
        </is>
      </c>
      <c r="F46" s="2" t="inlineStr">
        <is>
          <t>OTHER_SERVICES</t>
        </is>
      </c>
      <c r="G46" s="2" t="inlineStr">
        <is>
          <t>Otros servicios de mantencion</t>
        </is>
      </c>
      <c r="H46" s="7" t="n">
        <v>5901.2</v>
      </c>
      <c r="I46" s="7" t="n">
        <v>6068.43</v>
      </c>
      <c r="J46" s="7" t="n">
        <v>6205.25</v>
      </c>
      <c r="K46" s="7" t="n">
        <v>6322.53</v>
      </c>
      <c r="L46" s="7" t="n">
        <v>5373.54</v>
      </c>
      <c r="M46" s="7" t="n">
        <v>5280.29</v>
      </c>
      <c r="N46" s="7" t="n">
        <v>5703.62</v>
      </c>
      <c r="O46" s="7" t="n">
        <v>5791.29</v>
      </c>
      <c r="P46" s="7" t="n">
        <v>5103.85</v>
      </c>
      <c r="Q46" s="7" t="n">
        <v>6073.44</v>
      </c>
      <c r="R46" s="7" t="n">
        <v>5793.46</v>
      </c>
      <c r="S46" s="7" t="n">
        <v>6024.66</v>
      </c>
      <c r="T46" s="8">
        <f>SUM(H46:S46)</f>
        <v/>
      </c>
      <c r="U46" s="2" t="inlineStr">
        <is>
          <t>HISTORICAL</t>
        </is>
      </c>
    </row>
    <row r="47">
      <c r="A47" s="2" t="inlineStr">
        <is>
          <t>3000_3300</t>
        </is>
      </c>
      <c r="B47" s="2" t="inlineStr">
        <is>
          <t>Recuperacion Metales Preciosos</t>
        </is>
      </c>
      <c r="C47" s="2" t="inlineStr">
        <is>
          <t>SN-3000-3300</t>
        </is>
      </c>
      <c r="D47" s="2" t="inlineStr">
        <is>
          <t>CC-3000</t>
        </is>
      </c>
      <c r="E47" s="2" t="inlineStr">
        <is>
          <t>P02</t>
        </is>
      </c>
      <c r="F47" s="2" t="inlineStr">
        <is>
          <t>LABOR_INTERNAL</t>
        </is>
      </c>
      <c r="G47" s="2" t="inlineStr">
        <is>
          <t>Mano obra interna mantencion</t>
        </is>
      </c>
      <c r="H47" s="7" t="n">
        <v>295784.94</v>
      </c>
      <c r="I47" s="7" t="n">
        <v>280894.66</v>
      </c>
      <c r="J47" s="7" t="n">
        <v>322795.58</v>
      </c>
      <c r="K47" s="7" t="n">
        <v>271424.36</v>
      </c>
      <c r="L47" s="7" t="n">
        <v>285667.82</v>
      </c>
      <c r="M47" s="7" t="n">
        <v>290275.57</v>
      </c>
      <c r="N47" s="7" t="n">
        <v>280495.16</v>
      </c>
      <c r="O47" s="7" t="n">
        <v>299454.15</v>
      </c>
      <c r="P47" s="7" t="n">
        <v>287639.53</v>
      </c>
      <c r="Q47" s="7" t="n">
        <v>293885.3</v>
      </c>
      <c r="R47" s="7" t="n">
        <v>262691.52</v>
      </c>
      <c r="S47" s="7" t="n">
        <v>282311.33</v>
      </c>
      <c r="T47" s="8">
        <f>SUM(H47:S47)</f>
        <v/>
      </c>
      <c r="U47" s="2" t="inlineStr">
        <is>
          <t>HISTORICAL</t>
        </is>
      </c>
    </row>
    <row r="48">
      <c r="A48" s="2" t="inlineStr">
        <is>
          <t>3000_3300</t>
        </is>
      </c>
      <c r="B48" s="2" t="inlineStr">
        <is>
          <t>Recuperacion Metales Preciosos</t>
        </is>
      </c>
      <c r="C48" s="2" t="inlineStr">
        <is>
          <t>SN-3000-3300</t>
        </is>
      </c>
      <c r="D48" s="2" t="inlineStr">
        <is>
          <t>CC-3000</t>
        </is>
      </c>
      <c r="E48" s="2" t="inlineStr">
        <is>
          <t>P02</t>
        </is>
      </c>
      <c r="F48" s="2" t="inlineStr">
        <is>
          <t>SPARE_PARTS</t>
        </is>
      </c>
      <c r="G48" s="2" t="inlineStr">
        <is>
          <t>Repuestos y materiales mecanicos</t>
        </is>
      </c>
      <c r="H48" s="7" t="n">
        <v>221293.14</v>
      </c>
      <c r="I48" s="7" t="n">
        <v>242458.46</v>
      </c>
      <c r="J48" s="7" t="n">
        <v>239482.19</v>
      </c>
      <c r="K48" s="7" t="n">
        <v>223263.84</v>
      </c>
      <c r="L48" s="7" t="n">
        <v>246830.4</v>
      </c>
      <c r="M48" s="7" t="n">
        <v>231037.76</v>
      </c>
      <c r="N48" s="7" t="n">
        <v>222883.72</v>
      </c>
      <c r="O48" s="7" t="n">
        <v>241067.58</v>
      </c>
      <c r="P48" s="7" t="n">
        <v>217347.43</v>
      </c>
      <c r="Q48" s="7" t="n">
        <v>256134.68</v>
      </c>
      <c r="R48" s="7" t="n">
        <v>213850.39</v>
      </c>
      <c r="S48" s="7" t="n">
        <v>218979.6</v>
      </c>
      <c r="T48" s="8">
        <f>SUM(H48:S48)</f>
        <v/>
      </c>
      <c r="U48" s="2" t="inlineStr">
        <is>
          <t>HISTORICAL</t>
        </is>
      </c>
    </row>
    <row r="49">
      <c r="A49" s="2" t="inlineStr">
        <is>
          <t>3000_3300</t>
        </is>
      </c>
      <c r="B49" s="2" t="inlineStr">
        <is>
          <t>Recuperacion Metales Preciosos</t>
        </is>
      </c>
      <c r="C49" s="2" t="inlineStr">
        <is>
          <t>SN-3000-3300</t>
        </is>
      </c>
      <c r="D49" s="2" t="inlineStr">
        <is>
          <t>CC-3000</t>
        </is>
      </c>
      <c r="E49" s="2" t="inlineStr">
        <is>
          <t>P02</t>
        </is>
      </c>
      <c r="F49" s="2" t="inlineStr">
        <is>
          <t>GET</t>
        </is>
      </c>
      <c r="G49" s="2" t="inlineStr">
        <is>
          <t>Elementos de desgaste (GET)</t>
        </is>
      </c>
      <c r="H49" s="7" t="n">
        <v>73543.64999999999</v>
      </c>
      <c r="I49" s="7" t="n">
        <v>70026.10000000001</v>
      </c>
      <c r="J49" s="7" t="n">
        <v>67316.97</v>
      </c>
      <c r="K49" s="7" t="n">
        <v>79337.5</v>
      </c>
      <c r="L49" s="7" t="n">
        <v>74320.56</v>
      </c>
      <c r="M49" s="7" t="n">
        <v>68540.32000000001</v>
      </c>
      <c r="N49" s="7" t="n">
        <v>79265.72</v>
      </c>
      <c r="O49" s="7" t="n">
        <v>78787.21000000001</v>
      </c>
      <c r="P49" s="7" t="n">
        <v>61990.48</v>
      </c>
      <c r="Q49" s="7" t="n">
        <v>79943.98</v>
      </c>
      <c r="R49" s="7" t="n">
        <v>74595.16</v>
      </c>
      <c r="S49" s="7" t="n">
        <v>68727.45</v>
      </c>
      <c r="T49" s="8">
        <f>SUM(H49:S49)</f>
        <v/>
      </c>
      <c r="U49" s="2" t="inlineStr">
        <is>
          <t>HISTORICAL</t>
        </is>
      </c>
    </row>
    <row r="50">
      <c r="A50" s="2" t="inlineStr">
        <is>
          <t>3000_3300</t>
        </is>
      </c>
      <c r="B50" s="2" t="inlineStr">
        <is>
          <t>Recuperacion Metales Preciosos</t>
        </is>
      </c>
      <c r="C50" s="2" t="inlineStr">
        <is>
          <t>SN-3000-3300</t>
        </is>
      </c>
      <c r="D50" s="2" t="inlineStr">
        <is>
          <t>CC-3000</t>
        </is>
      </c>
      <c r="E50" s="2" t="inlineStr">
        <is>
          <t>P02</t>
        </is>
      </c>
      <c r="F50" s="2" t="inlineStr">
        <is>
          <t>CONSUMABLES</t>
        </is>
      </c>
      <c r="G50" s="2" t="inlineStr">
        <is>
          <t>Consumibles operacion</t>
        </is>
      </c>
      <c r="H50" s="7" t="n">
        <v>48883.73</v>
      </c>
      <c r="I50" s="7" t="n">
        <v>53922.36</v>
      </c>
      <c r="J50" s="7" t="n">
        <v>54576.84</v>
      </c>
      <c r="K50" s="7" t="n">
        <v>46689.18</v>
      </c>
      <c r="L50" s="7" t="n">
        <v>52415.22</v>
      </c>
      <c r="M50" s="7" t="n">
        <v>44727.89</v>
      </c>
      <c r="N50" s="7" t="n">
        <v>48684.71</v>
      </c>
      <c r="O50" s="7" t="n">
        <v>48238.68</v>
      </c>
      <c r="P50" s="7" t="n">
        <v>44507.54</v>
      </c>
      <c r="Q50" s="7" t="n">
        <v>51955.24</v>
      </c>
      <c r="R50" s="7" t="n">
        <v>50958.54</v>
      </c>
      <c r="S50" s="7" t="n">
        <v>48463.15</v>
      </c>
      <c r="T50" s="8">
        <f>SUM(H50:S50)</f>
        <v/>
      </c>
      <c r="U50" s="2" t="inlineStr">
        <is>
          <t>ENGINEERING_ESTIMATE</t>
        </is>
      </c>
    </row>
    <row r="51">
      <c r="A51" s="2" t="inlineStr">
        <is>
          <t>3000_3300</t>
        </is>
      </c>
      <c r="B51" s="2" t="inlineStr">
        <is>
          <t>Recuperacion Metales Preciosos</t>
        </is>
      </c>
      <c r="C51" s="2" t="inlineStr">
        <is>
          <t>SN-3000-3300</t>
        </is>
      </c>
      <c r="D51" s="2" t="inlineStr">
        <is>
          <t>CC-3000</t>
        </is>
      </c>
      <c r="E51" s="2" t="inlineStr">
        <is>
          <t>P02</t>
        </is>
      </c>
      <c r="F51" s="2" t="inlineStr">
        <is>
          <t>LUBRICANTS</t>
        </is>
      </c>
      <c r="G51" s="2" t="inlineStr">
        <is>
          <t>Lubricantes</t>
        </is>
      </c>
      <c r="H51" s="7" t="n">
        <v>57101.17</v>
      </c>
      <c r="I51" s="7" t="n">
        <v>57983.95</v>
      </c>
      <c r="J51" s="7" t="n">
        <v>51862.57</v>
      </c>
      <c r="K51" s="7" t="n">
        <v>57613.9</v>
      </c>
      <c r="L51" s="7" t="n">
        <v>54448.83</v>
      </c>
      <c r="M51" s="7" t="n">
        <v>50715.03</v>
      </c>
      <c r="N51" s="7" t="n">
        <v>50529.42</v>
      </c>
      <c r="O51" s="7" t="n">
        <v>56785.4</v>
      </c>
      <c r="P51" s="7" t="n">
        <v>49148.17</v>
      </c>
      <c r="Q51" s="7" t="n">
        <v>57288.15</v>
      </c>
      <c r="R51" s="7" t="n">
        <v>55449.86</v>
      </c>
      <c r="S51" s="7" t="n">
        <v>60667.09</v>
      </c>
      <c r="T51" s="8">
        <f>SUM(H51:S51)</f>
        <v/>
      </c>
      <c r="U51" s="2" t="inlineStr">
        <is>
          <t>HISTORICAL</t>
        </is>
      </c>
    </row>
    <row r="52">
      <c r="A52" s="2" t="inlineStr">
        <is>
          <t>3000_3300</t>
        </is>
      </c>
      <c r="B52" s="2" t="inlineStr">
        <is>
          <t>Recuperacion Metales Preciosos</t>
        </is>
      </c>
      <c r="C52" s="2" t="inlineStr">
        <is>
          <t>SN-3000-3300</t>
        </is>
      </c>
      <c r="D52" s="2" t="inlineStr">
        <is>
          <t>CC-3000</t>
        </is>
      </c>
      <c r="E52" s="2" t="inlineStr">
        <is>
          <t>P02</t>
        </is>
      </c>
      <c r="F52" s="2" t="inlineStr">
        <is>
          <t>SVC_FIXED</t>
        </is>
      </c>
      <c r="G52" s="2" t="inlineStr">
        <is>
          <t>Servicios mantencion marco fijo</t>
        </is>
      </c>
      <c r="H52" s="7" t="n">
        <v>159526.53</v>
      </c>
      <c r="I52" s="7" t="n">
        <v>129680.99</v>
      </c>
      <c r="J52" s="7" t="n">
        <v>148586.06</v>
      </c>
      <c r="K52" s="7" t="n">
        <v>132040.99</v>
      </c>
      <c r="L52" s="7" t="n">
        <v>150927.58</v>
      </c>
      <c r="M52" s="7" t="n">
        <v>131066.7</v>
      </c>
      <c r="N52" s="7" t="n">
        <v>138465.79</v>
      </c>
      <c r="O52" s="7" t="n">
        <v>148445.08</v>
      </c>
      <c r="P52" s="7" t="n">
        <v>141003.73</v>
      </c>
      <c r="Q52" s="7" t="n">
        <v>151333.63</v>
      </c>
      <c r="R52" s="7" t="n">
        <v>143208.28</v>
      </c>
      <c r="S52" s="7" t="n">
        <v>158581.85</v>
      </c>
      <c r="T52" s="8">
        <f>SUM(H52:S52)</f>
        <v/>
      </c>
      <c r="U52" s="2" t="inlineStr">
        <is>
          <t>ENGINEERING_ESTIMATE</t>
        </is>
      </c>
    </row>
    <row r="53">
      <c r="A53" s="2" t="inlineStr">
        <is>
          <t>3000_3300</t>
        </is>
      </c>
      <c r="B53" s="2" t="inlineStr">
        <is>
          <t>Recuperacion Metales Preciosos</t>
        </is>
      </c>
      <c r="C53" s="2" t="inlineStr">
        <is>
          <t>SN-3000-3300</t>
        </is>
      </c>
      <c r="D53" s="2" t="inlineStr">
        <is>
          <t>CC-3000</t>
        </is>
      </c>
      <c r="E53" s="2" t="inlineStr">
        <is>
          <t>P02</t>
        </is>
      </c>
      <c r="F53" s="2" t="inlineStr">
        <is>
          <t>SVC_VARIABLE</t>
        </is>
      </c>
      <c r="G53" s="2" t="inlineStr">
        <is>
          <t>Servicios mantencion marco variable</t>
        </is>
      </c>
      <c r="H53" s="7" t="n">
        <v>102742.89</v>
      </c>
      <c r="I53" s="7" t="n">
        <v>97898.53999999999</v>
      </c>
      <c r="J53" s="7" t="n">
        <v>99746.25999999999</v>
      </c>
      <c r="K53" s="7" t="n">
        <v>102375.75</v>
      </c>
      <c r="L53" s="7" t="n">
        <v>97304.13</v>
      </c>
      <c r="M53" s="7" t="n">
        <v>88430.66</v>
      </c>
      <c r="N53" s="7" t="n">
        <v>92536.49000000001</v>
      </c>
      <c r="O53" s="7" t="n">
        <v>83307.46000000001</v>
      </c>
      <c r="P53" s="7" t="n">
        <v>77976.3</v>
      </c>
      <c r="Q53" s="7" t="n">
        <v>104612.99</v>
      </c>
      <c r="R53" s="7" t="n">
        <v>90480.22</v>
      </c>
      <c r="S53" s="7" t="n">
        <v>98722.00999999999</v>
      </c>
      <c r="T53" s="8">
        <f>SUM(H53:S53)</f>
        <v/>
      </c>
      <c r="U53" s="2" t="inlineStr">
        <is>
          <t>ENGINEERING_ESTIMATE</t>
        </is>
      </c>
    </row>
    <row r="54">
      <c r="A54" s="2" t="inlineStr">
        <is>
          <t>3000_3300</t>
        </is>
      </c>
      <c r="B54" s="2" t="inlineStr">
        <is>
          <t>Recuperacion Metales Preciosos</t>
        </is>
      </c>
      <c r="C54" s="2" t="inlineStr">
        <is>
          <t>SN-3000-3300</t>
        </is>
      </c>
      <c r="D54" s="2" t="inlineStr">
        <is>
          <t>CC-3000</t>
        </is>
      </c>
      <c r="E54" s="2" t="inlineStr">
        <is>
          <t>P02</t>
        </is>
      </c>
      <c r="F54" s="2" t="inlineStr">
        <is>
          <t>SVC_EXTERNAL</t>
        </is>
      </c>
      <c r="G54" s="2" t="inlineStr">
        <is>
          <t>Servicios mantencion externa</t>
        </is>
      </c>
      <c r="H54" s="7" t="n">
        <v>102194.74</v>
      </c>
      <c r="I54" s="7" t="n">
        <v>110154.58</v>
      </c>
      <c r="J54" s="7" t="n">
        <v>103529.6</v>
      </c>
      <c r="K54" s="7" t="n">
        <v>114196.68</v>
      </c>
      <c r="L54" s="7" t="n">
        <v>108557.56</v>
      </c>
      <c r="M54" s="7" t="n">
        <v>108721.19</v>
      </c>
      <c r="N54" s="7" t="n">
        <v>105883.21</v>
      </c>
      <c r="O54" s="7" t="n">
        <v>101241.29</v>
      </c>
      <c r="P54" s="7" t="n">
        <v>96189.16</v>
      </c>
      <c r="Q54" s="7" t="n">
        <v>121962.82</v>
      </c>
      <c r="R54" s="7" t="n">
        <v>105142.01</v>
      </c>
      <c r="S54" s="7" t="n">
        <v>111610.42</v>
      </c>
      <c r="T54" s="8">
        <f>SUM(H54:S54)</f>
        <v/>
      </c>
      <c r="U54" s="2" t="inlineStr">
        <is>
          <t>HISTORICAL</t>
        </is>
      </c>
    </row>
    <row r="55">
      <c r="A55" s="2" t="inlineStr">
        <is>
          <t>3000_3300</t>
        </is>
      </c>
      <c r="B55" s="2" t="inlineStr">
        <is>
          <t>Recuperacion Metales Preciosos</t>
        </is>
      </c>
      <c r="C55" s="2" t="inlineStr">
        <is>
          <t>SN-3000-3300</t>
        </is>
      </c>
      <c r="D55" s="2" t="inlineStr">
        <is>
          <t>CC-3000</t>
        </is>
      </c>
      <c r="E55" s="2" t="inlineStr">
        <is>
          <t>P02</t>
        </is>
      </c>
      <c r="F55" s="2" t="inlineStr">
        <is>
          <t>OTHER_SERVICES</t>
        </is>
      </c>
      <c r="G55" s="2" t="inlineStr">
        <is>
          <t>Otros servicios de mantencion</t>
        </is>
      </c>
      <c r="H55" s="7" t="n">
        <v>55667.91</v>
      </c>
      <c r="I55" s="7" t="n">
        <v>46994.07</v>
      </c>
      <c r="J55" s="7" t="n">
        <v>53384.16</v>
      </c>
      <c r="K55" s="7" t="n">
        <v>47338.5</v>
      </c>
      <c r="L55" s="7" t="n">
        <v>51444.91</v>
      </c>
      <c r="M55" s="7" t="n">
        <v>46745.08</v>
      </c>
      <c r="N55" s="7" t="n">
        <v>50645.8</v>
      </c>
      <c r="O55" s="7" t="n">
        <v>46941.34</v>
      </c>
      <c r="P55" s="7" t="n">
        <v>49397.58</v>
      </c>
      <c r="Q55" s="7" t="n">
        <v>49973.79</v>
      </c>
      <c r="R55" s="7" t="n">
        <v>52109.57</v>
      </c>
      <c r="S55" s="7" t="n">
        <v>45899.69</v>
      </c>
      <c r="T55" s="8">
        <f>SUM(H55:S55)</f>
        <v/>
      </c>
      <c r="U55" s="2" t="inlineStr">
        <is>
          <t>HISTORICAL</t>
        </is>
      </c>
    </row>
    <row r="56">
      <c r="A56" s="2" t="inlineStr">
        <is>
          <t>3000_3400</t>
        </is>
      </c>
      <c r="B56" s="2" t="inlineStr">
        <is>
          <t>Lavado Acido, Elucion y Regenera Carbon</t>
        </is>
      </c>
      <c r="C56" s="2" t="inlineStr">
        <is>
          <t>SN-3000-3400</t>
        </is>
      </c>
      <c r="D56" s="2" t="inlineStr">
        <is>
          <t>CC-3000</t>
        </is>
      </c>
      <c r="E56" s="2" t="inlineStr">
        <is>
          <t>P02</t>
        </is>
      </c>
      <c r="F56" s="2" t="inlineStr">
        <is>
          <t>LABOR_INTERNAL</t>
        </is>
      </c>
      <c r="G56" s="2" t="inlineStr">
        <is>
          <t>Mano obra interna mantencion</t>
        </is>
      </c>
      <c r="H56" s="7" t="n">
        <v>129085.42</v>
      </c>
      <c r="I56" s="7" t="n">
        <v>117993.86</v>
      </c>
      <c r="J56" s="7" t="n">
        <v>114812.63</v>
      </c>
      <c r="K56" s="7" t="n">
        <v>129250.73</v>
      </c>
      <c r="L56" s="7" t="n">
        <v>119015.67</v>
      </c>
      <c r="M56" s="7" t="n">
        <v>106768.18</v>
      </c>
      <c r="N56" s="7" t="n">
        <v>119503.8</v>
      </c>
      <c r="O56" s="7" t="n">
        <v>122035.85</v>
      </c>
      <c r="P56" s="7" t="n">
        <v>113800.1</v>
      </c>
      <c r="Q56" s="7" t="n">
        <v>132944.44</v>
      </c>
      <c r="R56" s="7" t="n">
        <v>123262.6</v>
      </c>
      <c r="S56" s="7" t="n">
        <v>127521.21</v>
      </c>
      <c r="T56" s="8">
        <f>SUM(H56:S56)</f>
        <v/>
      </c>
      <c r="U56" s="2" t="inlineStr">
        <is>
          <t>CONTRACTOR_QUOTE</t>
        </is>
      </c>
    </row>
    <row r="57">
      <c r="A57" s="2" t="inlineStr">
        <is>
          <t>3000_3400</t>
        </is>
      </c>
      <c r="B57" s="2" t="inlineStr">
        <is>
          <t>Lavado Acido, Elucion y Regenera Carbon</t>
        </is>
      </c>
      <c r="C57" s="2" t="inlineStr">
        <is>
          <t>SN-3000-3400</t>
        </is>
      </c>
      <c r="D57" s="2" t="inlineStr">
        <is>
          <t>CC-3000</t>
        </is>
      </c>
      <c r="E57" s="2" t="inlineStr">
        <is>
          <t>P02</t>
        </is>
      </c>
      <c r="F57" s="2" t="inlineStr">
        <is>
          <t>SPARE_PARTS</t>
        </is>
      </c>
      <c r="G57" s="2" t="inlineStr">
        <is>
          <t>Repuestos y materiales mecanicos</t>
        </is>
      </c>
      <c r="H57" s="7" t="n">
        <v>115083.31</v>
      </c>
      <c r="I57" s="7" t="n">
        <v>115794.27</v>
      </c>
      <c r="J57" s="7" t="n">
        <v>106464.81</v>
      </c>
      <c r="K57" s="7" t="n">
        <v>112088.19</v>
      </c>
      <c r="L57" s="7" t="n">
        <v>111974.13</v>
      </c>
      <c r="M57" s="7" t="n">
        <v>105513.36</v>
      </c>
      <c r="N57" s="7" t="n">
        <v>116501.77</v>
      </c>
      <c r="O57" s="7" t="n">
        <v>106722.54</v>
      </c>
      <c r="P57" s="7" t="n">
        <v>100589.38</v>
      </c>
      <c r="Q57" s="7" t="n">
        <v>105101.88</v>
      </c>
      <c r="R57" s="7" t="n">
        <v>112265.96</v>
      </c>
      <c r="S57" s="7" t="n">
        <v>103788.34</v>
      </c>
      <c r="T57" s="8">
        <f>SUM(H57:S57)</f>
        <v/>
      </c>
      <c r="U57" s="2" t="inlineStr">
        <is>
          <t>ENGINEERING_ESTIMATE</t>
        </is>
      </c>
    </row>
    <row r="58">
      <c r="A58" s="2" t="inlineStr">
        <is>
          <t>3000_3400</t>
        </is>
      </c>
      <c r="B58" s="2" t="inlineStr">
        <is>
          <t>Lavado Acido, Elucion y Regenera Carbon</t>
        </is>
      </c>
      <c r="C58" s="2" t="inlineStr">
        <is>
          <t>SN-3000-3400</t>
        </is>
      </c>
      <c r="D58" s="2" t="inlineStr">
        <is>
          <t>CC-3000</t>
        </is>
      </c>
      <c r="E58" s="2" t="inlineStr">
        <is>
          <t>P02</t>
        </is>
      </c>
      <c r="F58" s="2" t="inlineStr">
        <is>
          <t>GET</t>
        </is>
      </c>
      <c r="G58" s="2" t="inlineStr">
        <is>
          <t>Elementos de desgaste (GET)</t>
        </is>
      </c>
      <c r="H58" s="7" t="n">
        <v>36164.48</v>
      </c>
      <c r="I58" s="7" t="n">
        <v>36586.34</v>
      </c>
      <c r="J58" s="7" t="n">
        <v>39676.51</v>
      </c>
      <c r="K58" s="7" t="n">
        <v>37632.95</v>
      </c>
      <c r="L58" s="7" t="n">
        <v>35785.05</v>
      </c>
      <c r="M58" s="7" t="n">
        <v>35912</v>
      </c>
      <c r="N58" s="7" t="n">
        <v>40697.39</v>
      </c>
      <c r="O58" s="7" t="n">
        <v>40675.8</v>
      </c>
      <c r="P58" s="7" t="n">
        <v>33494.71</v>
      </c>
      <c r="Q58" s="7" t="n">
        <v>41633.8</v>
      </c>
      <c r="R58" s="7" t="n">
        <v>37674.4</v>
      </c>
      <c r="S58" s="7" t="n">
        <v>38977.05</v>
      </c>
      <c r="T58" s="8">
        <f>SUM(H58:S58)</f>
        <v/>
      </c>
      <c r="U58" s="2" t="inlineStr">
        <is>
          <t>HISTORICAL</t>
        </is>
      </c>
    </row>
    <row r="59">
      <c r="A59" s="2" t="inlineStr">
        <is>
          <t>3000_3400</t>
        </is>
      </c>
      <c r="B59" s="2" t="inlineStr">
        <is>
          <t>Lavado Acido, Elucion y Regenera Carbon</t>
        </is>
      </c>
      <c r="C59" s="2" t="inlineStr">
        <is>
          <t>SN-3000-3400</t>
        </is>
      </c>
      <c r="D59" s="2" t="inlineStr">
        <is>
          <t>CC-3000</t>
        </is>
      </c>
      <c r="E59" s="2" t="inlineStr">
        <is>
          <t>P02</t>
        </is>
      </c>
      <c r="F59" s="2" t="inlineStr">
        <is>
          <t>CONSUMABLES</t>
        </is>
      </c>
      <c r="G59" s="2" t="inlineStr">
        <is>
          <t>Consumibles operacion</t>
        </is>
      </c>
      <c r="H59" s="7" t="n">
        <v>29266.47</v>
      </c>
      <c r="I59" s="7" t="n">
        <v>25217.52</v>
      </c>
      <c r="J59" s="7" t="n">
        <v>27243.72</v>
      </c>
      <c r="K59" s="7" t="n">
        <v>26186.36</v>
      </c>
      <c r="L59" s="7" t="n">
        <v>29039.01</v>
      </c>
      <c r="M59" s="7" t="n">
        <v>27905.56</v>
      </c>
      <c r="N59" s="7" t="n">
        <v>25444.59</v>
      </c>
      <c r="O59" s="7" t="n">
        <v>28632.73</v>
      </c>
      <c r="P59" s="7" t="n">
        <v>24662.65</v>
      </c>
      <c r="Q59" s="7" t="n">
        <v>30464.43</v>
      </c>
      <c r="R59" s="7" t="n">
        <v>26330.17</v>
      </c>
      <c r="S59" s="7" t="n">
        <v>27484.4</v>
      </c>
      <c r="T59" s="8">
        <f>SUM(H59:S59)</f>
        <v/>
      </c>
      <c r="U59" s="2" t="inlineStr">
        <is>
          <t>ENGINEERING_ESTIMATE</t>
        </is>
      </c>
    </row>
    <row r="60">
      <c r="A60" s="2" t="inlineStr">
        <is>
          <t>3000_3400</t>
        </is>
      </c>
      <c r="B60" s="2" t="inlineStr">
        <is>
          <t>Lavado Acido, Elucion y Regenera Carbon</t>
        </is>
      </c>
      <c r="C60" s="2" t="inlineStr">
        <is>
          <t>SN-3000-3400</t>
        </is>
      </c>
      <c r="D60" s="2" t="inlineStr">
        <is>
          <t>CC-3000</t>
        </is>
      </c>
      <c r="E60" s="2" t="inlineStr">
        <is>
          <t>P02</t>
        </is>
      </c>
      <c r="F60" s="2" t="inlineStr">
        <is>
          <t>LUBRICANTS</t>
        </is>
      </c>
      <c r="G60" s="2" t="inlineStr">
        <is>
          <t>Lubricantes</t>
        </is>
      </c>
      <c r="H60" s="7" t="n">
        <v>33210.97</v>
      </c>
      <c r="I60" s="7" t="n">
        <v>31194.44</v>
      </c>
      <c r="J60" s="7" t="n">
        <v>38506.35</v>
      </c>
      <c r="K60" s="7" t="n">
        <v>32671.59</v>
      </c>
      <c r="L60" s="7" t="n">
        <v>35584.07</v>
      </c>
      <c r="M60" s="7" t="n">
        <v>32811.74</v>
      </c>
      <c r="N60" s="7" t="n">
        <v>31889.8</v>
      </c>
      <c r="O60" s="7" t="n">
        <v>36221.41</v>
      </c>
      <c r="P60" s="7" t="n">
        <v>34560.31</v>
      </c>
      <c r="Q60" s="7" t="n">
        <v>34237.73</v>
      </c>
      <c r="R60" s="7" t="n">
        <v>30372.09</v>
      </c>
      <c r="S60" s="7" t="n">
        <v>37296.97</v>
      </c>
      <c r="T60" s="8">
        <f>SUM(H60:S60)</f>
        <v/>
      </c>
      <c r="U60" s="2" t="inlineStr">
        <is>
          <t>CONTRACTOR_QUOTE</t>
        </is>
      </c>
    </row>
    <row r="61">
      <c r="A61" s="2" t="inlineStr">
        <is>
          <t>3000_3400</t>
        </is>
      </c>
      <c r="B61" s="2" t="inlineStr">
        <is>
          <t>Lavado Acido, Elucion y Regenera Carbon</t>
        </is>
      </c>
      <c r="C61" s="2" t="inlineStr">
        <is>
          <t>SN-3000-3400</t>
        </is>
      </c>
      <c r="D61" s="2" t="inlineStr">
        <is>
          <t>CC-3000</t>
        </is>
      </c>
      <c r="E61" s="2" t="inlineStr">
        <is>
          <t>P02</t>
        </is>
      </c>
      <c r="F61" s="2" t="inlineStr">
        <is>
          <t>SVC_FIXED</t>
        </is>
      </c>
      <c r="G61" s="2" t="inlineStr">
        <is>
          <t>Servicios mantencion marco fijo</t>
        </is>
      </c>
      <c r="H61" s="7" t="n">
        <v>68871.21000000001</v>
      </c>
      <c r="I61" s="7" t="n">
        <v>66052.69</v>
      </c>
      <c r="J61" s="7" t="n">
        <v>67602.06</v>
      </c>
      <c r="K61" s="7" t="n">
        <v>70646.8</v>
      </c>
      <c r="L61" s="7" t="n">
        <v>62961.21</v>
      </c>
      <c r="M61" s="7" t="n">
        <v>68100.37</v>
      </c>
      <c r="N61" s="7" t="n">
        <v>68969.88</v>
      </c>
      <c r="O61" s="7" t="n">
        <v>72953.91</v>
      </c>
      <c r="P61" s="7" t="n">
        <v>68895.89999999999</v>
      </c>
      <c r="Q61" s="7" t="n">
        <v>79515.49000000001</v>
      </c>
      <c r="R61" s="7" t="n">
        <v>67421.69</v>
      </c>
      <c r="S61" s="7" t="n">
        <v>66765.86</v>
      </c>
      <c r="T61" s="8">
        <f>SUM(H61:S61)</f>
        <v/>
      </c>
      <c r="U61" s="2" t="inlineStr">
        <is>
          <t>HISTORICAL</t>
        </is>
      </c>
    </row>
    <row r="62">
      <c r="A62" s="2" t="inlineStr">
        <is>
          <t>3000_3400</t>
        </is>
      </c>
      <c r="B62" s="2" t="inlineStr">
        <is>
          <t>Lavado Acido, Elucion y Regenera Carbon</t>
        </is>
      </c>
      <c r="C62" s="2" t="inlineStr">
        <is>
          <t>SN-3000-3400</t>
        </is>
      </c>
      <c r="D62" s="2" t="inlineStr">
        <is>
          <t>CC-3000</t>
        </is>
      </c>
      <c r="E62" s="2" t="inlineStr">
        <is>
          <t>P02</t>
        </is>
      </c>
      <c r="F62" s="2" t="inlineStr">
        <is>
          <t>SVC_VARIABLE</t>
        </is>
      </c>
      <c r="G62" s="2" t="inlineStr">
        <is>
          <t>Servicios mantencion marco variable</t>
        </is>
      </c>
      <c r="H62" s="7" t="n">
        <v>47908.82</v>
      </c>
      <c r="I62" s="7" t="n">
        <v>41336.44</v>
      </c>
      <c r="J62" s="7" t="n">
        <v>51072.07</v>
      </c>
      <c r="K62" s="7" t="n">
        <v>42402.31</v>
      </c>
      <c r="L62" s="7" t="n">
        <v>45510.53</v>
      </c>
      <c r="M62" s="7" t="n">
        <v>43311.07</v>
      </c>
      <c r="N62" s="7" t="n">
        <v>45861.94</v>
      </c>
      <c r="O62" s="7" t="n">
        <v>45292.07</v>
      </c>
      <c r="P62" s="7" t="n">
        <v>38204.25</v>
      </c>
      <c r="Q62" s="7" t="n">
        <v>53368.47</v>
      </c>
      <c r="R62" s="7" t="n">
        <v>47779.27</v>
      </c>
      <c r="S62" s="7" t="n">
        <v>45912.89</v>
      </c>
      <c r="T62" s="8">
        <f>SUM(H62:S62)</f>
        <v/>
      </c>
      <c r="U62" s="2" t="inlineStr">
        <is>
          <t>HISTORICAL</t>
        </is>
      </c>
    </row>
    <row r="63">
      <c r="A63" s="2" t="inlineStr">
        <is>
          <t>3000_3400</t>
        </is>
      </c>
      <c r="B63" s="2" t="inlineStr">
        <is>
          <t>Lavado Acido, Elucion y Regenera Carbon</t>
        </is>
      </c>
      <c r="C63" s="2" t="inlineStr">
        <is>
          <t>SN-3000-3400</t>
        </is>
      </c>
      <c r="D63" s="2" t="inlineStr">
        <is>
          <t>CC-3000</t>
        </is>
      </c>
      <c r="E63" s="2" t="inlineStr">
        <is>
          <t>P02</t>
        </is>
      </c>
      <c r="F63" s="2" t="inlineStr">
        <is>
          <t>SVC_EXTERNAL</t>
        </is>
      </c>
      <c r="G63" s="2" t="inlineStr">
        <is>
          <t>Servicios mantencion externa</t>
        </is>
      </c>
      <c r="H63" s="7" t="n">
        <v>43339.08</v>
      </c>
      <c r="I63" s="7" t="n">
        <v>46901.69</v>
      </c>
      <c r="J63" s="7" t="n">
        <v>47845.43</v>
      </c>
      <c r="K63" s="7" t="n">
        <v>46810.73</v>
      </c>
      <c r="L63" s="7" t="n">
        <v>46331.34</v>
      </c>
      <c r="M63" s="7" t="n">
        <v>47855.26</v>
      </c>
      <c r="N63" s="7" t="n">
        <v>42600.72</v>
      </c>
      <c r="O63" s="7" t="n">
        <v>46956.34</v>
      </c>
      <c r="P63" s="7" t="n">
        <v>45104.14</v>
      </c>
      <c r="Q63" s="7" t="n">
        <v>54962.71</v>
      </c>
      <c r="R63" s="7" t="n">
        <v>47254.78</v>
      </c>
      <c r="S63" s="7" t="n">
        <v>47727.21</v>
      </c>
      <c r="T63" s="8">
        <f>SUM(H63:S63)</f>
        <v/>
      </c>
      <c r="U63" s="2" t="inlineStr">
        <is>
          <t>CONTRACTOR_QUOTE</t>
        </is>
      </c>
    </row>
    <row r="64">
      <c r="A64" s="2" t="inlineStr">
        <is>
          <t>3000_3400</t>
        </is>
      </c>
      <c r="B64" s="2" t="inlineStr">
        <is>
          <t>Lavado Acido, Elucion y Regenera Carbon</t>
        </is>
      </c>
      <c r="C64" s="2" t="inlineStr">
        <is>
          <t>SN-3000-3400</t>
        </is>
      </c>
      <c r="D64" s="2" t="inlineStr">
        <is>
          <t>CC-3000</t>
        </is>
      </c>
      <c r="E64" s="2" t="inlineStr">
        <is>
          <t>P02</t>
        </is>
      </c>
      <c r="F64" s="2" t="inlineStr">
        <is>
          <t>OTHER_SERVICES</t>
        </is>
      </c>
      <c r="G64" s="2" t="inlineStr">
        <is>
          <t>Otros servicios de mantencion</t>
        </is>
      </c>
      <c r="H64" s="7" t="n">
        <v>28227.97</v>
      </c>
      <c r="I64" s="7" t="n">
        <v>23191.75</v>
      </c>
      <c r="J64" s="7" t="n">
        <v>26864.76</v>
      </c>
      <c r="K64" s="7" t="n">
        <v>27724.83</v>
      </c>
      <c r="L64" s="7" t="n">
        <v>26264.27</v>
      </c>
      <c r="M64" s="7" t="n">
        <v>24122.31</v>
      </c>
      <c r="N64" s="7" t="n">
        <v>24756.92</v>
      </c>
      <c r="O64" s="7" t="n">
        <v>26288.87</v>
      </c>
      <c r="P64" s="7" t="n">
        <v>23464.75</v>
      </c>
      <c r="Q64" s="7" t="n">
        <v>27071.3</v>
      </c>
      <c r="R64" s="7" t="n">
        <v>26510.2</v>
      </c>
      <c r="S64" s="7" t="n">
        <v>25077.78</v>
      </c>
      <c r="T64" s="8">
        <f>SUM(H64:S64)</f>
        <v/>
      </c>
      <c r="U64" s="2" t="inlineStr">
        <is>
          <t>CONTRACTOR_QUOTE</t>
        </is>
      </c>
    </row>
    <row r="65">
      <c r="A65" s="2" t="inlineStr">
        <is>
          <t>3000_3500</t>
        </is>
      </c>
      <c r="B65" s="2" t="inlineStr">
        <is>
          <t>Refineria</t>
        </is>
      </c>
      <c r="C65" s="2" t="inlineStr">
        <is>
          <t>SN-3000-3500</t>
        </is>
      </c>
      <c r="D65" s="2" t="inlineStr">
        <is>
          <t>CC-3000</t>
        </is>
      </c>
      <c r="E65" s="2" t="inlineStr">
        <is>
          <t>P02</t>
        </is>
      </c>
      <c r="F65" s="2" t="inlineStr">
        <is>
          <t>LABOR_INTERNAL</t>
        </is>
      </c>
      <c r="G65" s="2" t="inlineStr">
        <is>
          <t>Mano obra interna mantencion</t>
        </is>
      </c>
      <c r="H65" s="7" t="n">
        <v>142725.06</v>
      </c>
      <c r="I65" s="7" t="n">
        <v>134226</v>
      </c>
      <c r="J65" s="7" t="n">
        <v>127718.9</v>
      </c>
      <c r="K65" s="7" t="n">
        <v>144561.15</v>
      </c>
      <c r="L65" s="7" t="n">
        <v>148515.46</v>
      </c>
      <c r="M65" s="7" t="n">
        <v>138539.91</v>
      </c>
      <c r="N65" s="7" t="n">
        <v>140220.59</v>
      </c>
      <c r="O65" s="7" t="n">
        <v>135542.99</v>
      </c>
      <c r="P65" s="7" t="n">
        <v>120047.15</v>
      </c>
      <c r="Q65" s="7" t="n">
        <v>152845.95</v>
      </c>
      <c r="R65" s="7" t="n">
        <v>123600.26</v>
      </c>
      <c r="S65" s="7" t="n">
        <v>149235.34</v>
      </c>
      <c r="T65" s="8">
        <f>SUM(H65:S65)</f>
        <v/>
      </c>
      <c r="U65" s="2" t="inlineStr">
        <is>
          <t>HISTORICAL</t>
        </is>
      </c>
    </row>
    <row r="66">
      <c r="A66" s="2" t="inlineStr">
        <is>
          <t>3000_3500</t>
        </is>
      </c>
      <c r="B66" s="2" t="inlineStr">
        <is>
          <t>Refineria</t>
        </is>
      </c>
      <c r="C66" s="2" t="inlineStr">
        <is>
          <t>SN-3000-3500</t>
        </is>
      </c>
      <c r="D66" s="2" t="inlineStr">
        <is>
          <t>CC-3000</t>
        </is>
      </c>
      <c r="E66" s="2" t="inlineStr">
        <is>
          <t>P02</t>
        </is>
      </c>
      <c r="F66" s="2" t="inlineStr">
        <is>
          <t>SPARE_PARTS</t>
        </is>
      </c>
      <c r="G66" s="2" t="inlineStr">
        <is>
          <t>Repuestos y materiales mecanicos</t>
        </is>
      </c>
      <c r="H66" s="7" t="n">
        <v>127095.17</v>
      </c>
      <c r="I66" s="7" t="n">
        <v>129520.74</v>
      </c>
      <c r="J66" s="7" t="n">
        <v>141087.39</v>
      </c>
      <c r="K66" s="7" t="n">
        <v>129584.81</v>
      </c>
      <c r="L66" s="7" t="n">
        <v>135904.12</v>
      </c>
      <c r="M66" s="7" t="n">
        <v>129240.77</v>
      </c>
      <c r="N66" s="7" t="n">
        <v>128685.56</v>
      </c>
      <c r="O66" s="7" t="n">
        <v>126959.46</v>
      </c>
      <c r="P66" s="7" t="n">
        <v>131751.65</v>
      </c>
      <c r="Q66" s="7" t="n">
        <v>128453.04</v>
      </c>
      <c r="R66" s="7" t="n">
        <v>133298.46</v>
      </c>
      <c r="S66" s="7" t="n">
        <v>131739.15</v>
      </c>
      <c r="T66" s="8">
        <f>SUM(H66:S66)</f>
        <v/>
      </c>
      <c r="U66" s="2" t="inlineStr">
        <is>
          <t>CONTRACTOR_QUOTE</t>
        </is>
      </c>
    </row>
    <row r="67">
      <c r="A67" s="2" t="inlineStr">
        <is>
          <t>3000_3500</t>
        </is>
      </c>
      <c r="B67" s="2" t="inlineStr">
        <is>
          <t>Refineria</t>
        </is>
      </c>
      <c r="C67" s="2" t="inlineStr">
        <is>
          <t>SN-3000-3500</t>
        </is>
      </c>
      <c r="D67" s="2" t="inlineStr">
        <is>
          <t>CC-3000</t>
        </is>
      </c>
      <c r="E67" s="2" t="inlineStr">
        <is>
          <t>P02</t>
        </is>
      </c>
      <c r="F67" s="2" t="inlineStr">
        <is>
          <t>GET</t>
        </is>
      </c>
      <c r="G67" s="2" t="inlineStr">
        <is>
          <t>Elementos de desgaste (GET)</t>
        </is>
      </c>
      <c r="H67" s="7" t="n">
        <v>41375.76</v>
      </c>
      <c r="I67" s="7" t="n">
        <v>47738.78</v>
      </c>
      <c r="J67" s="7" t="n">
        <v>41833.27</v>
      </c>
      <c r="K67" s="7" t="n">
        <v>42098.3</v>
      </c>
      <c r="L67" s="7" t="n">
        <v>43056</v>
      </c>
      <c r="M67" s="7" t="n">
        <v>46026.84</v>
      </c>
      <c r="N67" s="7" t="n">
        <v>42399.92</v>
      </c>
      <c r="O67" s="7" t="n">
        <v>44784.05</v>
      </c>
      <c r="P67" s="7" t="n">
        <v>41330.88</v>
      </c>
      <c r="Q67" s="7" t="n">
        <v>46058</v>
      </c>
      <c r="R67" s="7" t="n">
        <v>44479.04</v>
      </c>
      <c r="S67" s="7" t="n">
        <v>44879.95</v>
      </c>
      <c r="T67" s="8">
        <f>SUM(H67:S67)</f>
        <v/>
      </c>
      <c r="U67" s="2" t="inlineStr">
        <is>
          <t>CONTRACTOR_QUOTE</t>
        </is>
      </c>
    </row>
    <row r="68">
      <c r="A68" s="2" t="inlineStr">
        <is>
          <t>3000_3500</t>
        </is>
      </c>
      <c r="B68" s="2" t="inlineStr">
        <is>
          <t>Refineria</t>
        </is>
      </c>
      <c r="C68" s="2" t="inlineStr">
        <is>
          <t>SN-3000-3500</t>
        </is>
      </c>
      <c r="D68" s="2" t="inlineStr">
        <is>
          <t>CC-3000</t>
        </is>
      </c>
      <c r="E68" s="2" t="inlineStr">
        <is>
          <t>P02</t>
        </is>
      </c>
      <c r="F68" s="2" t="inlineStr">
        <is>
          <t>CONSUMABLES</t>
        </is>
      </c>
      <c r="G68" s="2" t="inlineStr">
        <is>
          <t>Consumibles operacion</t>
        </is>
      </c>
      <c r="H68" s="7" t="n">
        <v>26387.01</v>
      </c>
      <c r="I68" s="7" t="n">
        <v>21628.92</v>
      </c>
      <c r="J68" s="7" t="n">
        <v>25505</v>
      </c>
      <c r="K68" s="7" t="n">
        <v>26220.11</v>
      </c>
      <c r="L68" s="7" t="n">
        <v>21609.14</v>
      </c>
      <c r="M68" s="7" t="n">
        <v>20624.04</v>
      </c>
      <c r="N68" s="7" t="n">
        <v>23032.1</v>
      </c>
      <c r="O68" s="7" t="n">
        <v>25178.7</v>
      </c>
      <c r="P68" s="7" t="n">
        <v>23133.96</v>
      </c>
      <c r="Q68" s="7" t="n">
        <v>27339.11</v>
      </c>
      <c r="R68" s="7" t="n">
        <v>22583.16</v>
      </c>
      <c r="S68" s="7" t="n">
        <v>26556.87</v>
      </c>
      <c r="T68" s="8">
        <f>SUM(H68:S68)</f>
        <v/>
      </c>
      <c r="U68" s="2" t="inlineStr">
        <is>
          <t>HISTORICAL</t>
        </is>
      </c>
    </row>
    <row r="69">
      <c r="A69" s="2" t="inlineStr">
        <is>
          <t>3000_3500</t>
        </is>
      </c>
      <c r="B69" s="2" t="inlineStr">
        <is>
          <t>Refineria</t>
        </is>
      </c>
      <c r="C69" s="2" t="inlineStr">
        <is>
          <t>SN-3000-3500</t>
        </is>
      </c>
      <c r="D69" s="2" t="inlineStr">
        <is>
          <t>CC-3000</t>
        </is>
      </c>
      <c r="E69" s="2" t="inlineStr">
        <is>
          <t>P02</t>
        </is>
      </c>
      <c r="F69" s="2" t="inlineStr">
        <is>
          <t>LUBRICANTS</t>
        </is>
      </c>
      <c r="G69" s="2" t="inlineStr">
        <is>
          <t>Lubricantes</t>
        </is>
      </c>
      <c r="H69" s="7" t="n">
        <v>37675.09</v>
      </c>
      <c r="I69" s="7" t="n">
        <v>35355.15</v>
      </c>
      <c r="J69" s="7" t="n">
        <v>37962.57</v>
      </c>
      <c r="K69" s="7" t="n">
        <v>36489.76</v>
      </c>
      <c r="L69" s="7" t="n">
        <v>34854.77</v>
      </c>
      <c r="M69" s="7" t="n">
        <v>35380.13</v>
      </c>
      <c r="N69" s="7" t="n">
        <v>35369.61</v>
      </c>
      <c r="O69" s="7" t="n">
        <v>38030.14</v>
      </c>
      <c r="P69" s="7" t="n">
        <v>32121.01</v>
      </c>
      <c r="Q69" s="7" t="n">
        <v>40460.78</v>
      </c>
      <c r="R69" s="7" t="n">
        <v>40199.28</v>
      </c>
      <c r="S69" s="7" t="n">
        <v>37515.79</v>
      </c>
      <c r="T69" s="8">
        <f>SUM(H69:S69)</f>
        <v/>
      </c>
      <c r="U69" s="2" t="inlineStr">
        <is>
          <t>HISTORICAL</t>
        </is>
      </c>
    </row>
    <row r="70">
      <c r="A70" s="2" t="inlineStr">
        <is>
          <t>3000_3500</t>
        </is>
      </c>
      <c r="B70" s="2" t="inlineStr">
        <is>
          <t>Refineria</t>
        </is>
      </c>
      <c r="C70" s="2" t="inlineStr">
        <is>
          <t>SN-3000-3500</t>
        </is>
      </c>
      <c r="D70" s="2" t="inlineStr">
        <is>
          <t>CC-3000</t>
        </is>
      </c>
      <c r="E70" s="2" t="inlineStr">
        <is>
          <t>P02</t>
        </is>
      </c>
      <c r="F70" s="2" t="inlineStr">
        <is>
          <t>SVC_FIXED</t>
        </is>
      </c>
      <c r="G70" s="2" t="inlineStr">
        <is>
          <t>Servicios mantencion marco fijo</t>
        </is>
      </c>
      <c r="H70" s="7" t="n">
        <v>66294.07000000001</v>
      </c>
      <c r="I70" s="7" t="n">
        <v>58183.92</v>
      </c>
      <c r="J70" s="7" t="n">
        <v>61832.07</v>
      </c>
      <c r="K70" s="7" t="n">
        <v>66340.72</v>
      </c>
      <c r="L70" s="7" t="n">
        <v>57822.46</v>
      </c>
      <c r="M70" s="7" t="n">
        <v>58414.83</v>
      </c>
      <c r="N70" s="7" t="n">
        <v>56029.54</v>
      </c>
      <c r="O70" s="7" t="n">
        <v>57322.46</v>
      </c>
      <c r="P70" s="7" t="n">
        <v>53804.2</v>
      </c>
      <c r="Q70" s="7" t="n">
        <v>65696.07000000001</v>
      </c>
      <c r="R70" s="7" t="n">
        <v>63219.3</v>
      </c>
      <c r="S70" s="7" t="n">
        <v>60464.48</v>
      </c>
      <c r="T70" s="8">
        <f>SUM(H70:S70)</f>
        <v/>
      </c>
      <c r="U70" s="2" t="inlineStr">
        <is>
          <t>HISTORICAL</t>
        </is>
      </c>
    </row>
    <row r="71">
      <c r="A71" s="2" t="inlineStr">
        <is>
          <t>3000_3500</t>
        </is>
      </c>
      <c r="B71" s="2" t="inlineStr">
        <is>
          <t>Refineria</t>
        </is>
      </c>
      <c r="C71" s="2" t="inlineStr">
        <is>
          <t>SN-3000-3500</t>
        </is>
      </c>
      <c r="D71" s="2" t="inlineStr">
        <is>
          <t>CC-3000</t>
        </is>
      </c>
      <c r="E71" s="2" t="inlineStr">
        <is>
          <t>P02</t>
        </is>
      </c>
      <c r="F71" s="2" t="inlineStr">
        <is>
          <t>SVC_VARIABLE</t>
        </is>
      </c>
      <c r="G71" s="2" t="inlineStr">
        <is>
          <t>Servicios mantencion marco variable</t>
        </is>
      </c>
      <c r="H71" s="7" t="n">
        <v>39948.67</v>
      </c>
      <c r="I71" s="7" t="n">
        <v>39204.08</v>
      </c>
      <c r="J71" s="7" t="n">
        <v>45219.5</v>
      </c>
      <c r="K71" s="7" t="n">
        <v>37538.75</v>
      </c>
      <c r="L71" s="7" t="n">
        <v>41171.27</v>
      </c>
      <c r="M71" s="7" t="n">
        <v>41815.94</v>
      </c>
      <c r="N71" s="7" t="n">
        <v>39934.13</v>
      </c>
      <c r="O71" s="7" t="n">
        <v>41784.08</v>
      </c>
      <c r="P71" s="7" t="n">
        <v>38432.2</v>
      </c>
      <c r="Q71" s="7" t="n">
        <v>42360.76</v>
      </c>
      <c r="R71" s="7" t="n">
        <v>36444.44</v>
      </c>
      <c r="S71" s="7" t="n">
        <v>38882.9</v>
      </c>
      <c r="T71" s="8">
        <f>SUM(H71:S71)</f>
        <v/>
      </c>
      <c r="U71" s="2" t="inlineStr">
        <is>
          <t>HISTORICAL</t>
        </is>
      </c>
    </row>
    <row r="72">
      <c r="A72" s="2" t="inlineStr">
        <is>
          <t>3000_3500</t>
        </is>
      </c>
      <c r="B72" s="2" t="inlineStr">
        <is>
          <t>Refineria</t>
        </is>
      </c>
      <c r="C72" s="2" t="inlineStr">
        <is>
          <t>SN-3000-3500</t>
        </is>
      </c>
      <c r="D72" s="2" t="inlineStr">
        <is>
          <t>CC-3000</t>
        </is>
      </c>
      <c r="E72" s="2" t="inlineStr">
        <is>
          <t>P02</t>
        </is>
      </c>
      <c r="F72" s="2" t="inlineStr">
        <is>
          <t>SVC_EXTERNAL</t>
        </is>
      </c>
      <c r="G72" s="2" t="inlineStr">
        <is>
          <t>Servicios mantencion externa</t>
        </is>
      </c>
      <c r="H72" s="7" t="n">
        <v>61908.41</v>
      </c>
      <c r="I72" s="7" t="n">
        <v>62726.35</v>
      </c>
      <c r="J72" s="7" t="n">
        <v>59547.23</v>
      </c>
      <c r="K72" s="7" t="n">
        <v>65329.29</v>
      </c>
      <c r="L72" s="7" t="n">
        <v>57350.47</v>
      </c>
      <c r="M72" s="7" t="n">
        <v>53239.68</v>
      </c>
      <c r="N72" s="7" t="n">
        <v>60683.79</v>
      </c>
      <c r="O72" s="7" t="n">
        <v>65565.63</v>
      </c>
      <c r="P72" s="7" t="n">
        <v>55124.1</v>
      </c>
      <c r="Q72" s="7" t="n">
        <v>65173.96</v>
      </c>
      <c r="R72" s="7" t="n">
        <v>57756.6</v>
      </c>
      <c r="S72" s="7" t="n">
        <v>60622.96</v>
      </c>
      <c r="T72" s="8">
        <f>SUM(H72:S72)</f>
        <v/>
      </c>
      <c r="U72" s="2" t="inlineStr">
        <is>
          <t>HISTORICAL</t>
        </is>
      </c>
    </row>
    <row r="73">
      <c r="A73" s="2" t="inlineStr">
        <is>
          <t>3000_3500</t>
        </is>
      </c>
      <c r="B73" s="2" t="inlineStr">
        <is>
          <t>Refineria</t>
        </is>
      </c>
      <c r="C73" s="2" t="inlineStr">
        <is>
          <t>SN-3000-3500</t>
        </is>
      </c>
      <c r="D73" s="2" t="inlineStr">
        <is>
          <t>CC-3000</t>
        </is>
      </c>
      <c r="E73" s="2" t="inlineStr">
        <is>
          <t>P02</t>
        </is>
      </c>
      <c r="F73" s="2" t="inlineStr">
        <is>
          <t>OTHER_SERVICES</t>
        </is>
      </c>
      <c r="G73" s="2" t="inlineStr">
        <is>
          <t>Otros servicios de mantencion</t>
        </is>
      </c>
      <c r="H73" s="7" t="n">
        <v>21308.73</v>
      </c>
      <c r="I73" s="7" t="n">
        <v>21577.66</v>
      </c>
      <c r="J73" s="7" t="n">
        <v>19995.3</v>
      </c>
      <c r="K73" s="7" t="n">
        <v>21652.75</v>
      </c>
      <c r="L73" s="7" t="n">
        <v>21341.04</v>
      </c>
      <c r="M73" s="7" t="n">
        <v>19500.87</v>
      </c>
      <c r="N73" s="7" t="n">
        <v>21101.48</v>
      </c>
      <c r="O73" s="7" t="n">
        <v>21750.63</v>
      </c>
      <c r="P73" s="7" t="n">
        <v>19307.1</v>
      </c>
      <c r="Q73" s="7" t="n">
        <v>21773.86</v>
      </c>
      <c r="R73" s="7" t="n">
        <v>21532.59</v>
      </c>
      <c r="S73" s="7" t="n">
        <v>23268.93</v>
      </c>
      <c r="T73" s="8">
        <f>SUM(H73:S73)</f>
        <v/>
      </c>
      <c r="U73" s="2" t="inlineStr">
        <is>
          <t>HISTORICAL</t>
        </is>
      </c>
    </row>
    <row r="74">
      <c r="A74" s="2" t="inlineStr">
        <is>
          <t>3000_3600</t>
        </is>
      </c>
      <c r="B74" s="2" t="inlineStr">
        <is>
          <t>Detox Cianuro y Espesamiento Relaves</t>
        </is>
      </c>
      <c r="C74" s="2" t="inlineStr">
        <is>
          <t>SN-3000-3600</t>
        </is>
      </c>
      <c r="D74" s="2" t="inlineStr">
        <is>
          <t>CC-3000</t>
        </is>
      </c>
      <c r="E74" s="2" t="inlineStr">
        <is>
          <t>P02</t>
        </is>
      </c>
      <c r="F74" s="2" t="inlineStr">
        <is>
          <t>LABOR_INTERNAL</t>
        </is>
      </c>
      <c r="G74" s="2" t="inlineStr">
        <is>
          <t>Mano obra interna mantencion</t>
        </is>
      </c>
      <c r="H74" s="7" t="n">
        <v>205234.75</v>
      </c>
      <c r="I74" s="7" t="n">
        <v>194173.23</v>
      </c>
      <c r="J74" s="7" t="n">
        <v>221699.78</v>
      </c>
      <c r="K74" s="7" t="n">
        <v>220336.94</v>
      </c>
      <c r="L74" s="7" t="n">
        <v>188207.7</v>
      </c>
      <c r="M74" s="7" t="n">
        <v>185085.48</v>
      </c>
      <c r="N74" s="7" t="n">
        <v>213353.24</v>
      </c>
      <c r="O74" s="7" t="n">
        <v>198719.53</v>
      </c>
      <c r="P74" s="7" t="n">
        <v>177599.49</v>
      </c>
      <c r="Q74" s="7" t="n">
        <v>234719.2</v>
      </c>
      <c r="R74" s="7" t="n">
        <v>181955.91</v>
      </c>
      <c r="S74" s="7" t="n">
        <v>206653.69</v>
      </c>
      <c r="T74" s="8">
        <f>SUM(H74:S74)</f>
        <v/>
      </c>
      <c r="U74" s="2" t="inlineStr">
        <is>
          <t>HISTORICAL</t>
        </is>
      </c>
    </row>
    <row r="75">
      <c r="A75" s="2" t="inlineStr">
        <is>
          <t>3000_3600</t>
        </is>
      </c>
      <c r="B75" s="2" t="inlineStr">
        <is>
          <t>Detox Cianuro y Espesamiento Relaves</t>
        </is>
      </c>
      <c r="C75" s="2" t="inlineStr">
        <is>
          <t>SN-3000-3600</t>
        </is>
      </c>
      <c r="D75" s="2" t="inlineStr">
        <is>
          <t>CC-3000</t>
        </is>
      </c>
      <c r="E75" s="2" t="inlineStr">
        <is>
          <t>P02</t>
        </is>
      </c>
      <c r="F75" s="2" t="inlineStr">
        <is>
          <t>SPARE_PARTS</t>
        </is>
      </c>
      <c r="G75" s="2" t="inlineStr">
        <is>
          <t>Repuestos y materiales mecanicos</t>
        </is>
      </c>
      <c r="H75" s="7" t="n">
        <v>184230.12</v>
      </c>
      <c r="I75" s="7" t="n">
        <v>183568.09</v>
      </c>
      <c r="J75" s="7" t="n">
        <v>188644.54</v>
      </c>
      <c r="K75" s="7" t="n">
        <v>210221.01</v>
      </c>
      <c r="L75" s="7" t="n">
        <v>201547.36</v>
      </c>
      <c r="M75" s="7" t="n">
        <v>198316.59</v>
      </c>
      <c r="N75" s="7" t="n">
        <v>203805.59</v>
      </c>
      <c r="O75" s="7" t="n">
        <v>181222.98</v>
      </c>
      <c r="P75" s="7" t="n">
        <v>199819.99</v>
      </c>
      <c r="Q75" s="7" t="n">
        <v>198108.64</v>
      </c>
      <c r="R75" s="7" t="n">
        <v>183977.11</v>
      </c>
      <c r="S75" s="7" t="n">
        <v>207040.81</v>
      </c>
      <c r="T75" s="8">
        <f>SUM(H75:S75)</f>
        <v/>
      </c>
      <c r="U75" s="2" t="inlineStr">
        <is>
          <t>HISTORICAL</t>
        </is>
      </c>
    </row>
    <row r="76">
      <c r="A76" s="2" t="inlineStr">
        <is>
          <t>3000_3600</t>
        </is>
      </c>
      <c r="B76" s="2" t="inlineStr">
        <is>
          <t>Detox Cianuro y Espesamiento Relaves</t>
        </is>
      </c>
      <c r="C76" s="2" t="inlineStr">
        <is>
          <t>SN-3000-3600</t>
        </is>
      </c>
      <c r="D76" s="2" t="inlineStr">
        <is>
          <t>CC-3000</t>
        </is>
      </c>
      <c r="E76" s="2" t="inlineStr">
        <is>
          <t>P02</t>
        </is>
      </c>
      <c r="F76" s="2" t="inlineStr">
        <is>
          <t>GET</t>
        </is>
      </c>
      <c r="G76" s="2" t="inlineStr">
        <is>
          <t>Elementos de desgaste (GET)</t>
        </is>
      </c>
      <c r="H76" s="7" t="n">
        <v>59980.27</v>
      </c>
      <c r="I76" s="7" t="n">
        <v>52004.94</v>
      </c>
      <c r="J76" s="7" t="n">
        <v>58235.93</v>
      </c>
      <c r="K76" s="7" t="n">
        <v>59851.65</v>
      </c>
      <c r="L76" s="7" t="n">
        <v>59192.74</v>
      </c>
      <c r="M76" s="7" t="n">
        <v>49212.87</v>
      </c>
      <c r="N76" s="7" t="n">
        <v>50542.45</v>
      </c>
      <c r="O76" s="7" t="n">
        <v>57228.25</v>
      </c>
      <c r="P76" s="7" t="n">
        <v>47691.52</v>
      </c>
      <c r="Q76" s="7" t="n">
        <v>59870.49</v>
      </c>
      <c r="R76" s="7" t="n">
        <v>53240.61</v>
      </c>
      <c r="S76" s="7" t="n">
        <v>56116.09</v>
      </c>
      <c r="T76" s="8">
        <f>SUM(H76:S76)</f>
        <v/>
      </c>
      <c r="U76" s="2" t="inlineStr">
        <is>
          <t>CONTRACTOR_QUOTE</t>
        </is>
      </c>
    </row>
    <row r="77">
      <c r="A77" s="2" t="inlineStr">
        <is>
          <t>3000_3600</t>
        </is>
      </c>
      <c r="B77" s="2" t="inlineStr">
        <is>
          <t>Detox Cianuro y Espesamiento Relaves</t>
        </is>
      </c>
      <c r="C77" s="2" t="inlineStr">
        <is>
          <t>SN-3000-3600</t>
        </is>
      </c>
      <c r="D77" s="2" t="inlineStr">
        <is>
          <t>CC-3000</t>
        </is>
      </c>
      <c r="E77" s="2" t="inlineStr">
        <is>
          <t>P02</t>
        </is>
      </c>
      <c r="F77" s="2" t="inlineStr">
        <is>
          <t>CONSUMABLES</t>
        </is>
      </c>
      <c r="G77" s="2" t="inlineStr">
        <is>
          <t>Consumibles operacion</t>
        </is>
      </c>
      <c r="H77" s="7" t="n">
        <v>44301.29</v>
      </c>
      <c r="I77" s="7" t="n">
        <v>45278.1</v>
      </c>
      <c r="J77" s="7" t="n">
        <v>45378.4</v>
      </c>
      <c r="K77" s="7" t="n">
        <v>44789.43</v>
      </c>
      <c r="L77" s="7" t="n">
        <v>40685.12</v>
      </c>
      <c r="M77" s="7" t="n">
        <v>44338.45</v>
      </c>
      <c r="N77" s="7" t="n">
        <v>49791.5</v>
      </c>
      <c r="O77" s="7" t="n">
        <v>47812.05</v>
      </c>
      <c r="P77" s="7" t="n">
        <v>40151.23</v>
      </c>
      <c r="Q77" s="7" t="n">
        <v>51157.65</v>
      </c>
      <c r="R77" s="7" t="n">
        <v>42235.13</v>
      </c>
      <c r="S77" s="7" t="n">
        <v>48488.01</v>
      </c>
      <c r="T77" s="8">
        <f>SUM(H77:S77)</f>
        <v/>
      </c>
      <c r="U77" s="2" t="inlineStr">
        <is>
          <t>ENGINEERING_ESTIMATE</t>
        </is>
      </c>
    </row>
    <row r="78">
      <c r="A78" s="2" t="inlineStr">
        <is>
          <t>3000_3600</t>
        </is>
      </c>
      <c r="B78" s="2" t="inlineStr">
        <is>
          <t>Detox Cianuro y Espesamiento Relaves</t>
        </is>
      </c>
      <c r="C78" s="2" t="inlineStr">
        <is>
          <t>SN-3000-3600</t>
        </is>
      </c>
      <c r="D78" s="2" t="inlineStr">
        <is>
          <t>CC-3000</t>
        </is>
      </c>
      <c r="E78" s="2" t="inlineStr">
        <is>
          <t>P02</t>
        </is>
      </c>
      <c r="F78" s="2" t="inlineStr">
        <is>
          <t>LUBRICANTS</t>
        </is>
      </c>
      <c r="G78" s="2" t="inlineStr">
        <is>
          <t>Lubricantes</t>
        </is>
      </c>
      <c r="H78" s="7" t="n">
        <v>42203.79</v>
      </c>
      <c r="I78" s="7" t="n">
        <v>43454.68</v>
      </c>
      <c r="J78" s="7" t="n">
        <v>44579.53</v>
      </c>
      <c r="K78" s="7" t="n">
        <v>48038.61</v>
      </c>
      <c r="L78" s="7" t="n">
        <v>43530.58</v>
      </c>
      <c r="M78" s="7" t="n">
        <v>39823.02</v>
      </c>
      <c r="N78" s="7" t="n">
        <v>46221.88</v>
      </c>
      <c r="O78" s="7" t="n">
        <v>49316.98</v>
      </c>
      <c r="P78" s="7" t="n">
        <v>42323.62</v>
      </c>
      <c r="Q78" s="7" t="n">
        <v>48289.01</v>
      </c>
      <c r="R78" s="7" t="n">
        <v>41589.15</v>
      </c>
      <c r="S78" s="7" t="n">
        <v>45545.46</v>
      </c>
      <c r="T78" s="8">
        <f>SUM(H78:S78)</f>
        <v/>
      </c>
      <c r="U78" s="2" t="inlineStr">
        <is>
          <t>HISTORICAL</t>
        </is>
      </c>
    </row>
    <row r="79">
      <c r="A79" s="2" t="inlineStr">
        <is>
          <t>3000_3600</t>
        </is>
      </c>
      <c r="B79" s="2" t="inlineStr">
        <is>
          <t>Detox Cianuro y Espesamiento Relaves</t>
        </is>
      </c>
      <c r="C79" s="2" t="inlineStr">
        <is>
          <t>SN-3000-3600</t>
        </is>
      </c>
      <c r="D79" s="2" t="inlineStr">
        <is>
          <t>CC-3000</t>
        </is>
      </c>
      <c r="E79" s="2" t="inlineStr">
        <is>
          <t>P02</t>
        </is>
      </c>
      <c r="F79" s="2" t="inlineStr">
        <is>
          <t>SVC_FIXED</t>
        </is>
      </c>
      <c r="G79" s="2" t="inlineStr">
        <is>
          <t>Servicios mantencion marco fijo</t>
        </is>
      </c>
      <c r="H79" s="7" t="n">
        <v>106666.35</v>
      </c>
      <c r="I79" s="7" t="n">
        <v>107639.24</v>
      </c>
      <c r="J79" s="7" t="n">
        <v>108702.37</v>
      </c>
      <c r="K79" s="7" t="n">
        <v>126284.43</v>
      </c>
      <c r="L79" s="7" t="n">
        <v>112237.03</v>
      </c>
      <c r="M79" s="7" t="n">
        <v>116783.93</v>
      </c>
      <c r="N79" s="7" t="n">
        <v>119803.16</v>
      </c>
      <c r="O79" s="7" t="n">
        <v>125095.6</v>
      </c>
      <c r="P79" s="7" t="n">
        <v>97121.72</v>
      </c>
      <c r="Q79" s="7" t="n">
        <v>117082.06</v>
      </c>
      <c r="R79" s="7" t="n">
        <v>116145.2</v>
      </c>
      <c r="S79" s="7" t="n">
        <v>119024.15</v>
      </c>
      <c r="T79" s="8">
        <f>SUM(H79:S79)</f>
        <v/>
      </c>
      <c r="U79" s="2" t="inlineStr">
        <is>
          <t>CONTRACTOR_QUOTE</t>
        </is>
      </c>
    </row>
    <row r="80">
      <c r="A80" s="2" t="inlineStr">
        <is>
          <t>3000_3600</t>
        </is>
      </c>
      <c r="B80" s="2" t="inlineStr">
        <is>
          <t>Detox Cianuro y Espesamiento Relaves</t>
        </is>
      </c>
      <c r="C80" s="2" t="inlineStr">
        <is>
          <t>SN-3000-3600</t>
        </is>
      </c>
      <c r="D80" s="2" t="inlineStr">
        <is>
          <t>CC-3000</t>
        </is>
      </c>
      <c r="E80" s="2" t="inlineStr">
        <is>
          <t>P02</t>
        </is>
      </c>
      <c r="F80" s="2" t="inlineStr">
        <is>
          <t>SVC_VARIABLE</t>
        </is>
      </c>
      <c r="G80" s="2" t="inlineStr">
        <is>
          <t>Servicios mantencion marco variable</t>
        </is>
      </c>
      <c r="H80" s="7" t="n">
        <v>67819.75999999999</v>
      </c>
      <c r="I80" s="7" t="n">
        <v>69955.92</v>
      </c>
      <c r="J80" s="7" t="n">
        <v>73126.86</v>
      </c>
      <c r="K80" s="7" t="n">
        <v>60642.82</v>
      </c>
      <c r="L80" s="7" t="n">
        <v>63582.19</v>
      </c>
      <c r="M80" s="7" t="n">
        <v>62635.59</v>
      </c>
      <c r="N80" s="7" t="n">
        <v>63546.36</v>
      </c>
      <c r="O80" s="7" t="n">
        <v>59441.52</v>
      </c>
      <c r="P80" s="7" t="n">
        <v>60519.39</v>
      </c>
      <c r="Q80" s="7" t="n">
        <v>77210.2</v>
      </c>
      <c r="R80" s="7" t="n">
        <v>57872.93</v>
      </c>
      <c r="S80" s="7" t="n">
        <v>70548.28</v>
      </c>
      <c r="T80" s="8">
        <f>SUM(H80:S80)</f>
        <v/>
      </c>
      <c r="U80" s="2" t="inlineStr">
        <is>
          <t>HISTORICAL</t>
        </is>
      </c>
    </row>
    <row r="81">
      <c r="A81" s="2" t="inlineStr">
        <is>
          <t>3000_3600</t>
        </is>
      </c>
      <c r="B81" s="2" t="inlineStr">
        <is>
          <t>Detox Cianuro y Espesamiento Relaves</t>
        </is>
      </c>
      <c r="C81" s="2" t="inlineStr">
        <is>
          <t>SN-3000-3600</t>
        </is>
      </c>
      <c r="D81" s="2" t="inlineStr">
        <is>
          <t>CC-3000</t>
        </is>
      </c>
      <c r="E81" s="2" t="inlineStr">
        <is>
          <t>P02</t>
        </is>
      </c>
      <c r="F81" s="2" t="inlineStr">
        <is>
          <t>SVC_EXTERNAL</t>
        </is>
      </c>
      <c r="G81" s="2" t="inlineStr">
        <is>
          <t>Servicios mantencion externa</t>
        </is>
      </c>
      <c r="H81" s="7" t="n">
        <v>82084.17999999999</v>
      </c>
      <c r="I81" s="7" t="n">
        <v>78574.37</v>
      </c>
      <c r="J81" s="7" t="n">
        <v>91157.21000000001</v>
      </c>
      <c r="K81" s="7" t="n">
        <v>92042.32000000001</v>
      </c>
      <c r="L81" s="7" t="n">
        <v>79570.39999999999</v>
      </c>
      <c r="M81" s="7" t="n">
        <v>80861.86</v>
      </c>
      <c r="N81" s="7" t="n">
        <v>83232.60000000001</v>
      </c>
      <c r="O81" s="7" t="n">
        <v>75249.45</v>
      </c>
      <c r="P81" s="7" t="n">
        <v>69552.61</v>
      </c>
      <c r="Q81" s="7" t="n">
        <v>93569.78999999999</v>
      </c>
      <c r="R81" s="7" t="n">
        <v>77959.62</v>
      </c>
      <c r="S81" s="7" t="n">
        <v>80275.16</v>
      </c>
      <c r="T81" s="8">
        <f>SUM(H81:S81)</f>
        <v/>
      </c>
      <c r="U81" s="2" t="inlineStr">
        <is>
          <t>ENGINEERING_ESTIMATE</t>
        </is>
      </c>
    </row>
    <row r="82">
      <c r="A82" s="2" t="inlineStr">
        <is>
          <t>3000_3600</t>
        </is>
      </c>
      <c r="B82" s="2" t="inlineStr">
        <is>
          <t>Detox Cianuro y Espesamiento Relaves</t>
        </is>
      </c>
      <c r="C82" s="2" t="inlineStr">
        <is>
          <t>SN-3000-3600</t>
        </is>
      </c>
      <c r="D82" s="2" t="inlineStr">
        <is>
          <t>CC-3000</t>
        </is>
      </c>
      <c r="E82" s="2" t="inlineStr">
        <is>
          <t>P02</t>
        </is>
      </c>
      <c r="F82" s="2" t="inlineStr">
        <is>
          <t>OTHER_SERVICES</t>
        </is>
      </c>
      <c r="G82" s="2" t="inlineStr">
        <is>
          <t>Otros servicios de mantencion</t>
        </is>
      </c>
      <c r="H82" s="7" t="n">
        <v>26218.42</v>
      </c>
      <c r="I82" s="7" t="n">
        <v>28411.4</v>
      </c>
      <c r="J82" s="7" t="n">
        <v>27306.49</v>
      </c>
      <c r="K82" s="7" t="n">
        <v>27984.03</v>
      </c>
      <c r="L82" s="7" t="n">
        <v>24241.24</v>
      </c>
      <c r="M82" s="7" t="n">
        <v>27907.76</v>
      </c>
      <c r="N82" s="7" t="n">
        <v>24982.71</v>
      </c>
      <c r="O82" s="7" t="n">
        <v>25364.14</v>
      </c>
      <c r="P82" s="7" t="n">
        <v>23344.95</v>
      </c>
      <c r="Q82" s="7" t="n">
        <v>29023.95</v>
      </c>
      <c r="R82" s="7" t="n">
        <v>27718.66</v>
      </c>
      <c r="S82" s="7" t="n">
        <v>26052.68</v>
      </c>
      <c r="T82" s="8">
        <f>SUM(H82:S82)</f>
        <v/>
      </c>
      <c r="U82" s="2" t="inlineStr">
        <is>
          <t>HISTORICAL</t>
        </is>
      </c>
    </row>
    <row r="83">
      <c r="A83" s="2" t="inlineStr">
        <is>
          <t>3000_3700</t>
        </is>
      </c>
      <c r="B83" s="2" t="inlineStr">
        <is>
          <t>Agua de Proceso</t>
        </is>
      </c>
      <c r="C83" s="2" t="inlineStr">
        <is>
          <t>SN-3000-3700</t>
        </is>
      </c>
      <c r="D83" s="2" t="inlineStr">
        <is>
          <t>CC-3000</t>
        </is>
      </c>
      <c r="E83" s="2" t="inlineStr">
        <is>
          <t>P02</t>
        </is>
      </c>
      <c r="F83" s="2" t="inlineStr">
        <is>
          <t>LABOR_INTERNAL</t>
        </is>
      </c>
      <c r="G83" s="2" t="inlineStr">
        <is>
          <t>Mano obra interna mantencion</t>
        </is>
      </c>
      <c r="H83" s="7" t="n">
        <v>17134.41</v>
      </c>
      <c r="I83" s="7" t="n">
        <v>13603.46</v>
      </c>
      <c r="J83" s="7" t="n">
        <v>15806.78</v>
      </c>
      <c r="K83" s="7" t="n">
        <v>16177.25</v>
      </c>
      <c r="L83" s="7" t="n">
        <v>16080.81</v>
      </c>
      <c r="M83" s="7" t="n">
        <v>15357.84</v>
      </c>
      <c r="N83" s="7" t="n">
        <v>14012.98</v>
      </c>
      <c r="O83" s="7" t="n">
        <v>15181.62</v>
      </c>
      <c r="P83" s="7" t="n">
        <v>13050.78</v>
      </c>
      <c r="Q83" s="7" t="n">
        <v>16906.17</v>
      </c>
      <c r="R83" s="7" t="n">
        <v>13567.04</v>
      </c>
      <c r="S83" s="7" t="n">
        <v>14133.78</v>
      </c>
      <c r="T83" s="8">
        <f>SUM(H83:S83)</f>
        <v/>
      </c>
      <c r="U83" s="2" t="inlineStr">
        <is>
          <t>HISTORICAL</t>
        </is>
      </c>
    </row>
    <row r="84">
      <c r="A84" s="2" t="inlineStr">
        <is>
          <t>3000_3700</t>
        </is>
      </c>
      <c r="B84" s="2" t="inlineStr">
        <is>
          <t>Agua de Proceso</t>
        </is>
      </c>
      <c r="C84" s="2" t="inlineStr">
        <is>
          <t>SN-3000-3700</t>
        </is>
      </c>
      <c r="D84" s="2" t="inlineStr">
        <is>
          <t>CC-3000</t>
        </is>
      </c>
      <c r="E84" s="2" t="inlineStr">
        <is>
          <t>P02</t>
        </is>
      </c>
      <c r="F84" s="2" t="inlineStr">
        <is>
          <t>SPARE_PARTS</t>
        </is>
      </c>
      <c r="G84" s="2" t="inlineStr">
        <is>
          <t>Repuestos y materiales mecanicos</t>
        </is>
      </c>
      <c r="H84" s="7" t="n">
        <v>22105.56</v>
      </c>
      <c r="I84" s="7" t="n">
        <v>18436.51</v>
      </c>
      <c r="J84" s="7" t="n">
        <v>20515.89</v>
      </c>
      <c r="K84" s="7" t="n">
        <v>19189.88</v>
      </c>
      <c r="L84" s="7" t="n">
        <v>19720.36</v>
      </c>
      <c r="M84" s="7" t="n">
        <v>20605.49</v>
      </c>
      <c r="N84" s="7" t="n">
        <v>21870.97</v>
      </c>
      <c r="O84" s="7" t="n">
        <v>22028.86</v>
      </c>
      <c r="P84" s="7" t="n">
        <v>20931.14</v>
      </c>
      <c r="Q84" s="7" t="n">
        <v>21809.61</v>
      </c>
      <c r="R84" s="7" t="n">
        <v>21576.62</v>
      </c>
      <c r="S84" s="7" t="n">
        <v>22050.23</v>
      </c>
      <c r="T84" s="8">
        <f>SUM(H84:S84)</f>
        <v/>
      </c>
      <c r="U84" s="2" t="inlineStr">
        <is>
          <t>CONTRACTOR_QUOTE</t>
        </is>
      </c>
    </row>
    <row r="85">
      <c r="A85" s="2" t="inlineStr">
        <is>
          <t>3000_3700</t>
        </is>
      </c>
      <c r="B85" s="2" t="inlineStr">
        <is>
          <t>Agua de Proceso</t>
        </is>
      </c>
      <c r="C85" s="2" t="inlineStr">
        <is>
          <t>SN-3000-3700</t>
        </is>
      </c>
      <c r="D85" s="2" t="inlineStr">
        <is>
          <t>CC-3000</t>
        </is>
      </c>
      <c r="E85" s="2" t="inlineStr">
        <is>
          <t>P02</t>
        </is>
      </c>
      <c r="F85" s="2" t="inlineStr">
        <is>
          <t>GET</t>
        </is>
      </c>
      <c r="G85" s="2" t="inlineStr">
        <is>
          <t>Elementos de desgaste (GET)</t>
        </is>
      </c>
      <c r="H85" s="7" t="n">
        <v>7352.61</v>
      </c>
      <c r="I85" s="7" t="n">
        <v>7028.13</v>
      </c>
      <c r="J85" s="7" t="n">
        <v>6413.54</v>
      </c>
      <c r="K85" s="7" t="n">
        <v>6361.52</v>
      </c>
      <c r="L85" s="7" t="n">
        <v>7066.82</v>
      </c>
      <c r="M85" s="7" t="n">
        <v>6191.06</v>
      </c>
      <c r="N85" s="7" t="n">
        <v>7006.93</v>
      </c>
      <c r="O85" s="7" t="n">
        <v>6852.54</v>
      </c>
      <c r="P85" s="7" t="n">
        <v>6476.46</v>
      </c>
      <c r="Q85" s="7" t="n">
        <v>6453.51</v>
      </c>
      <c r="R85" s="7" t="n">
        <v>6309.75</v>
      </c>
      <c r="S85" s="7" t="n">
        <v>7187.79</v>
      </c>
      <c r="T85" s="8">
        <f>SUM(H85:S85)</f>
        <v/>
      </c>
      <c r="U85" s="2" t="inlineStr">
        <is>
          <t>HISTORICAL</t>
        </is>
      </c>
    </row>
    <row r="86">
      <c r="A86" s="2" t="inlineStr">
        <is>
          <t>3000_3700</t>
        </is>
      </c>
      <c r="B86" s="2" t="inlineStr">
        <is>
          <t>Agua de Proceso</t>
        </is>
      </c>
      <c r="C86" s="2" t="inlineStr">
        <is>
          <t>SN-3000-3700</t>
        </is>
      </c>
      <c r="D86" s="2" t="inlineStr">
        <is>
          <t>CC-3000</t>
        </is>
      </c>
      <c r="E86" s="2" t="inlineStr">
        <is>
          <t>P02</t>
        </is>
      </c>
      <c r="F86" s="2" t="inlineStr">
        <is>
          <t>CONSUMABLES</t>
        </is>
      </c>
      <c r="G86" s="2" t="inlineStr">
        <is>
          <t>Consumibles operacion</t>
        </is>
      </c>
      <c r="H86" s="7" t="n">
        <v>4124.5</v>
      </c>
      <c r="I86" s="7" t="n">
        <v>3498.22</v>
      </c>
      <c r="J86" s="7" t="n">
        <v>3692.14</v>
      </c>
      <c r="K86" s="7" t="n">
        <v>4104.68</v>
      </c>
      <c r="L86" s="7" t="n">
        <v>3464.91</v>
      </c>
      <c r="M86" s="7" t="n">
        <v>3558.48</v>
      </c>
      <c r="N86" s="7" t="n">
        <v>4166.8</v>
      </c>
      <c r="O86" s="7" t="n">
        <v>3897.77</v>
      </c>
      <c r="P86" s="7" t="n">
        <v>3871.58</v>
      </c>
      <c r="Q86" s="7" t="n">
        <v>3986.97</v>
      </c>
      <c r="R86" s="7" t="n">
        <v>3822.45</v>
      </c>
      <c r="S86" s="7" t="n">
        <v>3734.23</v>
      </c>
      <c r="T86" s="8">
        <f>SUM(H86:S86)</f>
        <v/>
      </c>
      <c r="U86" s="2" t="inlineStr">
        <is>
          <t>HISTORICAL</t>
        </is>
      </c>
    </row>
    <row r="87">
      <c r="A87" s="2" t="inlineStr">
        <is>
          <t>3000_3700</t>
        </is>
      </c>
      <c r="B87" s="2" t="inlineStr">
        <is>
          <t>Agua de Proceso</t>
        </is>
      </c>
      <c r="C87" s="2" t="inlineStr">
        <is>
          <t>SN-3000-3700</t>
        </is>
      </c>
      <c r="D87" s="2" t="inlineStr">
        <is>
          <t>CC-3000</t>
        </is>
      </c>
      <c r="E87" s="2" t="inlineStr">
        <is>
          <t>P02</t>
        </is>
      </c>
      <c r="F87" s="2" t="inlineStr">
        <is>
          <t>LUBRICANTS</t>
        </is>
      </c>
      <c r="G87" s="2" t="inlineStr">
        <is>
          <t>Lubricantes</t>
        </is>
      </c>
      <c r="H87" s="7" t="n">
        <v>4950.33</v>
      </c>
      <c r="I87" s="7" t="n">
        <v>4788.33</v>
      </c>
      <c r="J87" s="7" t="n">
        <v>5714.84</v>
      </c>
      <c r="K87" s="7" t="n">
        <v>5619.62</v>
      </c>
      <c r="L87" s="7" t="n">
        <v>5621.74</v>
      </c>
      <c r="M87" s="7" t="n">
        <v>4532.61</v>
      </c>
      <c r="N87" s="7" t="n">
        <v>4766.26</v>
      </c>
      <c r="O87" s="7" t="n">
        <v>5127.97</v>
      </c>
      <c r="P87" s="7" t="n">
        <v>4915.15</v>
      </c>
      <c r="Q87" s="7" t="n">
        <v>5074.99</v>
      </c>
      <c r="R87" s="7" t="n">
        <v>4676.47</v>
      </c>
      <c r="S87" s="7" t="n">
        <v>5475.96</v>
      </c>
      <c r="T87" s="8">
        <f>SUM(H87:S87)</f>
        <v/>
      </c>
      <c r="U87" s="2" t="inlineStr">
        <is>
          <t>CONTRACTOR_QUOTE</t>
        </is>
      </c>
    </row>
    <row r="88">
      <c r="A88" s="2" t="inlineStr">
        <is>
          <t>3000_3700</t>
        </is>
      </c>
      <c r="B88" s="2" t="inlineStr">
        <is>
          <t>Agua de Proceso</t>
        </is>
      </c>
      <c r="C88" s="2" t="inlineStr">
        <is>
          <t>SN-3000-3700</t>
        </is>
      </c>
      <c r="D88" s="2" t="inlineStr">
        <is>
          <t>CC-3000</t>
        </is>
      </c>
      <c r="E88" s="2" t="inlineStr">
        <is>
          <t>P02</t>
        </is>
      </c>
      <c r="F88" s="2" t="inlineStr">
        <is>
          <t>SVC_FIXED</t>
        </is>
      </c>
      <c r="G88" s="2" t="inlineStr">
        <is>
          <t>Servicios mantencion marco fijo</t>
        </is>
      </c>
      <c r="H88" s="7" t="n">
        <v>7825.08</v>
      </c>
      <c r="I88" s="7" t="n">
        <v>6608.43</v>
      </c>
      <c r="J88" s="7" t="n">
        <v>7843.14</v>
      </c>
      <c r="K88" s="7" t="n">
        <v>7821.76</v>
      </c>
      <c r="L88" s="7" t="n">
        <v>6969.26</v>
      </c>
      <c r="M88" s="7" t="n">
        <v>6627.35</v>
      </c>
      <c r="N88" s="7" t="n">
        <v>6746.07</v>
      </c>
      <c r="O88" s="7" t="n">
        <v>7484.31</v>
      </c>
      <c r="P88" s="7" t="n">
        <v>6169.79</v>
      </c>
      <c r="Q88" s="7" t="n">
        <v>7795.36</v>
      </c>
      <c r="R88" s="7" t="n">
        <v>6922.49</v>
      </c>
      <c r="S88" s="7" t="n">
        <v>6801.26</v>
      </c>
      <c r="T88" s="8">
        <f>SUM(H88:S88)</f>
        <v/>
      </c>
      <c r="U88" s="2" t="inlineStr">
        <is>
          <t>ENGINEERING_ESTIMATE</t>
        </is>
      </c>
    </row>
    <row r="89">
      <c r="A89" s="2" t="inlineStr">
        <is>
          <t>3000_3700</t>
        </is>
      </c>
      <c r="B89" s="2" t="inlineStr">
        <is>
          <t>Agua de Proceso</t>
        </is>
      </c>
      <c r="C89" s="2" t="inlineStr">
        <is>
          <t>SN-3000-3700</t>
        </is>
      </c>
      <c r="D89" s="2" t="inlineStr">
        <is>
          <t>CC-3000</t>
        </is>
      </c>
      <c r="E89" s="2" t="inlineStr">
        <is>
          <t>P02</t>
        </is>
      </c>
      <c r="F89" s="2" t="inlineStr">
        <is>
          <t>SVC_VARIABLE</t>
        </is>
      </c>
      <c r="G89" s="2" t="inlineStr">
        <is>
          <t>Servicios mantencion marco variable</t>
        </is>
      </c>
      <c r="H89" s="7" t="n">
        <v>6068.18</v>
      </c>
      <c r="I89" s="7" t="n">
        <v>6374.51</v>
      </c>
      <c r="J89" s="7" t="n">
        <v>6591.47</v>
      </c>
      <c r="K89" s="7" t="n">
        <v>7234.16</v>
      </c>
      <c r="L89" s="7" t="n">
        <v>6200.27</v>
      </c>
      <c r="M89" s="7" t="n">
        <v>6912.55</v>
      </c>
      <c r="N89" s="7" t="n">
        <v>6183.17</v>
      </c>
      <c r="O89" s="7" t="n">
        <v>6233.31</v>
      </c>
      <c r="P89" s="7" t="n">
        <v>6323.58</v>
      </c>
      <c r="Q89" s="7" t="n">
        <v>6609.73</v>
      </c>
      <c r="R89" s="7" t="n">
        <v>6859.71</v>
      </c>
      <c r="S89" s="7" t="n">
        <v>6151.83</v>
      </c>
      <c r="T89" s="8">
        <f>SUM(H89:S89)</f>
        <v/>
      </c>
      <c r="U89" s="2" t="inlineStr">
        <is>
          <t>ENGINEERING_ESTIMATE</t>
        </is>
      </c>
    </row>
    <row r="90">
      <c r="A90" s="2" t="inlineStr">
        <is>
          <t>3000_3700</t>
        </is>
      </c>
      <c r="B90" s="2" t="inlineStr">
        <is>
          <t>Agua de Proceso</t>
        </is>
      </c>
      <c r="C90" s="2" t="inlineStr">
        <is>
          <t>SN-3000-3700</t>
        </is>
      </c>
      <c r="D90" s="2" t="inlineStr">
        <is>
          <t>CC-3000</t>
        </is>
      </c>
      <c r="E90" s="2" t="inlineStr">
        <is>
          <t>P02</t>
        </is>
      </c>
      <c r="F90" s="2" t="inlineStr">
        <is>
          <t>SVC_EXTERNAL</t>
        </is>
      </c>
      <c r="G90" s="2" t="inlineStr">
        <is>
          <t>Servicios mantencion externa</t>
        </is>
      </c>
      <c r="H90" s="7" t="n">
        <v>8783.690000000001</v>
      </c>
      <c r="I90" s="7" t="n">
        <v>7787.76</v>
      </c>
      <c r="J90" s="7" t="n">
        <v>8334.620000000001</v>
      </c>
      <c r="K90" s="7" t="n">
        <v>8162.75</v>
      </c>
      <c r="L90" s="7" t="n">
        <v>8750.98</v>
      </c>
      <c r="M90" s="7" t="n">
        <v>6986.39</v>
      </c>
      <c r="N90" s="7" t="n">
        <v>7869.95</v>
      </c>
      <c r="O90" s="7" t="n">
        <v>8805.18</v>
      </c>
      <c r="P90" s="7" t="n">
        <v>7304.16</v>
      </c>
      <c r="Q90" s="7" t="n">
        <v>8512.290000000001</v>
      </c>
      <c r="R90" s="7" t="n">
        <v>8004.52</v>
      </c>
      <c r="S90" s="7" t="n">
        <v>8842.65</v>
      </c>
      <c r="T90" s="8">
        <f>SUM(H90:S90)</f>
        <v/>
      </c>
      <c r="U90" s="2" t="inlineStr">
        <is>
          <t>HISTORICAL</t>
        </is>
      </c>
    </row>
    <row r="91">
      <c r="A91" s="2" t="inlineStr">
        <is>
          <t>3000_3700</t>
        </is>
      </c>
      <c r="B91" s="2" t="inlineStr">
        <is>
          <t>Agua de Proceso</t>
        </is>
      </c>
      <c r="C91" s="2" t="inlineStr">
        <is>
          <t>SN-3000-3700</t>
        </is>
      </c>
      <c r="D91" s="2" t="inlineStr">
        <is>
          <t>CC-3000</t>
        </is>
      </c>
      <c r="E91" s="2" t="inlineStr">
        <is>
          <t>P02</t>
        </is>
      </c>
      <c r="F91" s="2" t="inlineStr">
        <is>
          <t>OTHER_SERVICES</t>
        </is>
      </c>
      <c r="G91" s="2" t="inlineStr">
        <is>
          <t>Otros servicios de mantencion</t>
        </is>
      </c>
      <c r="H91" s="7" t="n">
        <v>3327.39</v>
      </c>
      <c r="I91" s="7" t="n">
        <v>3567.74</v>
      </c>
      <c r="J91" s="7" t="n">
        <v>3357.86</v>
      </c>
      <c r="K91" s="7" t="n">
        <v>3185.32</v>
      </c>
      <c r="L91" s="7" t="n">
        <v>3583.03</v>
      </c>
      <c r="M91" s="7" t="n">
        <v>3225.41</v>
      </c>
      <c r="N91" s="7" t="n">
        <v>3334.69</v>
      </c>
      <c r="O91" s="7" t="n">
        <v>3357.34</v>
      </c>
      <c r="P91" s="7" t="n">
        <v>3242.88</v>
      </c>
      <c r="Q91" s="7" t="n">
        <v>3500.47</v>
      </c>
      <c r="R91" s="7" t="n">
        <v>3125.48</v>
      </c>
      <c r="S91" s="7" t="n">
        <v>3446.78</v>
      </c>
      <c r="T91" s="8">
        <f>SUM(H91:S91)</f>
        <v/>
      </c>
      <c r="U91" s="2" t="inlineStr">
        <is>
          <t>HISTORICAL</t>
        </is>
      </c>
    </row>
    <row r="92">
      <c r="A92" s="2" t="inlineStr">
        <is>
          <t>3000_3800</t>
        </is>
      </c>
      <c r="B92" s="2" t="inlineStr">
        <is>
          <t>Reactivos</t>
        </is>
      </c>
      <c r="C92" s="2" t="inlineStr">
        <is>
          <t>SN-3000-3800</t>
        </is>
      </c>
      <c r="D92" s="2" t="inlineStr">
        <is>
          <t>CC-3000</t>
        </is>
      </c>
      <c r="E92" s="2" t="inlineStr">
        <is>
          <t>P01</t>
        </is>
      </c>
      <c r="F92" s="2" t="inlineStr">
        <is>
          <t>LABOR_INTERNAL</t>
        </is>
      </c>
      <c r="G92" s="2" t="inlineStr">
        <is>
          <t>Mano obra interna mantencion</t>
        </is>
      </c>
      <c r="H92" s="7" t="n">
        <v>153722.2</v>
      </c>
      <c r="I92" s="7" t="n">
        <v>145644.32</v>
      </c>
      <c r="J92" s="7" t="n">
        <v>145029.77</v>
      </c>
      <c r="K92" s="7" t="n">
        <v>146458.91</v>
      </c>
      <c r="L92" s="7" t="n">
        <v>126721.16</v>
      </c>
      <c r="M92" s="7" t="n">
        <v>146388.77</v>
      </c>
      <c r="N92" s="7" t="n">
        <v>143157.31</v>
      </c>
      <c r="O92" s="7" t="n">
        <v>136154.39</v>
      </c>
      <c r="P92" s="7" t="n">
        <v>126236.57</v>
      </c>
      <c r="Q92" s="7" t="n">
        <v>157414.2</v>
      </c>
      <c r="R92" s="7" t="n">
        <v>139242.06</v>
      </c>
      <c r="S92" s="7" t="n">
        <v>134588.1</v>
      </c>
      <c r="T92" s="8">
        <f>SUM(H92:S92)</f>
        <v/>
      </c>
      <c r="U92" s="2" t="inlineStr">
        <is>
          <t>HISTORICAL</t>
        </is>
      </c>
    </row>
    <row r="93">
      <c r="A93" s="2" t="inlineStr">
        <is>
          <t>3000_3800</t>
        </is>
      </c>
      <c r="B93" s="2" t="inlineStr">
        <is>
          <t>Reactivos</t>
        </is>
      </c>
      <c r="C93" s="2" t="inlineStr">
        <is>
          <t>SN-3000-3800</t>
        </is>
      </c>
      <c r="D93" s="2" t="inlineStr">
        <is>
          <t>CC-3000</t>
        </is>
      </c>
      <c r="E93" s="2" t="inlineStr">
        <is>
          <t>P01</t>
        </is>
      </c>
      <c r="F93" s="2" t="inlineStr">
        <is>
          <t>SPARE_PARTS</t>
        </is>
      </c>
      <c r="G93" s="2" t="inlineStr">
        <is>
          <t>Repuestos y materiales mecanicos</t>
        </is>
      </c>
      <c r="H93" s="7" t="n">
        <v>159251.86</v>
      </c>
      <c r="I93" s="7" t="n">
        <v>160414.69</v>
      </c>
      <c r="J93" s="7" t="n">
        <v>159501.18</v>
      </c>
      <c r="K93" s="7" t="n">
        <v>151929.29</v>
      </c>
      <c r="L93" s="7" t="n">
        <v>157301.53</v>
      </c>
      <c r="M93" s="7" t="n">
        <v>162651.63</v>
      </c>
      <c r="N93" s="7" t="n">
        <v>153344.36</v>
      </c>
      <c r="O93" s="7" t="n">
        <v>170727.17</v>
      </c>
      <c r="P93" s="7" t="n">
        <v>156471.62</v>
      </c>
      <c r="Q93" s="7" t="n">
        <v>175588.22</v>
      </c>
      <c r="R93" s="7" t="n">
        <v>172227.45</v>
      </c>
      <c r="S93" s="7" t="n">
        <v>177645.47</v>
      </c>
      <c r="T93" s="8">
        <f>SUM(H93:S93)</f>
        <v/>
      </c>
      <c r="U93" s="2" t="inlineStr">
        <is>
          <t>CONTRACTOR_QUOTE</t>
        </is>
      </c>
    </row>
    <row r="94">
      <c r="A94" s="2" t="inlineStr">
        <is>
          <t>3000_3800</t>
        </is>
      </c>
      <c r="B94" s="2" t="inlineStr">
        <is>
          <t>Reactivos</t>
        </is>
      </c>
      <c r="C94" s="2" t="inlineStr">
        <is>
          <t>SN-3000-3800</t>
        </is>
      </c>
      <c r="D94" s="2" t="inlineStr">
        <is>
          <t>CC-3000</t>
        </is>
      </c>
      <c r="E94" s="2" t="inlineStr">
        <is>
          <t>P01</t>
        </is>
      </c>
      <c r="F94" s="2" t="inlineStr">
        <is>
          <t>GET</t>
        </is>
      </c>
      <c r="G94" s="2" t="inlineStr">
        <is>
          <t>Elementos de desgaste (GET)</t>
        </is>
      </c>
      <c r="H94" s="7" t="n">
        <v>48563.59</v>
      </c>
      <c r="I94" s="7" t="n">
        <v>53151.33</v>
      </c>
      <c r="J94" s="7" t="n">
        <v>55426.89</v>
      </c>
      <c r="K94" s="7" t="n">
        <v>53345.42</v>
      </c>
      <c r="L94" s="7" t="n">
        <v>45602.86</v>
      </c>
      <c r="M94" s="7" t="n">
        <v>49536.11</v>
      </c>
      <c r="N94" s="7" t="n">
        <v>47347.83</v>
      </c>
      <c r="O94" s="7" t="n">
        <v>46651.27</v>
      </c>
      <c r="P94" s="7" t="n">
        <v>48745.91</v>
      </c>
      <c r="Q94" s="7" t="n">
        <v>58625.55</v>
      </c>
      <c r="R94" s="7" t="n">
        <v>44424.97</v>
      </c>
      <c r="S94" s="7" t="n">
        <v>47128.38</v>
      </c>
      <c r="T94" s="8">
        <f>SUM(H94:S94)</f>
        <v/>
      </c>
      <c r="U94" s="2" t="inlineStr">
        <is>
          <t>HISTORICAL</t>
        </is>
      </c>
    </row>
    <row r="95">
      <c r="A95" s="2" t="inlineStr">
        <is>
          <t>3000_3800</t>
        </is>
      </c>
      <c r="B95" s="2" t="inlineStr">
        <is>
          <t>Reactivos</t>
        </is>
      </c>
      <c r="C95" s="2" t="inlineStr">
        <is>
          <t>SN-3000-3800</t>
        </is>
      </c>
      <c r="D95" s="2" t="inlineStr">
        <is>
          <t>CC-3000</t>
        </is>
      </c>
      <c r="E95" s="2" t="inlineStr">
        <is>
          <t>P01</t>
        </is>
      </c>
      <c r="F95" s="2" t="inlineStr">
        <is>
          <t>CONSUMABLES</t>
        </is>
      </c>
      <c r="G95" s="2" t="inlineStr">
        <is>
          <t>Consumibles operacion</t>
        </is>
      </c>
      <c r="H95" s="7" t="n">
        <v>38478.89</v>
      </c>
      <c r="I95" s="7" t="n">
        <v>36993.03</v>
      </c>
      <c r="J95" s="7" t="n">
        <v>37453.76</v>
      </c>
      <c r="K95" s="7" t="n">
        <v>37346.81</v>
      </c>
      <c r="L95" s="7" t="n">
        <v>34387.12</v>
      </c>
      <c r="M95" s="7" t="n">
        <v>32279.47</v>
      </c>
      <c r="N95" s="7" t="n">
        <v>38318.92</v>
      </c>
      <c r="O95" s="7" t="n">
        <v>36029.03</v>
      </c>
      <c r="P95" s="7" t="n">
        <v>32114.04</v>
      </c>
      <c r="Q95" s="7" t="n">
        <v>40151.62</v>
      </c>
      <c r="R95" s="7" t="n">
        <v>33070.07</v>
      </c>
      <c r="S95" s="7" t="n">
        <v>36724.42</v>
      </c>
      <c r="T95" s="8">
        <f>SUM(H95:S95)</f>
        <v/>
      </c>
      <c r="U95" s="2" t="inlineStr">
        <is>
          <t>HISTORICAL</t>
        </is>
      </c>
    </row>
    <row r="96">
      <c r="A96" s="2" t="inlineStr">
        <is>
          <t>3000_3800</t>
        </is>
      </c>
      <c r="B96" s="2" t="inlineStr">
        <is>
          <t>Reactivos</t>
        </is>
      </c>
      <c r="C96" s="2" t="inlineStr">
        <is>
          <t>SN-3000-3800</t>
        </is>
      </c>
      <c r="D96" s="2" t="inlineStr">
        <is>
          <t>CC-3000</t>
        </is>
      </c>
      <c r="E96" s="2" t="inlineStr">
        <is>
          <t>P01</t>
        </is>
      </c>
      <c r="F96" s="2" t="inlineStr">
        <is>
          <t>LUBRICANTS</t>
        </is>
      </c>
      <c r="G96" s="2" t="inlineStr">
        <is>
          <t>Lubricantes</t>
        </is>
      </c>
      <c r="H96" s="7" t="n">
        <v>39945.02</v>
      </c>
      <c r="I96" s="7" t="n">
        <v>39503.29</v>
      </c>
      <c r="J96" s="7" t="n">
        <v>44002.28</v>
      </c>
      <c r="K96" s="7" t="n">
        <v>42802.5</v>
      </c>
      <c r="L96" s="7" t="n">
        <v>39358.41</v>
      </c>
      <c r="M96" s="7" t="n">
        <v>35472.03</v>
      </c>
      <c r="N96" s="7" t="n">
        <v>44025.86</v>
      </c>
      <c r="O96" s="7" t="n">
        <v>36562.47</v>
      </c>
      <c r="P96" s="7" t="n">
        <v>39551.1</v>
      </c>
      <c r="Q96" s="7" t="n">
        <v>47665.44</v>
      </c>
      <c r="R96" s="7" t="n">
        <v>37768.67</v>
      </c>
      <c r="S96" s="7" t="n">
        <v>37689.23</v>
      </c>
      <c r="T96" s="8">
        <f>SUM(H96:S96)</f>
        <v/>
      </c>
      <c r="U96" s="2" t="inlineStr">
        <is>
          <t>HISTORICAL</t>
        </is>
      </c>
    </row>
    <row r="97">
      <c r="A97" s="2" t="inlineStr">
        <is>
          <t>3000_3800</t>
        </is>
      </c>
      <c r="B97" s="2" t="inlineStr">
        <is>
          <t>Reactivos</t>
        </is>
      </c>
      <c r="C97" s="2" t="inlineStr">
        <is>
          <t>SN-3000-3800</t>
        </is>
      </c>
      <c r="D97" s="2" t="inlineStr">
        <is>
          <t>CC-3000</t>
        </is>
      </c>
      <c r="E97" s="2" t="inlineStr">
        <is>
          <t>P01</t>
        </is>
      </c>
      <c r="F97" s="2" t="inlineStr">
        <is>
          <t>SVC_FIXED</t>
        </is>
      </c>
      <c r="G97" s="2" t="inlineStr">
        <is>
          <t>Servicios mantencion marco fijo</t>
        </is>
      </c>
      <c r="H97" s="7" t="n">
        <v>67398.07000000001</v>
      </c>
      <c r="I97" s="7" t="n">
        <v>65992.83</v>
      </c>
      <c r="J97" s="7" t="n">
        <v>71880.16</v>
      </c>
      <c r="K97" s="7" t="n">
        <v>73604.41</v>
      </c>
      <c r="L97" s="7" t="n">
        <v>65516.7</v>
      </c>
      <c r="M97" s="7" t="n">
        <v>66882.22</v>
      </c>
      <c r="N97" s="7" t="n">
        <v>61727.84</v>
      </c>
      <c r="O97" s="7" t="n">
        <v>64339.78</v>
      </c>
      <c r="P97" s="7" t="n">
        <v>57321.82</v>
      </c>
      <c r="Q97" s="7" t="n">
        <v>74656.84</v>
      </c>
      <c r="R97" s="7" t="n">
        <v>69803.73</v>
      </c>
      <c r="S97" s="7" t="n">
        <v>72925.61</v>
      </c>
      <c r="T97" s="8">
        <f>SUM(H97:S97)</f>
        <v/>
      </c>
      <c r="U97" s="2" t="inlineStr">
        <is>
          <t>HISTORICAL</t>
        </is>
      </c>
    </row>
    <row r="98">
      <c r="A98" s="2" t="inlineStr">
        <is>
          <t>3000_3800</t>
        </is>
      </c>
      <c r="B98" s="2" t="inlineStr">
        <is>
          <t>Reactivos</t>
        </is>
      </c>
      <c r="C98" s="2" t="inlineStr">
        <is>
          <t>SN-3000-3800</t>
        </is>
      </c>
      <c r="D98" s="2" t="inlineStr">
        <is>
          <t>CC-3000</t>
        </is>
      </c>
      <c r="E98" s="2" t="inlineStr">
        <is>
          <t>P01</t>
        </is>
      </c>
      <c r="F98" s="2" t="inlineStr">
        <is>
          <t>SVC_VARIABLE</t>
        </is>
      </c>
      <c r="G98" s="2" t="inlineStr">
        <is>
          <t>Servicios mantencion marco variable</t>
        </is>
      </c>
      <c r="H98" s="7" t="n">
        <v>43802.36</v>
      </c>
      <c r="I98" s="7" t="n">
        <v>42375.8</v>
      </c>
      <c r="J98" s="7" t="n">
        <v>42487.17</v>
      </c>
      <c r="K98" s="7" t="n">
        <v>42561.32</v>
      </c>
      <c r="L98" s="7" t="n">
        <v>41934.27</v>
      </c>
      <c r="M98" s="7" t="n">
        <v>38738.2</v>
      </c>
      <c r="N98" s="7" t="n">
        <v>40887.82</v>
      </c>
      <c r="O98" s="7" t="n">
        <v>46688.32</v>
      </c>
      <c r="P98" s="7" t="n">
        <v>42830.71</v>
      </c>
      <c r="Q98" s="7" t="n">
        <v>52780.34</v>
      </c>
      <c r="R98" s="7" t="n">
        <v>42648.75</v>
      </c>
      <c r="S98" s="7" t="n">
        <v>45098.17</v>
      </c>
      <c r="T98" s="8">
        <f>SUM(H98:S98)</f>
        <v/>
      </c>
      <c r="U98" s="2" t="inlineStr">
        <is>
          <t>HISTORICAL</t>
        </is>
      </c>
    </row>
    <row r="99">
      <c r="A99" s="2" t="inlineStr">
        <is>
          <t>3000_3800</t>
        </is>
      </c>
      <c r="B99" s="2" t="inlineStr">
        <is>
          <t>Reactivos</t>
        </is>
      </c>
      <c r="C99" s="2" t="inlineStr">
        <is>
          <t>SN-3000-3800</t>
        </is>
      </c>
      <c r="D99" s="2" t="inlineStr">
        <is>
          <t>CC-3000</t>
        </is>
      </c>
      <c r="E99" s="2" t="inlineStr">
        <is>
          <t>P01</t>
        </is>
      </c>
      <c r="F99" s="2" t="inlineStr">
        <is>
          <t>SVC_EXTERNAL</t>
        </is>
      </c>
      <c r="G99" s="2" t="inlineStr">
        <is>
          <t>Servicios mantencion externa</t>
        </is>
      </c>
      <c r="H99" s="7" t="n">
        <v>54953.56</v>
      </c>
      <c r="I99" s="7" t="n">
        <v>48353.86</v>
      </c>
      <c r="J99" s="7" t="n">
        <v>56408.36</v>
      </c>
      <c r="K99" s="7" t="n">
        <v>55167.27</v>
      </c>
      <c r="L99" s="7" t="n">
        <v>53845.71</v>
      </c>
      <c r="M99" s="7" t="n">
        <v>51456.33</v>
      </c>
      <c r="N99" s="7" t="n">
        <v>54022.33</v>
      </c>
      <c r="O99" s="7" t="n">
        <v>52290.82</v>
      </c>
      <c r="P99" s="7" t="n">
        <v>49981.36</v>
      </c>
      <c r="Q99" s="7" t="n">
        <v>56203.33</v>
      </c>
      <c r="R99" s="7" t="n">
        <v>47238.71</v>
      </c>
      <c r="S99" s="7" t="n">
        <v>49642.83</v>
      </c>
      <c r="T99" s="8">
        <f>SUM(H99:S99)</f>
        <v/>
      </c>
      <c r="U99" s="2" t="inlineStr">
        <is>
          <t>HISTORICAL</t>
        </is>
      </c>
    </row>
    <row r="100">
      <c r="A100" s="2" t="inlineStr">
        <is>
          <t>3000_3800</t>
        </is>
      </c>
      <c r="B100" s="2" t="inlineStr">
        <is>
          <t>Reactivos</t>
        </is>
      </c>
      <c r="C100" s="2" t="inlineStr">
        <is>
          <t>SN-3000-3800</t>
        </is>
      </c>
      <c r="D100" s="2" t="inlineStr">
        <is>
          <t>CC-3000</t>
        </is>
      </c>
      <c r="E100" s="2" t="inlineStr">
        <is>
          <t>P01</t>
        </is>
      </c>
      <c r="F100" s="2" t="inlineStr">
        <is>
          <t>OTHER_SERVICES</t>
        </is>
      </c>
      <c r="G100" s="2" t="inlineStr">
        <is>
          <t>Otros servicios de mantencion</t>
        </is>
      </c>
      <c r="H100" s="7" t="n">
        <v>21433.76</v>
      </c>
      <c r="I100" s="7" t="n">
        <v>18295.34</v>
      </c>
      <c r="J100" s="7" t="n">
        <v>18293.36</v>
      </c>
      <c r="K100" s="7" t="n">
        <v>19607.94</v>
      </c>
      <c r="L100" s="7" t="n">
        <v>20494.76</v>
      </c>
      <c r="M100" s="7" t="n">
        <v>18241.33</v>
      </c>
      <c r="N100" s="7" t="n">
        <v>18563.27</v>
      </c>
      <c r="O100" s="7" t="n">
        <v>19639.68</v>
      </c>
      <c r="P100" s="7" t="n">
        <v>18402.7</v>
      </c>
      <c r="Q100" s="7" t="n">
        <v>22096.08</v>
      </c>
      <c r="R100" s="7" t="n">
        <v>19987.84</v>
      </c>
      <c r="S100" s="7" t="n">
        <v>20583.94</v>
      </c>
      <c r="T100" s="8">
        <f>SUM(H100:S100)</f>
        <v/>
      </c>
      <c r="U100" s="2" t="inlineStr">
        <is>
          <t>HISTORICAL</t>
        </is>
      </c>
    </row>
    <row r="101">
      <c r="A101" s="2" t="inlineStr">
        <is>
          <t>3000_3900</t>
        </is>
      </c>
      <c r="B101" s="2" t="inlineStr">
        <is>
          <t>Contencion de Emergencias</t>
        </is>
      </c>
      <c r="C101" s="2" t="inlineStr">
        <is>
          <t>SN-3000-3900</t>
        </is>
      </c>
      <c r="D101" s="2" t="inlineStr">
        <is>
          <t>CC-3000</t>
        </is>
      </c>
      <c r="E101" s="2" t="inlineStr">
        <is>
          <t>P02</t>
        </is>
      </c>
      <c r="F101" s="2" t="inlineStr">
        <is>
          <t>LABOR_INTERNAL</t>
        </is>
      </c>
      <c r="G101" s="2" t="inlineStr">
        <is>
          <t>Mano obra interna mantencion</t>
        </is>
      </c>
      <c r="H101" s="7" t="n">
        <v>11889.71</v>
      </c>
      <c r="I101" s="7" t="n">
        <v>9976.93</v>
      </c>
      <c r="J101" s="7" t="n">
        <v>10490.66</v>
      </c>
      <c r="K101" s="7" t="n">
        <v>11370.78</v>
      </c>
      <c r="L101" s="7" t="n">
        <v>10693.41</v>
      </c>
      <c r="M101" s="7" t="n">
        <v>10090.56</v>
      </c>
      <c r="N101" s="7" t="n">
        <v>9820.559999999999</v>
      </c>
      <c r="O101" s="7" t="n">
        <v>9734.52</v>
      </c>
      <c r="P101" s="7" t="n">
        <v>10299.84</v>
      </c>
      <c r="Q101" s="7" t="n">
        <v>10604.68</v>
      </c>
      <c r="R101" s="7" t="n">
        <v>10160.03</v>
      </c>
      <c r="S101" s="7" t="n">
        <v>11299.09</v>
      </c>
      <c r="T101" s="8">
        <f>SUM(H101:S101)</f>
        <v/>
      </c>
      <c r="U101" s="2" t="inlineStr">
        <is>
          <t>ENGINEERING_ESTIMATE</t>
        </is>
      </c>
    </row>
    <row r="102">
      <c r="A102" s="2" t="inlineStr">
        <is>
          <t>3000_3900</t>
        </is>
      </c>
      <c r="B102" s="2" t="inlineStr">
        <is>
          <t>Contencion de Emergencias</t>
        </is>
      </c>
      <c r="C102" s="2" t="inlineStr">
        <is>
          <t>SN-3000-3900</t>
        </is>
      </c>
      <c r="D102" s="2" t="inlineStr">
        <is>
          <t>CC-3000</t>
        </is>
      </c>
      <c r="E102" s="2" t="inlineStr">
        <is>
          <t>P02</t>
        </is>
      </c>
      <c r="F102" s="2" t="inlineStr">
        <is>
          <t>SPARE_PARTS</t>
        </is>
      </c>
      <c r="G102" s="2" t="inlineStr">
        <is>
          <t>Repuestos y materiales mecanicos</t>
        </is>
      </c>
      <c r="H102" s="7" t="n">
        <v>18629.02</v>
      </c>
      <c r="I102" s="7" t="n">
        <v>16278.49</v>
      </c>
      <c r="J102" s="7" t="n">
        <v>19047.63</v>
      </c>
      <c r="K102" s="7" t="n">
        <v>18023.75</v>
      </c>
      <c r="L102" s="7" t="n">
        <v>18135.46</v>
      </c>
      <c r="M102" s="7" t="n">
        <v>14925.82</v>
      </c>
      <c r="N102" s="7" t="n">
        <v>15450.72</v>
      </c>
      <c r="O102" s="7" t="n">
        <v>16758.29</v>
      </c>
      <c r="P102" s="7" t="n">
        <v>16873.15</v>
      </c>
      <c r="Q102" s="7" t="n">
        <v>18008.62</v>
      </c>
      <c r="R102" s="7" t="n">
        <v>17733.72</v>
      </c>
      <c r="S102" s="7" t="n">
        <v>16347.02</v>
      </c>
      <c r="T102" s="8">
        <f>SUM(H102:S102)</f>
        <v/>
      </c>
      <c r="U102" s="2" t="inlineStr">
        <is>
          <t>HISTORICAL</t>
        </is>
      </c>
    </row>
    <row r="103">
      <c r="A103" s="2" t="inlineStr">
        <is>
          <t>3000_3900</t>
        </is>
      </c>
      <c r="B103" s="2" t="inlineStr">
        <is>
          <t>Contencion de Emergencias</t>
        </is>
      </c>
      <c r="C103" s="2" t="inlineStr">
        <is>
          <t>SN-3000-3900</t>
        </is>
      </c>
      <c r="D103" s="2" t="inlineStr">
        <is>
          <t>CC-3000</t>
        </is>
      </c>
      <c r="E103" s="2" t="inlineStr">
        <is>
          <t>P02</t>
        </is>
      </c>
      <c r="F103" s="2" t="inlineStr">
        <is>
          <t>GET</t>
        </is>
      </c>
      <c r="G103" s="2" t="inlineStr">
        <is>
          <t>Elementos de desgaste (GET)</t>
        </is>
      </c>
      <c r="H103" s="7" t="n">
        <v>5523.01</v>
      </c>
      <c r="I103" s="7" t="n">
        <v>5134.89</v>
      </c>
      <c r="J103" s="7" t="n">
        <v>5819.97</v>
      </c>
      <c r="K103" s="7" t="n">
        <v>5743.09</v>
      </c>
      <c r="L103" s="7" t="n">
        <v>5039.21</v>
      </c>
      <c r="M103" s="7" t="n">
        <v>5386.27</v>
      </c>
      <c r="N103" s="7" t="n">
        <v>5115.96</v>
      </c>
      <c r="O103" s="7" t="n">
        <v>5401.69</v>
      </c>
      <c r="P103" s="7" t="n">
        <v>4610.19</v>
      </c>
      <c r="Q103" s="7" t="n">
        <v>5422.53</v>
      </c>
      <c r="R103" s="7" t="n">
        <v>5055.29</v>
      </c>
      <c r="S103" s="7" t="n">
        <v>5156.84</v>
      </c>
      <c r="T103" s="8">
        <f>SUM(H103:S103)</f>
        <v/>
      </c>
      <c r="U103" s="2" t="inlineStr">
        <is>
          <t>HISTORICAL</t>
        </is>
      </c>
    </row>
    <row r="104">
      <c r="A104" s="2" t="inlineStr">
        <is>
          <t>3000_3900</t>
        </is>
      </c>
      <c r="B104" s="2" t="inlineStr">
        <is>
          <t>Contencion de Emergencias</t>
        </is>
      </c>
      <c r="C104" s="2" t="inlineStr">
        <is>
          <t>SN-3000-3900</t>
        </is>
      </c>
      <c r="D104" s="2" t="inlineStr">
        <is>
          <t>CC-3000</t>
        </is>
      </c>
      <c r="E104" s="2" t="inlineStr">
        <is>
          <t>P02</t>
        </is>
      </c>
      <c r="F104" s="2" t="inlineStr">
        <is>
          <t>CONSUMABLES</t>
        </is>
      </c>
      <c r="G104" s="2" t="inlineStr">
        <is>
          <t>Consumibles operacion</t>
        </is>
      </c>
      <c r="H104" s="7" t="n">
        <v>3188.82</v>
      </c>
      <c r="I104" s="7" t="n">
        <v>2859.91</v>
      </c>
      <c r="J104" s="7" t="n">
        <v>3005.81</v>
      </c>
      <c r="K104" s="7" t="n">
        <v>2885.49</v>
      </c>
      <c r="L104" s="7" t="n">
        <v>2794.67</v>
      </c>
      <c r="M104" s="7" t="n">
        <v>2895.45</v>
      </c>
      <c r="N104" s="7" t="n">
        <v>2897.68</v>
      </c>
      <c r="O104" s="7" t="n">
        <v>3375.33</v>
      </c>
      <c r="P104" s="7" t="n">
        <v>2726.78</v>
      </c>
      <c r="Q104" s="7" t="n">
        <v>3069.28</v>
      </c>
      <c r="R104" s="7" t="n">
        <v>2959.26</v>
      </c>
      <c r="S104" s="7" t="n">
        <v>2968.36</v>
      </c>
      <c r="T104" s="8">
        <f>SUM(H104:S104)</f>
        <v/>
      </c>
      <c r="U104" s="2" t="inlineStr">
        <is>
          <t>HISTORICAL</t>
        </is>
      </c>
    </row>
    <row r="105">
      <c r="A105" s="2" t="inlineStr">
        <is>
          <t>3000_3900</t>
        </is>
      </c>
      <c r="B105" s="2" t="inlineStr">
        <is>
          <t>Contencion de Emergencias</t>
        </is>
      </c>
      <c r="C105" s="2" t="inlineStr">
        <is>
          <t>SN-3000-3900</t>
        </is>
      </c>
      <c r="D105" s="2" t="inlineStr">
        <is>
          <t>CC-3000</t>
        </is>
      </c>
      <c r="E105" s="2" t="inlineStr">
        <is>
          <t>P02</t>
        </is>
      </c>
      <c r="F105" s="2" t="inlineStr">
        <is>
          <t>LUBRICANTS</t>
        </is>
      </c>
      <c r="G105" s="2" t="inlineStr">
        <is>
          <t>Lubricantes</t>
        </is>
      </c>
      <c r="H105" s="7" t="n">
        <v>4154.4</v>
      </c>
      <c r="I105" s="7" t="n">
        <v>3611.6</v>
      </c>
      <c r="J105" s="7" t="n">
        <v>4124.38</v>
      </c>
      <c r="K105" s="7" t="n">
        <v>3733.02</v>
      </c>
      <c r="L105" s="7" t="n">
        <v>3865.97</v>
      </c>
      <c r="M105" s="7" t="n">
        <v>3741.67</v>
      </c>
      <c r="N105" s="7" t="n">
        <v>4285.47</v>
      </c>
      <c r="O105" s="7" t="n">
        <v>4209.81</v>
      </c>
      <c r="P105" s="7" t="n">
        <v>4042.84</v>
      </c>
      <c r="Q105" s="7" t="n">
        <v>4027.2</v>
      </c>
      <c r="R105" s="7" t="n">
        <v>3921.42</v>
      </c>
      <c r="S105" s="7" t="n">
        <v>3691.51</v>
      </c>
      <c r="T105" s="8">
        <f>SUM(H105:S105)</f>
        <v/>
      </c>
      <c r="U105" s="2" t="inlineStr">
        <is>
          <t>ENGINEERING_ESTIMATE</t>
        </is>
      </c>
    </row>
    <row r="106">
      <c r="A106" s="2" t="inlineStr">
        <is>
          <t>3000_3900</t>
        </is>
      </c>
      <c r="B106" s="2" t="inlineStr">
        <is>
          <t>Contencion de Emergencias</t>
        </is>
      </c>
      <c r="C106" s="2" t="inlineStr">
        <is>
          <t>SN-3000-3900</t>
        </is>
      </c>
      <c r="D106" s="2" t="inlineStr">
        <is>
          <t>CC-3000</t>
        </is>
      </c>
      <c r="E106" s="2" t="inlineStr">
        <is>
          <t>P02</t>
        </is>
      </c>
      <c r="F106" s="2" t="inlineStr">
        <is>
          <t>SVC_FIXED</t>
        </is>
      </c>
      <c r="G106" s="2" t="inlineStr">
        <is>
          <t>Servicios mantencion marco fijo</t>
        </is>
      </c>
      <c r="H106" s="7" t="n">
        <v>6419.19</v>
      </c>
      <c r="I106" s="7" t="n">
        <v>6538.98</v>
      </c>
      <c r="J106" s="7" t="n">
        <v>6796.02</v>
      </c>
      <c r="K106" s="7" t="n">
        <v>7406.64</v>
      </c>
      <c r="L106" s="7" t="n">
        <v>6301.12</v>
      </c>
      <c r="M106" s="7" t="n">
        <v>6651.91</v>
      </c>
      <c r="N106" s="7" t="n">
        <v>7288.6</v>
      </c>
      <c r="O106" s="7" t="n">
        <v>7205.08</v>
      </c>
      <c r="P106" s="7" t="n">
        <v>6963.61</v>
      </c>
      <c r="Q106" s="7" t="n">
        <v>6679.34</v>
      </c>
      <c r="R106" s="7" t="n">
        <v>6466.3</v>
      </c>
      <c r="S106" s="7" t="n">
        <v>6800.84</v>
      </c>
      <c r="T106" s="8">
        <f>SUM(H106:S106)</f>
        <v/>
      </c>
      <c r="U106" s="2" t="inlineStr">
        <is>
          <t>HISTORICAL</t>
        </is>
      </c>
    </row>
    <row r="107">
      <c r="A107" s="2" t="inlineStr">
        <is>
          <t>3000_3900</t>
        </is>
      </c>
      <c r="B107" s="2" t="inlineStr">
        <is>
          <t>Contencion de Emergencias</t>
        </is>
      </c>
      <c r="C107" s="2" t="inlineStr">
        <is>
          <t>SN-3000-3900</t>
        </is>
      </c>
      <c r="D107" s="2" t="inlineStr">
        <is>
          <t>CC-3000</t>
        </is>
      </c>
      <c r="E107" s="2" t="inlineStr">
        <is>
          <t>P02</t>
        </is>
      </c>
      <c r="F107" s="2" t="inlineStr">
        <is>
          <t>SVC_VARIABLE</t>
        </is>
      </c>
      <c r="G107" s="2" t="inlineStr">
        <is>
          <t>Servicios mantencion marco variable</t>
        </is>
      </c>
      <c r="H107" s="7" t="n">
        <v>5654.19</v>
      </c>
      <c r="I107" s="7" t="n">
        <v>5285.81</v>
      </c>
      <c r="J107" s="7" t="n">
        <v>5401.38</v>
      </c>
      <c r="K107" s="7" t="n">
        <v>5886.14</v>
      </c>
      <c r="L107" s="7" t="n">
        <v>5033.08</v>
      </c>
      <c r="M107" s="7" t="n">
        <v>4933.78</v>
      </c>
      <c r="N107" s="7" t="n">
        <v>5822.88</v>
      </c>
      <c r="O107" s="7" t="n">
        <v>4868.73</v>
      </c>
      <c r="P107" s="7" t="n">
        <v>5247.01</v>
      </c>
      <c r="Q107" s="7" t="n">
        <v>6006.68</v>
      </c>
      <c r="R107" s="7" t="n">
        <v>5581.94</v>
      </c>
      <c r="S107" s="7" t="n">
        <v>4972.81</v>
      </c>
      <c r="T107" s="8">
        <f>SUM(H107:S107)</f>
        <v/>
      </c>
      <c r="U107" s="2" t="inlineStr">
        <is>
          <t>ENGINEERING_ESTIMATE</t>
        </is>
      </c>
    </row>
    <row r="108">
      <c r="A108" s="2" t="inlineStr">
        <is>
          <t>3000_3900</t>
        </is>
      </c>
      <c r="B108" s="2" t="inlineStr">
        <is>
          <t>Contencion de Emergencias</t>
        </is>
      </c>
      <c r="C108" s="2" t="inlineStr">
        <is>
          <t>SN-3000-3900</t>
        </is>
      </c>
      <c r="D108" s="2" t="inlineStr">
        <is>
          <t>CC-3000</t>
        </is>
      </c>
      <c r="E108" s="2" t="inlineStr">
        <is>
          <t>P02</t>
        </is>
      </c>
      <c r="F108" s="2" t="inlineStr">
        <is>
          <t>SVC_EXTERNAL</t>
        </is>
      </c>
      <c r="G108" s="2" t="inlineStr">
        <is>
          <t>Servicios mantencion externa</t>
        </is>
      </c>
      <c r="H108" s="7" t="n">
        <v>4852.03</v>
      </c>
      <c r="I108" s="7" t="n">
        <v>4436.29</v>
      </c>
      <c r="J108" s="7" t="n">
        <v>4612.92</v>
      </c>
      <c r="K108" s="7" t="n">
        <v>5487.34</v>
      </c>
      <c r="L108" s="7" t="n">
        <v>5075.18</v>
      </c>
      <c r="M108" s="7" t="n">
        <v>4701.93</v>
      </c>
      <c r="N108" s="7" t="n">
        <v>4529.5</v>
      </c>
      <c r="O108" s="7" t="n">
        <v>4934.28</v>
      </c>
      <c r="P108" s="7" t="n">
        <v>4408.27</v>
      </c>
      <c r="Q108" s="7" t="n">
        <v>5055.65</v>
      </c>
      <c r="R108" s="7" t="n">
        <v>4867.85</v>
      </c>
      <c r="S108" s="7" t="n">
        <v>5275.41</v>
      </c>
      <c r="T108" s="8">
        <f>SUM(H108:S108)</f>
        <v/>
      </c>
      <c r="U108" s="2" t="inlineStr">
        <is>
          <t>HISTORICAL</t>
        </is>
      </c>
    </row>
    <row r="109">
      <c r="A109" s="2" t="inlineStr">
        <is>
          <t>3000_3900</t>
        </is>
      </c>
      <c r="B109" s="2" t="inlineStr">
        <is>
          <t>Contencion de Emergencias</t>
        </is>
      </c>
      <c r="C109" s="2" t="inlineStr">
        <is>
          <t>SN-3000-3900</t>
        </is>
      </c>
      <c r="D109" s="2" t="inlineStr">
        <is>
          <t>CC-3000</t>
        </is>
      </c>
      <c r="E109" s="2" t="inlineStr">
        <is>
          <t>P02</t>
        </is>
      </c>
      <c r="F109" s="2" t="inlineStr">
        <is>
          <t>OTHER_SERVICES</t>
        </is>
      </c>
      <c r="G109" s="2" t="inlineStr">
        <is>
          <t>Otros servicios de mantencion</t>
        </is>
      </c>
      <c r="H109" s="7" t="n">
        <v>2504.41</v>
      </c>
      <c r="I109" s="7" t="n">
        <v>2169.05</v>
      </c>
      <c r="J109" s="7" t="n">
        <v>2617.95</v>
      </c>
      <c r="K109" s="7" t="n">
        <v>2597.65</v>
      </c>
      <c r="L109" s="7" t="n">
        <v>2375.87</v>
      </c>
      <c r="M109" s="7" t="n">
        <v>2134.29</v>
      </c>
      <c r="N109" s="7" t="n">
        <v>2382.6</v>
      </c>
      <c r="O109" s="7" t="n">
        <v>2191.85</v>
      </c>
      <c r="P109" s="7" t="n">
        <v>2333.28</v>
      </c>
      <c r="Q109" s="7" t="n">
        <v>2470.91</v>
      </c>
      <c r="R109" s="7" t="n">
        <v>2218.02</v>
      </c>
      <c r="S109" s="7" t="n">
        <v>2631.6</v>
      </c>
      <c r="T109" s="8">
        <f>SUM(H109:S109)</f>
        <v/>
      </c>
      <c r="U109" s="2" t="inlineStr">
        <is>
          <t>HISTORICAL</t>
        </is>
      </c>
    </row>
    <row r="110">
      <c r="A110" s="2" t="inlineStr">
        <is>
          <t>4000_4100</t>
        </is>
      </c>
      <c r="B110" s="2" t="inlineStr">
        <is>
          <t>Agua Fresca y Potable</t>
        </is>
      </c>
      <c r="C110" s="2" t="inlineStr">
        <is>
          <t>SN-4000-4100</t>
        </is>
      </c>
      <c r="D110" s="2" t="inlineStr">
        <is>
          <t>CC-4000</t>
        </is>
      </c>
      <c r="E110" s="2" t="inlineStr">
        <is>
          <t>P03</t>
        </is>
      </c>
      <c r="F110" s="2" t="inlineStr">
        <is>
          <t>LABOR_INTERNAL</t>
        </is>
      </c>
      <c r="G110" s="2" t="inlineStr">
        <is>
          <t>Mano obra interna mantencion</t>
        </is>
      </c>
      <c r="H110" s="7" t="n">
        <v>28784</v>
      </c>
      <c r="I110" s="7" t="n">
        <v>26034.17</v>
      </c>
      <c r="J110" s="7" t="n">
        <v>26181.52</v>
      </c>
      <c r="K110" s="7" t="n">
        <v>29718.62</v>
      </c>
      <c r="L110" s="7" t="n">
        <v>28585.42</v>
      </c>
      <c r="M110" s="7" t="n">
        <v>24501.67</v>
      </c>
      <c r="N110" s="7" t="n">
        <v>26078.17</v>
      </c>
      <c r="O110" s="7" t="n">
        <v>28883.09</v>
      </c>
      <c r="P110" s="7" t="n">
        <v>28017.42</v>
      </c>
      <c r="Q110" s="7" t="n">
        <v>31629.71</v>
      </c>
      <c r="R110" s="7" t="n">
        <v>27545.42</v>
      </c>
      <c r="S110" s="7" t="n">
        <v>30164.85</v>
      </c>
      <c r="T110" s="8">
        <f>SUM(H110:S110)</f>
        <v/>
      </c>
      <c r="U110" s="2" t="inlineStr">
        <is>
          <t>HISTORICAL</t>
        </is>
      </c>
    </row>
    <row r="111">
      <c r="A111" s="2" t="inlineStr">
        <is>
          <t>4000_4100</t>
        </is>
      </c>
      <c r="B111" s="2" t="inlineStr">
        <is>
          <t>Agua Fresca y Potable</t>
        </is>
      </c>
      <c r="C111" s="2" t="inlineStr">
        <is>
          <t>SN-4000-4100</t>
        </is>
      </c>
      <c r="D111" s="2" t="inlineStr">
        <is>
          <t>CC-4000</t>
        </is>
      </c>
      <c r="E111" s="2" t="inlineStr">
        <is>
          <t>P03</t>
        </is>
      </c>
      <c r="F111" s="2" t="inlineStr">
        <is>
          <t>SPARE_PARTS</t>
        </is>
      </c>
      <c r="G111" s="2" t="inlineStr">
        <is>
          <t>Repuestos y materiales mecanicos</t>
        </is>
      </c>
      <c r="H111" s="7" t="n">
        <v>22574.2</v>
      </c>
      <c r="I111" s="7" t="n">
        <v>24719.1</v>
      </c>
      <c r="J111" s="7" t="n">
        <v>25467.62</v>
      </c>
      <c r="K111" s="7" t="n">
        <v>21332.1</v>
      </c>
      <c r="L111" s="7" t="n">
        <v>22706.1</v>
      </c>
      <c r="M111" s="7" t="n">
        <v>20080.68</v>
      </c>
      <c r="N111" s="7" t="n">
        <v>24271.17</v>
      </c>
      <c r="O111" s="7" t="n">
        <v>22333.44</v>
      </c>
      <c r="P111" s="7" t="n">
        <v>23108.07</v>
      </c>
      <c r="Q111" s="7" t="n">
        <v>22529.13</v>
      </c>
      <c r="R111" s="7" t="n">
        <v>23241.04</v>
      </c>
      <c r="S111" s="7" t="n">
        <v>22806.51</v>
      </c>
      <c r="T111" s="8">
        <f>SUM(H111:S111)</f>
        <v/>
      </c>
      <c r="U111" s="2" t="inlineStr">
        <is>
          <t>HISTORICAL</t>
        </is>
      </c>
    </row>
    <row r="112">
      <c r="A112" s="2" t="inlineStr">
        <is>
          <t>4000_4100</t>
        </is>
      </c>
      <c r="B112" s="2" t="inlineStr">
        <is>
          <t>Agua Fresca y Potable</t>
        </is>
      </c>
      <c r="C112" s="2" t="inlineStr">
        <is>
          <t>SN-4000-4100</t>
        </is>
      </c>
      <c r="D112" s="2" t="inlineStr">
        <is>
          <t>CC-4000</t>
        </is>
      </c>
      <c r="E112" s="2" t="inlineStr">
        <is>
          <t>P03</t>
        </is>
      </c>
      <c r="F112" s="2" t="inlineStr">
        <is>
          <t>GET</t>
        </is>
      </c>
      <c r="G112" s="2" t="inlineStr">
        <is>
          <t>Elementos de desgaste (GET)</t>
        </is>
      </c>
      <c r="H112" s="7" t="n">
        <v>9366.98</v>
      </c>
      <c r="I112" s="7" t="n">
        <v>8789.030000000001</v>
      </c>
      <c r="J112" s="7" t="n">
        <v>9776.24</v>
      </c>
      <c r="K112" s="7" t="n">
        <v>9708.74</v>
      </c>
      <c r="L112" s="7" t="n">
        <v>8337.02</v>
      </c>
      <c r="M112" s="7" t="n">
        <v>8966.040000000001</v>
      </c>
      <c r="N112" s="7" t="n">
        <v>9594.620000000001</v>
      </c>
      <c r="O112" s="7" t="n">
        <v>8415.559999999999</v>
      </c>
      <c r="P112" s="7" t="n">
        <v>8838.959999999999</v>
      </c>
      <c r="Q112" s="7" t="n">
        <v>10527.47</v>
      </c>
      <c r="R112" s="7" t="n">
        <v>9499.959999999999</v>
      </c>
      <c r="S112" s="7" t="n">
        <v>8482.940000000001</v>
      </c>
      <c r="T112" s="8">
        <f>SUM(H112:S112)</f>
        <v/>
      </c>
      <c r="U112" s="2" t="inlineStr">
        <is>
          <t>CONTRACTOR_QUOTE</t>
        </is>
      </c>
    </row>
    <row r="113">
      <c r="A113" s="2" t="inlineStr">
        <is>
          <t>4000_4100</t>
        </is>
      </c>
      <c r="B113" s="2" t="inlineStr">
        <is>
          <t>Agua Fresca y Potable</t>
        </is>
      </c>
      <c r="C113" s="2" t="inlineStr">
        <is>
          <t>SN-4000-4100</t>
        </is>
      </c>
      <c r="D113" s="2" t="inlineStr">
        <is>
          <t>CC-4000</t>
        </is>
      </c>
      <c r="E113" s="2" t="inlineStr">
        <is>
          <t>P03</t>
        </is>
      </c>
      <c r="F113" s="2" t="inlineStr">
        <is>
          <t>CONSUMABLES</t>
        </is>
      </c>
      <c r="G113" s="2" t="inlineStr">
        <is>
          <t>Consumibles operacion</t>
        </is>
      </c>
      <c r="H113" s="7" t="n">
        <v>6530.46</v>
      </c>
      <c r="I113" s="7" t="n">
        <v>6488.11</v>
      </c>
      <c r="J113" s="7" t="n">
        <v>6422.02</v>
      </c>
      <c r="K113" s="7" t="n">
        <v>6422.53</v>
      </c>
      <c r="L113" s="7" t="n">
        <v>6466.43</v>
      </c>
      <c r="M113" s="7" t="n">
        <v>5809.21</v>
      </c>
      <c r="N113" s="7" t="n">
        <v>6365.62</v>
      </c>
      <c r="O113" s="7" t="n">
        <v>6267.81</v>
      </c>
      <c r="P113" s="7" t="n">
        <v>5762.08</v>
      </c>
      <c r="Q113" s="7" t="n">
        <v>7021.47</v>
      </c>
      <c r="R113" s="7" t="n">
        <v>6751.6</v>
      </c>
      <c r="S113" s="7" t="n">
        <v>6287.18</v>
      </c>
      <c r="T113" s="8">
        <f>SUM(H113:S113)</f>
        <v/>
      </c>
      <c r="U113" s="2" t="inlineStr">
        <is>
          <t>CONTRACTOR_QUOTE</t>
        </is>
      </c>
    </row>
    <row r="114">
      <c r="A114" s="2" t="inlineStr">
        <is>
          <t>4000_4100</t>
        </is>
      </c>
      <c r="B114" s="2" t="inlineStr">
        <is>
          <t>Agua Fresca y Potable</t>
        </is>
      </c>
      <c r="C114" s="2" t="inlineStr">
        <is>
          <t>SN-4000-4100</t>
        </is>
      </c>
      <c r="D114" s="2" t="inlineStr">
        <is>
          <t>CC-4000</t>
        </is>
      </c>
      <c r="E114" s="2" t="inlineStr">
        <is>
          <t>P03</t>
        </is>
      </c>
      <c r="F114" s="2" t="inlineStr">
        <is>
          <t>LUBRICANTS</t>
        </is>
      </c>
      <c r="G114" s="2" t="inlineStr">
        <is>
          <t>Lubricantes</t>
        </is>
      </c>
      <c r="H114" s="7" t="n">
        <v>5832.82</v>
      </c>
      <c r="I114" s="7" t="n">
        <v>6598.46</v>
      </c>
      <c r="J114" s="7" t="n">
        <v>6518.17</v>
      </c>
      <c r="K114" s="7" t="n">
        <v>5792.51</v>
      </c>
      <c r="L114" s="7" t="n">
        <v>6252.17</v>
      </c>
      <c r="M114" s="7" t="n">
        <v>5503.02</v>
      </c>
      <c r="N114" s="7" t="n">
        <v>6634.57</v>
      </c>
      <c r="O114" s="7" t="n">
        <v>5839.06</v>
      </c>
      <c r="P114" s="7" t="n">
        <v>6080.37</v>
      </c>
      <c r="Q114" s="7" t="n">
        <v>6237.62</v>
      </c>
      <c r="R114" s="7" t="n">
        <v>6027.16</v>
      </c>
      <c r="S114" s="7" t="n">
        <v>6760.68</v>
      </c>
      <c r="T114" s="8">
        <f>SUM(H114:S114)</f>
        <v/>
      </c>
      <c r="U114" s="2" t="inlineStr">
        <is>
          <t>HISTORICAL</t>
        </is>
      </c>
    </row>
    <row r="115">
      <c r="A115" s="2" t="inlineStr">
        <is>
          <t>4000_4100</t>
        </is>
      </c>
      <c r="B115" s="2" t="inlineStr">
        <is>
          <t>Agua Fresca y Potable</t>
        </is>
      </c>
      <c r="C115" s="2" t="inlineStr">
        <is>
          <t>SN-4000-4100</t>
        </is>
      </c>
      <c r="D115" s="2" t="inlineStr">
        <is>
          <t>CC-4000</t>
        </is>
      </c>
      <c r="E115" s="2" t="inlineStr">
        <is>
          <t>P03</t>
        </is>
      </c>
      <c r="F115" s="2" t="inlineStr">
        <is>
          <t>SVC_FIXED</t>
        </is>
      </c>
      <c r="G115" s="2" t="inlineStr">
        <is>
          <t>Servicios mantencion marco fijo</t>
        </is>
      </c>
      <c r="H115" s="7" t="n">
        <v>11687.76</v>
      </c>
      <c r="I115" s="7" t="n">
        <v>10427.12</v>
      </c>
      <c r="J115" s="7" t="n">
        <v>12222.22</v>
      </c>
      <c r="K115" s="7" t="n">
        <v>11790.03</v>
      </c>
      <c r="L115" s="7" t="n">
        <v>10868.22</v>
      </c>
      <c r="M115" s="7" t="n">
        <v>11277.71</v>
      </c>
      <c r="N115" s="7" t="n">
        <v>10742.29</v>
      </c>
      <c r="O115" s="7" t="n">
        <v>12265.75</v>
      </c>
      <c r="P115" s="7" t="n">
        <v>10223.8</v>
      </c>
      <c r="Q115" s="7" t="n">
        <v>12861.09</v>
      </c>
      <c r="R115" s="7" t="n">
        <v>10438.37</v>
      </c>
      <c r="S115" s="7" t="n">
        <v>11992.16</v>
      </c>
      <c r="T115" s="8">
        <f>SUM(H115:S115)</f>
        <v/>
      </c>
      <c r="U115" s="2" t="inlineStr">
        <is>
          <t>HISTORICAL</t>
        </is>
      </c>
    </row>
    <row r="116">
      <c r="A116" s="2" t="inlineStr">
        <is>
          <t>4000_4100</t>
        </is>
      </c>
      <c r="B116" s="2" t="inlineStr">
        <is>
          <t>Agua Fresca y Potable</t>
        </is>
      </c>
      <c r="C116" s="2" t="inlineStr">
        <is>
          <t>SN-4000-4100</t>
        </is>
      </c>
      <c r="D116" s="2" t="inlineStr">
        <is>
          <t>CC-4000</t>
        </is>
      </c>
      <c r="E116" s="2" t="inlineStr">
        <is>
          <t>P03</t>
        </is>
      </c>
      <c r="F116" s="2" t="inlineStr">
        <is>
          <t>SVC_VARIABLE</t>
        </is>
      </c>
      <c r="G116" s="2" t="inlineStr">
        <is>
          <t>Servicios mantencion marco variable</t>
        </is>
      </c>
      <c r="H116" s="7" t="n">
        <v>7956.81</v>
      </c>
      <c r="I116" s="7" t="n">
        <v>8275.209999999999</v>
      </c>
      <c r="J116" s="7" t="n">
        <v>8640.1</v>
      </c>
      <c r="K116" s="7" t="n">
        <v>8427.73</v>
      </c>
      <c r="L116" s="7" t="n">
        <v>9205.57</v>
      </c>
      <c r="M116" s="7" t="n">
        <v>7697.24</v>
      </c>
      <c r="N116" s="7" t="n">
        <v>8983.209999999999</v>
      </c>
      <c r="O116" s="7" t="n">
        <v>8389.76</v>
      </c>
      <c r="P116" s="7" t="n">
        <v>7637.74</v>
      </c>
      <c r="Q116" s="7" t="n">
        <v>8607.98</v>
      </c>
      <c r="R116" s="7" t="n">
        <v>8433.4</v>
      </c>
      <c r="S116" s="7" t="n">
        <v>8324.76</v>
      </c>
      <c r="T116" s="8">
        <f>SUM(H116:S116)</f>
        <v/>
      </c>
      <c r="U116" s="2" t="inlineStr">
        <is>
          <t>ENGINEERING_ESTIMATE</t>
        </is>
      </c>
    </row>
    <row r="117">
      <c r="A117" s="2" t="inlineStr">
        <is>
          <t>4000_4100</t>
        </is>
      </c>
      <c r="B117" s="2" t="inlineStr">
        <is>
          <t>Agua Fresca y Potable</t>
        </is>
      </c>
      <c r="C117" s="2" t="inlineStr">
        <is>
          <t>SN-4000-4100</t>
        </is>
      </c>
      <c r="D117" s="2" t="inlineStr">
        <is>
          <t>CC-4000</t>
        </is>
      </c>
      <c r="E117" s="2" t="inlineStr">
        <is>
          <t>P03</t>
        </is>
      </c>
      <c r="F117" s="2" t="inlineStr">
        <is>
          <t>SVC_EXTERNAL</t>
        </is>
      </c>
      <c r="G117" s="2" t="inlineStr">
        <is>
          <t>Servicios mantencion externa</t>
        </is>
      </c>
      <c r="H117" s="7" t="n">
        <v>13137.43</v>
      </c>
      <c r="I117" s="7" t="n">
        <v>12410.31</v>
      </c>
      <c r="J117" s="7" t="n">
        <v>13524.6</v>
      </c>
      <c r="K117" s="7" t="n">
        <v>13820.59</v>
      </c>
      <c r="L117" s="7" t="n">
        <v>12934.98</v>
      </c>
      <c r="M117" s="7" t="n">
        <v>14238.55</v>
      </c>
      <c r="N117" s="7" t="n">
        <v>14378.63</v>
      </c>
      <c r="O117" s="7" t="n">
        <v>14869.93</v>
      </c>
      <c r="P117" s="7" t="n">
        <v>12349.88</v>
      </c>
      <c r="Q117" s="7" t="n">
        <v>14106.09</v>
      </c>
      <c r="R117" s="7" t="n">
        <v>12933.16</v>
      </c>
      <c r="S117" s="7" t="n">
        <v>13877.21</v>
      </c>
      <c r="T117" s="8">
        <f>SUM(H117:S117)</f>
        <v/>
      </c>
      <c r="U117" s="2" t="inlineStr">
        <is>
          <t>CONTRACTOR_QUOTE</t>
        </is>
      </c>
    </row>
    <row r="118">
      <c r="A118" s="2" t="inlineStr">
        <is>
          <t>4000_4100</t>
        </is>
      </c>
      <c r="B118" s="2" t="inlineStr">
        <is>
          <t>Agua Fresca y Potable</t>
        </is>
      </c>
      <c r="C118" s="2" t="inlineStr">
        <is>
          <t>SN-4000-4100</t>
        </is>
      </c>
      <c r="D118" s="2" t="inlineStr">
        <is>
          <t>CC-4000</t>
        </is>
      </c>
      <c r="E118" s="2" t="inlineStr">
        <is>
          <t>P03</t>
        </is>
      </c>
      <c r="F118" s="2" t="inlineStr">
        <is>
          <t>OTHER_SERVICES</t>
        </is>
      </c>
      <c r="G118" s="2" t="inlineStr">
        <is>
          <t>Otros servicios de mantencion</t>
        </is>
      </c>
      <c r="H118" s="7" t="n">
        <v>5359.06</v>
      </c>
      <c r="I118" s="7" t="n">
        <v>4988.88</v>
      </c>
      <c r="J118" s="7" t="n">
        <v>5258.24</v>
      </c>
      <c r="K118" s="7" t="n">
        <v>5618.06</v>
      </c>
      <c r="L118" s="7" t="n">
        <v>5304.59</v>
      </c>
      <c r="M118" s="7" t="n">
        <v>5042.58</v>
      </c>
      <c r="N118" s="7" t="n">
        <v>4976.44</v>
      </c>
      <c r="O118" s="7" t="n">
        <v>5681.45</v>
      </c>
      <c r="P118" s="7" t="n">
        <v>5199.7</v>
      </c>
      <c r="Q118" s="7" t="n">
        <v>5293.42</v>
      </c>
      <c r="R118" s="7" t="n">
        <v>4983.89</v>
      </c>
      <c r="S118" s="7" t="n">
        <v>5412.32</v>
      </c>
      <c r="T118" s="8">
        <f>SUM(H118:S118)</f>
        <v/>
      </c>
      <c r="U118" s="2" t="inlineStr">
        <is>
          <t>HISTORICAL</t>
        </is>
      </c>
    </row>
    <row r="119">
      <c r="A119" s="2" t="inlineStr">
        <is>
          <t>4000_4300</t>
        </is>
      </c>
      <c r="B119" s="2" t="inlineStr">
        <is>
          <t>Aire Comprimido</t>
        </is>
      </c>
      <c r="C119" s="2" t="inlineStr">
        <is>
          <t>SN-4000-4300</t>
        </is>
      </c>
      <c r="D119" s="2" t="inlineStr">
        <is>
          <t>CC-4000</t>
        </is>
      </c>
      <c r="E119" s="2" t="inlineStr">
        <is>
          <t>P03</t>
        </is>
      </c>
      <c r="F119" s="2" t="inlineStr">
        <is>
          <t>LABOR_INTERNAL</t>
        </is>
      </c>
      <c r="G119" s="2" t="inlineStr">
        <is>
          <t>Mano obra interna mantencion</t>
        </is>
      </c>
      <c r="H119" s="7" t="n">
        <v>10908.1</v>
      </c>
      <c r="I119" s="7" t="n">
        <v>9183.969999999999</v>
      </c>
      <c r="J119" s="7" t="n">
        <v>10500.85</v>
      </c>
      <c r="K119" s="7" t="n">
        <v>9965.33</v>
      </c>
      <c r="L119" s="7" t="n">
        <v>9289.74</v>
      </c>
      <c r="M119" s="7" t="n">
        <v>9718.83</v>
      </c>
      <c r="N119" s="7" t="n">
        <v>9568.780000000001</v>
      </c>
      <c r="O119" s="7" t="n">
        <v>9735</v>
      </c>
      <c r="P119" s="7" t="n">
        <v>9543.030000000001</v>
      </c>
      <c r="Q119" s="7" t="n">
        <v>12086.14</v>
      </c>
      <c r="R119" s="7" t="n">
        <v>10275.57</v>
      </c>
      <c r="S119" s="7" t="n">
        <v>9931.389999999999</v>
      </c>
      <c r="T119" s="8">
        <f>SUM(H119:S119)</f>
        <v/>
      </c>
      <c r="U119" s="2" t="inlineStr">
        <is>
          <t>HISTORICAL</t>
        </is>
      </c>
    </row>
    <row r="120">
      <c r="A120" s="2" t="inlineStr">
        <is>
          <t>4000_4300</t>
        </is>
      </c>
      <c r="B120" s="2" t="inlineStr">
        <is>
          <t>Aire Comprimido</t>
        </is>
      </c>
      <c r="C120" s="2" t="inlineStr">
        <is>
          <t>SN-4000-4300</t>
        </is>
      </c>
      <c r="D120" s="2" t="inlineStr">
        <is>
          <t>CC-4000</t>
        </is>
      </c>
      <c r="E120" s="2" t="inlineStr">
        <is>
          <t>P03</t>
        </is>
      </c>
      <c r="F120" s="2" t="inlineStr">
        <is>
          <t>SPARE_PARTS</t>
        </is>
      </c>
      <c r="G120" s="2" t="inlineStr">
        <is>
          <t>Repuestos y materiales mecanicos</t>
        </is>
      </c>
      <c r="H120" s="7" t="n">
        <v>10913.83</v>
      </c>
      <c r="I120" s="7" t="n">
        <v>10544.97</v>
      </c>
      <c r="J120" s="7" t="n">
        <v>11016.83</v>
      </c>
      <c r="K120" s="7" t="n">
        <v>11790.78</v>
      </c>
      <c r="L120" s="7" t="n">
        <v>11763.9</v>
      </c>
      <c r="M120" s="7" t="n">
        <v>11181.31</v>
      </c>
      <c r="N120" s="7" t="n">
        <v>12589.97</v>
      </c>
      <c r="O120" s="7" t="n">
        <v>10619.26</v>
      </c>
      <c r="P120" s="7" t="n">
        <v>11733.03</v>
      </c>
      <c r="Q120" s="7" t="n">
        <v>12304.97</v>
      </c>
      <c r="R120" s="7" t="n">
        <v>10494.09</v>
      </c>
      <c r="S120" s="7" t="n">
        <v>12690.72</v>
      </c>
      <c r="T120" s="8">
        <f>SUM(H120:S120)</f>
        <v/>
      </c>
      <c r="U120" s="2" t="inlineStr">
        <is>
          <t>HISTORICAL</t>
        </is>
      </c>
    </row>
    <row r="121">
      <c r="A121" s="2" t="inlineStr">
        <is>
          <t>4000_4300</t>
        </is>
      </c>
      <c r="B121" s="2" t="inlineStr">
        <is>
          <t>Aire Comprimido</t>
        </is>
      </c>
      <c r="C121" s="2" t="inlineStr">
        <is>
          <t>SN-4000-4300</t>
        </is>
      </c>
      <c r="D121" s="2" t="inlineStr">
        <is>
          <t>CC-4000</t>
        </is>
      </c>
      <c r="E121" s="2" t="inlineStr">
        <is>
          <t>P03</t>
        </is>
      </c>
      <c r="F121" s="2" t="inlineStr">
        <is>
          <t>GET</t>
        </is>
      </c>
      <c r="G121" s="2" t="inlineStr">
        <is>
          <t>Elementos de desgaste (GET)</t>
        </is>
      </c>
      <c r="H121" s="7" t="n">
        <v>3502</v>
      </c>
      <c r="I121" s="7" t="n">
        <v>3417.3</v>
      </c>
      <c r="J121" s="7" t="n">
        <v>4113.69</v>
      </c>
      <c r="K121" s="7" t="n">
        <v>3573.18</v>
      </c>
      <c r="L121" s="7" t="n">
        <v>3945.26</v>
      </c>
      <c r="M121" s="7" t="n">
        <v>3360.77</v>
      </c>
      <c r="N121" s="7" t="n">
        <v>3444.86</v>
      </c>
      <c r="O121" s="7" t="n">
        <v>3405.79</v>
      </c>
      <c r="P121" s="7" t="n">
        <v>3327.53</v>
      </c>
      <c r="Q121" s="7" t="n">
        <v>3717.58</v>
      </c>
      <c r="R121" s="7" t="n">
        <v>3661.3</v>
      </c>
      <c r="S121" s="7" t="n">
        <v>3500.6</v>
      </c>
      <c r="T121" s="8">
        <f>SUM(H121:S121)</f>
        <v/>
      </c>
      <c r="U121" s="2" t="inlineStr">
        <is>
          <t>ENGINEERING_ESTIMATE</t>
        </is>
      </c>
    </row>
    <row r="122">
      <c r="A122" s="2" t="inlineStr">
        <is>
          <t>4000_4300</t>
        </is>
      </c>
      <c r="B122" s="2" t="inlineStr">
        <is>
          <t>Aire Comprimido</t>
        </is>
      </c>
      <c r="C122" s="2" t="inlineStr">
        <is>
          <t>SN-4000-4300</t>
        </is>
      </c>
      <c r="D122" s="2" t="inlineStr">
        <is>
          <t>CC-4000</t>
        </is>
      </c>
      <c r="E122" s="2" t="inlineStr">
        <is>
          <t>P03</t>
        </is>
      </c>
      <c r="F122" s="2" t="inlineStr">
        <is>
          <t>CONSUMABLES</t>
        </is>
      </c>
      <c r="G122" s="2" t="inlineStr">
        <is>
          <t>Consumibles operacion</t>
        </is>
      </c>
      <c r="H122" s="7" t="n">
        <v>2669.8</v>
      </c>
      <c r="I122" s="7" t="n">
        <v>2827.57</v>
      </c>
      <c r="J122" s="7" t="n">
        <v>3020.53</v>
      </c>
      <c r="K122" s="7" t="n">
        <v>2843.07</v>
      </c>
      <c r="L122" s="7" t="n">
        <v>2631.93</v>
      </c>
      <c r="M122" s="7" t="n">
        <v>2581.6</v>
      </c>
      <c r="N122" s="7" t="n">
        <v>2890.22</v>
      </c>
      <c r="O122" s="7" t="n">
        <v>2617.58</v>
      </c>
      <c r="P122" s="7" t="n">
        <v>2459.4</v>
      </c>
      <c r="Q122" s="7" t="n">
        <v>2746.87</v>
      </c>
      <c r="R122" s="7" t="n">
        <v>2591.82</v>
      </c>
      <c r="S122" s="7" t="n">
        <v>2543.74</v>
      </c>
      <c r="T122" s="8">
        <f>SUM(H122:S122)</f>
        <v/>
      </c>
      <c r="U122" s="2" t="inlineStr">
        <is>
          <t>HISTORICAL</t>
        </is>
      </c>
    </row>
    <row r="123">
      <c r="A123" s="2" t="inlineStr">
        <is>
          <t>4000_4300</t>
        </is>
      </c>
      <c r="B123" s="2" t="inlineStr">
        <is>
          <t>Aire Comprimido</t>
        </is>
      </c>
      <c r="C123" s="2" t="inlineStr">
        <is>
          <t>SN-4000-4300</t>
        </is>
      </c>
      <c r="D123" s="2" t="inlineStr">
        <is>
          <t>CC-4000</t>
        </is>
      </c>
      <c r="E123" s="2" t="inlineStr">
        <is>
          <t>P03</t>
        </is>
      </c>
      <c r="F123" s="2" t="inlineStr">
        <is>
          <t>LUBRICANTS</t>
        </is>
      </c>
      <c r="G123" s="2" t="inlineStr">
        <is>
          <t>Lubricantes</t>
        </is>
      </c>
      <c r="H123" s="7" t="n">
        <v>2683.5</v>
      </c>
      <c r="I123" s="7" t="n">
        <v>2505</v>
      </c>
      <c r="J123" s="7" t="n">
        <v>2863.68</v>
      </c>
      <c r="K123" s="7" t="n">
        <v>3031.06</v>
      </c>
      <c r="L123" s="7" t="n">
        <v>2645.37</v>
      </c>
      <c r="M123" s="7" t="n">
        <v>2503.35</v>
      </c>
      <c r="N123" s="7" t="n">
        <v>2646.24</v>
      </c>
      <c r="O123" s="7" t="n">
        <v>2961.7</v>
      </c>
      <c r="P123" s="7" t="n">
        <v>2587.13</v>
      </c>
      <c r="Q123" s="7" t="n">
        <v>2760.54</v>
      </c>
      <c r="R123" s="7" t="n">
        <v>2787.56</v>
      </c>
      <c r="S123" s="7" t="n">
        <v>2611.02</v>
      </c>
      <c r="T123" s="8">
        <f>SUM(H123:S123)</f>
        <v/>
      </c>
      <c r="U123" s="2" t="inlineStr">
        <is>
          <t>HISTORICAL</t>
        </is>
      </c>
    </row>
    <row r="124">
      <c r="A124" s="2" t="inlineStr">
        <is>
          <t>4000_4300</t>
        </is>
      </c>
      <c r="B124" s="2" t="inlineStr">
        <is>
          <t>Aire Comprimido</t>
        </is>
      </c>
      <c r="C124" s="2" t="inlineStr">
        <is>
          <t>SN-4000-4300</t>
        </is>
      </c>
      <c r="D124" s="2" t="inlineStr">
        <is>
          <t>CC-4000</t>
        </is>
      </c>
      <c r="E124" s="2" t="inlineStr">
        <is>
          <t>P03</t>
        </is>
      </c>
      <c r="F124" s="2" t="inlineStr">
        <is>
          <t>SVC_FIXED</t>
        </is>
      </c>
      <c r="G124" s="2" t="inlineStr">
        <is>
          <t>Servicios mantencion marco fijo</t>
        </is>
      </c>
      <c r="H124" s="7" t="n">
        <v>4920.15</v>
      </c>
      <c r="I124" s="7" t="n">
        <v>5190.96</v>
      </c>
      <c r="J124" s="7" t="n">
        <v>5309.27</v>
      </c>
      <c r="K124" s="7" t="n">
        <v>5512.61</v>
      </c>
      <c r="L124" s="7" t="n">
        <v>5120.79</v>
      </c>
      <c r="M124" s="7" t="n">
        <v>4855.62</v>
      </c>
      <c r="N124" s="7" t="n">
        <v>5191.78</v>
      </c>
      <c r="O124" s="7" t="n">
        <v>5090.92</v>
      </c>
      <c r="P124" s="7" t="n">
        <v>4360.62</v>
      </c>
      <c r="Q124" s="7" t="n">
        <v>5768.43</v>
      </c>
      <c r="R124" s="7" t="n">
        <v>5459.4</v>
      </c>
      <c r="S124" s="7" t="n">
        <v>5157.32</v>
      </c>
      <c r="T124" s="8">
        <f>SUM(H124:S124)</f>
        <v/>
      </c>
      <c r="U124" s="2" t="inlineStr">
        <is>
          <t>HISTORICAL</t>
        </is>
      </c>
    </row>
    <row r="125">
      <c r="A125" s="2" t="inlineStr">
        <is>
          <t>4000_4300</t>
        </is>
      </c>
      <c r="B125" s="2" t="inlineStr">
        <is>
          <t>Aire Comprimido</t>
        </is>
      </c>
      <c r="C125" s="2" t="inlineStr">
        <is>
          <t>SN-4000-4300</t>
        </is>
      </c>
      <c r="D125" s="2" t="inlineStr">
        <is>
          <t>CC-4000</t>
        </is>
      </c>
      <c r="E125" s="2" t="inlineStr">
        <is>
          <t>P03</t>
        </is>
      </c>
      <c r="F125" s="2" t="inlineStr">
        <is>
          <t>SVC_VARIABLE</t>
        </is>
      </c>
      <c r="G125" s="2" t="inlineStr">
        <is>
          <t>Servicios mantencion marco variable</t>
        </is>
      </c>
      <c r="H125" s="7" t="n">
        <v>3331.53</v>
      </c>
      <c r="I125" s="7" t="n">
        <v>3237.18</v>
      </c>
      <c r="J125" s="7" t="n">
        <v>3318.52</v>
      </c>
      <c r="K125" s="7" t="n">
        <v>2850.3</v>
      </c>
      <c r="L125" s="7" t="n">
        <v>3235.64</v>
      </c>
      <c r="M125" s="7" t="n">
        <v>2618.61</v>
      </c>
      <c r="N125" s="7" t="n">
        <v>2994.95</v>
      </c>
      <c r="O125" s="7" t="n">
        <v>3025.27</v>
      </c>
      <c r="P125" s="7" t="n">
        <v>3006.14</v>
      </c>
      <c r="Q125" s="7" t="n">
        <v>3428.35</v>
      </c>
      <c r="R125" s="7" t="n">
        <v>3104.6</v>
      </c>
      <c r="S125" s="7" t="n">
        <v>3298.14</v>
      </c>
      <c r="T125" s="8">
        <f>SUM(H125:S125)</f>
        <v/>
      </c>
      <c r="U125" s="2" t="inlineStr">
        <is>
          <t>HISTORICAL</t>
        </is>
      </c>
    </row>
    <row r="126">
      <c r="A126" s="2" t="inlineStr">
        <is>
          <t>4000_4300</t>
        </is>
      </c>
      <c r="B126" s="2" t="inlineStr">
        <is>
          <t>Aire Comprimido</t>
        </is>
      </c>
      <c r="C126" s="2" t="inlineStr">
        <is>
          <t>SN-4000-4300</t>
        </is>
      </c>
      <c r="D126" s="2" t="inlineStr">
        <is>
          <t>CC-4000</t>
        </is>
      </c>
      <c r="E126" s="2" t="inlineStr">
        <is>
          <t>P03</t>
        </is>
      </c>
      <c r="F126" s="2" t="inlineStr">
        <is>
          <t>SVC_EXTERNAL</t>
        </is>
      </c>
      <c r="G126" s="2" t="inlineStr">
        <is>
          <t>Servicios mantencion externa</t>
        </is>
      </c>
      <c r="H126" s="7" t="n">
        <v>5075.02</v>
      </c>
      <c r="I126" s="7" t="n">
        <v>5299.67</v>
      </c>
      <c r="J126" s="7" t="n">
        <v>5086.14</v>
      </c>
      <c r="K126" s="7" t="n">
        <v>6023.41</v>
      </c>
      <c r="L126" s="7" t="n">
        <v>5878.94</v>
      </c>
      <c r="M126" s="7" t="n">
        <v>4769.53</v>
      </c>
      <c r="N126" s="7" t="n">
        <v>5479.48</v>
      </c>
      <c r="O126" s="7" t="n">
        <v>5247.27</v>
      </c>
      <c r="P126" s="7" t="n">
        <v>4905.84</v>
      </c>
      <c r="Q126" s="7" t="n">
        <v>5810.39</v>
      </c>
      <c r="R126" s="7" t="n">
        <v>4872.71</v>
      </c>
      <c r="S126" s="7" t="n">
        <v>5169.71</v>
      </c>
      <c r="T126" s="8">
        <f>SUM(H126:S126)</f>
        <v/>
      </c>
      <c r="U126" s="2" t="inlineStr">
        <is>
          <t>CONTRACTOR_QUOTE</t>
        </is>
      </c>
    </row>
    <row r="127">
      <c r="A127" s="2" t="inlineStr">
        <is>
          <t>4000_4300</t>
        </is>
      </c>
      <c r="B127" s="2" t="inlineStr">
        <is>
          <t>Aire Comprimido</t>
        </is>
      </c>
      <c r="C127" s="2" t="inlineStr">
        <is>
          <t>SN-4000-4300</t>
        </is>
      </c>
      <c r="D127" s="2" t="inlineStr">
        <is>
          <t>CC-4000</t>
        </is>
      </c>
      <c r="E127" s="2" t="inlineStr">
        <is>
          <t>P03</t>
        </is>
      </c>
      <c r="F127" s="2" t="inlineStr">
        <is>
          <t>OTHER_SERVICES</t>
        </is>
      </c>
      <c r="G127" s="2" t="inlineStr">
        <is>
          <t>Otros servicios de mantencion</t>
        </is>
      </c>
      <c r="H127" s="7" t="n">
        <v>1599.87</v>
      </c>
      <c r="I127" s="7" t="n">
        <v>1458.46</v>
      </c>
      <c r="J127" s="7" t="n">
        <v>1690.46</v>
      </c>
      <c r="K127" s="7" t="n">
        <v>1601.81</v>
      </c>
      <c r="L127" s="7" t="n">
        <v>1583.92</v>
      </c>
      <c r="M127" s="7" t="n">
        <v>1355.74</v>
      </c>
      <c r="N127" s="7" t="n">
        <v>1465.24</v>
      </c>
      <c r="O127" s="7" t="n">
        <v>1687.89</v>
      </c>
      <c r="P127" s="7" t="n">
        <v>1411.34</v>
      </c>
      <c r="Q127" s="7" t="n">
        <v>1610.26</v>
      </c>
      <c r="R127" s="7" t="n">
        <v>1598.67</v>
      </c>
      <c r="S127" s="7" t="n">
        <v>1413.72</v>
      </c>
      <c r="T127" s="8">
        <f>SUM(H127:S127)</f>
        <v/>
      </c>
      <c r="U127" s="2" t="inlineStr">
        <is>
          <t>CONTRACTOR_QUOTE</t>
        </is>
      </c>
    </row>
    <row r="128">
      <c r="A128" s="2" t="inlineStr">
        <is>
          <t>4000_4400</t>
        </is>
      </c>
      <c r="B128" s="2" t="inlineStr">
        <is>
          <t>Distribucion Electrica</t>
        </is>
      </c>
      <c r="C128" s="2" t="inlineStr">
        <is>
          <t>SN-4000-4400</t>
        </is>
      </c>
      <c r="D128" s="2" t="inlineStr">
        <is>
          <t>CC-4000</t>
        </is>
      </c>
      <c r="E128" s="2" t="inlineStr">
        <is>
          <t>P03</t>
        </is>
      </c>
      <c r="F128" s="2" t="inlineStr">
        <is>
          <t>LABOR_INTERNAL</t>
        </is>
      </c>
      <c r="G128" s="2" t="inlineStr">
        <is>
          <t>Mano obra interna mantencion</t>
        </is>
      </c>
      <c r="H128" s="7" t="n">
        <v>16128.47</v>
      </c>
      <c r="I128" s="7" t="n">
        <v>15021.73</v>
      </c>
      <c r="J128" s="7" t="n">
        <v>15193.07</v>
      </c>
      <c r="K128" s="7" t="n">
        <v>16307.83</v>
      </c>
      <c r="L128" s="7" t="n">
        <v>16988.06</v>
      </c>
      <c r="M128" s="7" t="n">
        <v>16916.48</v>
      </c>
      <c r="N128" s="7" t="n">
        <v>16636.51</v>
      </c>
      <c r="O128" s="7" t="n">
        <v>15854.41</v>
      </c>
      <c r="P128" s="7" t="n">
        <v>15920.62</v>
      </c>
      <c r="Q128" s="7" t="n">
        <v>17517.93</v>
      </c>
      <c r="R128" s="7" t="n">
        <v>15292.9</v>
      </c>
      <c r="S128" s="7" t="n">
        <v>15411.02</v>
      </c>
      <c r="T128" s="8">
        <f>SUM(H128:S128)</f>
        <v/>
      </c>
      <c r="U128" s="2" t="inlineStr">
        <is>
          <t>CONTRACTOR_QUOTE</t>
        </is>
      </c>
    </row>
    <row r="129">
      <c r="A129" s="2" t="inlineStr">
        <is>
          <t>4000_4400</t>
        </is>
      </c>
      <c r="B129" s="2" t="inlineStr">
        <is>
          <t>Distribucion Electrica</t>
        </is>
      </c>
      <c r="C129" s="2" t="inlineStr">
        <is>
          <t>SN-4000-4400</t>
        </is>
      </c>
      <c r="D129" s="2" t="inlineStr">
        <is>
          <t>CC-4000</t>
        </is>
      </c>
      <c r="E129" s="2" t="inlineStr">
        <is>
          <t>P03</t>
        </is>
      </c>
      <c r="F129" s="2" t="inlineStr">
        <is>
          <t>SPARE_PARTS</t>
        </is>
      </c>
      <c r="G129" s="2" t="inlineStr">
        <is>
          <t>Repuestos y materiales mecanicos</t>
        </is>
      </c>
      <c r="H129" s="7" t="n">
        <v>22839.06</v>
      </c>
      <c r="I129" s="7" t="n">
        <v>21381.05</v>
      </c>
      <c r="J129" s="7" t="n">
        <v>20783.5</v>
      </c>
      <c r="K129" s="7" t="n">
        <v>21932.84</v>
      </c>
      <c r="L129" s="7" t="n">
        <v>20072.91</v>
      </c>
      <c r="M129" s="7" t="n">
        <v>17929.36</v>
      </c>
      <c r="N129" s="7" t="n">
        <v>20551.15</v>
      </c>
      <c r="O129" s="7" t="n">
        <v>21954.69</v>
      </c>
      <c r="P129" s="7" t="n">
        <v>20413.18</v>
      </c>
      <c r="Q129" s="7" t="n">
        <v>22410.24</v>
      </c>
      <c r="R129" s="7" t="n">
        <v>19344.12</v>
      </c>
      <c r="S129" s="7" t="n">
        <v>18741.75</v>
      </c>
      <c r="T129" s="8">
        <f>SUM(H129:S129)</f>
        <v/>
      </c>
      <c r="U129" s="2" t="inlineStr">
        <is>
          <t>HISTORICAL</t>
        </is>
      </c>
    </row>
    <row r="130">
      <c r="A130" s="2" t="inlineStr">
        <is>
          <t>4000_4400</t>
        </is>
      </c>
      <c r="B130" s="2" t="inlineStr">
        <is>
          <t>Distribucion Electrica</t>
        </is>
      </c>
      <c r="C130" s="2" t="inlineStr">
        <is>
          <t>SN-4000-4400</t>
        </is>
      </c>
      <c r="D130" s="2" t="inlineStr">
        <is>
          <t>CC-4000</t>
        </is>
      </c>
      <c r="E130" s="2" t="inlineStr">
        <is>
          <t>P03</t>
        </is>
      </c>
      <c r="F130" s="2" t="inlineStr">
        <is>
          <t>GET</t>
        </is>
      </c>
      <c r="G130" s="2" t="inlineStr">
        <is>
          <t>Elementos de desgaste (GET)</t>
        </is>
      </c>
      <c r="H130" s="7" t="n">
        <v>8171.39</v>
      </c>
      <c r="I130" s="7" t="n">
        <v>7869.9</v>
      </c>
      <c r="J130" s="7" t="n">
        <v>8312.459999999999</v>
      </c>
      <c r="K130" s="7" t="n">
        <v>8014.48</v>
      </c>
      <c r="L130" s="7" t="n">
        <v>7708.58</v>
      </c>
      <c r="M130" s="7" t="n">
        <v>7253.32</v>
      </c>
      <c r="N130" s="7" t="n">
        <v>7575.21</v>
      </c>
      <c r="O130" s="7" t="n">
        <v>8219.469999999999</v>
      </c>
      <c r="P130" s="7" t="n">
        <v>6976.43</v>
      </c>
      <c r="Q130" s="7" t="n">
        <v>8820.25</v>
      </c>
      <c r="R130" s="7" t="n">
        <v>7913.83</v>
      </c>
      <c r="S130" s="7" t="n">
        <v>8192.4</v>
      </c>
      <c r="T130" s="8">
        <f>SUM(H130:S130)</f>
        <v/>
      </c>
      <c r="U130" s="2" t="inlineStr">
        <is>
          <t>HISTORICAL</t>
        </is>
      </c>
    </row>
    <row r="131">
      <c r="A131" s="2" t="inlineStr">
        <is>
          <t>4000_4400</t>
        </is>
      </c>
      <c r="B131" s="2" t="inlineStr">
        <is>
          <t>Distribucion Electrica</t>
        </is>
      </c>
      <c r="C131" s="2" t="inlineStr">
        <is>
          <t>SN-4000-4400</t>
        </is>
      </c>
      <c r="D131" s="2" t="inlineStr">
        <is>
          <t>CC-4000</t>
        </is>
      </c>
      <c r="E131" s="2" t="inlineStr">
        <is>
          <t>P03</t>
        </is>
      </c>
      <c r="F131" s="2" t="inlineStr">
        <is>
          <t>CONSUMABLES</t>
        </is>
      </c>
      <c r="G131" s="2" t="inlineStr">
        <is>
          <t>Consumibles operacion</t>
        </is>
      </c>
      <c r="H131" s="7" t="n">
        <v>3457.6</v>
      </c>
      <c r="I131" s="7" t="n">
        <v>3704.87</v>
      </c>
      <c r="J131" s="7" t="n">
        <v>3899.53</v>
      </c>
      <c r="K131" s="7" t="n">
        <v>3265.28</v>
      </c>
      <c r="L131" s="7" t="n">
        <v>3358.94</v>
      </c>
      <c r="M131" s="7" t="n">
        <v>3598.48</v>
      </c>
      <c r="N131" s="7" t="n">
        <v>3342.78</v>
      </c>
      <c r="O131" s="7" t="n">
        <v>3849.33</v>
      </c>
      <c r="P131" s="7" t="n">
        <v>3267.21</v>
      </c>
      <c r="Q131" s="7" t="n">
        <v>4124.96</v>
      </c>
      <c r="R131" s="7" t="n">
        <v>3356.55</v>
      </c>
      <c r="S131" s="7" t="n">
        <v>3443.78</v>
      </c>
      <c r="T131" s="8">
        <f>SUM(H131:S131)</f>
        <v/>
      </c>
      <c r="U131" s="2" t="inlineStr">
        <is>
          <t>HISTORICAL</t>
        </is>
      </c>
    </row>
    <row r="132">
      <c r="A132" s="2" t="inlineStr">
        <is>
          <t>4000_4400</t>
        </is>
      </c>
      <c r="B132" s="2" t="inlineStr">
        <is>
          <t>Distribucion Electrica</t>
        </is>
      </c>
      <c r="C132" s="2" t="inlineStr">
        <is>
          <t>SN-4000-4400</t>
        </is>
      </c>
      <c r="D132" s="2" t="inlineStr">
        <is>
          <t>CC-4000</t>
        </is>
      </c>
      <c r="E132" s="2" t="inlineStr">
        <is>
          <t>P03</t>
        </is>
      </c>
      <c r="F132" s="2" t="inlineStr">
        <is>
          <t>LUBRICANTS</t>
        </is>
      </c>
      <c r="G132" s="2" t="inlineStr">
        <is>
          <t>Lubricantes</t>
        </is>
      </c>
      <c r="H132" s="7" t="n">
        <v>5713.38</v>
      </c>
      <c r="I132" s="7" t="n">
        <v>5898.39</v>
      </c>
      <c r="J132" s="7" t="n">
        <v>5940.12</v>
      </c>
      <c r="K132" s="7" t="n">
        <v>6443.57</v>
      </c>
      <c r="L132" s="7" t="n">
        <v>5342.38</v>
      </c>
      <c r="M132" s="7" t="n">
        <v>5459.36</v>
      </c>
      <c r="N132" s="7" t="n">
        <v>5360.41</v>
      </c>
      <c r="O132" s="7" t="n">
        <v>5879.01</v>
      </c>
      <c r="P132" s="7" t="n">
        <v>5287.73</v>
      </c>
      <c r="Q132" s="7" t="n">
        <v>5698.6</v>
      </c>
      <c r="R132" s="7" t="n">
        <v>6000.24</v>
      </c>
      <c r="S132" s="7" t="n">
        <v>5732.52</v>
      </c>
      <c r="T132" s="8">
        <f>SUM(H132:S132)</f>
        <v/>
      </c>
      <c r="U132" s="2" t="inlineStr">
        <is>
          <t>HISTORICAL</t>
        </is>
      </c>
    </row>
    <row r="133">
      <c r="A133" s="2" t="inlineStr">
        <is>
          <t>4000_4400</t>
        </is>
      </c>
      <c r="B133" s="2" t="inlineStr">
        <is>
          <t>Distribucion Electrica</t>
        </is>
      </c>
      <c r="C133" s="2" t="inlineStr">
        <is>
          <t>SN-4000-4400</t>
        </is>
      </c>
      <c r="D133" s="2" t="inlineStr">
        <is>
          <t>CC-4000</t>
        </is>
      </c>
      <c r="E133" s="2" t="inlineStr">
        <is>
          <t>P03</t>
        </is>
      </c>
      <c r="F133" s="2" t="inlineStr">
        <is>
          <t>SVC_FIXED</t>
        </is>
      </c>
      <c r="G133" s="2" t="inlineStr">
        <is>
          <t>Servicios mantencion marco fijo</t>
        </is>
      </c>
      <c r="H133" s="7" t="n">
        <v>9833.219999999999</v>
      </c>
      <c r="I133" s="7" t="n">
        <v>8588.379999999999</v>
      </c>
      <c r="J133" s="7" t="n">
        <v>10588.21</v>
      </c>
      <c r="K133" s="7" t="n">
        <v>9536.24</v>
      </c>
      <c r="L133" s="7" t="n">
        <v>9983.4</v>
      </c>
      <c r="M133" s="7" t="n">
        <v>8426.969999999999</v>
      </c>
      <c r="N133" s="7" t="n">
        <v>9704.73</v>
      </c>
      <c r="O133" s="7" t="n">
        <v>10435.86</v>
      </c>
      <c r="P133" s="7" t="n">
        <v>8804.110000000001</v>
      </c>
      <c r="Q133" s="7" t="n">
        <v>9781.09</v>
      </c>
      <c r="R133" s="7" t="n">
        <v>8596.620000000001</v>
      </c>
      <c r="S133" s="7" t="n">
        <v>10501.33</v>
      </c>
      <c r="T133" s="8">
        <f>SUM(H133:S133)</f>
        <v/>
      </c>
      <c r="U133" s="2" t="inlineStr">
        <is>
          <t>HISTORICAL</t>
        </is>
      </c>
    </row>
    <row r="134">
      <c r="A134" s="2" t="inlineStr">
        <is>
          <t>4000_4400</t>
        </is>
      </c>
      <c r="B134" s="2" t="inlineStr">
        <is>
          <t>Distribucion Electrica</t>
        </is>
      </c>
      <c r="C134" s="2" t="inlineStr">
        <is>
          <t>SN-4000-4400</t>
        </is>
      </c>
      <c r="D134" s="2" t="inlineStr">
        <is>
          <t>CC-4000</t>
        </is>
      </c>
      <c r="E134" s="2" t="inlineStr">
        <is>
          <t>P03</t>
        </is>
      </c>
      <c r="F134" s="2" t="inlineStr">
        <is>
          <t>SVC_VARIABLE</t>
        </is>
      </c>
      <c r="G134" s="2" t="inlineStr">
        <is>
          <t>Servicios mantencion marco variable</t>
        </is>
      </c>
      <c r="H134" s="7" t="n">
        <v>7658.13</v>
      </c>
      <c r="I134" s="7" t="n">
        <v>7750.99</v>
      </c>
      <c r="J134" s="7" t="n">
        <v>8081.7</v>
      </c>
      <c r="K134" s="7" t="n">
        <v>7367.06</v>
      </c>
      <c r="L134" s="7" t="n">
        <v>7868.27</v>
      </c>
      <c r="M134" s="7" t="n">
        <v>7813.92</v>
      </c>
      <c r="N134" s="7" t="n">
        <v>8286.530000000001</v>
      </c>
      <c r="O134" s="7" t="n">
        <v>7929.97</v>
      </c>
      <c r="P134" s="7" t="n">
        <v>7813.87</v>
      </c>
      <c r="Q134" s="7" t="n">
        <v>8949.34</v>
      </c>
      <c r="R134" s="7" t="n">
        <v>7179.81</v>
      </c>
      <c r="S134" s="7" t="n">
        <v>7859.72</v>
      </c>
      <c r="T134" s="8">
        <f>SUM(H134:S134)</f>
        <v/>
      </c>
      <c r="U134" s="2" t="inlineStr">
        <is>
          <t>HISTORICAL</t>
        </is>
      </c>
    </row>
    <row r="135">
      <c r="A135" s="2" t="inlineStr">
        <is>
          <t>4000_4400</t>
        </is>
      </c>
      <c r="B135" s="2" t="inlineStr">
        <is>
          <t>Distribucion Electrica</t>
        </is>
      </c>
      <c r="C135" s="2" t="inlineStr">
        <is>
          <t>SN-4000-4400</t>
        </is>
      </c>
      <c r="D135" s="2" t="inlineStr">
        <is>
          <t>CC-4000</t>
        </is>
      </c>
      <c r="E135" s="2" t="inlineStr">
        <is>
          <t>P03</t>
        </is>
      </c>
      <c r="F135" s="2" t="inlineStr">
        <is>
          <t>SVC_EXTERNAL</t>
        </is>
      </c>
      <c r="G135" s="2" t="inlineStr">
        <is>
          <t>Servicios mantencion externa</t>
        </is>
      </c>
      <c r="H135" s="7" t="n">
        <v>7422.52</v>
      </c>
      <c r="I135" s="7" t="n">
        <v>6911.27</v>
      </c>
      <c r="J135" s="7" t="n">
        <v>7341.02</v>
      </c>
      <c r="K135" s="7" t="n">
        <v>7459.84</v>
      </c>
      <c r="L135" s="7" t="n">
        <v>6595.34</v>
      </c>
      <c r="M135" s="7" t="n">
        <v>6537.05</v>
      </c>
      <c r="N135" s="7" t="n">
        <v>7127.25</v>
      </c>
      <c r="O135" s="7" t="n">
        <v>6407.54</v>
      </c>
      <c r="P135" s="7" t="n">
        <v>6925.39</v>
      </c>
      <c r="Q135" s="7" t="n">
        <v>7286.54</v>
      </c>
      <c r="R135" s="7" t="n">
        <v>6966.67</v>
      </c>
      <c r="S135" s="7" t="n">
        <v>7780.18</v>
      </c>
      <c r="T135" s="8">
        <f>SUM(H135:S135)</f>
        <v/>
      </c>
      <c r="U135" s="2" t="inlineStr">
        <is>
          <t>HISTORICAL</t>
        </is>
      </c>
    </row>
    <row r="136">
      <c r="A136" s="2" t="inlineStr">
        <is>
          <t>4000_4400</t>
        </is>
      </c>
      <c r="B136" s="2" t="inlineStr">
        <is>
          <t>Distribucion Electrica</t>
        </is>
      </c>
      <c r="C136" s="2" t="inlineStr">
        <is>
          <t>SN-4000-4400</t>
        </is>
      </c>
      <c r="D136" s="2" t="inlineStr">
        <is>
          <t>CC-4000</t>
        </is>
      </c>
      <c r="E136" s="2" t="inlineStr">
        <is>
          <t>P03</t>
        </is>
      </c>
      <c r="F136" s="2" t="inlineStr">
        <is>
          <t>OTHER_SERVICES</t>
        </is>
      </c>
      <c r="G136" s="2" t="inlineStr">
        <is>
          <t>Otros servicios de mantencion</t>
        </is>
      </c>
      <c r="H136" s="7" t="n">
        <v>2889.17</v>
      </c>
      <c r="I136" s="7" t="n">
        <v>2695.1</v>
      </c>
      <c r="J136" s="7" t="n">
        <v>3260.61</v>
      </c>
      <c r="K136" s="7" t="n">
        <v>2939.79</v>
      </c>
      <c r="L136" s="7" t="n">
        <v>2774.95</v>
      </c>
      <c r="M136" s="7" t="n">
        <v>2991.12</v>
      </c>
      <c r="N136" s="7" t="n">
        <v>2887.11</v>
      </c>
      <c r="O136" s="7" t="n">
        <v>3058.34</v>
      </c>
      <c r="P136" s="7" t="n">
        <v>2747.04</v>
      </c>
      <c r="Q136" s="7" t="n">
        <v>3128.32</v>
      </c>
      <c r="R136" s="7" t="n">
        <v>2898.38</v>
      </c>
      <c r="S136" s="7" t="n">
        <v>2931.49</v>
      </c>
      <c r="T136" s="8">
        <f>SUM(H136:S136)</f>
        <v/>
      </c>
      <c r="U136" s="2" t="inlineStr">
        <is>
          <t>ENGINEERING_ESTIMATE</t>
        </is>
      </c>
    </row>
    <row r="137">
      <c r="A137" s="2" t="inlineStr">
        <is>
          <t>4000_4500</t>
        </is>
      </c>
      <c r="B137" s="2" t="inlineStr">
        <is>
          <t>Sistema de Combustible</t>
        </is>
      </c>
      <c r="C137" s="2" t="inlineStr">
        <is>
          <t>SN-4000-4500</t>
        </is>
      </c>
      <c r="D137" s="2" t="inlineStr">
        <is>
          <t>CC-4000</t>
        </is>
      </c>
      <c r="E137" s="2" t="inlineStr">
        <is>
          <t>P03</t>
        </is>
      </c>
      <c r="F137" s="2" t="inlineStr">
        <is>
          <t>LABOR_INTERNAL</t>
        </is>
      </c>
      <c r="G137" s="2" t="inlineStr">
        <is>
          <t>Mano obra interna mantencion</t>
        </is>
      </c>
      <c r="H137" s="7" t="n">
        <v>6869.73</v>
      </c>
      <c r="I137" s="7" t="n">
        <v>7177.99</v>
      </c>
      <c r="J137" s="7" t="n">
        <v>7161.05</v>
      </c>
      <c r="K137" s="7" t="n">
        <v>7961.17</v>
      </c>
      <c r="L137" s="7" t="n">
        <v>7135.1</v>
      </c>
      <c r="M137" s="7" t="n">
        <v>6762.29</v>
      </c>
      <c r="N137" s="7" t="n">
        <v>7221.78</v>
      </c>
      <c r="O137" s="7" t="n">
        <v>7005.46</v>
      </c>
      <c r="P137" s="7" t="n">
        <v>6636.95</v>
      </c>
      <c r="Q137" s="7" t="n">
        <v>8118.81</v>
      </c>
      <c r="R137" s="7" t="n">
        <v>7713.69</v>
      </c>
      <c r="S137" s="7" t="n">
        <v>7343.01</v>
      </c>
      <c r="T137" s="8">
        <f>SUM(H137:S137)</f>
        <v/>
      </c>
      <c r="U137" s="2" t="inlineStr">
        <is>
          <t>HISTORICAL</t>
        </is>
      </c>
    </row>
    <row r="138">
      <c r="A138" s="2" t="inlineStr">
        <is>
          <t>4000_4500</t>
        </is>
      </c>
      <c r="B138" s="2" t="inlineStr">
        <is>
          <t>Sistema de Combustible</t>
        </is>
      </c>
      <c r="C138" s="2" t="inlineStr">
        <is>
          <t>SN-4000-4500</t>
        </is>
      </c>
      <c r="D138" s="2" t="inlineStr">
        <is>
          <t>CC-4000</t>
        </is>
      </c>
      <c r="E138" s="2" t="inlineStr">
        <is>
          <t>P03</t>
        </is>
      </c>
      <c r="F138" s="2" t="inlineStr">
        <is>
          <t>SPARE_PARTS</t>
        </is>
      </c>
      <c r="G138" s="2" t="inlineStr">
        <is>
          <t>Repuestos y materiales mecanicos</t>
        </is>
      </c>
      <c r="H138" s="7" t="n">
        <v>10444.39</v>
      </c>
      <c r="I138" s="7" t="n">
        <v>10699.28</v>
      </c>
      <c r="J138" s="7" t="n">
        <v>11557.83</v>
      </c>
      <c r="K138" s="7" t="n">
        <v>11793.65</v>
      </c>
      <c r="L138" s="7" t="n">
        <v>10424.49</v>
      </c>
      <c r="M138" s="7" t="n">
        <v>10669.37</v>
      </c>
      <c r="N138" s="7" t="n">
        <v>11466.72</v>
      </c>
      <c r="O138" s="7" t="n">
        <v>11326.26</v>
      </c>
      <c r="P138" s="7" t="n">
        <v>10686.65</v>
      </c>
      <c r="Q138" s="7" t="n">
        <v>12594.86</v>
      </c>
      <c r="R138" s="7" t="n">
        <v>10686.11</v>
      </c>
      <c r="S138" s="7" t="n">
        <v>10477.64</v>
      </c>
      <c r="T138" s="8">
        <f>SUM(H138:S138)</f>
        <v/>
      </c>
      <c r="U138" s="2" t="inlineStr">
        <is>
          <t>HISTORICAL</t>
        </is>
      </c>
    </row>
    <row r="139">
      <c r="A139" s="2" t="inlineStr">
        <is>
          <t>4000_4500</t>
        </is>
      </c>
      <c r="B139" s="2" t="inlineStr">
        <is>
          <t>Sistema de Combustible</t>
        </is>
      </c>
      <c r="C139" s="2" t="inlineStr">
        <is>
          <t>SN-4000-4500</t>
        </is>
      </c>
      <c r="D139" s="2" t="inlineStr">
        <is>
          <t>CC-4000</t>
        </is>
      </c>
      <c r="E139" s="2" t="inlineStr">
        <is>
          <t>P03</t>
        </is>
      </c>
      <c r="F139" s="2" t="inlineStr">
        <is>
          <t>GET</t>
        </is>
      </c>
      <c r="G139" s="2" t="inlineStr">
        <is>
          <t>Elementos de desgaste (GET)</t>
        </is>
      </c>
      <c r="H139" s="7" t="n">
        <v>3756.46</v>
      </c>
      <c r="I139" s="7" t="n">
        <v>3684.77</v>
      </c>
      <c r="J139" s="7" t="n">
        <v>3980.51</v>
      </c>
      <c r="K139" s="7" t="n">
        <v>3813.99</v>
      </c>
      <c r="L139" s="7" t="n">
        <v>3652.16</v>
      </c>
      <c r="M139" s="7" t="n">
        <v>3503.37</v>
      </c>
      <c r="N139" s="7" t="n">
        <v>3383.6</v>
      </c>
      <c r="O139" s="7" t="n">
        <v>3875.77</v>
      </c>
      <c r="P139" s="7" t="n">
        <v>3335.83</v>
      </c>
      <c r="Q139" s="7" t="n">
        <v>3619.33</v>
      </c>
      <c r="R139" s="7" t="n">
        <v>3240.51</v>
      </c>
      <c r="S139" s="7" t="n">
        <v>3833.81</v>
      </c>
      <c r="T139" s="8">
        <f>SUM(H139:S139)</f>
        <v/>
      </c>
      <c r="U139" s="2" t="inlineStr">
        <is>
          <t>HISTORICAL</t>
        </is>
      </c>
    </row>
    <row r="140">
      <c r="A140" s="2" t="inlineStr">
        <is>
          <t>4000_4500</t>
        </is>
      </c>
      <c r="B140" s="2" t="inlineStr">
        <is>
          <t>Sistema de Combustible</t>
        </is>
      </c>
      <c r="C140" s="2" t="inlineStr">
        <is>
          <t>SN-4000-4500</t>
        </is>
      </c>
      <c r="D140" s="2" t="inlineStr">
        <is>
          <t>CC-4000</t>
        </is>
      </c>
      <c r="E140" s="2" t="inlineStr">
        <is>
          <t>P03</t>
        </is>
      </c>
      <c r="F140" s="2" t="inlineStr">
        <is>
          <t>CONSUMABLES</t>
        </is>
      </c>
      <c r="G140" s="2" t="inlineStr">
        <is>
          <t>Consumibles operacion</t>
        </is>
      </c>
      <c r="H140" s="7" t="n">
        <v>1627.06</v>
      </c>
      <c r="I140" s="7" t="n">
        <v>1693.58</v>
      </c>
      <c r="J140" s="7" t="n">
        <v>1639.61</v>
      </c>
      <c r="K140" s="7" t="n">
        <v>1752.96</v>
      </c>
      <c r="L140" s="7" t="n">
        <v>1704.99</v>
      </c>
      <c r="M140" s="7" t="n">
        <v>1656.55</v>
      </c>
      <c r="N140" s="7" t="n">
        <v>1646.48</v>
      </c>
      <c r="O140" s="7" t="n">
        <v>1680.24</v>
      </c>
      <c r="P140" s="7" t="n">
        <v>1433.52</v>
      </c>
      <c r="Q140" s="7" t="n">
        <v>1604.19</v>
      </c>
      <c r="R140" s="7" t="n">
        <v>1575.61</v>
      </c>
      <c r="S140" s="7" t="n">
        <v>1480.37</v>
      </c>
      <c r="T140" s="8">
        <f>SUM(H140:S140)</f>
        <v/>
      </c>
      <c r="U140" s="2" t="inlineStr">
        <is>
          <t>HISTORICAL</t>
        </is>
      </c>
    </row>
    <row r="141">
      <c r="A141" s="2" t="inlineStr">
        <is>
          <t>4000_4500</t>
        </is>
      </c>
      <c r="B141" s="2" t="inlineStr">
        <is>
          <t>Sistema de Combustible</t>
        </is>
      </c>
      <c r="C141" s="2" t="inlineStr">
        <is>
          <t>SN-4000-4500</t>
        </is>
      </c>
      <c r="D141" s="2" t="inlineStr">
        <is>
          <t>CC-4000</t>
        </is>
      </c>
      <c r="E141" s="2" t="inlineStr">
        <is>
          <t>P03</t>
        </is>
      </c>
      <c r="F141" s="2" t="inlineStr">
        <is>
          <t>LUBRICANTS</t>
        </is>
      </c>
      <c r="G141" s="2" t="inlineStr">
        <is>
          <t>Lubricantes</t>
        </is>
      </c>
      <c r="H141" s="7" t="n">
        <v>1910.75</v>
      </c>
      <c r="I141" s="7" t="n">
        <v>2148.33</v>
      </c>
      <c r="J141" s="7" t="n">
        <v>2153.9</v>
      </c>
      <c r="K141" s="7" t="n">
        <v>2135.83</v>
      </c>
      <c r="L141" s="7" t="n">
        <v>1971.37</v>
      </c>
      <c r="M141" s="7" t="n">
        <v>1907.87</v>
      </c>
      <c r="N141" s="7" t="n">
        <v>1951.68</v>
      </c>
      <c r="O141" s="7" t="n">
        <v>2002.61</v>
      </c>
      <c r="P141" s="7" t="n">
        <v>1923.34</v>
      </c>
      <c r="Q141" s="7" t="n">
        <v>2052.76</v>
      </c>
      <c r="R141" s="7" t="n">
        <v>1872.21</v>
      </c>
      <c r="S141" s="7" t="n">
        <v>2058.76</v>
      </c>
      <c r="T141" s="8">
        <f>SUM(H141:S141)</f>
        <v/>
      </c>
      <c r="U141" s="2" t="inlineStr">
        <is>
          <t>HISTORICAL</t>
        </is>
      </c>
    </row>
    <row r="142">
      <c r="A142" s="2" t="inlineStr">
        <is>
          <t>4000_4500</t>
        </is>
      </c>
      <c r="B142" s="2" t="inlineStr">
        <is>
          <t>Sistema de Combustible</t>
        </is>
      </c>
      <c r="C142" s="2" t="inlineStr">
        <is>
          <t>SN-4000-4500</t>
        </is>
      </c>
      <c r="D142" s="2" t="inlineStr">
        <is>
          <t>CC-4000</t>
        </is>
      </c>
      <c r="E142" s="2" t="inlineStr">
        <is>
          <t>P03</t>
        </is>
      </c>
      <c r="F142" s="2" t="inlineStr">
        <is>
          <t>SVC_FIXED</t>
        </is>
      </c>
      <c r="G142" s="2" t="inlineStr">
        <is>
          <t>Servicios mantencion marco fijo</t>
        </is>
      </c>
      <c r="H142" s="7" t="n">
        <v>5823.84</v>
      </c>
      <c r="I142" s="7" t="n">
        <v>5105.74</v>
      </c>
      <c r="J142" s="7" t="n">
        <v>5475.25</v>
      </c>
      <c r="K142" s="7" t="n">
        <v>6000.4</v>
      </c>
      <c r="L142" s="7" t="n">
        <v>5652.05</v>
      </c>
      <c r="M142" s="7" t="n">
        <v>4833.16</v>
      </c>
      <c r="N142" s="7" t="n">
        <v>5126.78</v>
      </c>
      <c r="O142" s="7" t="n">
        <v>4909.88</v>
      </c>
      <c r="P142" s="7" t="n">
        <v>5167.01</v>
      </c>
      <c r="Q142" s="7" t="n">
        <v>5568.74</v>
      </c>
      <c r="R142" s="7" t="n">
        <v>5226.86</v>
      </c>
      <c r="S142" s="7" t="n">
        <v>5731.37</v>
      </c>
      <c r="T142" s="8">
        <f>SUM(H142:S142)</f>
        <v/>
      </c>
      <c r="U142" s="2" t="inlineStr">
        <is>
          <t>ENGINEERING_ESTIMATE</t>
        </is>
      </c>
    </row>
    <row r="143">
      <c r="A143" s="2" t="inlineStr">
        <is>
          <t>4000_4500</t>
        </is>
      </c>
      <c r="B143" s="2" t="inlineStr">
        <is>
          <t>Sistema de Combustible</t>
        </is>
      </c>
      <c r="C143" s="2" t="inlineStr">
        <is>
          <t>SN-4000-4500</t>
        </is>
      </c>
      <c r="D143" s="2" t="inlineStr">
        <is>
          <t>CC-4000</t>
        </is>
      </c>
      <c r="E143" s="2" t="inlineStr">
        <is>
          <t>P03</t>
        </is>
      </c>
      <c r="F143" s="2" t="inlineStr">
        <is>
          <t>SVC_VARIABLE</t>
        </is>
      </c>
      <c r="G143" s="2" t="inlineStr">
        <is>
          <t>Servicios mantencion marco variable</t>
        </is>
      </c>
      <c r="H143" s="7" t="n">
        <v>2865.43</v>
      </c>
      <c r="I143" s="7" t="n">
        <v>3121.13</v>
      </c>
      <c r="J143" s="7" t="n">
        <v>2983.77</v>
      </c>
      <c r="K143" s="7" t="n">
        <v>3222.91</v>
      </c>
      <c r="L143" s="7" t="n">
        <v>2726.58</v>
      </c>
      <c r="M143" s="7" t="n">
        <v>3065.79</v>
      </c>
      <c r="N143" s="7" t="n">
        <v>2953.94</v>
      </c>
      <c r="O143" s="7" t="n">
        <v>2765.08</v>
      </c>
      <c r="P143" s="7" t="n">
        <v>2777.16</v>
      </c>
      <c r="Q143" s="7" t="n">
        <v>3431.38</v>
      </c>
      <c r="R143" s="7" t="n">
        <v>2804.51</v>
      </c>
      <c r="S143" s="7" t="n">
        <v>2813</v>
      </c>
      <c r="T143" s="8">
        <f>SUM(H143:S143)</f>
        <v/>
      </c>
      <c r="U143" s="2" t="inlineStr">
        <is>
          <t>CONTRACTOR_QUOTE</t>
        </is>
      </c>
    </row>
    <row r="144">
      <c r="A144" s="2" t="inlineStr">
        <is>
          <t>4000_4500</t>
        </is>
      </c>
      <c r="B144" s="2" t="inlineStr">
        <is>
          <t>Sistema de Combustible</t>
        </is>
      </c>
      <c r="C144" s="2" t="inlineStr">
        <is>
          <t>SN-4000-4500</t>
        </is>
      </c>
      <c r="D144" s="2" t="inlineStr">
        <is>
          <t>CC-4000</t>
        </is>
      </c>
      <c r="E144" s="2" t="inlineStr">
        <is>
          <t>P03</t>
        </is>
      </c>
      <c r="F144" s="2" t="inlineStr">
        <is>
          <t>SVC_EXTERNAL</t>
        </is>
      </c>
      <c r="G144" s="2" t="inlineStr">
        <is>
          <t>Servicios mantencion externa</t>
        </is>
      </c>
      <c r="H144" s="7" t="n">
        <v>4367.36</v>
      </c>
      <c r="I144" s="7" t="n">
        <v>4140.51</v>
      </c>
      <c r="J144" s="7" t="n">
        <v>4351.41</v>
      </c>
      <c r="K144" s="7" t="n">
        <v>4475.75</v>
      </c>
      <c r="L144" s="7" t="n">
        <v>4129.44</v>
      </c>
      <c r="M144" s="7" t="n">
        <v>4362.23</v>
      </c>
      <c r="N144" s="7" t="n">
        <v>4813.95</v>
      </c>
      <c r="O144" s="7" t="n">
        <v>4819.93</v>
      </c>
      <c r="P144" s="7" t="n">
        <v>4426.57</v>
      </c>
      <c r="Q144" s="7" t="n">
        <v>4788.25</v>
      </c>
      <c r="R144" s="7" t="n">
        <v>4692.33</v>
      </c>
      <c r="S144" s="7" t="n">
        <v>4769.29</v>
      </c>
      <c r="T144" s="8">
        <f>SUM(H144:S144)</f>
        <v/>
      </c>
      <c r="U144" s="2" t="inlineStr">
        <is>
          <t>ENGINEERING_ESTIMATE</t>
        </is>
      </c>
    </row>
    <row r="145">
      <c r="A145" s="2" t="inlineStr">
        <is>
          <t>4000_4500</t>
        </is>
      </c>
      <c r="B145" s="2" t="inlineStr">
        <is>
          <t>Sistema de Combustible</t>
        </is>
      </c>
      <c r="C145" s="2" t="inlineStr">
        <is>
          <t>SN-4000-4500</t>
        </is>
      </c>
      <c r="D145" s="2" t="inlineStr">
        <is>
          <t>CC-4000</t>
        </is>
      </c>
      <c r="E145" s="2" t="inlineStr">
        <is>
          <t>P03</t>
        </is>
      </c>
      <c r="F145" s="2" t="inlineStr">
        <is>
          <t>OTHER_SERVICES</t>
        </is>
      </c>
      <c r="G145" s="2" t="inlineStr">
        <is>
          <t>Otros servicios de mantencion</t>
        </is>
      </c>
      <c r="H145" s="7" t="n">
        <v>1503</v>
      </c>
      <c r="I145" s="7" t="n">
        <v>1590.83</v>
      </c>
      <c r="J145" s="7" t="n">
        <v>1509.37</v>
      </c>
      <c r="K145" s="7" t="n">
        <v>1756.52</v>
      </c>
      <c r="L145" s="7" t="n">
        <v>1619.95</v>
      </c>
      <c r="M145" s="7" t="n">
        <v>1580.92</v>
      </c>
      <c r="N145" s="7" t="n">
        <v>1630.07</v>
      </c>
      <c r="O145" s="7" t="n">
        <v>1445.25</v>
      </c>
      <c r="P145" s="7" t="n">
        <v>1454.05</v>
      </c>
      <c r="Q145" s="7" t="n">
        <v>1747.66</v>
      </c>
      <c r="R145" s="7" t="n">
        <v>1440.28</v>
      </c>
      <c r="S145" s="7" t="n">
        <v>1653.6</v>
      </c>
      <c r="T145" s="8">
        <f>SUM(H145:S145)</f>
        <v/>
      </c>
      <c r="U145" s="2" t="inlineStr">
        <is>
          <t>ENGINEERING_ESTIMATE</t>
        </is>
      </c>
    </row>
    <row r="146">
      <c r="A146" s="2" t="inlineStr">
        <is>
          <t>4000_4600</t>
        </is>
      </c>
      <c r="B146" s="2" t="inlineStr">
        <is>
          <t>Comunicaciones y Control</t>
        </is>
      </c>
      <c r="C146" s="2" t="inlineStr">
        <is>
          <t>SN-4000-4600</t>
        </is>
      </c>
      <c r="D146" s="2" t="inlineStr">
        <is>
          <t>CC-4000</t>
        </is>
      </c>
      <c r="E146" s="2" t="inlineStr">
        <is>
          <t>P03</t>
        </is>
      </c>
      <c r="F146" s="2" t="inlineStr">
        <is>
          <t>LABOR_INTERNAL</t>
        </is>
      </c>
      <c r="G146" s="2" t="inlineStr">
        <is>
          <t>Mano obra interna mantencion</t>
        </is>
      </c>
      <c r="H146" s="7" t="n">
        <v>9775.99</v>
      </c>
      <c r="I146" s="7" t="n">
        <v>10803.15</v>
      </c>
      <c r="J146" s="7" t="n">
        <v>9470.690000000001</v>
      </c>
      <c r="K146" s="7" t="n">
        <v>9904.4</v>
      </c>
      <c r="L146" s="7" t="n">
        <v>9895</v>
      </c>
      <c r="M146" s="7" t="n">
        <v>10076.47</v>
      </c>
      <c r="N146" s="7" t="n">
        <v>11206.41</v>
      </c>
      <c r="O146" s="7" t="n">
        <v>9917.83</v>
      </c>
      <c r="P146" s="7" t="n">
        <v>10335.54</v>
      </c>
      <c r="Q146" s="7" t="n">
        <v>10694.75</v>
      </c>
      <c r="R146" s="7" t="n">
        <v>10248.8</v>
      </c>
      <c r="S146" s="7" t="n">
        <v>9647.75</v>
      </c>
      <c r="T146" s="8">
        <f>SUM(H146:S146)</f>
        <v/>
      </c>
      <c r="U146" s="2" t="inlineStr">
        <is>
          <t>HISTORICAL</t>
        </is>
      </c>
    </row>
    <row r="147">
      <c r="A147" s="2" t="inlineStr">
        <is>
          <t>4000_4600</t>
        </is>
      </c>
      <c r="B147" s="2" t="inlineStr">
        <is>
          <t>Comunicaciones y Control</t>
        </is>
      </c>
      <c r="C147" s="2" t="inlineStr">
        <is>
          <t>SN-4000-4600</t>
        </is>
      </c>
      <c r="D147" s="2" t="inlineStr">
        <is>
          <t>CC-4000</t>
        </is>
      </c>
      <c r="E147" s="2" t="inlineStr">
        <is>
          <t>P03</t>
        </is>
      </c>
      <c r="F147" s="2" t="inlineStr">
        <is>
          <t>SPARE_PARTS</t>
        </is>
      </c>
      <c r="G147" s="2" t="inlineStr">
        <is>
          <t>Repuestos y materiales mecanicos</t>
        </is>
      </c>
      <c r="H147" s="7" t="n">
        <v>14448.51</v>
      </c>
      <c r="I147" s="7" t="n">
        <v>13317.99</v>
      </c>
      <c r="J147" s="7" t="n">
        <v>15215.41</v>
      </c>
      <c r="K147" s="7" t="n">
        <v>14824.24</v>
      </c>
      <c r="L147" s="7" t="n">
        <v>13744.21</v>
      </c>
      <c r="M147" s="7" t="n">
        <v>15175.75</v>
      </c>
      <c r="N147" s="7" t="n">
        <v>14987.41</v>
      </c>
      <c r="O147" s="7" t="n">
        <v>14222.65</v>
      </c>
      <c r="P147" s="7" t="n">
        <v>15023.31</v>
      </c>
      <c r="Q147" s="7" t="n">
        <v>14685.77</v>
      </c>
      <c r="R147" s="7" t="n">
        <v>15202.25</v>
      </c>
      <c r="S147" s="7" t="n">
        <v>14097.29</v>
      </c>
      <c r="T147" s="8">
        <f>SUM(H147:S147)</f>
        <v/>
      </c>
      <c r="U147" s="2" t="inlineStr">
        <is>
          <t>HISTORICAL</t>
        </is>
      </c>
    </row>
    <row r="148">
      <c r="A148" s="2" t="inlineStr">
        <is>
          <t>4000_4600</t>
        </is>
      </c>
      <c r="B148" s="2" t="inlineStr">
        <is>
          <t>Comunicaciones y Control</t>
        </is>
      </c>
      <c r="C148" s="2" t="inlineStr">
        <is>
          <t>SN-4000-4600</t>
        </is>
      </c>
      <c r="D148" s="2" t="inlineStr">
        <is>
          <t>CC-4000</t>
        </is>
      </c>
      <c r="E148" s="2" t="inlineStr">
        <is>
          <t>P03</t>
        </is>
      </c>
      <c r="F148" s="2" t="inlineStr">
        <is>
          <t>GET</t>
        </is>
      </c>
      <c r="G148" s="2" t="inlineStr">
        <is>
          <t>Elementos de desgaste (GET)</t>
        </is>
      </c>
      <c r="H148" s="7" t="n">
        <v>4281.08</v>
      </c>
      <c r="I148" s="7" t="n">
        <v>4152.99</v>
      </c>
      <c r="J148" s="7" t="n">
        <v>3790.11</v>
      </c>
      <c r="K148" s="7" t="n">
        <v>3974.67</v>
      </c>
      <c r="L148" s="7" t="n">
        <v>4149.21</v>
      </c>
      <c r="M148" s="7" t="n">
        <v>4186.36</v>
      </c>
      <c r="N148" s="7" t="n">
        <v>4202.02</v>
      </c>
      <c r="O148" s="7" t="n">
        <v>3869.01</v>
      </c>
      <c r="P148" s="7" t="n">
        <v>3787.19</v>
      </c>
      <c r="Q148" s="7" t="n">
        <v>4509.97</v>
      </c>
      <c r="R148" s="7" t="n">
        <v>3645.58</v>
      </c>
      <c r="S148" s="7" t="n">
        <v>4159.44</v>
      </c>
      <c r="T148" s="8">
        <f>SUM(H148:S148)</f>
        <v/>
      </c>
      <c r="U148" s="2" t="inlineStr">
        <is>
          <t>HISTORICAL</t>
        </is>
      </c>
    </row>
    <row r="149">
      <c r="A149" s="2" t="inlineStr">
        <is>
          <t>4000_4600</t>
        </is>
      </c>
      <c r="B149" s="2" t="inlineStr">
        <is>
          <t>Comunicaciones y Control</t>
        </is>
      </c>
      <c r="C149" s="2" t="inlineStr">
        <is>
          <t>SN-4000-4600</t>
        </is>
      </c>
      <c r="D149" s="2" t="inlineStr">
        <is>
          <t>CC-4000</t>
        </is>
      </c>
      <c r="E149" s="2" t="inlineStr">
        <is>
          <t>P03</t>
        </is>
      </c>
      <c r="F149" s="2" t="inlineStr">
        <is>
          <t>CONSUMABLES</t>
        </is>
      </c>
      <c r="G149" s="2" t="inlineStr">
        <is>
          <t>Consumibles operacion</t>
        </is>
      </c>
      <c r="H149" s="7" t="n">
        <v>2504.56</v>
      </c>
      <c r="I149" s="7" t="n">
        <v>2422.25</v>
      </c>
      <c r="J149" s="7" t="n">
        <v>2702.93</v>
      </c>
      <c r="K149" s="7" t="n">
        <v>2411.96</v>
      </c>
      <c r="L149" s="7" t="n">
        <v>2384.32</v>
      </c>
      <c r="M149" s="7" t="n">
        <v>2132.28</v>
      </c>
      <c r="N149" s="7" t="n">
        <v>2418.52</v>
      </c>
      <c r="O149" s="7" t="n">
        <v>2170.5</v>
      </c>
      <c r="P149" s="7" t="n">
        <v>2072.7</v>
      </c>
      <c r="Q149" s="7" t="n">
        <v>2412.27</v>
      </c>
      <c r="R149" s="7" t="n">
        <v>2379.29</v>
      </c>
      <c r="S149" s="7" t="n">
        <v>2462.52</v>
      </c>
      <c r="T149" s="8">
        <f>SUM(H149:S149)</f>
        <v/>
      </c>
      <c r="U149" s="2" t="inlineStr">
        <is>
          <t>CONTRACTOR_QUOTE</t>
        </is>
      </c>
    </row>
    <row r="150">
      <c r="A150" s="2" t="inlineStr">
        <is>
          <t>4000_4600</t>
        </is>
      </c>
      <c r="B150" s="2" t="inlineStr">
        <is>
          <t>Comunicaciones y Control</t>
        </is>
      </c>
      <c r="C150" s="2" t="inlineStr">
        <is>
          <t>SN-4000-4600</t>
        </is>
      </c>
      <c r="D150" s="2" t="inlineStr">
        <is>
          <t>CC-4000</t>
        </is>
      </c>
      <c r="E150" s="2" t="inlineStr">
        <is>
          <t>P03</t>
        </is>
      </c>
      <c r="F150" s="2" t="inlineStr">
        <is>
          <t>LUBRICANTS</t>
        </is>
      </c>
      <c r="G150" s="2" t="inlineStr">
        <is>
          <t>Lubricantes</t>
        </is>
      </c>
      <c r="H150" s="7" t="n">
        <v>3070.12</v>
      </c>
      <c r="I150" s="7" t="n">
        <v>2775.36</v>
      </c>
      <c r="J150" s="7" t="n">
        <v>3269.63</v>
      </c>
      <c r="K150" s="7" t="n">
        <v>2782.6</v>
      </c>
      <c r="L150" s="7" t="n">
        <v>2946.43</v>
      </c>
      <c r="M150" s="7" t="n">
        <v>2709.7</v>
      </c>
      <c r="N150" s="7" t="n">
        <v>3187.91</v>
      </c>
      <c r="O150" s="7" t="n">
        <v>3125.11</v>
      </c>
      <c r="P150" s="7" t="n">
        <v>2930.05</v>
      </c>
      <c r="Q150" s="7" t="n">
        <v>3030.58</v>
      </c>
      <c r="R150" s="7" t="n">
        <v>3024.89</v>
      </c>
      <c r="S150" s="7" t="n">
        <v>3184.62</v>
      </c>
      <c r="T150" s="8">
        <f>SUM(H150:S150)</f>
        <v/>
      </c>
      <c r="U150" s="2" t="inlineStr">
        <is>
          <t>HISTORICAL</t>
        </is>
      </c>
    </row>
    <row r="151">
      <c r="A151" s="2" t="inlineStr">
        <is>
          <t>4000_4600</t>
        </is>
      </c>
      <c r="B151" s="2" t="inlineStr">
        <is>
          <t>Comunicaciones y Control</t>
        </is>
      </c>
      <c r="C151" s="2" t="inlineStr">
        <is>
          <t>SN-4000-4600</t>
        </is>
      </c>
      <c r="D151" s="2" t="inlineStr">
        <is>
          <t>CC-4000</t>
        </is>
      </c>
      <c r="E151" s="2" t="inlineStr">
        <is>
          <t>P03</t>
        </is>
      </c>
      <c r="F151" s="2" t="inlineStr">
        <is>
          <t>SVC_FIXED</t>
        </is>
      </c>
      <c r="G151" s="2" t="inlineStr">
        <is>
          <t>Servicios mantencion marco fijo</t>
        </is>
      </c>
      <c r="H151" s="7" t="n">
        <v>5444.84</v>
      </c>
      <c r="I151" s="7" t="n">
        <v>5933.21</v>
      </c>
      <c r="J151" s="7" t="n">
        <v>5652.15</v>
      </c>
      <c r="K151" s="7" t="n">
        <v>5662.02</v>
      </c>
      <c r="L151" s="7" t="n">
        <v>5268.18</v>
      </c>
      <c r="M151" s="7" t="n">
        <v>5540.12</v>
      </c>
      <c r="N151" s="7" t="n">
        <v>5272.96</v>
      </c>
      <c r="O151" s="7" t="n">
        <v>6210.7</v>
      </c>
      <c r="P151" s="7" t="n">
        <v>4899.04</v>
      </c>
      <c r="Q151" s="7" t="n">
        <v>5719.8</v>
      </c>
      <c r="R151" s="7" t="n">
        <v>5785.9</v>
      </c>
      <c r="S151" s="7" t="n">
        <v>6391.81</v>
      </c>
      <c r="T151" s="8">
        <f>SUM(H151:S151)</f>
        <v/>
      </c>
      <c r="U151" s="2" t="inlineStr">
        <is>
          <t>ENGINEERING_ESTIMATE</t>
        </is>
      </c>
    </row>
    <row r="152">
      <c r="A152" s="2" t="inlineStr">
        <is>
          <t>4000_4600</t>
        </is>
      </c>
      <c r="B152" s="2" t="inlineStr">
        <is>
          <t>Comunicaciones y Control</t>
        </is>
      </c>
      <c r="C152" s="2" t="inlineStr">
        <is>
          <t>SN-4000-4600</t>
        </is>
      </c>
      <c r="D152" s="2" t="inlineStr">
        <is>
          <t>CC-4000</t>
        </is>
      </c>
      <c r="E152" s="2" t="inlineStr">
        <is>
          <t>P03</t>
        </is>
      </c>
      <c r="F152" s="2" t="inlineStr">
        <is>
          <t>SVC_VARIABLE</t>
        </is>
      </c>
      <c r="G152" s="2" t="inlineStr">
        <is>
          <t>Servicios mantencion marco variable</t>
        </is>
      </c>
      <c r="H152" s="7" t="n">
        <v>3326.45</v>
      </c>
      <c r="I152" s="7" t="n">
        <v>3365.07</v>
      </c>
      <c r="J152" s="7" t="n">
        <v>3177.83</v>
      </c>
      <c r="K152" s="7" t="n">
        <v>3497.42</v>
      </c>
      <c r="L152" s="7" t="n">
        <v>3332.12</v>
      </c>
      <c r="M152" s="7" t="n">
        <v>3310.53</v>
      </c>
      <c r="N152" s="7" t="n">
        <v>3690.18</v>
      </c>
      <c r="O152" s="7" t="n">
        <v>3246.69</v>
      </c>
      <c r="P152" s="7" t="n">
        <v>3255.41</v>
      </c>
      <c r="Q152" s="7" t="n">
        <v>3617.84</v>
      </c>
      <c r="R152" s="7" t="n">
        <v>3251.09</v>
      </c>
      <c r="S152" s="7" t="n">
        <v>3554.71</v>
      </c>
      <c r="T152" s="8">
        <f>SUM(H152:S152)</f>
        <v/>
      </c>
      <c r="U152" s="2" t="inlineStr">
        <is>
          <t>ENGINEERING_ESTIMATE</t>
        </is>
      </c>
    </row>
    <row r="153">
      <c r="A153" s="2" t="inlineStr">
        <is>
          <t>4000_4600</t>
        </is>
      </c>
      <c r="B153" s="2" t="inlineStr">
        <is>
          <t>Comunicaciones y Control</t>
        </is>
      </c>
      <c r="C153" s="2" t="inlineStr">
        <is>
          <t>SN-4000-4600</t>
        </is>
      </c>
      <c r="D153" s="2" t="inlineStr">
        <is>
          <t>CC-4000</t>
        </is>
      </c>
      <c r="E153" s="2" t="inlineStr">
        <is>
          <t>P03</t>
        </is>
      </c>
      <c r="F153" s="2" t="inlineStr">
        <is>
          <t>SVC_EXTERNAL</t>
        </is>
      </c>
      <c r="G153" s="2" t="inlineStr">
        <is>
          <t>Servicios mantencion externa</t>
        </is>
      </c>
      <c r="H153" s="7" t="n">
        <v>6103.4</v>
      </c>
      <c r="I153" s="7" t="n">
        <v>5684.32</v>
      </c>
      <c r="J153" s="7" t="n">
        <v>5909.29</v>
      </c>
      <c r="K153" s="7" t="n">
        <v>6286.07</v>
      </c>
      <c r="L153" s="7" t="n">
        <v>5431.9</v>
      </c>
      <c r="M153" s="7" t="n">
        <v>5658.43</v>
      </c>
      <c r="N153" s="7" t="n">
        <v>5824.86</v>
      </c>
      <c r="O153" s="7" t="n">
        <v>5985.73</v>
      </c>
      <c r="P153" s="7" t="n">
        <v>5075.92</v>
      </c>
      <c r="Q153" s="7" t="n">
        <v>6518.2</v>
      </c>
      <c r="R153" s="7" t="n">
        <v>5773.72</v>
      </c>
      <c r="S153" s="7" t="n">
        <v>5525.21</v>
      </c>
      <c r="T153" s="8">
        <f>SUM(H153:S153)</f>
        <v/>
      </c>
      <c r="U153" s="2" t="inlineStr">
        <is>
          <t>HISTORICAL</t>
        </is>
      </c>
    </row>
    <row r="154">
      <c r="A154" s="2" t="inlineStr">
        <is>
          <t>4000_4600</t>
        </is>
      </c>
      <c r="B154" s="2" t="inlineStr">
        <is>
          <t>Comunicaciones y Control</t>
        </is>
      </c>
      <c r="C154" s="2" t="inlineStr">
        <is>
          <t>SN-4000-4600</t>
        </is>
      </c>
      <c r="D154" s="2" t="inlineStr">
        <is>
          <t>CC-4000</t>
        </is>
      </c>
      <c r="E154" s="2" t="inlineStr">
        <is>
          <t>P03</t>
        </is>
      </c>
      <c r="F154" s="2" t="inlineStr">
        <is>
          <t>OTHER_SERVICES</t>
        </is>
      </c>
      <c r="G154" s="2" t="inlineStr">
        <is>
          <t>Otros servicios de mantencion</t>
        </is>
      </c>
      <c r="H154" s="7" t="n">
        <v>2396.69</v>
      </c>
      <c r="I154" s="7" t="n">
        <v>1978.53</v>
      </c>
      <c r="J154" s="7" t="n">
        <v>2021.69</v>
      </c>
      <c r="K154" s="7" t="n">
        <v>2072.36</v>
      </c>
      <c r="L154" s="7" t="n">
        <v>2361.18</v>
      </c>
      <c r="M154" s="7" t="n">
        <v>2189.25</v>
      </c>
      <c r="N154" s="7" t="n">
        <v>2223.91</v>
      </c>
      <c r="O154" s="7" t="n">
        <v>2012.19</v>
      </c>
      <c r="P154" s="7" t="n">
        <v>1989.01</v>
      </c>
      <c r="Q154" s="7" t="n">
        <v>2444.52</v>
      </c>
      <c r="R154" s="7" t="n">
        <v>2270.37</v>
      </c>
      <c r="S154" s="7" t="n">
        <v>2153.34</v>
      </c>
      <c r="T154" s="8">
        <f>SUM(H154:S154)</f>
        <v/>
      </c>
      <c r="U154" s="2" t="inlineStr">
        <is>
          <t>ENGINEERING_ESTIMATE</t>
        </is>
      </c>
    </row>
    <row r="155">
      <c r="A155" s="2" t="inlineStr">
        <is>
          <t>4000_4700</t>
        </is>
      </c>
      <c r="B155" s="2" t="inlineStr">
        <is>
          <t>Proteccion Contra Incendio</t>
        </is>
      </c>
      <c r="C155" s="2" t="inlineStr">
        <is>
          <t>SN-4000-4700</t>
        </is>
      </c>
      <c r="D155" s="2" t="inlineStr">
        <is>
          <t>CC-4000</t>
        </is>
      </c>
      <c r="E155" s="2" t="inlineStr">
        <is>
          <t>P03</t>
        </is>
      </c>
      <c r="F155" s="2" t="inlineStr">
        <is>
          <t>LABOR_INTERNAL</t>
        </is>
      </c>
      <c r="G155" s="2" t="inlineStr">
        <is>
          <t>Mano obra interna mantencion</t>
        </is>
      </c>
      <c r="H155" s="7" t="n">
        <v>3382.95</v>
      </c>
      <c r="I155" s="7" t="n">
        <v>3589.91</v>
      </c>
      <c r="J155" s="7" t="n">
        <v>3602.7</v>
      </c>
      <c r="K155" s="7" t="n">
        <v>3680.77</v>
      </c>
      <c r="L155" s="7" t="n">
        <v>3629.14</v>
      </c>
      <c r="M155" s="7" t="n">
        <v>3246.33</v>
      </c>
      <c r="N155" s="7" t="n">
        <v>3212.13</v>
      </c>
      <c r="O155" s="7" t="n">
        <v>3519.27</v>
      </c>
      <c r="P155" s="7" t="n">
        <v>3196.25</v>
      </c>
      <c r="Q155" s="7" t="n">
        <v>3855.83</v>
      </c>
      <c r="R155" s="7" t="n">
        <v>3289.95</v>
      </c>
      <c r="S155" s="7" t="n">
        <v>3654.98</v>
      </c>
      <c r="T155" s="8">
        <f>SUM(H155:S155)</f>
        <v/>
      </c>
      <c r="U155" s="2" t="inlineStr">
        <is>
          <t>ENGINEERING_ESTIMATE</t>
        </is>
      </c>
    </row>
    <row r="156">
      <c r="A156" s="2" t="inlineStr">
        <is>
          <t>4000_4700</t>
        </is>
      </c>
      <c r="B156" s="2" t="inlineStr">
        <is>
          <t>Proteccion Contra Incendio</t>
        </is>
      </c>
      <c r="C156" s="2" t="inlineStr">
        <is>
          <t>SN-4000-4700</t>
        </is>
      </c>
      <c r="D156" s="2" t="inlineStr">
        <is>
          <t>CC-4000</t>
        </is>
      </c>
      <c r="E156" s="2" t="inlineStr">
        <is>
          <t>P03</t>
        </is>
      </c>
      <c r="F156" s="2" t="inlineStr">
        <is>
          <t>SPARE_PARTS</t>
        </is>
      </c>
      <c r="G156" s="2" t="inlineStr">
        <is>
          <t>Repuestos y materiales mecanicos</t>
        </is>
      </c>
      <c r="H156" s="7" t="n">
        <v>5319.96</v>
      </c>
      <c r="I156" s="7" t="n">
        <v>4979.27</v>
      </c>
      <c r="J156" s="7" t="n">
        <v>5097.34</v>
      </c>
      <c r="K156" s="7" t="n">
        <v>5558.75</v>
      </c>
      <c r="L156" s="7" t="n">
        <v>5060.5</v>
      </c>
      <c r="M156" s="7" t="n">
        <v>5074.27</v>
      </c>
      <c r="N156" s="7" t="n">
        <v>4976.8</v>
      </c>
      <c r="O156" s="7" t="n">
        <v>5019.94</v>
      </c>
      <c r="P156" s="7" t="n">
        <v>4776.39</v>
      </c>
      <c r="Q156" s="7" t="n">
        <v>5603.85</v>
      </c>
      <c r="R156" s="7" t="n">
        <v>4760.79</v>
      </c>
      <c r="S156" s="7" t="n">
        <v>4898.04</v>
      </c>
      <c r="T156" s="8">
        <f>SUM(H156:S156)</f>
        <v/>
      </c>
      <c r="U156" s="2" t="inlineStr">
        <is>
          <t>HISTORICAL</t>
        </is>
      </c>
    </row>
    <row r="157">
      <c r="A157" s="2" t="inlineStr">
        <is>
          <t>4000_4700</t>
        </is>
      </c>
      <c r="B157" s="2" t="inlineStr">
        <is>
          <t>Proteccion Contra Incendio</t>
        </is>
      </c>
      <c r="C157" s="2" t="inlineStr">
        <is>
          <t>SN-4000-4700</t>
        </is>
      </c>
      <c r="D157" s="2" t="inlineStr">
        <is>
          <t>CC-4000</t>
        </is>
      </c>
      <c r="E157" s="2" t="inlineStr">
        <is>
          <t>P03</t>
        </is>
      </c>
      <c r="F157" s="2" t="inlineStr">
        <is>
          <t>GET</t>
        </is>
      </c>
      <c r="G157" s="2" t="inlineStr">
        <is>
          <t>Elementos de desgaste (GET)</t>
        </is>
      </c>
      <c r="H157" s="7" t="n">
        <v>1393.17</v>
      </c>
      <c r="I157" s="7" t="n">
        <v>1402.69</v>
      </c>
      <c r="J157" s="7" t="n">
        <v>1606.16</v>
      </c>
      <c r="K157" s="7" t="n">
        <v>1621.54</v>
      </c>
      <c r="L157" s="7" t="n">
        <v>1455.49</v>
      </c>
      <c r="M157" s="7" t="n">
        <v>1286.7</v>
      </c>
      <c r="N157" s="7" t="n">
        <v>1428.03</v>
      </c>
      <c r="O157" s="7" t="n">
        <v>1476.83</v>
      </c>
      <c r="P157" s="7" t="n">
        <v>1313.41</v>
      </c>
      <c r="Q157" s="7" t="n">
        <v>1469.85</v>
      </c>
      <c r="R157" s="7" t="n">
        <v>1325.51</v>
      </c>
      <c r="S157" s="7" t="n">
        <v>1462.21</v>
      </c>
      <c r="T157" s="8">
        <f>SUM(H157:S157)</f>
        <v/>
      </c>
      <c r="U157" s="2" t="inlineStr">
        <is>
          <t>HISTORICAL</t>
        </is>
      </c>
    </row>
    <row r="158">
      <c r="A158" s="2" t="inlineStr">
        <is>
          <t>4000_4700</t>
        </is>
      </c>
      <c r="B158" s="2" t="inlineStr">
        <is>
          <t>Proteccion Contra Incendio</t>
        </is>
      </c>
      <c r="C158" s="2" t="inlineStr">
        <is>
          <t>SN-4000-4700</t>
        </is>
      </c>
      <c r="D158" s="2" t="inlineStr">
        <is>
          <t>CC-4000</t>
        </is>
      </c>
      <c r="E158" s="2" t="inlineStr">
        <is>
          <t>P03</t>
        </is>
      </c>
      <c r="F158" s="2" t="inlineStr">
        <is>
          <t>CONSUMABLES</t>
        </is>
      </c>
      <c r="G158" s="2" t="inlineStr">
        <is>
          <t>Consumibles operacion</t>
        </is>
      </c>
      <c r="H158" s="7" t="n">
        <v>921.49</v>
      </c>
      <c r="I158" s="7" t="n">
        <v>873.45</v>
      </c>
      <c r="J158" s="7" t="n">
        <v>789.5</v>
      </c>
      <c r="K158" s="7" t="n">
        <v>827.63</v>
      </c>
      <c r="L158" s="7" t="n">
        <v>836.61</v>
      </c>
      <c r="M158" s="7" t="n">
        <v>732.52</v>
      </c>
      <c r="N158" s="7" t="n">
        <v>871.16</v>
      </c>
      <c r="O158" s="7" t="n">
        <v>819.97</v>
      </c>
      <c r="P158" s="7" t="n">
        <v>765.85</v>
      </c>
      <c r="Q158" s="7" t="n">
        <v>863.35</v>
      </c>
      <c r="R158" s="7" t="n">
        <v>786.16</v>
      </c>
      <c r="S158" s="7" t="n">
        <v>914.13</v>
      </c>
      <c r="T158" s="8">
        <f>SUM(H158:S158)</f>
        <v/>
      </c>
      <c r="U158" s="2" t="inlineStr">
        <is>
          <t>CONTRACTOR_QUOTE</t>
        </is>
      </c>
    </row>
    <row r="159">
      <c r="A159" s="2" t="inlineStr">
        <is>
          <t>4000_4700</t>
        </is>
      </c>
      <c r="B159" s="2" t="inlineStr">
        <is>
          <t>Proteccion Contra Incendio</t>
        </is>
      </c>
      <c r="C159" s="2" t="inlineStr">
        <is>
          <t>SN-4000-4700</t>
        </is>
      </c>
      <c r="D159" s="2" t="inlineStr">
        <is>
          <t>CC-4000</t>
        </is>
      </c>
      <c r="E159" s="2" t="inlineStr">
        <is>
          <t>P03</t>
        </is>
      </c>
      <c r="F159" s="2" t="inlineStr">
        <is>
          <t>LUBRICANTS</t>
        </is>
      </c>
      <c r="G159" s="2" t="inlineStr">
        <is>
          <t>Lubricantes</t>
        </is>
      </c>
      <c r="H159" s="7" t="n">
        <v>1383.1</v>
      </c>
      <c r="I159" s="7" t="n">
        <v>1303.25</v>
      </c>
      <c r="J159" s="7" t="n">
        <v>1279.5</v>
      </c>
      <c r="K159" s="7" t="n">
        <v>1376.16</v>
      </c>
      <c r="L159" s="7" t="n">
        <v>1394.27</v>
      </c>
      <c r="M159" s="7" t="n">
        <v>1138.41</v>
      </c>
      <c r="N159" s="7" t="n">
        <v>1288.74</v>
      </c>
      <c r="O159" s="7" t="n">
        <v>1210.71</v>
      </c>
      <c r="P159" s="7" t="n">
        <v>1288.28</v>
      </c>
      <c r="Q159" s="7" t="n">
        <v>1437.25</v>
      </c>
      <c r="R159" s="7" t="n">
        <v>1357.16</v>
      </c>
      <c r="S159" s="7" t="n">
        <v>1206.79</v>
      </c>
      <c r="T159" s="8">
        <f>SUM(H159:S159)</f>
        <v/>
      </c>
      <c r="U159" s="2" t="inlineStr">
        <is>
          <t>ENGINEERING_ESTIMATE</t>
        </is>
      </c>
    </row>
    <row r="160">
      <c r="A160" s="2" t="inlineStr">
        <is>
          <t>4000_4700</t>
        </is>
      </c>
      <c r="B160" s="2" t="inlineStr">
        <is>
          <t>Proteccion Contra Incendio</t>
        </is>
      </c>
      <c r="C160" s="2" t="inlineStr">
        <is>
          <t>SN-4000-4700</t>
        </is>
      </c>
      <c r="D160" s="2" t="inlineStr">
        <is>
          <t>CC-4000</t>
        </is>
      </c>
      <c r="E160" s="2" t="inlineStr">
        <is>
          <t>P03</t>
        </is>
      </c>
      <c r="F160" s="2" t="inlineStr">
        <is>
          <t>SVC_FIXED</t>
        </is>
      </c>
      <c r="G160" s="2" t="inlineStr">
        <is>
          <t>Servicios mantencion marco fijo</t>
        </is>
      </c>
      <c r="H160" s="7" t="n">
        <v>1829.24</v>
      </c>
      <c r="I160" s="7" t="n">
        <v>1716.31</v>
      </c>
      <c r="J160" s="7" t="n">
        <v>1793.67</v>
      </c>
      <c r="K160" s="7" t="n">
        <v>1787.04</v>
      </c>
      <c r="L160" s="7" t="n">
        <v>1844.7</v>
      </c>
      <c r="M160" s="7" t="n">
        <v>1890.92</v>
      </c>
      <c r="N160" s="7" t="n">
        <v>2021.36</v>
      </c>
      <c r="O160" s="7" t="n">
        <v>1895</v>
      </c>
      <c r="P160" s="7" t="n">
        <v>1622.79</v>
      </c>
      <c r="Q160" s="7" t="n">
        <v>1848.3</v>
      </c>
      <c r="R160" s="7" t="n">
        <v>1809.49</v>
      </c>
      <c r="S160" s="7" t="n">
        <v>1999.97</v>
      </c>
      <c r="T160" s="8">
        <f>SUM(H160:S160)</f>
        <v/>
      </c>
      <c r="U160" s="2" t="inlineStr">
        <is>
          <t>CONTRACTOR_QUOTE</t>
        </is>
      </c>
    </row>
    <row r="161">
      <c r="A161" s="2" t="inlineStr">
        <is>
          <t>4000_4700</t>
        </is>
      </c>
      <c r="B161" s="2" t="inlineStr">
        <is>
          <t>Proteccion Contra Incendio</t>
        </is>
      </c>
      <c r="C161" s="2" t="inlineStr">
        <is>
          <t>SN-4000-4700</t>
        </is>
      </c>
      <c r="D161" s="2" t="inlineStr">
        <is>
          <t>CC-4000</t>
        </is>
      </c>
      <c r="E161" s="2" t="inlineStr">
        <is>
          <t>P03</t>
        </is>
      </c>
      <c r="F161" s="2" t="inlineStr">
        <is>
          <t>SVC_VARIABLE</t>
        </is>
      </c>
      <c r="G161" s="2" t="inlineStr">
        <is>
          <t>Servicios mantencion marco variable</t>
        </is>
      </c>
      <c r="H161" s="7" t="n">
        <v>1441.26</v>
      </c>
      <c r="I161" s="7" t="n">
        <v>1501.54</v>
      </c>
      <c r="J161" s="7" t="n">
        <v>1617.33</v>
      </c>
      <c r="K161" s="7" t="n">
        <v>1617.49</v>
      </c>
      <c r="L161" s="7" t="n">
        <v>1383.91</v>
      </c>
      <c r="M161" s="7" t="n">
        <v>1394.73</v>
      </c>
      <c r="N161" s="7" t="n">
        <v>1692.47</v>
      </c>
      <c r="O161" s="7" t="n">
        <v>1553.61</v>
      </c>
      <c r="P161" s="7" t="n">
        <v>1503.65</v>
      </c>
      <c r="Q161" s="7" t="n">
        <v>1609.6</v>
      </c>
      <c r="R161" s="7" t="n">
        <v>1528.17</v>
      </c>
      <c r="S161" s="7" t="n">
        <v>1529.92</v>
      </c>
      <c r="T161" s="8">
        <f>SUM(H161:S161)</f>
        <v/>
      </c>
      <c r="U161" s="2" t="inlineStr">
        <is>
          <t>HISTORICAL</t>
        </is>
      </c>
    </row>
    <row r="162">
      <c r="A162" s="2" t="inlineStr">
        <is>
          <t>4000_4700</t>
        </is>
      </c>
      <c r="B162" s="2" t="inlineStr">
        <is>
          <t>Proteccion Contra Incendio</t>
        </is>
      </c>
      <c r="C162" s="2" t="inlineStr">
        <is>
          <t>SN-4000-4700</t>
        </is>
      </c>
      <c r="D162" s="2" t="inlineStr">
        <is>
          <t>CC-4000</t>
        </is>
      </c>
      <c r="E162" s="2" t="inlineStr">
        <is>
          <t>P03</t>
        </is>
      </c>
      <c r="F162" s="2" t="inlineStr">
        <is>
          <t>SVC_EXTERNAL</t>
        </is>
      </c>
      <c r="G162" s="2" t="inlineStr">
        <is>
          <t>Servicios mantencion externa</t>
        </is>
      </c>
      <c r="H162" s="7" t="n">
        <v>1800.26</v>
      </c>
      <c r="I162" s="7" t="n">
        <v>1691.73</v>
      </c>
      <c r="J162" s="7" t="n">
        <v>1745.26</v>
      </c>
      <c r="K162" s="7" t="n">
        <v>1861.96</v>
      </c>
      <c r="L162" s="7" t="n">
        <v>1717.42</v>
      </c>
      <c r="M162" s="7" t="n">
        <v>1598.32</v>
      </c>
      <c r="N162" s="7" t="n">
        <v>1870.49</v>
      </c>
      <c r="O162" s="7" t="n">
        <v>1855.94</v>
      </c>
      <c r="P162" s="7" t="n">
        <v>1782.92</v>
      </c>
      <c r="Q162" s="7" t="n">
        <v>1938.3</v>
      </c>
      <c r="R162" s="7" t="n">
        <v>1645.08</v>
      </c>
      <c r="S162" s="7" t="n">
        <v>1935.41</v>
      </c>
      <c r="T162" s="8">
        <f>SUM(H162:S162)</f>
        <v/>
      </c>
      <c r="U162" s="2" t="inlineStr">
        <is>
          <t>HISTORICAL</t>
        </is>
      </c>
    </row>
    <row r="163">
      <c r="A163" s="2" t="inlineStr">
        <is>
          <t>4000_4700</t>
        </is>
      </c>
      <c r="B163" s="2" t="inlineStr">
        <is>
          <t>Proteccion Contra Incendio</t>
        </is>
      </c>
      <c r="C163" s="2" t="inlineStr">
        <is>
          <t>SN-4000-4700</t>
        </is>
      </c>
      <c r="D163" s="2" t="inlineStr">
        <is>
          <t>CC-4000</t>
        </is>
      </c>
      <c r="E163" s="2" t="inlineStr">
        <is>
          <t>P03</t>
        </is>
      </c>
      <c r="F163" s="2" t="inlineStr">
        <is>
          <t>OTHER_SERVICES</t>
        </is>
      </c>
      <c r="G163" s="2" t="inlineStr">
        <is>
          <t>Otros servicios de mantencion</t>
        </is>
      </c>
      <c r="H163" s="7" t="n">
        <v>744.99</v>
      </c>
      <c r="I163" s="7" t="n">
        <v>785.96</v>
      </c>
      <c r="J163" s="7" t="n">
        <v>857.28</v>
      </c>
      <c r="K163" s="7" t="n">
        <v>801.45</v>
      </c>
      <c r="L163" s="7" t="n">
        <v>765.42</v>
      </c>
      <c r="M163" s="7" t="n">
        <v>817.1799999999999</v>
      </c>
      <c r="N163" s="7" t="n">
        <v>703.97</v>
      </c>
      <c r="O163" s="7" t="n">
        <v>751.21</v>
      </c>
      <c r="P163" s="7" t="n">
        <v>784.8</v>
      </c>
      <c r="Q163" s="7" t="n">
        <v>862.9</v>
      </c>
      <c r="R163" s="7" t="n">
        <v>759.45</v>
      </c>
      <c r="S163" s="7" t="n">
        <v>811.24</v>
      </c>
      <c r="T163" s="8">
        <f>SUM(H163:S163)</f>
        <v/>
      </c>
      <c r="U163" s="2" t="inlineStr">
        <is>
          <t>HISTORICAL</t>
        </is>
      </c>
    </row>
    <row r="164">
      <c r="A164" s="2" t="inlineStr">
        <is>
          <t>4000_4800</t>
        </is>
      </c>
      <c r="B164" s="2" t="inlineStr">
        <is>
          <t>Manejo Materiales Peligrosos</t>
        </is>
      </c>
      <c r="C164" s="2" t="inlineStr">
        <is>
          <t>SN-4000-4800</t>
        </is>
      </c>
      <c r="D164" s="2" t="inlineStr">
        <is>
          <t>CC-4000</t>
        </is>
      </c>
      <c r="E164" s="2" t="inlineStr">
        <is>
          <t>P03</t>
        </is>
      </c>
      <c r="F164" s="2" t="inlineStr">
        <is>
          <t>LABOR_INTERNAL</t>
        </is>
      </c>
      <c r="G164" s="2" t="inlineStr">
        <is>
          <t>Mano obra interna mantencion</t>
        </is>
      </c>
      <c r="H164" s="7" t="n">
        <v>4605.28</v>
      </c>
      <c r="I164" s="7" t="n">
        <v>4500.01</v>
      </c>
      <c r="J164" s="7" t="n">
        <v>4853.51</v>
      </c>
      <c r="K164" s="7" t="n">
        <v>4725.35</v>
      </c>
      <c r="L164" s="7" t="n">
        <v>4694.45</v>
      </c>
      <c r="M164" s="7" t="n">
        <v>4241.64</v>
      </c>
      <c r="N164" s="7" t="n">
        <v>4427.18</v>
      </c>
      <c r="O164" s="7" t="n">
        <v>4580.15</v>
      </c>
      <c r="P164" s="7" t="n">
        <v>4374.04</v>
      </c>
      <c r="Q164" s="7" t="n">
        <v>4932.87</v>
      </c>
      <c r="R164" s="7" t="n">
        <v>4642.83</v>
      </c>
      <c r="S164" s="7" t="n">
        <v>4611.65</v>
      </c>
      <c r="T164" s="8">
        <f>SUM(H164:S164)</f>
        <v/>
      </c>
      <c r="U164" s="2" t="inlineStr">
        <is>
          <t>HISTORICAL</t>
        </is>
      </c>
    </row>
    <row r="165">
      <c r="A165" s="2" t="inlineStr">
        <is>
          <t>4000_4800</t>
        </is>
      </c>
      <c r="B165" s="2" t="inlineStr">
        <is>
          <t>Manejo Materiales Peligrosos</t>
        </is>
      </c>
      <c r="C165" s="2" t="inlineStr">
        <is>
          <t>SN-4000-4800</t>
        </is>
      </c>
      <c r="D165" s="2" t="inlineStr">
        <is>
          <t>CC-4000</t>
        </is>
      </c>
      <c r="E165" s="2" t="inlineStr">
        <is>
          <t>P03</t>
        </is>
      </c>
      <c r="F165" s="2" t="inlineStr">
        <is>
          <t>SPARE_PARTS</t>
        </is>
      </c>
      <c r="G165" s="2" t="inlineStr">
        <is>
          <t>Repuestos y materiales mecanicos</t>
        </is>
      </c>
      <c r="H165" s="7" t="n">
        <v>6911.02</v>
      </c>
      <c r="I165" s="7" t="n">
        <v>7753.95</v>
      </c>
      <c r="J165" s="7" t="n">
        <v>8153.13</v>
      </c>
      <c r="K165" s="7" t="n">
        <v>7649.54</v>
      </c>
      <c r="L165" s="7" t="n">
        <v>7129.47</v>
      </c>
      <c r="M165" s="7" t="n">
        <v>7291.52</v>
      </c>
      <c r="N165" s="7" t="n">
        <v>7742.1</v>
      </c>
      <c r="O165" s="7" t="n">
        <v>7497.35</v>
      </c>
      <c r="P165" s="7" t="n">
        <v>6169.81</v>
      </c>
      <c r="Q165" s="7" t="n">
        <v>6993.9</v>
      </c>
      <c r="R165" s="7" t="n">
        <v>6541.56</v>
      </c>
      <c r="S165" s="7" t="n">
        <v>6852.77</v>
      </c>
      <c r="T165" s="8">
        <f>SUM(H165:S165)</f>
        <v/>
      </c>
      <c r="U165" s="2" t="inlineStr">
        <is>
          <t>HISTORICAL</t>
        </is>
      </c>
    </row>
    <row r="166">
      <c r="A166" s="2" t="inlineStr">
        <is>
          <t>4000_4800</t>
        </is>
      </c>
      <c r="B166" s="2" t="inlineStr">
        <is>
          <t>Manejo Materiales Peligrosos</t>
        </is>
      </c>
      <c r="C166" s="2" t="inlineStr">
        <is>
          <t>SN-4000-4800</t>
        </is>
      </c>
      <c r="D166" s="2" t="inlineStr">
        <is>
          <t>CC-4000</t>
        </is>
      </c>
      <c r="E166" s="2" t="inlineStr">
        <is>
          <t>P03</t>
        </is>
      </c>
      <c r="F166" s="2" t="inlineStr">
        <is>
          <t>GET</t>
        </is>
      </c>
      <c r="G166" s="2" t="inlineStr">
        <is>
          <t>Elementos de desgaste (GET)</t>
        </is>
      </c>
      <c r="H166" s="7" t="n">
        <v>2084.27</v>
      </c>
      <c r="I166" s="7" t="n">
        <v>2092.08</v>
      </c>
      <c r="J166" s="7" t="n">
        <v>1972.63</v>
      </c>
      <c r="K166" s="7" t="n">
        <v>1909.05</v>
      </c>
      <c r="L166" s="7" t="n">
        <v>2079.36</v>
      </c>
      <c r="M166" s="7" t="n">
        <v>1937.98</v>
      </c>
      <c r="N166" s="7" t="n">
        <v>2102.13</v>
      </c>
      <c r="O166" s="7" t="n">
        <v>1983.55</v>
      </c>
      <c r="P166" s="7" t="n">
        <v>1987.92</v>
      </c>
      <c r="Q166" s="7" t="n">
        <v>2273.11</v>
      </c>
      <c r="R166" s="7" t="n">
        <v>2027.79</v>
      </c>
      <c r="S166" s="7" t="n">
        <v>1868.74</v>
      </c>
      <c r="T166" s="8">
        <f>SUM(H166:S166)</f>
        <v/>
      </c>
      <c r="U166" s="2" t="inlineStr">
        <is>
          <t>ENGINEERING_ESTIMATE</t>
        </is>
      </c>
    </row>
    <row r="167">
      <c r="A167" s="2" t="inlineStr">
        <is>
          <t>4000_4800</t>
        </is>
      </c>
      <c r="B167" s="2" t="inlineStr">
        <is>
          <t>Manejo Materiales Peligrosos</t>
        </is>
      </c>
      <c r="C167" s="2" t="inlineStr">
        <is>
          <t>SN-4000-4800</t>
        </is>
      </c>
      <c r="D167" s="2" t="inlineStr">
        <is>
          <t>CC-4000</t>
        </is>
      </c>
      <c r="E167" s="2" t="inlineStr">
        <is>
          <t>P03</t>
        </is>
      </c>
      <c r="F167" s="2" t="inlineStr">
        <is>
          <t>CONSUMABLES</t>
        </is>
      </c>
      <c r="G167" s="2" t="inlineStr">
        <is>
          <t>Consumibles operacion</t>
        </is>
      </c>
      <c r="H167" s="7" t="n">
        <v>1139.7</v>
      </c>
      <c r="I167" s="7" t="n">
        <v>1246.57</v>
      </c>
      <c r="J167" s="7" t="n">
        <v>1238.92</v>
      </c>
      <c r="K167" s="7" t="n">
        <v>1115.53</v>
      </c>
      <c r="L167" s="7" t="n">
        <v>1258.91</v>
      </c>
      <c r="M167" s="7" t="n">
        <v>1136.32</v>
      </c>
      <c r="N167" s="7" t="n">
        <v>1266.15</v>
      </c>
      <c r="O167" s="7" t="n">
        <v>1264.79</v>
      </c>
      <c r="P167" s="7" t="n">
        <v>1031.25</v>
      </c>
      <c r="Q167" s="7" t="n">
        <v>1328.03</v>
      </c>
      <c r="R167" s="7" t="n">
        <v>1133.12</v>
      </c>
      <c r="S167" s="7" t="n">
        <v>1233.4</v>
      </c>
      <c r="T167" s="8">
        <f>SUM(H167:S167)</f>
        <v/>
      </c>
      <c r="U167" s="2" t="inlineStr">
        <is>
          <t>HISTORICAL</t>
        </is>
      </c>
    </row>
    <row r="168">
      <c r="A168" s="2" t="inlineStr">
        <is>
          <t>4000_4800</t>
        </is>
      </c>
      <c r="B168" s="2" t="inlineStr">
        <is>
          <t>Manejo Materiales Peligrosos</t>
        </is>
      </c>
      <c r="C168" s="2" t="inlineStr">
        <is>
          <t>SN-4000-4800</t>
        </is>
      </c>
      <c r="D168" s="2" t="inlineStr">
        <is>
          <t>CC-4000</t>
        </is>
      </c>
      <c r="E168" s="2" t="inlineStr">
        <is>
          <t>P03</t>
        </is>
      </c>
      <c r="F168" s="2" t="inlineStr">
        <is>
          <t>LUBRICANTS</t>
        </is>
      </c>
      <c r="G168" s="2" t="inlineStr">
        <is>
          <t>Lubricantes</t>
        </is>
      </c>
      <c r="H168" s="7" t="n">
        <v>1706.59</v>
      </c>
      <c r="I168" s="7" t="n">
        <v>1711.71</v>
      </c>
      <c r="J168" s="7" t="n">
        <v>1575.21</v>
      </c>
      <c r="K168" s="7" t="n">
        <v>1507.09</v>
      </c>
      <c r="L168" s="7" t="n">
        <v>1525.4</v>
      </c>
      <c r="M168" s="7" t="n">
        <v>1368.67</v>
      </c>
      <c r="N168" s="7" t="n">
        <v>1555.63</v>
      </c>
      <c r="O168" s="7" t="n">
        <v>1713.87</v>
      </c>
      <c r="P168" s="7" t="n">
        <v>1384.22</v>
      </c>
      <c r="Q168" s="7" t="n">
        <v>1700.43</v>
      </c>
      <c r="R168" s="7" t="n">
        <v>1555.51</v>
      </c>
      <c r="S168" s="7" t="n">
        <v>1504.44</v>
      </c>
      <c r="T168" s="8">
        <f>SUM(H168:S168)</f>
        <v/>
      </c>
      <c r="U168" s="2" t="inlineStr">
        <is>
          <t>HISTORICAL</t>
        </is>
      </c>
    </row>
    <row r="169">
      <c r="A169" s="2" t="inlineStr">
        <is>
          <t>4000_4800</t>
        </is>
      </c>
      <c r="B169" s="2" t="inlineStr">
        <is>
          <t>Manejo Materiales Peligrosos</t>
        </is>
      </c>
      <c r="C169" s="2" t="inlineStr">
        <is>
          <t>SN-4000-4800</t>
        </is>
      </c>
      <c r="D169" s="2" t="inlineStr">
        <is>
          <t>CC-4000</t>
        </is>
      </c>
      <c r="E169" s="2" t="inlineStr">
        <is>
          <t>P03</t>
        </is>
      </c>
      <c r="F169" s="2" t="inlineStr">
        <is>
          <t>SVC_FIXED</t>
        </is>
      </c>
      <c r="G169" s="2" t="inlineStr">
        <is>
          <t>Servicios mantencion marco fijo</t>
        </is>
      </c>
      <c r="H169" s="7" t="n">
        <v>3485.05</v>
      </c>
      <c r="I169" s="7" t="n">
        <v>3600.3</v>
      </c>
      <c r="J169" s="7" t="n">
        <v>3405.31</v>
      </c>
      <c r="K169" s="7" t="n">
        <v>3761.35</v>
      </c>
      <c r="L169" s="7" t="n">
        <v>3366.89</v>
      </c>
      <c r="M169" s="7" t="n">
        <v>3220.03</v>
      </c>
      <c r="N169" s="7" t="n">
        <v>3293.25</v>
      </c>
      <c r="O169" s="7" t="n">
        <v>3234.28</v>
      </c>
      <c r="P169" s="7" t="n">
        <v>3623.3</v>
      </c>
      <c r="Q169" s="7" t="n">
        <v>3772.35</v>
      </c>
      <c r="R169" s="7" t="n">
        <v>3636.94</v>
      </c>
      <c r="S169" s="7" t="n">
        <v>3915.63</v>
      </c>
      <c r="T169" s="8">
        <f>SUM(H169:S169)</f>
        <v/>
      </c>
      <c r="U169" s="2" t="inlineStr">
        <is>
          <t>HISTORICAL</t>
        </is>
      </c>
    </row>
    <row r="170">
      <c r="A170" s="2" t="inlineStr">
        <is>
          <t>4000_4800</t>
        </is>
      </c>
      <c r="B170" s="2" t="inlineStr">
        <is>
          <t>Manejo Materiales Peligrosos</t>
        </is>
      </c>
      <c r="C170" s="2" t="inlineStr">
        <is>
          <t>SN-4000-4800</t>
        </is>
      </c>
      <c r="D170" s="2" t="inlineStr">
        <is>
          <t>CC-4000</t>
        </is>
      </c>
      <c r="E170" s="2" t="inlineStr">
        <is>
          <t>P03</t>
        </is>
      </c>
      <c r="F170" s="2" t="inlineStr">
        <is>
          <t>SVC_VARIABLE</t>
        </is>
      </c>
      <c r="G170" s="2" t="inlineStr">
        <is>
          <t>Servicios mantencion marco variable</t>
        </is>
      </c>
      <c r="H170" s="7" t="n">
        <v>2466.1</v>
      </c>
      <c r="I170" s="7" t="n">
        <v>2319.76</v>
      </c>
      <c r="J170" s="7" t="n">
        <v>2540.54</v>
      </c>
      <c r="K170" s="7" t="n">
        <v>2185.81</v>
      </c>
      <c r="L170" s="7" t="n">
        <v>2186.74</v>
      </c>
      <c r="M170" s="7" t="n">
        <v>2053.75</v>
      </c>
      <c r="N170" s="7" t="n">
        <v>2504.06</v>
      </c>
      <c r="O170" s="7" t="n">
        <v>2131.56</v>
      </c>
      <c r="P170" s="7" t="n">
        <v>2366.18</v>
      </c>
      <c r="Q170" s="7" t="n">
        <v>2306</v>
      </c>
      <c r="R170" s="7" t="n">
        <v>2317.85</v>
      </c>
      <c r="S170" s="7" t="n">
        <v>2429.24</v>
      </c>
      <c r="T170" s="8">
        <f>SUM(H170:S170)</f>
        <v/>
      </c>
      <c r="U170" s="2" t="inlineStr">
        <is>
          <t>ENGINEERING_ESTIMATE</t>
        </is>
      </c>
    </row>
    <row r="171">
      <c r="A171" s="2" t="inlineStr">
        <is>
          <t>4000_4800</t>
        </is>
      </c>
      <c r="B171" s="2" t="inlineStr">
        <is>
          <t>Manejo Materiales Peligrosos</t>
        </is>
      </c>
      <c r="C171" s="2" t="inlineStr">
        <is>
          <t>SN-4000-4800</t>
        </is>
      </c>
      <c r="D171" s="2" t="inlineStr">
        <is>
          <t>CC-4000</t>
        </is>
      </c>
      <c r="E171" s="2" t="inlineStr">
        <is>
          <t>P03</t>
        </is>
      </c>
      <c r="F171" s="2" t="inlineStr">
        <is>
          <t>SVC_EXTERNAL</t>
        </is>
      </c>
      <c r="G171" s="2" t="inlineStr">
        <is>
          <t>Servicios mantencion externa</t>
        </is>
      </c>
      <c r="H171" s="7" t="n">
        <v>2294.63</v>
      </c>
      <c r="I171" s="7" t="n">
        <v>2449.35</v>
      </c>
      <c r="J171" s="7" t="n">
        <v>2629.19</v>
      </c>
      <c r="K171" s="7" t="n">
        <v>2153.8</v>
      </c>
      <c r="L171" s="7" t="n">
        <v>2364.16</v>
      </c>
      <c r="M171" s="7" t="n">
        <v>2109.72</v>
      </c>
      <c r="N171" s="7" t="n">
        <v>2433.06</v>
      </c>
      <c r="O171" s="7" t="n">
        <v>2450.95</v>
      </c>
      <c r="P171" s="7" t="n">
        <v>2278.83</v>
      </c>
      <c r="Q171" s="7" t="n">
        <v>2475.98</v>
      </c>
      <c r="R171" s="7" t="n">
        <v>2097.54</v>
      </c>
      <c r="S171" s="7" t="n">
        <v>2400.47</v>
      </c>
      <c r="T171" s="8">
        <f>SUM(H171:S171)</f>
        <v/>
      </c>
      <c r="U171" s="2" t="inlineStr">
        <is>
          <t>CONTRACTOR_QUOTE</t>
        </is>
      </c>
    </row>
    <row r="172">
      <c r="A172" s="2" t="inlineStr">
        <is>
          <t>4000_4800</t>
        </is>
      </c>
      <c r="B172" s="2" t="inlineStr">
        <is>
          <t>Manejo Materiales Peligrosos</t>
        </is>
      </c>
      <c r="C172" s="2" t="inlineStr">
        <is>
          <t>SN-4000-4800</t>
        </is>
      </c>
      <c r="D172" s="2" t="inlineStr">
        <is>
          <t>CC-4000</t>
        </is>
      </c>
      <c r="E172" s="2" t="inlineStr">
        <is>
          <t>P03</t>
        </is>
      </c>
      <c r="F172" s="2" t="inlineStr">
        <is>
          <t>OTHER_SERVICES</t>
        </is>
      </c>
      <c r="G172" s="2" t="inlineStr">
        <is>
          <t>Otros servicios de mantencion</t>
        </is>
      </c>
      <c r="H172" s="7" t="n">
        <v>1196.97</v>
      </c>
      <c r="I172" s="7" t="n">
        <v>1106.51</v>
      </c>
      <c r="J172" s="7" t="n">
        <v>1128.09</v>
      </c>
      <c r="K172" s="7" t="n">
        <v>1281.84</v>
      </c>
      <c r="L172" s="7" t="n">
        <v>1179.76</v>
      </c>
      <c r="M172" s="7" t="n">
        <v>1171.16</v>
      </c>
      <c r="N172" s="7" t="n">
        <v>1103.56</v>
      </c>
      <c r="O172" s="7" t="n">
        <v>1066.12</v>
      </c>
      <c r="P172" s="7" t="n">
        <v>1204.96</v>
      </c>
      <c r="Q172" s="7" t="n">
        <v>1355.94</v>
      </c>
      <c r="R172" s="7" t="n">
        <v>1123.02</v>
      </c>
      <c r="S172" s="7" t="n">
        <v>1191.02</v>
      </c>
      <c r="T172" s="8">
        <f>SUM(H172:S172)</f>
        <v/>
      </c>
      <c r="U172" s="2" t="inlineStr">
        <is>
          <t>ENGINEERING_ESTIMATE</t>
        </is>
      </c>
    </row>
    <row r="173">
      <c r="A173" s="2" t="inlineStr">
        <is>
          <t>4000_4900</t>
        </is>
      </c>
      <c r="B173" s="2" t="inlineStr">
        <is>
          <t>Taller Mantenimiento Planta</t>
        </is>
      </c>
      <c r="C173" s="2" t="inlineStr">
        <is>
          <t>SN-4000-4900</t>
        </is>
      </c>
      <c r="D173" s="2" t="inlineStr">
        <is>
          <t>CC-4000</t>
        </is>
      </c>
      <c r="E173" s="2" t="inlineStr">
        <is>
          <t>P03</t>
        </is>
      </c>
      <c r="F173" s="2" t="inlineStr">
        <is>
          <t>LABOR_INTERNAL</t>
        </is>
      </c>
      <c r="G173" s="2" t="inlineStr">
        <is>
          <t>Mano obra interna mantencion</t>
        </is>
      </c>
      <c r="H173" s="7" t="n">
        <v>5985.54</v>
      </c>
      <c r="I173" s="7" t="n">
        <v>4919.82</v>
      </c>
      <c r="J173" s="7" t="n">
        <v>6131.98</v>
      </c>
      <c r="K173" s="7" t="n">
        <v>5751.26</v>
      </c>
      <c r="L173" s="7" t="n">
        <v>5446.76</v>
      </c>
      <c r="M173" s="7" t="n">
        <v>5503.86</v>
      </c>
      <c r="N173" s="7" t="n">
        <v>5052.72</v>
      </c>
      <c r="O173" s="7" t="n">
        <v>5187.97</v>
      </c>
      <c r="P173" s="7" t="n">
        <v>5050.6</v>
      </c>
      <c r="Q173" s="7" t="n">
        <v>6102.6</v>
      </c>
      <c r="R173" s="7" t="n">
        <v>4971.46</v>
      </c>
      <c r="S173" s="7" t="n">
        <v>5475.35</v>
      </c>
      <c r="T173" s="8">
        <f>SUM(H173:S173)</f>
        <v/>
      </c>
      <c r="U173" s="2" t="inlineStr">
        <is>
          <t>HISTORICAL</t>
        </is>
      </c>
    </row>
    <row r="174">
      <c r="A174" s="2" t="inlineStr">
        <is>
          <t>4000_4900</t>
        </is>
      </c>
      <c r="B174" s="2" t="inlineStr">
        <is>
          <t>Taller Mantenimiento Planta</t>
        </is>
      </c>
      <c r="C174" s="2" t="inlineStr">
        <is>
          <t>SN-4000-4900</t>
        </is>
      </c>
      <c r="D174" s="2" t="inlineStr">
        <is>
          <t>CC-4000</t>
        </is>
      </c>
      <c r="E174" s="2" t="inlineStr">
        <is>
          <t>P03</t>
        </is>
      </c>
      <c r="F174" s="2" t="inlineStr">
        <is>
          <t>SPARE_PARTS</t>
        </is>
      </c>
      <c r="G174" s="2" t="inlineStr">
        <is>
          <t>Repuestos y materiales mecanicos</t>
        </is>
      </c>
      <c r="H174" s="7" t="n">
        <v>8228.48</v>
      </c>
      <c r="I174" s="7" t="n">
        <v>6834.93</v>
      </c>
      <c r="J174" s="7" t="n">
        <v>7195.34</v>
      </c>
      <c r="K174" s="7" t="n">
        <v>7753.6</v>
      </c>
      <c r="L174" s="7" t="n">
        <v>7291.55</v>
      </c>
      <c r="M174" s="7" t="n">
        <v>7420.27</v>
      </c>
      <c r="N174" s="7" t="n">
        <v>7124.56</v>
      </c>
      <c r="O174" s="7" t="n">
        <v>7497.89</v>
      </c>
      <c r="P174" s="7" t="n">
        <v>6766.08</v>
      </c>
      <c r="Q174" s="7" t="n">
        <v>7669.21</v>
      </c>
      <c r="R174" s="7" t="n">
        <v>7529.48</v>
      </c>
      <c r="S174" s="7" t="n">
        <v>7993.89</v>
      </c>
      <c r="T174" s="8">
        <f>SUM(H174:S174)</f>
        <v/>
      </c>
      <c r="U174" s="2" t="inlineStr">
        <is>
          <t>HISTORICAL</t>
        </is>
      </c>
    </row>
    <row r="175">
      <c r="A175" s="2" t="inlineStr">
        <is>
          <t>4000_4900</t>
        </is>
      </c>
      <c r="B175" s="2" t="inlineStr">
        <is>
          <t>Taller Mantenimiento Planta</t>
        </is>
      </c>
      <c r="C175" s="2" t="inlineStr">
        <is>
          <t>SN-4000-4900</t>
        </is>
      </c>
      <c r="D175" s="2" t="inlineStr">
        <is>
          <t>CC-4000</t>
        </is>
      </c>
      <c r="E175" s="2" t="inlineStr">
        <is>
          <t>P03</t>
        </is>
      </c>
      <c r="F175" s="2" t="inlineStr">
        <is>
          <t>GET</t>
        </is>
      </c>
      <c r="G175" s="2" t="inlineStr">
        <is>
          <t>Elementos de desgaste (GET)</t>
        </is>
      </c>
      <c r="H175" s="7" t="n">
        <v>2227.97</v>
      </c>
      <c r="I175" s="7" t="n">
        <v>2430.77</v>
      </c>
      <c r="J175" s="7" t="n">
        <v>2300.94</v>
      </c>
      <c r="K175" s="7" t="n">
        <v>2226.95</v>
      </c>
      <c r="L175" s="7" t="n">
        <v>2511.39</v>
      </c>
      <c r="M175" s="7" t="n">
        <v>2195.37</v>
      </c>
      <c r="N175" s="7" t="n">
        <v>2400.43</v>
      </c>
      <c r="O175" s="7" t="n">
        <v>2474.8</v>
      </c>
      <c r="P175" s="7" t="n">
        <v>2252.01</v>
      </c>
      <c r="Q175" s="7" t="n">
        <v>2547.85</v>
      </c>
      <c r="R175" s="7" t="n">
        <v>2199.94</v>
      </c>
      <c r="S175" s="7" t="n">
        <v>2565.17</v>
      </c>
      <c r="T175" s="8">
        <f>SUM(H175:S175)</f>
        <v/>
      </c>
      <c r="U175" s="2" t="inlineStr">
        <is>
          <t>HISTORICAL</t>
        </is>
      </c>
    </row>
    <row r="176">
      <c r="A176" s="2" t="inlineStr">
        <is>
          <t>4000_4900</t>
        </is>
      </c>
      <c r="B176" s="2" t="inlineStr">
        <is>
          <t>Taller Mantenimiento Planta</t>
        </is>
      </c>
      <c r="C176" s="2" t="inlineStr">
        <is>
          <t>SN-4000-4900</t>
        </is>
      </c>
      <c r="D176" s="2" t="inlineStr">
        <is>
          <t>CC-4000</t>
        </is>
      </c>
      <c r="E176" s="2" t="inlineStr">
        <is>
          <t>P03</t>
        </is>
      </c>
      <c r="F176" s="2" t="inlineStr">
        <is>
          <t>CONSUMABLES</t>
        </is>
      </c>
      <c r="G176" s="2" t="inlineStr">
        <is>
          <t>Consumibles operacion</t>
        </is>
      </c>
      <c r="H176" s="7" t="n">
        <v>1700.57</v>
      </c>
      <c r="I176" s="7" t="n">
        <v>1597.02</v>
      </c>
      <c r="J176" s="7" t="n">
        <v>1591.52</v>
      </c>
      <c r="K176" s="7" t="n">
        <v>1518.32</v>
      </c>
      <c r="L176" s="7" t="n">
        <v>1564.22</v>
      </c>
      <c r="M176" s="7" t="n">
        <v>1615.25</v>
      </c>
      <c r="N176" s="7" t="n">
        <v>1677.94</v>
      </c>
      <c r="O176" s="7" t="n">
        <v>1644.02</v>
      </c>
      <c r="P176" s="7" t="n">
        <v>1634.82</v>
      </c>
      <c r="Q176" s="7" t="n">
        <v>1887.1</v>
      </c>
      <c r="R176" s="7" t="n">
        <v>1516.73</v>
      </c>
      <c r="S176" s="7" t="n">
        <v>1522.71</v>
      </c>
      <c r="T176" s="8">
        <f>SUM(H176:S176)</f>
        <v/>
      </c>
      <c r="U176" s="2" t="inlineStr">
        <is>
          <t>HISTORICAL</t>
        </is>
      </c>
    </row>
    <row r="177">
      <c r="A177" s="2" t="inlineStr">
        <is>
          <t>4000_4900</t>
        </is>
      </c>
      <c r="B177" s="2" t="inlineStr">
        <is>
          <t>Taller Mantenimiento Planta</t>
        </is>
      </c>
      <c r="C177" s="2" t="inlineStr">
        <is>
          <t>SN-4000-4900</t>
        </is>
      </c>
      <c r="D177" s="2" t="inlineStr">
        <is>
          <t>CC-4000</t>
        </is>
      </c>
      <c r="E177" s="2" t="inlineStr">
        <is>
          <t>P03</t>
        </is>
      </c>
      <c r="F177" s="2" t="inlineStr">
        <is>
          <t>LUBRICANTS</t>
        </is>
      </c>
      <c r="G177" s="2" t="inlineStr">
        <is>
          <t>Lubricantes</t>
        </is>
      </c>
      <c r="H177" s="7" t="n">
        <v>1885.66</v>
      </c>
      <c r="I177" s="7" t="n">
        <v>1774.21</v>
      </c>
      <c r="J177" s="7" t="n">
        <v>2014.23</v>
      </c>
      <c r="K177" s="7" t="n">
        <v>1960.81</v>
      </c>
      <c r="L177" s="7" t="n">
        <v>2016.11</v>
      </c>
      <c r="M177" s="7" t="n">
        <v>1798.3</v>
      </c>
      <c r="N177" s="7" t="n">
        <v>2037.65</v>
      </c>
      <c r="O177" s="7" t="n">
        <v>1783.37</v>
      </c>
      <c r="P177" s="7" t="n">
        <v>1860.35</v>
      </c>
      <c r="Q177" s="7" t="n">
        <v>1948.77</v>
      </c>
      <c r="R177" s="7" t="n">
        <v>1914.78</v>
      </c>
      <c r="S177" s="7" t="n">
        <v>2051.29</v>
      </c>
      <c r="T177" s="8">
        <f>SUM(H177:S177)</f>
        <v/>
      </c>
      <c r="U177" s="2" t="inlineStr">
        <is>
          <t>CONTRACTOR_QUOTE</t>
        </is>
      </c>
    </row>
    <row r="178">
      <c r="A178" s="2" t="inlineStr">
        <is>
          <t>4000_4900</t>
        </is>
      </c>
      <c r="B178" s="2" t="inlineStr">
        <is>
          <t>Taller Mantenimiento Planta</t>
        </is>
      </c>
      <c r="C178" s="2" t="inlineStr">
        <is>
          <t>SN-4000-4900</t>
        </is>
      </c>
      <c r="D178" s="2" t="inlineStr">
        <is>
          <t>CC-4000</t>
        </is>
      </c>
      <c r="E178" s="2" t="inlineStr">
        <is>
          <t>P03</t>
        </is>
      </c>
      <c r="F178" s="2" t="inlineStr">
        <is>
          <t>SVC_FIXED</t>
        </is>
      </c>
      <c r="G178" s="2" t="inlineStr">
        <is>
          <t>Servicios mantencion marco fijo</t>
        </is>
      </c>
      <c r="H178" s="7" t="n">
        <v>4027.27</v>
      </c>
      <c r="I178" s="7" t="n">
        <v>3469.99</v>
      </c>
      <c r="J178" s="7" t="n">
        <v>3736.54</v>
      </c>
      <c r="K178" s="7" t="n">
        <v>3987.43</v>
      </c>
      <c r="L178" s="7" t="n">
        <v>3699.8</v>
      </c>
      <c r="M178" s="7" t="n">
        <v>3712.95</v>
      </c>
      <c r="N178" s="7" t="n">
        <v>3700.71</v>
      </c>
      <c r="O178" s="7" t="n">
        <v>3784</v>
      </c>
      <c r="P178" s="7" t="n">
        <v>3036.2</v>
      </c>
      <c r="Q178" s="7" t="n">
        <v>3772.01</v>
      </c>
      <c r="R178" s="7" t="n">
        <v>3687.36</v>
      </c>
      <c r="S178" s="7" t="n">
        <v>3596.82</v>
      </c>
      <c r="T178" s="8">
        <f>SUM(H178:S178)</f>
        <v/>
      </c>
      <c r="U178" s="2" t="inlineStr">
        <is>
          <t>HISTORICAL</t>
        </is>
      </c>
    </row>
    <row r="179">
      <c r="A179" s="2" t="inlineStr">
        <is>
          <t>4000_4900</t>
        </is>
      </c>
      <c r="B179" s="2" t="inlineStr">
        <is>
          <t>Taller Mantenimiento Planta</t>
        </is>
      </c>
      <c r="C179" s="2" t="inlineStr">
        <is>
          <t>SN-4000-4900</t>
        </is>
      </c>
      <c r="D179" s="2" t="inlineStr">
        <is>
          <t>CC-4000</t>
        </is>
      </c>
      <c r="E179" s="2" t="inlineStr">
        <is>
          <t>P03</t>
        </is>
      </c>
      <c r="F179" s="2" t="inlineStr">
        <is>
          <t>SVC_VARIABLE</t>
        </is>
      </c>
      <c r="G179" s="2" t="inlineStr">
        <is>
          <t>Servicios mantencion marco variable</t>
        </is>
      </c>
      <c r="H179" s="7" t="n">
        <v>2707.45</v>
      </c>
      <c r="I179" s="7" t="n">
        <v>2425.87</v>
      </c>
      <c r="J179" s="7" t="n">
        <v>2692.59</v>
      </c>
      <c r="K179" s="7" t="n">
        <v>2692.46</v>
      </c>
      <c r="L179" s="7" t="n">
        <v>2851.32</v>
      </c>
      <c r="M179" s="7" t="n">
        <v>2618.79</v>
      </c>
      <c r="N179" s="7" t="n">
        <v>2635.96</v>
      </c>
      <c r="O179" s="7" t="n">
        <v>2586.95</v>
      </c>
      <c r="P179" s="7" t="n">
        <v>2646.19</v>
      </c>
      <c r="Q179" s="7" t="n">
        <v>2913.03</v>
      </c>
      <c r="R179" s="7" t="n">
        <v>2467.63</v>
      </c>
      <c r="S179" s="7" t="n">
        <v>2644.71</v>
      </c>
      <c r="T179" s="8">
        <f>SUM(H179:S179)</f>
        <v/>
      </c>
      <c r="U179" s="2" t="inlineStr">
        <is>
          <t>HISTORICAL</t>
        </is>
      </c>
    </row>
    <row r="180">
      <c r="A180" s="2" t="inlineStr">
        <is>
          <t>4000_4900</t>
        </is>
      </c>
      <c r="B180" s="2" t="inlineStr">
        <is>
          <t>Taller Mantenimiento Planta</t>
        </is>
      </c>
      <c r="C180" s="2" t="inlineStr">
        <is>
          <t>SN-4000-4900</t>
        </is>
      </c>
      <c r="D180" s="2" t="inlineStr">
        <is>
          <t>CC-4000</t>
        </is>
      </c>
      <c r="E180" s="2" t="inlineStr">
        <is>
          <t>P03</t>
        </is>
      </c>
      <c r="F180" s="2" t="inlineStr">
        <is>
          <t>SVC_EXTERNAL</t>
        </is>
      </c>
      <c r="G180" s="2" t="inlineStr">
        <is>
          <t>Servicios mantencion externa</t>
        </is>
      </c>
      <c r="H180" s="7" t="n">
        <v>3537.36</v>
      </c>
      <c r="I180" s="7" t="n">
        <v>3209.52</v>
      </c>
      <c r="J180" s="7" t="n">
        <v>3218.3</v>
      </c>
      <c r="K180" s="7" t="n">
        <v>3184.14</v>
      </c>
      <c r="L180" s="7" t="n">
        <v>3281.48</v>
      </c>
      <c r="M180" s="7" t="n">
        <v>3163.63</v>
      </c>
      <c r="N180" s="7" t="n">
        <v>3277.33</v>
      </c>
      <c r="O180" s="7" t="n">
        <v>3562.29</v>
      </c>
      <c r="P180" s="7" t="n">
        <v>3397.51</v>
      </c>
      <c r="Q180" s="7" t="n">
        <v>3487.52</v>
      </c>
      <c r="R180" s="7" t="n">
        <v>3091.79</v>
      </c>
      <c r="S180" s="7" t="n">
        <v>3562.66</v>
      </c>
      <c r="T180" s="8">
        <f>SUM(H180:S180)</f>
        <v/>
      </c>
      <c r="U180" s="2" t="inlineStr">
        <is>
          <t>HISTORICAL</t>
        </is>
      </c>
    </row>
    <row r="181">
      <c r="A181" s="2" t="inlineStr">
        <is>
          <t>4000_4900</t>
        </is>
      </c>
      <c r="B181" s="2" t="inlineStr">
        <is>
          <t>Taller Mantenimiento Planta</t>
        </is>
      </c>
      <c r="C181" s="2" t="inlineStr">
        <is>
          <t>SN-4000-4900</t>
        </is>
      </c>
      <c r="D181" s="2" t="inlineStr">
        <is>
          <t>CC-4000</t>
        </is>
      </c>
      <c r="E181" s="2" t="inlineStr">
        <is>
          <t>P03</t>
        </is>
      </c>
      <c r="F181" s="2" t="inlineStr">
        <is>
          <t>OTHER_SERVICES</t>
        </is>
      </c>
      <c r="G181" s="2" t="inlineStr">
        <is>
          <t>Otros servicios de mantencion</t>
        </is>
      </c>
      <c r="H181" s="7" t="n">
        <v>970.9299999999999</v>
      </c>
      <c r="I181" s="7" t="n">
        <v>956.64</v>
      </c>
      <c r="J181" s="7" t="n">
        <v>943.55</v>
      </c>
      <c r="K181" s="7" t="n">
        <v>1130</v>
      </c>
      <c r="L181" s="7" t="n">
        <v>991.4</v>
      </c>
      <c r="M181" s="7" t="n">
        <v>890.27</v>
      </c>
      <c r="N181" s="7" t="n">
        <v>948.29</v>
      </c>
      <c r="O181" s="7" t="n">
        <v>979.3099999999999</v>
      </c>
      <c r="P181" s="7" t="n">
        <v>955.49</v>
      </c>
      <c r="Q181" s="7" t="n">
        <v>1140.25</v>
      </c>
      <c r="R181" s="7" t="n">
        <v>945.6900000000001</v>
      </c>
      <c r="S181" s="7" t="n">
        <v>1125.38</v>
      </c>
      <c r="T181" s="8">
        <f>SUM(H181:S181)</f>
        <v/>
      </c>
      <c r="U181" s="2" t="inlineStr">
        <is>
          <t>CONTRACTOR_QUOTE</t>
        </is>
      </c>
    </row>
    <row r="182">
      <c r="A182" s="2" t="inlineStr">
        <is>
          <t>5000_5200</t>
        </is>
      </c>
      <c r="B182" s="2" t="inlineStr">
        <is>
          <t>Barrio Civico</t>
        </is>
      </c>
      <c r="C182" s="2" t="inlineStr">
        <is>
          <t>SN-5000-5200</t>
        </is>
      </c>
      <c r="D182" s="2" t="inlineStr">
        <is>
          <t>CC-5000</t>
        </is>
      </c>
      <c r="E182" s="2" t="inlineStr">
        <is>
          <t>P03</t>
        </is>
      </c>
      <c r="F182" s="2" t="inlineStr">
        <is>
          <t>LABOR_INTERNAL</t>
        </is>
      </c>
      <c r="G182" s="2" t="inlineStr">
        <is>
          <t>Mano obra interna mantencion</t>
        </is>
      </c>
      <c r="H182" s="7" t="n">
        <v>31335.53</v>
      </c>
      <c r="I182" s="7" t="n">
        <v>30590.08</v>
      </c>
      <c r="J182" s="7" t="n">
        <v>33074.56</v>
      </c>
      <c r="K182" s="7" t="n">
        <v>32205.18</v>
      </c>
      <c r="L182" s="7" t="n">
        <v>29976.65</v>
      </c>
      <c r="M182" s="7" t="n">
        <v>33445.49</v>
      </c>
      <c r="N182" s="7" t="n">
        <v>34050.12</v>
      </c>
      <c r="O182" s="7" t="n">
        <v>30128.05</v>
      </c>
      <c r="P182" s="7" t="n">
        <v>31943.01</v>
      </c>
      <c r="Q182" s="7" t="n">
        <v>34909.52</v>
      </c>
      <c r="R182" s="7" t="n">
        <v>27798.98</v>
      </c>
      <c r="S182" s="7" t="n">
        <v>31296.77</v>
      </c>
      <c r="T182" s="8">
        <f>SUM(H182:S182)</f>
        <v/>
      </c>
      <c r="U182" s="2" t="inlineStr">
        <is>
          <t>HISTORICAL</t>
        </is>
      </c>
    </row>
    <row r="183">
      <c r="A183" s="2" t="inlineStr">
        <is>
          <t>5000_5200</t>
        </is>
      </c>
      <c r="B183" s="2" t="inlineStr">
        <is>
          <t>Barrio Civico</t>
        </is>
      </c>
      <c r="C183" s="2" t="inlineStr">
        <is>
          <t>SN-5000-5200</t>
        </is>
      </c>
      <c r="D183" s="2" t="inlineStr">
        <is>
          <t>CC-5000</t>
        </is>
      </c>
      <c r="E183" s="2" t="inlineStr">
        <is>
          <t>P03</t>
        </is>
      </c>
      <c r="F183" s="2" t="inlineStr">
        <is>
          <t>SPARE_PARTS</t>
        </is>
      </c>
      <c r="G183" s="2" t="inlineStr">
        <is>
          <t>Repuestos y materiales mecanicos</t>
        </is>
      </c>
      <c r="H183" s="7" t="n">
        <v>26165.8</v>
      </c>
      <c r="I183" s="7" t="n">
        <v>26891.16</v>
      </c>
      <c r="J183" s="7" t="n">
        <v>27585.86</v>
      </c>
      <c r="K183" s="7" t="n">
        <v>26028.69</v>
      </c>
      <c r="L183" s="7" t="n">
        <v>26535.1</v>
      </c>
      <c r="M183" s="7" t="n">
        <v>25162.03</v>
      </c>
      <c r="N183" s="7" t="n">
        <v>26910.08</v>
      </c>
      <c r="O183" s="7" t="n">
        <v>25575.86</v>
      </c>
      <c r="P183" s="7" t="n">
        <v>26056.23</v>
      </c>
      <c r="Q183" s="7" t="n">
        <v>26847.41</v>
      </c>
      <c r="R183" s="7" t="n">
        <v>25920.74</v>
      </c>
      <c r="S183" s="7" t="n">
        <v>29992.05</v>
      </c>
      <c r="T183" s="8">
        <f>SUM(H183:S183)</f>
        <v/>
      </c>
      <c r="U183" s="2" t="inlineStr">
        <is>
          <t>HISTORICAL</t>
        </is>
      </c>
    </row>
    <row r="184">
      <c r="A184" s="2" t="inlineStr">
        <is>
          <t>5000_5200</t>
        </is>
      </c>
      <c r="B184" s="2" t="inlineStr">
        <is>
          <t>Barrio Civico</t>
        </is>
      </c>
      <c r="C184" s="2" t="inlineStr">
        <is>
          <t>SN-5000-5200</t>
        </is>
      </c>
      <c r="D184" s="2" t="inlineStr">
        <is>
          <t>CC-5000</t>
        </is>
      </c>
      <c r="E184" s="2" t="inlineStr">
        <is>
          <t>P03</t>
        </is>
      </c>
      <c r="F184" s="2" t="inlineStr">
        <is>
          <t>GET</t>
        </is>
      </c>
      <c r="G184" s="2" t="inlineStr">
        <is>
          <t>Elementos de desgaste (GET)</t>
        </is>
      </c>
      <c r="H184" s="7" t="n">
        <v>9425.59</v>
      </c>
      <c r="I184" s="7" t="n">
        <v>10163</v>
      </c>
      <c r="J184" s="7" t="n">
        <v>11336.06</v>
      </c>
      <c r="K184" s="7" t="n">
        <v>9898.59</v>
      </c>
      <c r="L184" s="7" t="n">
        <v>9788.219999999999</v>
      </c>
      <c r="M184" s="7" t="n">
        <v>9832.66</v>
      </c>
      <c r="N184" s="7" t="n">
        <v>9288.27</v>
      </c>
      <c r="O184" s="7" t="n">
        <v>11008.2</v>
      </c>
      <c r="P184" s="7" t="n">
        <v>9346.74</v>
      </c>
      <c r="Q184" s="7" t="n">
        <v>10059.88</v>
      </c>
      <c r="R184" s="7" t="n">
        <v>9461.120000000001</v>
      </c>
      <c r="S184" s="7" t="n">
        <v>9997.540000000001</v>
      </c>
      <c r="T184" s="8">
        <f>SUM(H184:S184)</f>
        <v/>
      </c>
      <c r="U184" s="2" t="inlineStr">
        <is>
          <t>HISTORICAL</t>
        </is>
      </c>
    </row>
    <row r="185">
      <c r="A185" s="2" t="inlineStr">
        <is>
          <t>5000_5200</t>
        </is>
      </c>
      <c r="B185" s="2" t="inlineStr">
        <is>
          <t>Barrio Civico</t>
        </is>
      </c>
      <c r="C185" s="2" t="inlineStr">
        <is>
          <t>SN-5000-5200</t>
        </is>
      </c>
      <c r="D185" s="2" t="inlineStr">
        <is>
          <t>CC-5000</t>
        </is>
      </c>
      <c r="E185" s="2" t="inlineStr">
        <is>
          <t>P03</t>
        </is>
      </c>
      <c r="F185" s="2" t="inlineStr">
        <is>
          <t>CONSUMABLES</t>
        </is>
      </c>
      <c r="G185" s="2" t="inlineStr">
        <is>
          <t>Consumibles operacion</t>
        </is>
      </c>
      <c r="H185" s="7" t="n">
        <v>6875.89</v>
      </c>
      <c r="I185" s="7" t="n">
        <v>6603.84</v>
      </c>
      <c r="J185" s="7" t="n">
        <v>6915.01</v>
      </c>
      <c r="K185" s="7" t="n">
        <v>7498.18</v>
      </c>
      <c r="L185" s="7" t="n">
        <v>6614.73</v>
      </c>
      <c r="M185" s="7" t="n">
        <v>5999</v>
      </c>
      <c r="N185" s="7" t="n">
        <v>6766.37</v>
      </c>
      <c r="O185" s="7" t="n">
        <v>6637</v>
      </c>
      <c r="P185" s="7" t="n">
        <v>6999.05</v>
      </c>
      <c r="Q185" s="7" t="n">
        <v>7462.18</v>
      </c>
      <c r="R185" s="7" t="n">
        <v>6371.09</v>
      </c>
      <c r="S185" s="7" t="n">
        <v>7732.78</v>
      </c>
      <c r="T185" s="8">
        <f>SUM(H185:S185)</f>
        <v/>
      </c>
      <c r="U185" s="2" t="inlineStr">
        <is>
          <t>HISTORICAL</t>
        </is>
      </c>
    </row>
    <row r="186">
      <c r="A186" s="2" t="inlineStr">
        <is>
          <t>5000_5200</t>
        </is>
      </c>
      <c r="B186" s="2" t="inlineStr">
        <is>
          <t>Barrio Civico</t>
        </is>
      </c>
      <c r="C186" s="2" t="inlineStr">
        <is>
          <t>SN-5000-5200</t>
        </is>
      </c>
      <c r="D186" s="2" t="inlineStr">
        <is>
          <t>CC-5000</t>
        </is>
      </c>
      <c r="E186" s="2" t="inlineStr">
        <is>
          <t>P03</t>
        </is>
      </c>
      <c r="F186" s="2" t="inlineStr">
        <is>
          <t>LUBRICANTS</t>
        </is>
      </c>
      <c r="G186" s="2" t="inlineStr">
        <is>
          <t>Lubricantes</t>
        </is>
      </c>
      <c r="H186" s="7" t="n">
        <v>9047.24</v>
      </c>
      <c r="I186" s="7" t="n">
        <v>8410.799999999999</v>
      </c>
      <c r="J186" s="7" t="n">
        <v>8710.209999999999</v>
      </c>
      <c r="K186" s="7" t="n">
        <v>9449.83</v>
      </c>
      <c r="L186" s="7" t="n">
        <v>8473.67</v>
      </c>
      <c r="M186" s="7" t="n">
        <v>8021.99</v>
      </c>
      <c r="N186" s="7" t="n">
        <v>8358.059999999999</v>
      </c>
      <c r="O186" s="7" t="n">
        <v>8213.24</v>
      </c>
      <c r="P186" s="7" t="n">
        <v>7864.46</v>
      </c>
      <c r="Q186" s="7" t="n">
        <v>8574.549999999999</v>
      </c>
      <c r="R186" s="7" t="n">
        <v>7605.77</v>
      </c>
      <c r="S186" s="7" t="n">
        <v>8805.309999999999</v>
      </c>
      <c r="T186" s="8">
        <f>SUM(H186:S186)</f>
        <v/>
      </c>
      <c r="U186" s="2" t="inlineStr">
        <is>
          <t>HISTORICAL</t>
        </is>
      </c>
    </row>
    <row r="187">
      <c r="A187" s="2" t="inlineStr">
        <is>
          <t>5000_5200</t>
        </is>
      </c>
      <c r="B187" s="2" t="inlineStr">
        <is>
          <t>Barrio Civico</t>
        </is>
      </c>
      <c r="C187" s="2" t="inlineStr">
        <is>
          <t>SN-5000-5200</t>
        </is>
      </c>
      <c r="D187" s="2" t="inlineStr">
        <is>
          <t>CC-5000</t>
        </is>
      </c>
      <c r="E187" s="2" t="inlineStr">
        <is>
          <t>P03</t>
        </is>
      </c>
      <c r="F187" s="2" t="inlineStr">
        <is>
          <t>SVC_FIXED</t>
        </is>
      </c>
      <c r="G187" s="2" t="inlineStr">
        <is>
          <t>Servicios mantencion marco fijo</t>
        </is>
      </c>
      <c r="H187" s="7" t="n">
        <v>12789.6</v>
      </c>
      <c r="I187" s="7" t="n">
        <v>12436.41</v>
      </c>
      <c r="J187" s="7" t="n">
        <v>13509.68</v>
      </c>
      <c r="K187" s="7" t="n">
        <v>13762.68</v>
      </c>
      <c r="L187" s="7" t="n">
        <v>12631.79</v>
      </c>
      <c r="M187" s="7" t="n">
        <v>13665.04</v>
      </c>
      <c r="N187" s="7" t="n">
        <v>12769.53</v>
      </c>
      <c r="O187" s="7" t="n">
        <v>12566.17</v>
      </c>
      <c r="P187" s="7" t="n">
        <v>13909.85</v>
      </c>
      <c r="Q187" s="7" t="n">
        <v>14510.83</v>
      </c>
      <c r="R187" s="7" t="n">
        <v>12294.74</v>
      </c>
      <c r="S187" s="7" t="n">
        <v>14888.61</v>
      </c>
      <c r="T187" s="8">
        <f>SUM(H187:S187)</f>
        <v/>
      </c>
      <c r="U187" s="2" t="inlineStr">
        <is>
          <t>HISTORICAL</t>
        </is>
      </c>
    </row>
    <row r="188">
      <c r="A188" s="2" t="inlineStr">
        <is>
          <t>5000_5200</t>
        </is>
      </c>
      <c r="B188" s="2" t="inlineStr">
        <is>
          <t>Barrio Civico</t>
        </is>
      </c>
      <c r="C188" s="2" t="inlineStr">
        <is>
          <t>SN-5000-5200</t>
        </is>
      </c>
      <c r="D188" s="2" t="inlineStr">
        <is>
          <t>CC-5000</t>
        </is>
      </c>
      <c r="E188" s="2" t="inlineStr">
        <is>
          <t>P03</t>
        </is>
      </c>
      <c r="F188" s="2" t="inlineStr">
        <is>
          <t>SVC_VARIABLE</t>
        </is>
      </c>
      <c r="G188" s="2" t="inlineStr">
        <is>
          <t>Servicios mantencion marco variable</t>
        </is>
      </c>
      <c r="H188" s="7" t="n">
        <v>11174.23</v>
      </c>
      <c r="I188" s="7" t="n">
        <v>12467.39</v>
      </c>
      <c r="J188" s="7" t="n">
        <v>11452.06</v>
      </c>
      <c r="K188" s="7" t="n">
        <v>13171.93</v>
      </c>
      <c r="L188" s="7" t="n">
        <v>11900.6</v>
      </c>
      <c r="M188" s="7" t="n">
        <v>10625.93</v>
      </c>
      <c r="N188" s="7" t="n">
        <v>12671.93</v>
      </c>
      <c r="O188" s="7" t="n">
        <v>11581.07</v>
      </c>
      <c r="P188" s="7" t="n">
        <v>11543.58</v>
      </c>
      <c r="Q188" s="7" t="n">
        <v>13144.89</v>
      </c>
      <c r="R188" s="7" t="n">
        <v>11962.25</v>
      </c>
      <c r="S188" s="7" t="n">
        <v>11649.11</v>
      </c>
      <c r="T188" s="8">
        <f>SUM(H188:S188)</f>
        <v/>
      </c>
      <c r="U188" s="2" t="inlineStr">
        <is>
          <t>ENGINEERING_ESTIMATE</t>
        </is>
      </c>
    </row>
    <row r="189">
      <c r="A189" s="2" t="inlineStr">
        <is>
          <t>5000_5200</t>
        </is>
      </c>
      <c r="B189" s="2" t="inlineStr">
        <is>
          <t>Barrio Civico</t>
        </is>
      </c>
      <c r="C189" s="2" t="inlineStr">
        <is>
          <t>SN-5000-5200</t>
        </is>
      </c>
      <c r="D189" s="2" t="inlineStr">
        <is>
          <t>CC-5000</t>
        </is>
      </c>
      <c r="E189" s="2" t="inlineStr">
        <is>
          <t>P03</t>
        </is>
      </c>
      <c r="F189" s="2" t="inlineStr">
        <is>
          <t>SVC_EXTERNAL</t>
        </is>
      </c>
      <c r="G189" s="2" t="inlineStr">
        <is>
          <t>Servicios mantencion externa</t>
        </is>
      </c>
      <c r="H189" s="7" t="n">
        <v>12418.24</v>
      </c>
      <c r="I189" s="7" t="n">
        <v>11952.13</v>
      </c>
      <c r="J189" s="7" t="n">
        <v>14360.83</v>
      </c>
      <c r="K189" s="7" t="n">
        <v>14530.74</v>
      </c>
      <c r="L189" s="7" t="n">
        <v>13663.42</v>
      </c>
      <c r="M189" s="7" t="n">
        <v>12138.23</v>
      </c>
      <c r="N189" s="7" t="n">
        <v>12564.56</v>
      </c>
      <c r="O189" s="7" t="n">
        <v>13451.12</v>
      </c>
      <c r="P189" s="7" t="n">
        <v>11618.72</v>
      </c>
      <c r="Q189" s="7" t="n">
        <v>13982.85</v>
      </c>
      <c r="R189" s="7" t="n">
        <v>13194</v>
      </c>
      <c r="S189" s="7" t="n">
        <v>12904.48</v>
      </c>
      <c r="T189" s="8">
        <f>SUM(H189:S189)</f>
        <v/>
      </c>
      <c r="U189" s="2" t="inlineStr">
        <is>
          <t>HISTORICAL</t>
        </is>
      </c>
    </row>
    <row r="190">
      <c r="A190" s="2" t="inlineStr">
        <is>
          <t>5000_5200</t>
        </is>
      </c>
      <c r="B190" s="2" t="inlineStr">
        <is>
          <t>Barrio Civico</t>
        </is>
      </c>
      <c r="C190" s="2" t="inlineStr">
        <is>
          <t>SN-5000-5200</t>
        </is>
      </c>
      <c r="D190" s="2" t="inlineStr">
        <is>
          <t>CC-5000</t>
        </is>
      </c>
      <c r="E190" s="2" t="inlineStr">
        <is>
          <t>P03</t>
        </is>
      </c>
      <c r="F190" s="2" t="inlineStr">
        <is>
          <t>OTHER_SERVICES</t>
        </is>
      </c>
      <c r="G190" s="2" t="inlineStr">
        <is>
          <t>Otros servicios de mantencion</t>
        </is>
      </c>
      <c r="H190" s="7" t="n">
        <v>4749.95</v>
      </c>
      <c r="I190" s="7" t="n">
        <v>4780.05</v>
      </c>
      <c r="J190" s="7" t="n">
        <v>5111.61</v>
      </c>
      <c r="K190" s="7" t="n">
        <v>4951.64</v>
      </c>
      <c r="L190" s="7" t="n">
        <v>4201.62</v>
      </c>
      <c r="M190" s="7" t="n">
        <v>4839.83</v>
      </c>
      <c r="N190" s="7" t="n">
        <v>4768.3</v>
      </c>
      <c r="O190" s="7" t="n">
        <v>5080.38</v>
      </c>
      <c r="P190" s="7" t="n">
        <v>4770.84</v>
      </c>
      <c r="Q190" s="7" t="n">
        <v>5025.28</v>
      </c>
      <c r="R190" s="7" t="n">
        <v>4918.29</v>
      </c>
      <c r="S190" s="7" t="n">
        <v>4631.48</v>
      </c>
      <c r="T190" s="8">
        <f>SUM(H190:S190)</f>
        <v/>
      </c>
      <c r="U190" s="2" t="inlineStr">
        <is>
          <t>HISTORICAL</t>
        </is>
      </c>
    </row>
    <row r="191">
      <c r="A191" s="2" t="inlineStr">
        <is>
          <t>5000_5300</t>
        </is>
      </c>
      <c r="B191" s="2" t="inlineStr">
        <is>
          <t>Bodega</t>
        </is>
      </c>
      <c r="C191" s="2" t="inlineStr">
        <is>
          <t>SN-5000-5300</t>
        </is>
      </c>
      <c r="D191" s="2" t="inlineStr">
        <is>
          <t>CC-5000</t>
        </is>
      </c>
      <c r="E191" s="2" t="inlineStr">
        <is>
          <t>P03</t>
        </is>
      </c>
      <c r="F191" s="2" t="inlineStr">
        <is>
          <t>LABOR_INTERNAL</t>
        </is>
      </c>
      <c r="G191" s="2" t="inlineStr">
        <is>
          <t>Mano obra interna mantencion</t>
        </is>
      </c>
      <c r="H191" s="7" t="n">
        <v>4642.67</v>
      </c>
      <c r="I191" s="7" t="n">
        <v>4693.24</v>
      </c>
      <c r="J191" s="7" t="n">
        <v>5189.2</v>
      </c>
      <c r="K191" s="7" t="n">
        <v>4713.34</v>
      </c>
      <c r="L191" s="7" t="n">
        <v>4757.73</v>
      </c>
      <c r="M191" s="7" t="n">
        <v>4738.21</v>
      </c>
      <c r="N191" s="7" t="n">
        <v>4633.87</v>
      </c>
      <c r="O191" s="7" t="n">
        <v>4282.86</v>
      </c>
      <c r="P191" s="7" t="n">
        <v>4572.38</v>
      </c>
      <c r="Q191" s="7" t="n">
        <v>5025.71</v>
      </c>
      <c r="R191" s="7" t="n">
        <v>4675.29</v>
      </c>
      <c r="S191" s="7" t="n">
        <v>4808</v>
      </c>
      <c r="T191" s="8">
        <f>SUM(H191:S191)</f>
        <v/>
      </c>
      <c r="U191" s="2" t="inlineStr">
        <is>
          <t>HISTORICAL</t>
        </is>
      </c>
    </row>
    <row r="192">
      <c r="A192" s="2" t="inlineStr">
        <is>
          <t>5000_5300</t>
        </is>
      </c>
      <c r="B192" s="2" t="inlineStr">
        <is>
          <t>Bodega</t>
        </is>
      </c>
      <c r="C192" s="2" t="inlineStr">
        <is>
          <t>SN-5000-5300</t>
        </is>
      </c>
      <c r="D192" s="2" t="inlineStr">
        <is>
          <t>CC-5000</t>
        </is>
      </c>
      <c r="E192" s="2" t="inlineStr">
        <is>
          <t>P03</t>
        </is>
      </c>
      <c r="F192" s="2" t="inlineStr">
        <is>
          <t>SPARE_PARTS</t>
        </is>
      </c>
      <c r="G192" s="2" t="inlineStr">
        <is>
          <t>Repuestos y materiales mecanicos</t>
        </is>
      </c>
      <c r="H192" s="7" t="n">
        <v>5574.47</v>
      </c>
      <c r="I192" s="7" t="n">
        <v>5376.22</v>
      </c>
      <c r="J192" s="7" t="n">
        <v>6284.24</v>
      </c>
      <c r="K192" s="7" t="n">
        <v>5944.81</v>
      </c>
      <c r="L192" s="7" t="n">
        <v>5175.09</v>
      </c>
      <c r="M192" s="7" t="n">
        <v>5330.85</v>
      </c>
      <c r="N192" s="7" t="n">
        <v>5771.38</v>
      </c>
      <c r="O192" s="7" t="n">
        <v>5416.94</v>
      </c>
      <c r="P192" s="7" t="n">
        <v>4821.48</v>
      </c>
      <c r="Q192" s="7" t="n">
        <v>6004.56</v>
      </c>
      <c r="R192" s="7" t="n">
        <v>5479.46</v>
      </c>
      <c r="S192" s="7" t="n">
        <v>6257.86</v>
      </c>
      <c r="T192" s="8">
        <f>SUM(H192:S192)</f>
        <v/>
      </c>
      <c r="U192" s="2" t="inlineStr">
        <is>
          <t>ENGINEERING_ESTIMATE</t>
        </is>
      </c>
    </row>
    <row r="193">
      <c r="A193" s="2" t="inlineStr">
        <is>
          <t>5000_5300</t>
        </is>
      </c>
      <c r="B193" s="2" t="inlineStr">
        <is>
          <t>Bodega</t>
        </is>
      </c>
      <c r="C193" s="2" t="inlineStr">
        <is>
          <t>SN-5000-5300</t>
        </is>
      </c>
      <c r="D193" s="2" t="inlineStr">
        <is>
          <t>CC-5000</t>
        </is>
      </c>
      <c r="E193" s="2" t="inlineStr">
        <is>
          <t>P03</t>
        </is>
      </c>
      <c r="F193" s="2" t="inlineStr">
        <is>
          <t>GET</t>
        </is>
      </c>
      <c r="G193" s="2" t="inlineStr">
        <is>
          <t>Elementos de desgaste (GET)</t>
        </is>
      </c>
      <c r="H193" s="7" t="n">
        <v>2171.34</v>
      </c>
      <c r="I193" s="7" t="n">
        <v>2166.01</v>
      </c>
      <c r="J193" s="7" t="n">
        <v>2100.13</v>
      </c>
      <c r="K193" s="7" t="n">
        <v>2092.66</v>
      </c>
      <c r="L193" s="7" t="n">
        <v>1906.45</v>
      </c>
      <c r="M193" s="7" t="n">
        <v>1872.69</v>
      </c>
      <c r="N193" s="7" t="n">
        <v>2002.56</v>
      </c>
      <c r="O193" s="7" t="n">
        <v>2197.7</v>
      </c>
      <c r="P193" s="7" t="n">
        <v>1876.89</v>
      </c>
      <c r="Q193" s="7" t="n">
        <v>2133.52</v>
      </c>
      <c r="R193" s="7" t="n">
        <v>2119.05</v>
      </c>
      <c r="S193" s="7" t="n">
        <v>2236.85</v>
      </c>
      <c r="T193" s="8">
        <f>SUM(H193:S193)</f>
        <v/>
      </c>
      <c r="U193" s="2" t="inlineStr">
        <is>
          <t>HISTORICAL</t>
        </is>
      </c>
    </row>
    <row r="194">
      <c r="A194" s="2" t="inlineStr">
        <is>
          <t>5000_5300</t>
        </is>
      </c>
      <c r="B194" s="2" t="inlineStr">
        <is>
          <t>Bodega</t>
        </is>
      </c>
      <c r="C194" s="2" t="inlineStr">
        <is>
          <t>SN-5000-5300</t>
        </is>
      </c>
      <c r="D194" s="2" t="inlineStr">
        <is>
          <t>CC-5000</t>
        </is>
      </c>
      <c r="E194" s="2" t="inlineStr">
        <is>
          <t>P03</t>
        </is>
      </c>
      <c r="F194" s="2" t="inlineStr">
        <is>
          <t>CONSUMABLES</t>
        </is>
      </c>
      <c r="G194" s="2" t="inlineStr">
        <is>
          <t>Consumibles operacion</t>
        </is>
      </c>
      <c r="H194" s="7" t="n">
        <v>1501.68</v>
      </c>
      <c r="I194" s="7" t="n">
        <v>1389.42</v>
      </c>
      <c r="J194" s="7" t="n">
        <v>1629.62</v>
      </c>
      <c r="K194" s="7" t="n">
        <v>1327.97</v>
      </c>
      <c r="L194" s="7" t="n">
        <v>1438.32</v>
      </c>
      <c r="M194" s="7" t="n">
        <v>1283.43</v>
      </c>
      <c r="N194" s="7" t="n">
        <v>1391.9</v>
      </c>
      <c r="O194" s="7" t="n">
        <v>1333.77</v>
      </c>
      <c r="P194" s="7" t="n">
        <v>1385.98</v>
      </c>
      <c r="Q194" s="7" t="n">
        <v>1522.82</v>
      </c>
      <c r="R194" s="7" t="n">
        <v>1530.06</v>
      </c>
      <c r="S194" s="7" t="n">
        <v>1506.8</v>
      </c>
      <c r="T194" s="8">
        <f>SUM(H194:S194)</f>
        <v/>
      </c>
      <c r="U194" s="2" t="inlineStr">
        <is>
          <t>ENGINEERING_ESTIMATE</t>
        </is>
      </c>
    </row>
    <row r="195">
      <c r="A195" s="2" t="inlineStr">
        <is>
          <t>5000_5300</t>
        </is>
      </c>
      <c r="B195" s="2" t="inlineStr">
        <is>
          <t>Bodega</t>
        </is>
      </c>
      <c r="C195" s="2" t="inlineStr">
        <is>
          <t>SN-5000-5300</t>
        </is>
      </c>
      <c r="D195" s="2" t="inlineStr">
        <is>
          <t>CC-5000</t>
        </is>
      </c>
      <c r="E195" s="2" t="inlineStr">
        <is>
          <t>P03</t>
        </is>
      </c>
      <c r="F195" s="2" t="inlineStr">
        <is>
          <t>LUBRICANTS</t>
        </is>
      </c>
      <c r="G195" s="2" t="inlineStr">
        <is>
          <t>Lubricantes</t>
        </is>
      </c>
      <c r="H195" s="7" t="n">
        <v>1339.67</v>
      </c>
      <c r="I195" s="7" t="n">
        <v>1304.22</v>
      </c>
      <c r="J195" s="7" t="n">
        <v>1499.86</v>
      </c>
      <c r="K195" s="7" t="n">
        <v>1311.43</v>
      </c>
      <c r="L195" s="7" t="n">
        <v>1467.98</v>
      </c>
      <c r="M195" s="7" t="n">
        <v>1183.01</v>
      </c>
      <c r="N195" s="7" t="n">
        <v>1468.5</v>
      </c>
      <c r="O195" s="7" t="n">
        <v>1347.43</v>
      </c>
      <c r="P195" s="7" t="n">
        <v>1274.11</v>
      </c>
      <c r="Q195" s="7" t="n">
        <v>1614.54</v>
      </c>
      <c r="R195" s="7" t="n">
        <v>1415.74</v>
      </c>
      <c r="S195" s="7" t="n">
        <v>1493.55</v>
      </c>
      <c r="T195" s="8">
        <f>SUM(H195:S195)</f>
        <v/>
      </c>
      <c r="U195" s="2" t="inlineStr">
        <is>
          <t>CONTRACTOR_QUOTE</t>
        </is>
      </c>
    </row>
    <row r="196">
      <c r="A196" s="2" t="inlineStr">
        <is>
          <t>5000_5300</t>
        </is>
      </c>
      <c r="B196" s="2" t="inlineStr">
        <is>
          <t>Bodega</t>
        </is>
      </c>
      <c r="C196" s="2" t="inlineStr">
        <is>
          <t>SN-5000-5300</t>
        </is>
      </c>
      <c r="D196" s="2" t="inlineStr">
        <is>
          <t>CC-5000</t>
        </is>
      </c>
      <c r="E196" s="2" t="inlineStr">
        <is>
          <t>P03</t>
        </is>
      </c>
      <c r="F196" s="2" t="inlineStr">
        <is>
          <t>SVC_FIXED</t>
        </is>
      </c>
      <c r="G196" s="2" t="inlineStr">
        <is>
          <t>Servicios mantencion marco fijo</t>
        </is>
      </c>
      <c r="H196" s="7" t="n">
        <v>3776.56</v>
      </c>
      <c r="I196" s="7" t="n">
        <v>3735.8</v>
      </c>
      <c r="J196" s="7" t="n">
        <v>3840.87</v>
      </c>
      <c r="K196" s="7" t="n">
        <v>3848.86</v>
      </c>
      <c r="L196" s="7" t="n">
        <v>3626.01</v>
      </c>
      <c r="M196" s="7" t="n">
        <v>3563.24</v>
      </c>
      <c r="N196" s="7" t="n">
        <v>3521.43</v>
      </c>
      <c r="O196" s="7" t="n">
        <v>3710.27</v>
      </c>
      <c r="P196" s="7" t="n">
        <v>3170.91</v>
      </c>
      <c r="Q196" s="7" t="n">
        <v>3948.92</v>
      </c>
      <c r="R196" s="7" t="n">
        <v>3468.05</v>
      </c>
      <c r="S196" s="7" t="n">
        <v>3906.88</v>
      </c>
      <c r="T196" s="8">
        <f>SUM(H196:S196)</f>
        <v/>
      </c>
      <c r="U196" s="2" t="inlineStr">
        <is>
          <t>CONTRACTOR_QUOTE</t>
        </is>
      </c>
    </row>
    <row r="197">
      <c r="A197" s="2" t="inlineStr">
        <is>
          <t>5000_5300</t>
        </is>
      </c>
      <c r="B197" s="2" t="inlineStr">
        <is>
          <t>Bodega</t>
        </is>
      </c>
      <c r="C197" s="2" t="inlineStr">
        <is>
          <t>SN-5000-5300</t>
        </is>
      </c>
      <c r="D197" s="2" t="inlineStr">
        <is>
          <t>CC-5000</t>
        </is>
      </c>
      <c r="E197" s="2" t="inlineStr">
        <is>
          <t>P03</t>
        </is>
      </c>
      <c r="F197" s="2" t="inlineStr">
        <is>
          <t>SVC_VARIABLE</t>
        </is>
      </c>
      <c r="G197" s="2" t="inlineStr">
        <is>
          <t>Servicios mantencion marco variable</t>
        </is>
      </c>
      <c r="H197" s="7" t="n">
        <v>2102.04</v>
      </c>
      <c r="I197" s="7" t="n">
        <v>2259.56</v>
      </c>
      <c r="J197" s="7" t="n">
        <v>2010</v>
      </c>
      <c r="K197" s="7" t="n">
        <v>2361.03</v>
      </c>
      <c r="L197" s="7" t="n">
        <v>2181.73</v>
      </c>
      <c r="M197" s="7" t="n">
        <v>1918.11</v>
      </c>
      <c r="N197" s="7" t="n">
        <v>2312.54</v>
      </c>
      <c r="O197" s="7" t="n">
        <v>2063.25</v>
      </c>
      <c r="P197" s="7" t="n">
        <v>1859.12</v>
      </c>
      <c r="Q197" s="7" t="n">
        <v>2223.4</v>
      </c>
      <c r="R197" s="7" t="n">
        <v>2261.73</v>
      </c>
      <c r="S197" s="7" t="n">
        <v>2280.59</v>
      </c>
      <c r="T197" s="8">
        <f>SUM(H197:S197)</f>
        <v/>
      </c>
      <c r="U197" s="2" t="inlineStr">
        <is>
          <t>ENGINEERING_ESTIMATE</t>
        </is>
      </c>
    </row>
    <row r="198">
      <c r="A198" s="2" t="inlineStr">
        <is>
          <t>5000_5300</t>
        </is>
      </c>
      <c r="B198" s="2" t="inlineStr">
        <is>
          <t>Bodega</t>
        </is>
      </c>
      <c r="C198" s="2" t="inlineStr">
        <is>
          <t>SN-5000-5300</t>
        </is>
      </c>
      <c r="D198" s="2" t="inlineStr">
        <is>
          <t>CC-5000</t>
        </is>
      </c>
      <c r="E198" s="2" t="inlineStr">
        <is>
          <t>P03</t>
        </is>
      </c>
      <c r="F198" s="2" t="inlineStr">
        <is>
          <t>SVC_EXTERNAL</t>
        </is>
      </c>
      <c r="G198" s="2" t="inlineStr">
        <is>
          <t>Servicios mantencion externa</t>
        </is>
      </c>
      <c r="H198" s="7" t="n">
        <v>2226.62</v>
      </c>
      <c r="I198" s="7" t="n">
        <v>2373.29</v>
      </c>
      <c r="J198" s="7" t="n">
        <v>2446.86</v>
      </c>
      <c r="K198" s="7" t="n">
        <v>2539.69</v>
      </c>
      <c r="L198" s="7" t="n">
        <v>2375.39</v>
      </c>
      <c r="M198" s="7" t="n">
        <v>2228.24</v>
      </c>
      <c r="N198" s="7" t="n">
        <v>2145.11</v>
      </c>
      <c r="O198" s="7" t="n">
        <v>2362.79</v>
      </c>
      <c r="P198" s="7" t="n">
        <v>2047.31</v>
      </c>
      <c r="Q198" s="7" t="n">
        <v>2783.17</v>
      </c>
      <c r="R198" s="7" t="n">
        <v>2498.21</v>
      </c>
      <c r="S198" s="7" t="n">
        <v>2561.92</v>
      </c>
      <c r="T198" s="8">
        <f>SUM(H198:S198)</f>
        <v/>
      </c>
      <c r="U198" s="2" t="inlineStr">
        <is>
          <t>HISTORICAL</t>
        </is>
      </c>
    </row>
    <row r="199">
      <c r="A199" s="2" t="inlineStr">
        <is>
          <t>5000_5300</t>
        </is>
      </c>
      <c r="B199" s="2" t="inlineStr">
        <is>
          <t>Bodega</t>
        </is>
      </c>
      <c r="C199" s="2" t="inlineStr">
        <is>
          <t>SN-5000-5300</t>
        </is>
      </c>
      <c r="D199" s="2" t="inlineStr">
        <is>
          <t>CC-5000</t>
        </is>
      </c>
      <c r="E199" s="2" t="inlineStr">
        <is>
          <t>P03</t>
        </is>
      </c>
      <c r="F199" s="2" t="inlineStr">
        <is>
          <t>OTHER_SERVICES</t>
        </is>
      </c>
      <c r="G199" s="2" t="inlineStr">
        <is>
          <t>Otros servicios de mantencion</t>
        </is>
      </c>
      <c r="H199" s="7" t="n">
        <v>890.96</v>
      </c>
      <c r="I199" s="7" t="n">
        <v>887.42</v>
      </c>
      <c r="J199" s="7" t="n">
        <v>961.0599999999999</v>
      </c>
      <c r="K199" s="7" t="n">
        <v>950.27</v>
      </c>
      <c r="L199" s="7" t="n">
        <v>794.14</v>
      </c>
      <c r="M199" s="7" t="n">
        <v>905.64</v>
      </c>
      <c r="N199" s="7" t="n">
        <v>803.0599999999999</v>
      </c>
      <c r="O199" s="7" t="n">
        <v>919.79</v>
      </c>
      <c r="P199" s="7" t="n">
        <v>816.23</v>
      </c>
      <c r="Q199" s="7" t="n">
        <v>962.59</v>
      </c>
      <c r="R199" s="7" t="n">
        <v>851.6799999999999</v>
      </c>
      <c r="S199" s="7" t="n">
        <v>939.3200000000001</v>
      </c>
      <c r="T199" s="8">
        <f>SUM(H199:S199)</f>
        <v/>
      </c>
      <c r="U199" s="2" t="inlineStr">
        <is>
          <t>CONTRACTOR_QUOTE</t>
        </is>
      </c>
    </row>
    <row r="200">
      <c r="A200" s="2" t="inlineStr">
        <is>
          <t>5000_5900</t>
        </is>
      </c>
      <c r="B200" s="2" t="inlineStr">
        <is>
          <t>Proteccion Incendio en Sitio</t>
        </is>
      </c>
      <c r="C200" s="2" t="inlineStr">
        <is>
          <t>SN-5000-5900</t>
        </is>
      </c>
      <c r="D200" s="2" t="inlineStr">
        <is>
          <t>CC-5000</t>
        </is>
      </c>
      <c r="E200" s="2" t="inlineStr">
        <is>
          <t>P03</t>
        </is>
      </c>
      <c r="F200" s="2" t="inlineStr">
        <is>
          <t>LABOR_INTERNAL</t>
        </is>
      </c>
      <c r="G200" s="2" t="inlineStr">
        <is>
          <t>Mano obra interna mantencion</t>
        </is>
      </c>
      <c r="H200" s="7" t="n">
        <v>1123.22</v>
      </c>
      <c r="I200" s="7" t="n">
        <v>1249.47</v>
      </c>
      <c r="J200" s="7" t="n">
        <v>1339.61</v>
      </c>
      <c r="K200" s="7" t="n">
        <v>1247.07</v>
      </c>
      <c r="L200" s="7" t="n">
        <v>1281.21</v>
      </c>
      <c r="M200" s="7" t="n">
        <v>1066.75</v>
      </c>
      <c r="N200" s="7" t="n">
        <v>1260.4</v>
      </c>
      <c r="O200" s="7" t="n">
        <v>1102.93</v>
      </c>
      <c r="P200" s="7" t="n">
        <v>1103.8</v>
      </c>
      <c r="Q200" s="7" t="n">
        <v>1316.51</v>
      </c>
      <c r="R200" s="7" t="n">
        <v>1180.92</v>
      </c>
      <c r="S200" s="7" t="n">
        <v>1240.53</v>
      </c>
      <c r="T200" s="8">
        <f>SUM(H200:S200)</f>
        <v/>
      </c>
      <c r="U200" s="2" t="inlineStr">
        <is>
          <t>HISTORICAL</t>
        </is>
      </c>
    </row>
    <row r="201">
      <c r="A201" s="2" t="inlineStr">
        <is>
          <t>5000_5900</t>
        </is>
      </c>
      <c r="B201" s="2" t="inlineStr">
        <is>
          <t>Proteccion Incendio en Sitio</t>
        </is>
      </c>
      <c r="C201" s="2" t="inlineStr">
        <is>
          <t>SN-5000-5900</t>
        </is>
      </c>
      <c r="D201" s="2" t="inlineStr">
        <is>
          <t>CC-5000</t>
        </is>
      </c>
      <c r="E201" s="2" t="inlineStr">
        <is>
          <t>P03</t>
        </is>
      </c>
      <c r="F201" s="2" t="inlineStr">
        <is>
          <t>SPARE_PARTS</t>
        </is>
      </c>
      <c r="G201" s="2" t="inlineStr">
        <is>
          <t>Repuestos y materiales mecanicos</t>
        </is>
      </c>
      <c r="H201" s="7" t="n">
        <v>1299.22</v>
      </c>
      <c r="I201" s="7" t="n">
        <v>1424.32</v>
      </c>
      <c r="J201" s="7" t="n">
        <v>1563.39</v>
      </c>
      <c r="K201" s="7" t="n">
        <v>1556.06</v>
      </c>
      <c r="L201" s="7" t="n">
        <v>1458.98</v>
      </c>
      <c r="M201" s="7" t="n">
        <v>1370.21</v>
      </c>
      <c r="N201" s="7" t="n">
        <v>1400.63</v>
      </c>
      <c r="O201" s="7" t="n">
        <v>1396.74</v>
      </c>
      <c r="P201" s="7" t="n">
        <v>1294.75</v>
      </c>
      <c r="Q201" s="7" t="n">
        <v>1583.66</v>
      </c>
      <c r="R201" s="7" t="n">
        <v>1430.16</v>
      </c>
      <c r="S201" s="7" t="n">
        <v>1437.24</v>
      </c>
      <c r="T201" s="8">
        <f>SUM(H201:S201)</f>
        <v/>
      </c>
      <c r="U201" s="2" t="inlineStr">
        <is>
          <t>CONTRACTOR_QUOTE</t>
        </is>
      </c>
    </row>
    <row r="202">
      <c r="A202" s="2" t="inlineStr">
        <is>
          <t>5000_5900</t>
        </is>
      </c>
      <c r="B202" s="2" t="inlineStr">
        <is>
          <t>Proteccion Incendio en Sitio</t>
        </is>
      </c>
      <c r="C202" s="2" t="inlineStr">
        <is>
          <t>SN-5000-5900</t>
        </is>
      </c>
      <c r="D202" s="2" t="inlineStr">
        <is>
          <t>CC-5000</t>
        </is>
      </c>
      <c r="E202" s="2" t="inlineStr">
        <is>
          <t>P03</t>
        </is>
      </c>
      <c r="F202" s="2" t="inlineStr">
        <is>
          <t>GET</t>
        </is>
      </c>
      <c r="G202" s="2" t="inlineStr">
        <is>
          <t>Elementos de desgaste (GET)</t>
        </is>
      </c>
      <c r="H202" s="7" t="n">
        <v>371.59</v>
      </c>
      <c r="I202" s="7" t="n">
        <v>417.3</v>
      </c>
      <c r="J202" s="7" t="n">
        <v>438.67</v>
      </c>
      <c r="K202" s="7" t="n">
        <v>385.71</v>
      </c>
      <c r="L202" s="7" t="n">
        <v>414.23</v>
      </c>
      <c r="M202" s="7" t="n">
        <v>379.33</v>
      </c>
      <c r="N202" s="7" t="n">
        <v>366.28</v>
      </c>
      <c r="O202" s="7" t="n">
        <v>387.51</v>
      </c>
      <c r="P202" s="7" t="n">
        <v>337.3</v>
      </c>
      <c r="Q202" s="7" t="n">
        <v>451.39</v>
      </c>
      <c r="R202" s="7" t="n">
        <v>359.95</v>
      </c>
      <c r="S202" s="7" t="n">
        <v>374.79</v>
      </c>
      <c r="T202" s="8">
        <f>SUM(H202:S202)</f>
        <v/>
      </c>
      <c r="U202" s="2" t="inlineStr">
        <is>
          <t>HISTORICAL</t>
        </is>
      </c>
    </row>
    <row r="203">
      <c r="A203" s="2" t="inlineStr">
        <is>
          <t>5000_5900</t>
        </is>
      </c>
      <c r="B203" s="2" t="inlineStr">
        <is>
          <t>Proteccion Incendio en Sitio</t>
        </is>
      </c>
      <c r="C203" s="2" t="inlineStr">
        <is>
          <t>SN-5000-5900</t>
        </is>
      </c>
      <c r="D203" s="2" t="inlineStr">
        <is>
          <t>CC-5000</t>
        </is>
      </c>
      <c r="E203" s="2" t="inlineStr">
        <is>
          <t>P03</t>
        </is>
      </c>
      <c r="F203" s="2" t="inlineStr">
        <is>
          <t>CONSUMABLES</t>
        </is>
      </c>
      <c r="G203" s="2" t="inlineStr">
        <is>
          <t>Consumibles operacion</t>
        </is>
      </c>
      <c r="H203" s="7" t="n">
        <v>229.62</v>
      </c>
      <c r="I203" s="7" t="n">
        <v>220.01</v>
      </c>
      <c r="J203" s="7" t="n">
        <v>207.62</v>
      </c>
      <c r="K203" s="7" t="n">
        <v>232.13</v>
      </c>
      <c r="L203" s="7" t="n">
        <v>208.63</v>
      </c>
      <c r="M203" s="7" t="n">
        <v>206.05</v>
      </c>
      <c r="N203" s="7" t="n">
        <v>201.15</v>
      </c>
      <c r="O203" s="7" t="n">
        <v>226.27</v>
      </c>
      <c r="P203" s="7" t="n">
        <v>197.33</v>
      </c>
      <c r="Q203" s="7" t="n">
        <v>240.61</v>
      </c>
      <c r="R203" s="7" t="n">
        <v>207.36</v>
      </c>
      <c r="S203" s="7" t="n">
        <v>200.69</v>
      </c>
      <c r="T203" s="8">
        <f>SUM(H203:S203)</f>
        <v/>
      </c>
      <c r="U203" s="2" t="inlineStr">
        <is>
          <t>CONTRACTOR_QUOTE</t>
        </is>
      </c>
    </row>
    <row r="204">
      <c r="A204" s="2" t="inlineStr">
        <is>
          <t>5000_5900</t>
        </is>
      </c>
      <c r="B204" s="2" t="inlineStr">
        <is>
          <t>Proteccion Incendio en Sitio</t>
        </is>
      </c>
      <c r="C204" s="2" t="inlineStr">
        <is>
          <t>SN-5000-5900</t>
        </is>
      </c>
      <c r="D204" s="2" t="inlineStr">
        <is>
          <t>CC-5000</t>
        </is>
      </c>
      <c r="E204" s="2" t="inlineStr">
        <is>
          <t>P03</t>
        </is>
      </c>
      <c r="F204" s="2" t="inlineStr">
        <is>
          <t>LUBRICANTS</t>
        </is>
      </c>
      <c r="G204" s="2" t="inlineStr">
        <is>
          <t>Lubricantes</t>
        </is>
      </c>
      <c r="H204" s="7" t="n">
        <v>295.14</v>
      </c>
      <c r="I204" s="7" t="n">
        <v>271.31</v>
      </c>
      <c r="J204" s="7" t="n">
        <v>309.75</v>
      </c>
      <c r="K204" s="7" t="n">
        <v>285.96</v>
      </c>
      <c r="L204" s="7" t="n">
        <v>285.83</v>
      </c>
      <c r="M204" s="7" t="n">
        <v>255.25</v>
      </c>
      <c r="N204" s="7" t="n">
        <v>309.32</v>
      </c>
      <c r="O204" s="7" t="n">
        <v>268.74</v>
      </c>
      <c r="P204" s="7" t="n">
        <v>294.03</v>
      </c>
      <c r="Q204" s="7" t="n">
        <v>339.17</v>
      </c>
      <c r="R204" s="7" t="n">
        <v>310.33</v>
      </c>
      <c r="S204" s="7" t="n">
        <v>321.6</v>
      </c>
      <c r="T204" s="8">
        <f>SUM(H204:S204)</f>
        <v/>
      </c>
      <c r="U204" s="2" t="inlineStr">
        <is>
          <t>ENGINEERING_ESTIMATE</t>
        </is>
      </c>
    </row>
    <row r="205">
      <c r="A205" s="2" t="inlineStr">
        <is>
          <t>5000_5900</t>
        </is>
      </c>
      <c r="B205" s="2" t="inlineStr">
        <is>
          <t>Proteccion Incendio en Sitio</t>
        </is>
      </c>
      <c r="C205" s="2" t="inlineStr">
        <is>
          <t>SN-5000-5900</t>
        </is>
      </c>
      <c r="D205" s="2" t="inlineStr">
        <is>
          <t>CC-5000</t>
        </is>
      </c>
      <c r="E205" s="2" t="inlineStr">
        <is>
          <t>P03</t>
        </is>
      </c>
      <c r="F205" s="2" t="inlineStr">
        <is>
          <t>SVC_FIXED</t>
        </is>
      </c>
      <c r="G205" s="2" t="inlineStr">
        <is>
          <t>Servicios mantencion marco fijo</t>
        </is>
      </c>
      <c r="H205" s="7" t="n">
        <v>630.52</v>
      </c>
      <c r="I205" s="7" t="n">
        <v>651.1799999999999</v>
      </c>
      <c r="J205" s="7" t="n">
        <v>632.17</v>
      </c>
      <c r="K205" s="7" t="n">
        <v>690.5</v>
      </c>
      <c r="L205" s="7" t="n">
        <v>666.55</v>
      </c>
      <c r="M205" s="7" t="n">
        <v>694.17</v>
      </c>
      <c r="N205" s="7" t="n">
        <v>732.76</v>
      </c>
      <c r="O205" s="7" t="n">
        <v>636.87</v>
      </c>
      <c r="P205" s="7" t="n">
        <v>633.52</v>
      </c>
      <c r="Q205" s="7" t="n">
        <v>716.91</v>
      </c>
      <c r="R205" s="7" t="n">
        <v>654.21</v>
      </c>
      <c r="S205" s="7" t="n">
        <v>683.79</v>
      </c>
      <c r="T205" s="8">
        <f>SUM(H205:S205)</f>
        <v/>
      </c>
      <c r="U205" s="2" t="inlineStr">
        <is>
          <t>ENGINEERING_ESTIMATE</t>
        </is>
      </c>
    </row>
    <row r="206">
      <c r="A206" s="2" t="inlineStr">
        <is>
          <t>5000_5900</t>
        </is>
      </c>
      <c r="B206" s="2" t="inlineStr">
        <is>
          <t>Proteccion Incendio en Sitio</t>
        </is>
      </c>
      <c r="C206" s="2" t="inlineStr">
        <is>
          <t>SN-5000-5900</t>
        </is>
      </c>
      <c r="D206" s="2" t="inlineStr">
        <is>
          <t>CC-5000</t>
        </is>
      </c>
      <c r="E206" s="2" t="inlineStr">
        <is>
          <t>P03</t>
        </is>
      </c>
      <c r="F206" s="2" t="inlineStr">
        <is>
          <t>SVC_VARIABLE</t>
        </is>
      </c>
      <c r="G206" s="2" t="inlineStr">
        <is>
          <t>Servicios mantencion marco variable</t>
        </is>
      </c>
      <c r="H206" s="7" t="n">
        <v>416.42</v>
      </c>
      <c r="I206" s="7" t="n">
        <v>421.07</v>
      </c>
      <c r="J206" s="7" t="n">
        <v>478.18</v>
      </c>
      <c r="K206" s="7" t="n">
        <v>467.53</v>
      </c>
      <c r="L206" s="7" t="n">
        <v>448.1</v>
      </c>
      <c r="M206" s="7" t="n">
        <v>463.49</v>
      </c>
      <c r="N206" s="7" t="n">
        <v>427.01</v>
      </c>
      <c r="O206" s="7" t="n">
        <v>442.22</v>
      </c>
      <c r="P206" s="7" t="n">
        <v>450.07</v>
      </c>
      <c r="Q206" s="7" t="n">
        <v>494.42</v>
      </c>
      <c r="R206" s="7" t="n">
        <v>439.82</v>
      </c>
      <c r="S206" s="7" t="n">
        <v>416.84</v>
      </c>
      <c r="T206" s="8">
        <f>SUM(H206:S206)</f>
        <v/>
      </c>
      <c r="U206" s="2" t="inlineStr">
        <is>
          <t>HISTORICAL</t>
        </is>
      </c>
    </row>
    <row r="207">
      <c r="A207" s="2" t="inlineStr">
        <is>
          <t>5000_5900</t>
        </is>
      </c>
      <c r="B207" s="2" t="inlineStr">
        <is>
          <t>Proteccion Incendio en Sitio</t>
        </is>
      </c>
      <c r="C207" s="2" t="inlineStr">
        <is>
          <t>SN-5000-5900</t>
        </is>
      </c>
      <c r="D207" s="2" t="inlineStr">
        <is>
          <t>CC-5000</t>
        </is>
      </c>
      <c r="E207" s="2" t="inlineStr">
        <is>
          <t>P03</t>
        </is>
      </c>
      <c r="F207" s="2" t="inlineStr">
        <is>
          <t>SVC_EXTERNAL</t>
        </is>
      </c>
      <c r="G207" s="2" t="inlineStr">
        <is>
          <t>Servicios mantencion externa</t>
        </is>
      </c>
      <c r="H207" s="7" t="n">
        <v>464.55</v>
      </c>
      <c r="I207" s="7" t="n">
        <v>451.1</v>
      </c>
      <c r="J207" s="7" t="n">
        <v>510.82</v>
      </c>
      <c r="K207" s="7" t="n">
        <v>431.6</v>
      </c>
      <c r="L207" s="7" t="n">
        <v>430.72</v>
      </c>
      <c r="M207" s="7" t="n">
        <v>406.93</v>
      </c>
      <c r="N207" s="7" t="n">
        <v>480.08</v>
      </c>
      <c r="O207" s="7" t="n">
        <v>501.05</v>
      </c>
      <c r="P207" s="7" t="n">
        <v>460.22</v>
      </c>
      <c r="Q207" s="7" t="n">
        <v>516.3</v>
      </c>
      <c r="R207" s="7" t="n">
        <v>401.2</v>
      </c>
      <c r="S207" s="7" t="n">
        <v>450.87</v>
      </c>
      <c r="T207" s="8">
        <f>SUM(H207:S207)</f>
        <v/>
      </c>
      <c r="U207" s="2" t="inlineStr">
        <is>
          <t>ENGINEERING_ESTIMATE</t>
        </is>
      </c>
    </row>
    <row r="208">
      <c r="A208" s="2" t="inlineStr">
        <is>
          <t>5000_5900</t>
        </is>
      </c>
      <c r="B208" s="2" t="inlineStr">
        <is>
          <t>Proteccion Incendio en Sitio</t>
        </is>
      </c>
      <c r="C208" s="2" t="inlineStr">
        <is>
          <t>SN-5000-5900</t>
        </is>
      </c>
      <c r="D208" s="2" t="inlineStr">
        <is>
          <t>CC-5000</t>
        </is>
      </c>
      <c r="E208" s="2" t="inlineStr">
        <is>
          <t>P03</t>
        </is>
      </c>
      <c r="F208" s="2" t="inlineStr">
        <is>
          <t>OTHER_SERVICES</t>
        </is>
      </c>
      <c r="G208" s="2" t="inlineStr">
        <is>
          <t>Otros servicios de mantencion</t>
        </is>
      </c>
      <c r="H208" s="7" t="n">
        <v>200.56</v>
      </c>
      <c r="I208" s="7" t="n">
        <v>204.05</v>
      </c>
      <c r="J208" s="7" t="n">
        <v>197.45</v>
      </c>
      <c r="K208" s="7" t="n">
        <v>214.07</v>
      </c>
      <c r="L208" s="7" t="n">
        <v>222.98</v>
      </c>
      <c r="M208" s="7" t="n">
        <v>181.02</v>
      </c>
      <c r="N208" s="7" t="n">
        <v>213.43</v>
      </c>
      <c r="O208" s="7" t="n">
        <v>197.3</v>
      </c>
      <c r="P208" s="7" t="n">
        <v>213.21</v>
      </c>
      <c r="Q208" s="7" t="n">
        <v>205.37</v>
      </c>
      <c r="R208" s="7" t="n">
        <v>206.66</v>
      </c>
      <c r="S208" s="7" t="n">
        <v>201.36</v>
      </c>
      <c r="T208" s="8">
        <f>SUM(H208:S208)</f>
        <v/>
      </c>
      <c r="U208" s="2" t="inlineStr">
        <is>
          <t>ENGINEERING_ESTIMATE</t>
        </is>
      </c>
    </row>
    <row r="209">
      <c r="A209" s="2" t="inlineStr">
        <is>
          <t>7000_7200</t>
        </is>
      </c>
      <c r="B209" s="2" t="inlineStr">
        <is>
          <t>Pozos de Agua e Impulsion</t>
        </is>
      </c>
      <c r="C209" s="2" t="inlineStr">
        <is>
          <t>SN-7000-7200</t>
        </is>
      </c>
      <c r="D209" s="2" t="inlineStr">
        <is>
          <t>CC-7000</t>
        </is>
      </c>
      <c r="E209" s="2" t="inlineStr">
        <is>
          <t>P03</t>
        </is>
      </c>
      <c r="F209" s="2" t="inlineStr">
        <is>
          <t>LABOR_INTERNAL</t>
        </is>
      </c>
      <c r="G209" s="2" t="inlineStr">
        <is>
          <t>Mano obra interna mantencion</t>
        </is>
      </c>
      <c r="H209" s="7" t="n">
        <v>36304.57</v>
      </c>
      <c r="I209" s="7" t="n">
        <v>33291.77</v>
      </c>
      <c r="J209" s="7" t="n">
        <v>39443.86</v>
      </c>
      <c r="K209" s="7" t="n">
        <v>35773.48</v>
      </c>
      <c r="L209" s="7" t="n">
        <v>33463.62</v>
      </c>
      <c r="M209" s="7" t="n">
        <v>36047.08</v>
      </c>
      <c r="N209" s="7" t="n">
        <v>38379.66</v>
      </c>
      <c r="O209" s="7" t="n">
        <v>35775.61</v>
      </c>
      <c r="P209" s="7" t="n">
        <v>32766.48</v>
      </c>
      <c r="Q209" s="7" t="n">
        <v>39930.91</v>
      </c>
      <c r="R209" s="7" t="n">
        <v>35979.01</v>
      </c>
      <c r="S209" s="7" t="n">
        <v>37786.22</v>
      </c>
      <c r="T209" s="8">
        <f>SUM(H209:S209)</f>
        <v/>
      </c>
      <c r="U209" s="2" t="inlineStr">
        <is>
          <t>HISTORICAL</t>
        </is>
      </c>
    </row>
    <row r="210">
      <c r="A210" s="2" t="inlineStr">
        <is>
          <t>7000_7200</t>
        </is>
      </c>
      <c r="B210" s="2" t="inlineStr">
        <is>
          <t>Pozos de Agua e Impulsion</t>
        </is>
      </c>
      <c r="C210" s="2" t="inlineStr">
        <is>
          <t>SN-7000-7200</t>
        </is>
      </c>
      <c r="D210" s="2" t="inlineStr">
        <is>
          <t>CC-7000</t>
        </is>
      </c>
      <c r="E210" s="2" t="inlineStr">
        <is>
          <t>P03</t>
        </is>
      </c>
      <c r="F210" s="2" t="inlineStr">
        <is>
          <t>SPARE_PARTS</t>
        </is>
      </c>
      <c r="G210" s="2" t="inlineStr">
        <is>
          <t>Repuestos y materiales mecanicos</t>
        </is>
      </c>
      <c r="H210" s="7" t="n">
        <v>54535.04</v>
      </c>
      <c r="I210" s="7" t="n">
        <v>54406.47</v>
      </c>
      <c r="J210" s="7" t="n">
        <v>55933.19</v>
      </c>
      <c r="K210" s="7" t="n">
        <v>62912.51</v>
      </c>
      <c r="L210" s="7" t="n">
        <v>59766.26</v>
      </c>
      <c r="M210" s="7" t="n">
        <v>57552.55</v>
      </c>
      <c r="N210" s="7" t="n">
        <v>51078.79</v>
      </c>
      <c r="O210" s="7" t="n">
        <v>58732.29</v>
      </c>
      <c r="P210" s="7" t="n">
        <v>49906.34</v>
      </c>
      <c r="Q210" s="7" t="n">
        <v>66830.64</v>
      </c>
      <c r="R210" s="7" t="n">
        <v>55196.83</v>
      </c>
      <c r="S210" s="7" t="n">
        <v>58254.85</v>
      </c>
      <c r="T210" s="8">
        <f>SUM(H210:S210)</f>
        <v/>
      </c>
      <c r="U210" s="2" t="inlineStr">
        <is>
          <t>HISTORICAL</t>
        </is>
      </c>
    </row>
    <row r="211">
      <c r="A211" s="2" t="inlineStr">
        <is>
          <t>7000_7200</t>
        </is>
      </c>
      <c r="B211" s="2" t="inlineStr">
        <is>
          <t>Pozos de Agua e Impulsion</t>
        </is>
      </c>
      <c r="C211" s="2" t="inlineStr">
        <is>
          <t>SN-7000-7200</t>
        </is>
      </c>
      <c r="D211" s="2" t="inlineStr">
        <is>
          <t>CC-7000</t>
        </is>
      </c>
      <c r="E211" s="2" t="inlineStr">
        <is>
          <t>P03</t>
        </is>
      </c>
      <c r="F211" s="2" t="inlineStr">
        <is>
          <t>GET</t>
        </is>
      </c>
      <c r="G211" s="2" t="inlineStr">
        <is>
          <t>Elementos de desgaste (GET)</t>
        </is>
      </c>
      <c r="H211" s="7" t="n">
        <v>16979.92</v>
      </c>
      <c r="I211" s="7" t="n">
        <v>15795.27</v>
      </c>
      <c r="J211" s="7" t="n">
        <v>16804.94</v>
      </c>
      <c r="K211" s="7" t="n">
        <v>16102.02</v>
      </c>
      <c r="L211" s="7" t="n">
        <v>16356.62</v>
      </c>
      <c r="M211" s="7" t="n">
        <v>16356.31</v>
      </c>
      <c r="N211" s="7" t="n">
        <v>14426.02</v>
      </c>
      <c r="O211" s="7" t="n">
        <v>14586.79</v>
      </c>
      <c r="P211" s="7" t="n">
        <v>15294.32</v>
      </c>
      <c r="Q211" s="7" t="n">
        <v>16666.48</v>
      </c>
      <c r="R211" s="7" t="n">
        <v>14666.18</v>
      </c>
      <c r="S211" s="7" t="n">
        <v>15043.69</v>
      </c>
      <c r="T211" s="8">
        <f>SUM(H211:S211)</f>
        <v/>
      </c>
      <c r="U211" s="2" t="inlineStr">
        <is>
          <t>CONTRACTOR_QUOTE</t>
        </is>
      </c>
    </row>
    <row r="212">
      <c r="A212" s="2" t="inlineStr">
        <is>
          <t>7000_7200</t>
        </is>
      </c>
      <c r="B212" s="2" t="inlineStr">
        <is>
          <t>Pozos de Agua e Impulsion</t>
        </is>
      </c>
      <c r="C212" s="2" t="inlineStr">
        <is>
          <t>SN-7000-7200</t>
        </is>
      </c>
      <c r="D212" s="2" t="inlineStr">
        <is>
          <t>CC-7000</t>
        </is>
      </c>
      <c r="E212" s="2" t="inlineStr">
        <is>
          <t>P03</t>
        </is>
      </c>
      <c r="F212" s="2" t="inlineStr">
        <is>
          <t>CONSUMABLES</t>
        </is>
      </c>
      <c r="G212" s="2" t="inlineStr">
        <is>
          <t>Consumibles operacion</t>
        </is>
      </c>
      <c r="H212" s="7" t="n">
        <v>9328.049999999999</v>
      </c>
      <c r="I212" s="7" t="n">
        <v>9808.93</v>
      </c>
      <c r="J212" s="7" t="n">
        <v>9897.870000000001</v>
      </c>
      <c r="K212" s="7" t="n">
        <v>9876.07</v>
      </c>
      <c r="L212" s="7" t="n">
        <v>8350.08</v>
      </c>
      <c r="M212" s="7" t="n">
        <v>8416.940000000001</v>
      </c>
      <c r="N212" s="7" t="n">
        <v>8408.389999999999</v>
      </c>
      <c r="O212" s="7" t="n">
        <v>9970.459999999999</v>
      </c>
      <c r="P212" s="7" t="n">
        <v>8801.879999999999</v>
      </c>
      <c r="Q212" s="7" t="n">
        <v>8892.52</v>
      </c>
      <c r="R212" s="7" t="n">
        <v>8788.43</v>
      </c>
      <c r="S212" s="7" t="n">
        <v>8820.629999999999</v>
      </c>
      <c r="T212" s="8">
        <f>SUM(H212:S212)</f>
        <v/>
      </c>
      <c r="U212" s="2" t="inlineStr">
        <is>
          <t>CONTRACTOR_QUOTE</t>
        </is>
      </c>
    </row>
    <row r="213">
      <c r="A213" s="2" t="inlineStr">
        <is>
          <t>7000_7200</t>
        </is>
      </c>
      <c r="B213" s="2" t="inlineStr">
        <is>
          <t>Pozos de Agua e Impulsion</t>
        </is>
      </c>
      <c r="C213" s="2" t="inlineStr">
        <is>
          <t>SN-7000-7200</t>
        </is>
      </c>
      <c r="D213" s="2" t="inlineStr">
        <is>
          <t>CC-7000</t>
        </is>
      </c>
      <c r="E213" s="2" t="inlineStr">
        <is>
          <t>P03</t>
        </is>
      </c>
      <c r="F213" s="2" t="inlineStr">
        <is>
          <t>LUBRICANTS</t>
        </is>
      </c>
      <c r="G213" s="2" t="inlineStr">
        <is>
          <t>Lubricantes</t>
        </is>
      </c>
      <c r="H213" s="7" t="n">
        <v>9747.51</v>
      </c>
      <c r="I213" s="7" t="n">
        <v>9953.49</v>
      </c>
      <c r="J213" s="7" t="n">
        <v>10366.5</v>
      </c>
      <c r="K213" s="7" t="n">
        <v>11172.66</v>
      </c>
      <c r="L213" s="7" t="n">
        <v>10315.89</v>
      </c>
      <c r="M213" s="7" t="n">
        <v>9598.719999999999</v>
      </c>
      <c r="N213" s="7" t="n">
        <v>10629.43</v>
      </c>
      <c r="O213" s="7" t="n">
        <v>9571.620000000001</v>
      </c>
      <c r="P213" s="7" t="n">
        <v>10069.51</v>
      </c>
      <c r="Q213" s="7" t="n">
        <v>10501.67</v>
      </c>
      <c r="R213" s="7" t="n">
        <v>9695.559999999999</v>
      </c>
      <c r="S213" s="7" t="n">
        <v>10169.28</v>
      </c>
      <c r="T213" s="8">
        <f>SUM(H213:S213)</f>
        <v/>
      </c>
      <c r="U213" s="2" t="inlineStr">
        <is>
          <t>HISTORICAL</t>
        </is>
      </c>
    </row>
    <row r="214">
      <c r="A214" s="2" t="inlineStr">
        <is>
          <t>7000_7200</t>
        </is>
      </c>
      <c r="B214" s="2" t="inlineStr">
        <is>
          <t>Pozos de Agua e Impulsion</t>
        </is>
      </c>
      <c r="C214" s="2" t="inlineStr">
        <is>
          <t>SN-7000-7200</t>
        </is>
      </c>
      <c r="D214" s="2" t="inlineStr">
        <is>
          <t>CC-7000</t>
        </is>
      </c>
      <c r="E214" s="2" t="inlineStr">
        <is>
          <t>P03</t>
        </is>
      </c>
      <c r="F214" s="2" t="inlineStr">
        <is>
          <t>SVC_FIXED</t>
        </is>
      </c>
      <c r="G214" s="2" t="inlineStr">
        <is>
          <t>Servicios mantencion marco fijo</t>
        </is>
      </c>
      <c r="H214" s="7" t="n">
        <v>27994.12</v>
      </c>
      <c r="I214" s="7" t="n">
        <v>26764.67</v>
      </c>
      <c r="J214" s="7" t="n">
        <v>27376.29</v>
      </c>
      <c r="K214" s="7" t="n">
        <v>28418.03</v>
      </c>
      <c r="L214" s="7" t="n">
        <v>26336.61</v>
      </c>
      <c r="M214" s="7" t="n">
        <v>25202.18</v>
      </c>
      <c r="N214" s="7" t="n">
        <v>30464.04</v>
      </c>
      <c r="O214" s="7" t="n">
        <v>25857.04</v>
      </c>
      <c r="P214" s="7" t="n">
        <v>27570.14</v>
      </c>
      <c r="Q214" s="7" t="n">
        <v>28824.76</v>
      </c>
      <c r="R214" s="7" t="n">
        <v>24824.81</v>
      </c>
      <c r="S214" s="7" t="n">
        <v>30543.51</v>
      </c>
      <c r="T214" s="8">
        <f>SUM(H214:S214)</f>
        <v/>
      </c>
      <c r="U214" s="2" t="inlineStr">
        <is>
          <t>CONTRACTOR_QUOTE</t>
        </is>
      </c>
    </row>
    <row r="215">
      <c r="A215" s="2" t="inlineStr">
        <is>
          <t>7000_7200</t>
        </is>
      </c>
      <c r="B215" s="2" t="inlineStr">
        <is>
          <t>Pozos de Agua e Impulsion</t>
        </is>
      </c>
      <c r="C215" s="2" t="inlineStr">
        <is>
          <t>SN-7000-7200</t>
        </is>
      </c>
      <c r="D215" s="2" t="inlineStr">
        <is>
          <t>CC-7000</t>
        </is>
      </c>
      <c r="E215" s="2" t="inlineStr">
        <is>
          <t>P03</t>
        </is>
      </c>
      <c r="F215" s="2" t="inlineStr">
        <is>
          <t>SVC_VARIABLE</t>
        </is>
      </c>
      <c r="G215" s="2" t="inlineStr">
        <is>
          <t>Servicios mantencion marco variable</t>
        </is>
      </c>
      <c r="H215" s="7" t="n">
        <v>13621.8</v>
      </c>
      <c r="I215" s="7" t="n">
        <v>13948.97</v>
      </c>
      <c r="J215" s="7" t="n">
        <v>14072.47</v>
      </c>
      <c r="K215" s="7" t="n">
        <v>16178.65</v>
      </c>
      <c r="L215" s="7" t="n">
        <v>14504.15</v>
      </c>
      <c r="M215" s="7" t="n">
        <v>15221.57</v>
      </c>
      <c r="N215" s="7" t="n">
        <v>14142.57</v>
      </c>
      <c r="O215" s="7" t="n">
        <v>14722.94</v>
      </c>
      <c r="P215" s="7" t="n">
        <v>12721.81</v>
      </c>
      <c r="Q215" s="7" t="n">
        <v>16681.25</v>
      </c>
      <c r="R215" s="7" t="n">
        <v>12809.65</v>
      </c>
      <c r="S215" s="7" t="n">
        <v>15364.21</v>
      </c>
      <c r="T215" s="8">
        <f>SUM(H215:S215)</f>
        <v/>
      </c>
      <c r="U215" s="2" t="inlineStr">
        <is>
          <t>HISTORICAL</t>
        </is>
      </c>
    </row>
    <row r="216">
      <c r="A216" s="2" t="inlineStr">
        <is>
          <t>7000_7200</t>
        </is>
      </c>
      <c r="B216" s="2" t="inlineStr">
        <is>
          <t>Pozos de Agua e Impulsion</t>
        </is>
      </c>
      <c r="C216" s="2" t="inlineStr">
        <is>
          <t>SN-7000-7200</t>
        </is>
      </c>
      <c r="D216" s="2" t="inlineStr">
        <is>
          <t>CC-7000</t>
        </is>
      </c>
      <c r="E216" s="2" t="inlineStr">
        <is>
          <t>P03</t>
        </is>
      </c>
      <c r="F216" s="2" t="inlineStr">
        <is>
          <t>SVC_EXTERNAL</t>
        </is>
      </c>
      <c r="G216" s="2" t="inlineStr">
        <is>
          <t>Servicios mantencion externa</t>
        </is>
      </c>
      <c r="H216" s="7" t="n">
        <v>20434.21</v>
      </c>
      <c r="I216" s="7" t="n">
        <v>20172.75</v>
      </c>
      <c r="J216" s="7" t="n">
        <v>19076.9</v>
      </c>
      <c r="K216" s="7" t="n">
        <v>20213.67</v>
      </c>
      <c r="L216" s="7" t="n">
        <v>19166.72</v>
      </c>
      <c r="M216" s="7" t="n">
        <v>17972.24</v>
      </c>
      <c r="N216" s="7" t="n">
        <v>19646.39</v>
      </c>
      <c r="O216" s="7" t="n">
        <v>21415.09</v>
      </c>
      <c r="P216" s="7" t="n">
        <v>19938.26</v>
      </c>
      <c r="Q216" s="7" t="n">
        <v>20258.07</v>
      </c>
      <c r="R216" s="7" t="n">
        <v>20488.64</v>
      </c>
      <c r="S216" s="7" t="n">
        <v>21449.07</v>
      </c>
      <c r="T216" s="8">
        <f>SUM(H216:S216)</f>
        <v/>
      </c>
      <c r="U216" s="2" t="inlineStr">
        <is>
          <t>HISTORICAL</t>
        </is>
      </c>
    </row>
    <row r="217">
      <c r="A217" s="2" t="inlineStr">
        <is>
          <t>7000_7200</t>
        </is>
      </c>
      <c r="B217" s="2" t="inlineStr">
        <is>
          <t>Pozos de Agua e Impulsion</t>
        </is>
      </c>
      <c r="C217" s="2" t="inlineStr">
        <is>
          <t>SN-7000-7200</t>
        </is>
      </c>
      <c r="D217" s="2" t="inlineStr">
        <is>
          <t>CC-7000</t>
        </is>
      </c>
      <c r="E217" s="2" t="inlineStr">
        <is>
          <t>P03</t>
        </is>
      </c>
      <c r="F217" s="2" t="inlineStr">
        <is>
          <t>OTHER_SERVICES</t>
        </is>
      </c>
      <c r="G217" s="2" t="inlineStr">
        <is>
          <t>Otros servicios de mantencion</t>
        </is>
      </c>
      <c r="H217" s="7" t="n">
        <v>8892.49</v>
      </c>
      <c r="I217" s="7" t="n">
        <v>8011.95</v>
      </c>
      <c r="J217" s="7" t="n">
        <v>8149.51</v>
      </c>
      <c r="K217" s="7" t="n">
        <v>8539.6</v>
      </c>
      <c r="L217" s="7" t="n">
        <v>7501.03</v>
      </c>
      <c r="M217" s="7" t="n">
        <v>7229.86</v>
      </c>
      <c r="N217" s="7" t="n">
        <v>8654.33</v>
      </c>
      <c r="O217" s="7" t="n">
        <v>7362.15</v>
      </c>
      <c r="P217" s="7" t="n">
        <v>8008.65</v>
      </c>
      <c r="Q217" s="7" t="n">
        <v>8380.4</v>
      </c>
      <c r="R217" s="7" t="n">
        <v>7825.27</v>
      </c>
      <c r="S217" s="7" t="n">
        <v>8302.870000000001</v>
      </c>
      <c r="T217" s="8">
        <f>SUM(H217:S217)</f>
        <v/>
      </c>
      <c r="U217" s="2" t="inlineStr">
        <is>
          <t>CONTRACTOR_QUOTE</t>
        </is>
      </c>
    </row>
    <row r="218">
      <c r="A218" s="2" t="inlineStr">
        <is>
          <t>8000_8900</t>
        </is>
      </c>
      <c r="B218" s="2" t="inlineStr">
        <is>
          <t>Equipos Moviles</t>
        </is>
      </c>
      <c r="C218" s="2" t="inlineStr">
        <is>
          <t>SN-8000-8900</t>
        </is>
      </c>
      <c r="D218" s="2" t="inlineStr">
        <is>
          <t>CC-8000</t>
        </is>
      </c>
      <c r="E218" s="2" t="inlineStr">
        <is>
          <t>M01</t>
        </is>
      </c>
      <c r="F218" s="2" t="inlineStr">
        <is>
          <t>LABOR_INTERNAL</t>
        </is>
      </c>
      <c r="G218" s="2" t="inlineStr">
        <is>
          <t>Mano obra interna mantencion</t>
        </is>
      </c>
      <c r="H218" s="7" t="n">
        <v>15345.7</v>
      </c>
      <c r="I218" s="7" t="n">
        <v>14157.52</v>
      </c>
      <c r="J218" s="7" t="n">
        <v>14174.17</v>
      </c>
      <c r="K218" s="7" t="n">
        <v>14559.47</v>
      </c>
      <c r="L218" s="7" t="n">
        <v>12705.43</v>
      </c>
      <c r="M218" s="7" t="n">
        <v>12856.65</v>
      </c>
      <c r="N218" s="7" t="n">
        <v>13797.08</v>
      </c>
      <c r="O218" s="7" t="n">
        <v>13649.14</v>
      </c>
      <c r="P218" s="7" t="n">
        <v>12122.62</v>
      </c>
      <c r="Q218" s="7" t="n">
        <v>13908.44</v>
      </c>
      <c r="R218" s="7" t="n">
        <v>13500.1</v>
      </c>
      <c r="S218" s="7" t="n">
        <v>13157.63</v>
      </c>
      <c r="T218" s="8">
        <f>SUM(H218:S218)</f>
        <v/>
      </c>
      <c r="U218" s="2" t="inlineStr">
        <is>
          <t>HISTORICAL</t>
        </is>
      </c>
    </row>
    <row r="219">
      <c r="A219" s="2" t="inlineStr">
        <is>
          <t>8000_8900</t>
        </is>
      </c>
      <c r="B219" s="2" t="inlineStr">
        <is>
          <t>Equipos Moviles</t>
        </is>
      </c>
      <c r="C219" s="2" t="inlineStr">
        <is>
          <t>SN-8000-8900</t>
        </is>
      </c>
      <c r="D219" s="2" t="inlineStr">
        <is>
          <t>CC-8000</t>
        </is>
      </c>
      <c r="E219" s="2" t="inlineStr">
        <is>
          <t>M01</t>
        </is>
      </c>
      <c r="F219" s="2" t="inlineStr">
        <is>
          <t>SPARE_PARTS</t>
        </is>
      </c>
      <c r="G219" s="2" t="inlineStr">
        <is>
          <t>Repuestos y materiales mecanicos</t>
        </is>
      </c>
      <c r="H219" s="7" t="n">
        <v>13146.49</v>
      </c>
      <c r="I219" s="7" t="n">
        <v>12331.82</v>
      </c>
      <c r="J219" s="7" t="n">
        <v>13912.21</v>
      </c>
      <c r="K219" s="7" t="n">
        <v>13828.46</v>
      </c>
      <c r="L219" s="7" t="n">
        <v>14654.28</v>
      </c>
      <c r="M219" s="7" t="n">
        <v>12097.6</v>
      </c>
      <c r="N219" s="7" t="n">
        <v>13991.82</v>
      </c>
      <c r="O219" s="7" t="n">
        <v>13168.25</v>
      </c>
      <c r="P219" s="7" t="n">
        <v>11768.05</v>
      </c>
      <c r="Q219" s="7" t="n">
        <v>14428.15</v>
      </c>
      <c r="R219" s="7" t="n">
        <v>13043.72</v>
      </c>
      <c r="S219" s="7" t="n">
        <v>13495.46</v>
      </c>
      <c r="T219" s="8">
        <f>SUM(H219:S219)</f>
        <v/>
      </c>
      <c r="U219" s="2" t="inlineStr">
        <is>
          <t>CONTRACTOR_QUOTE</t>
        </is>
      </c>
    </row>
    <row r="220">
      <c r="A220" s="2" t="inlineStr">
        <is>
          <t>8000_8900</t>
        </is>
      </c>
      <c r="B220" s="2" t="inlineStr">
        <is>
          <t>Equipos Moviles</t>
        </is>
      </c>
      <c r="C220" s="2" t="inlineStr">
        <is>
          <t>SN-8000-8900</t>
        </is>
      </c>
      <c r="D220" s="2" t="inlineStr">
        <is>
          <t>CC-8000</t>
        </is>
      </c>
      <c r="E220" s="2" t="inlineStr">
        <is>
          <t>M01</t>
        </is>
      </c>
      <c r="F220" s="2" t="inlineStr">
        <is>
          <t>GET</t>
        </is>
      </c>
      <c r="G220" s="2" t="inlineStr">
        <is>
          <t>Elementos de desgaste (GET)</t>
        </is>
      </c>
      <c r="H220" s="7" t="n">
        <v>4689.82</v>
      </c>
      <c r="I220" s="7" t="n">
        <v>4543.16</v>
      </c>
      <c r="J220" s="7" t="n">
        <v>5017.23</v>
      </c>
      <c r="K220" s="7" t="n">
        <v>4868.51</v>
      </c>
      <c r="L220" s="7" t="n">
        <v>5202.63</v>
      </c>
      <c r="M220" s="7" t="n">
        <v>5193.52</v>
      </c>
      <c r="N220" s="7" t="n">
        <v>4628.15</v>
      </c>
      <c r="O220" s="7" t="n">
        <v>5196.77</v>
      </c>
      <c r="P220" s="7" t="n">
        <v>4698.3</v>
      </c>
      <c r="Q220" s="7" t="n">
        <v>5482.63</v>
      </c>
      <c r="R220" s="7" t="n">
        <v>4558.04</v>
      </c>
      <c r="S220" s="7" t="n">
        <v>4610.58</v>
      </c>
      <c r="T220" s="8">
        <f>SUM(H220:S220)</f>
        <v/>
      </c>
      <c r="U220" s="2" t="inlineStr">
        <is>
          <t>CONTRACTOR_QUOTE</t>
        </is>
      </c>
    </row>
    <row r="221">
      <c r="A221" s="2" t="inlineStr">
        <is>
          <t>8000_8900</t>
        </is>
      </c>
      <c r="B221" s="2" t="inlineStr">
        <is>
          <t>Equipos Moviles</t>
        </is>
      </c>
      <c r="C221" s="2" t="inlineStr">
        <is>
          <t>SN-8000-8900</t>
        </is>
      </c>
      <c r="D221" s="2" t="inlineStr">
        <is>
          <t>CC-8000</t>
        </is>
      </c>
      <c r="E221" s="2" t="inlineStr">
        <is>
          <t>M01</t>
        </is>
      </c>
      <c r="F221" s="2" t="inlineStr">
        <is>
          <t>CONSUMABLES</t>
        </is>
      </c>
      <c r="G221" s="2" t="inlineStr">
        <is>
          <t>Consumibles operacion</t>
        </is>
      </c>
      <c r="H221" s="7" t="n">
        <v>3131.83</v>
      </c>
      <c r="I221" s="7" t="n">
        <v>2862.25</v>
      </c>
      <c r="J221" s="7" t="n">
        <v>2864.07</v>
      </c>
      <c r="K221" s="7" t="n">
        <v>3153.28</v>
      </c>
      <c r="L221" s="7" t="n">
        <v>2708.36</v>
      </c>
      <c r="M221" s="7" t="n">
        <v>2503.32</v>
      </c>
      <c r="N221" s="7" t="n">
        <v>2875.4</v>
      </c>
      <c r="O221" s="7" t="n">
        <v>2674.58</v>
      </c>
      <c r="P221" s="7" t="n">
        <v>2834.47</v>
      </c>
      <c r="Q221" s="7" t="n">
        <v>2984.37</v>
      </c>
      <c r="R221" s="7" t="n">
        <v>2527.7</v>
      </c>
      <c r="S221" s="7" t="n">
        <v>2645.3</v>
      </c>
      <c r="T221" s="8">
        <f>SUM(H221:S221)</f>
        <v/>
      </c>
      <c r="U221" s="2" t="inlineStr">
        <is>
          <t>CONTRACTOR_QUOTE</t>
        </is>
      </c>
    </row>
    <row r="222">
      <c r="A222" s="2" t="inlineStr">
        <is>
          <t>8000_8900</t>
        </is>
      </c>
      <c r="B222" s="2" t="inlineStr">
        <is>
          <t>Equipos Moviles</t>
        </is>
      </c>
      <c r="C222" s="2" t="inlineStr">
        <is>
          <t>SN-8000-8900</t>
        </is>
      </c>
      <c r="D222" s="2" t="inlineStr">
        <is>
          <t>CC-8000</t>
        </is>
      </c>
      <c r="E222" s="2" t="inlineStr">
        <is>
          <t>M01</t>
        </is>
      </c>
      <c r="F222" s="2" t="inlineStr">
        <is>
          <t>LUBRICANTS</t>
        </is>
      </c>
      <c r="G222" s="2" t="inlineStr">
        <is>
          <t>Lubricantes</t>
        </is>
      </c>
      <c r="H222" s="7" t="n">
        <v>3097.85</v>
      </c>
      <c r="I222" s="7" t="n">
        <v>3141.4</v>
      </c>
      <c r="J222" s="7" t="n">
        <v>3039.08</v>
      </c>
      <c r="K222" s="7" t="n">
        <v>2962.29</v>
      </c>
      <c r="L222" s="7" t="n">
        <v>3184.46</v>
      </c>
      <c r="M222" s="7" t="n">
        <v>2687.44</v>
      </c>
      <c r="N222" s="7" t="n">
        <v>3375.31</v>
      </c>
      <c r="O222" s="7" t="n">
        <v>2919.64</v>
      </c>
      <c r="P222" s="7" t="n">
        <v>2873.7</v>
      </c>
      <c r="Q222" s="7" t="n">
        <v>3170.15</v>
      </c>
      <c r="R222" s="7" t="n">
        <v>2849.8</v>
      </c>
      <c r="S222" s="7" t="n">
        <v>3378.06</v>
      </c>
      <c r="T222" s="8">
        <f>SUM(H222:S222)</f>
        <v/>
      </c>
      <c r="U222" s="2" t="inlineStr">
        <is>
          <t>CONTRACTOR_QUOTE</t>
        </is>
      </c>
    </row>
    <row r="223">
      <c r="A223" s="2" t="inlineStr">
        <is>
          <t>8000_8900</t>
        </is>
      </c>
      <c r="B223" s="2" t="inlineStr">
        <is>
          <t>Equipos Moviles</t>
        </is>
      </c>
      <c r="C223" s="2" t="inlineStr">
        <is>
          <t>SN-8000-8900</t>
        </is>
      </c>
      <c r="D223" s="2" t="inlineStr">
        <is>
          <t>CC-8000</t>
        </is>
      </c>
      <c r="E223" s="2" t="inlineStr">
        <is>
          <t>M01</t>
        </is>
      </c>
      <c r="F223" s="2" t="inlineStr">
        <is>
          <t>SVC_FIXED</t>
        </is>
      </c>
      <c r="G223" s="2" t="inlineStr">
        <is>
          <t>Servicios mantencion marco fijo</t>
        </is>
      </c>
      <c r="H223" s="7" t="n">
        <v>5793.88</v>
      </c>
      <c r="I223" s="7" t="n">
        <v>5544.64</v>
      </c>
      <c r="J223" s="7" t="n">
        <v>6229</v>
      </c>
      <c r="K223" s="7" t="n">
        <v>6386.35</v>
      </c>
      <c r="L223" s="7" t="n">
        <v>5619.73</v>
      </c>
      <c r="M223" s="7" t="n">
        <v>5518.97</v>
      </c>
      <c r="N223" s="7" t="n">
        <v>6238.97</v>
      </c>
      <c r="O223" s="7" t="n">
        <v>6251.68</v>
      </c>
      <c r="P223" s="7" t="n">
        <v>5234.58</v>
      </c>
      <c r="Q223" s="7" t="n">
        <v>6289.57</v>
      </c>
      <c r="R223" s="7" t="n">
        <v>6209.98</v>
      </c>
      <c r="S223" s="7" t="n">
        <v>6352.77</v>
      </c>
      <c r="T223" s="8">
        <f>SUM(H223:S223)</f>
        <v/>
      </c>
      <c r="U223" s="2" t="inlineStr">
        <is>
          <t>HISTORICAL</t>
        </is>
      </c>
    </row>
    <row r="224">
      <c r="A224" s="2" t="inlineStr">
        <is>
          <t>8000_8900</t>
        </is>
      </c>
      <c r="B224" s="2" t="inlineStr">
        <is>
          <t>Equipos Moviles</t>
        </is>
      </c>
      <c r="C224" s="2" t="inlineStr">
        <is>
          <t>SN-8000-8900</t>
        </is>
      </c>
      <c r="D224" s="2" t="inlineStr">
        <is>
          <t>CC-8000</t>
        </is>
      </c>
      <c r="E224" s="2" t="inlineStr">
        <is>
          <t>M01</t>
        </is>
      </c>
      <c r="F224" s="2" t="inlineStr">
        <is>
          <t>SVC_VARIABLE</t>
        </is>
      </c>
      <c r="G224" s="2" t="inlineStr">
        <is>
          <t>Servicios mantencion marco variable</t>
        </is>
      </c>
      <c r="H224" s="7" t="n">
        <v>4560.53</v>
      </c>
      <c r="I224" s="7" t="n">
        <v>4039.7</v>
      </c>
      <c r="J224" s="7" t="n">
        <v>4394.93</v>
      </c>
      <c r="K224" s="7" t="n">
        <v>3830.73</v>
      </c>
      <c r="L224" s="7" t="n">
        <v>4307.47</v>
      </c>
      <c r="M224" s="7" t="n">
        <v>3983.57</v>
      </c>
      <c r="N224" s="7" t="n">
        <v>3818.04</v>
      </c>
      <c r="O224" s="7" t="n">
        <v>3980.34</v>
      </c>
      <c r="P224" s="7" t="n">
        <v>3482.18</v>
      </c>
      <c r="Q224" s="7" t="n">
        <v>4644.99</v>
      </c>
      <c r="R224" s="7" t="n">
        <v>4144.25</v>
      </c>
      <c r="S224" s="7" t="n">
        <v>4133.6</v>
      </c>
      <c r="T224" s="8">
        <f>SUM(H224:S224)</f>
        <v/>
      </c>
      <c r="U224" s="2" t="inlineStr">
        <is>
          <t>HISTORICAL</t>
        </is>
      </c>
    </row>
    <row r="225">
      <c r="A225" s="2" t="inlineStr">
        <is>
          <t>8000_8900</t>
        </is>
      </c>
      <c r="B225" s="2" t="inlineStr">
        <is>
          <t>Equipos Moviles</t>
        </is>
      </c>
      <c r="C225" s="2" t="inlineStr">
        <is>
          <t>SN-8000-8900</t>
        </is>
      </c>
      <c r="D225" s="2" t="inlineStr">
        <is>
          <t>CC-8000</t>
        </is>
      </c>
      <c r="E225" s="2" t="inlineStr">
        <is>
          <t>M01</t>
        </is>
      </c>
      <c r="F225" s="2" t="inlineStr">
        <is>
          <t>SVC_EXTERNAL</t>
        </is>
      </c>
      <c r="G225" s="2" t="inlineStr">
        <is>
          <t>Servicios mantencion externa</t>
        </is>
      </c>
      <c r="H225" s="7" t="n">
        <v>5023.66</v>
      </c>
      <c r="I225" s="7" t="n">
        <v>5199.87</v>
      </c>
      <c r="J225" s="7" t="n">
        <v>5178.65</v>
      </c>
      <c r="K225" s="7" t="n">
        <v>5192.86</v>
      </c>
      <c r="L225" s="7" t="n">
        <v>5862.62</v>
      </c>
      <c r="M225" s="7" t="n">
        <v>4937.48</v>
      </c>
      <c r="N225" s="7" t="n">
        <v>5407.4</v>
      </c>
      <c r="O225" s="7" t="n">
        <v>5838.93</v>
      </c>
      <c r="P225" s="7" t="n">
        <v>4960.54</v>
      </c>
      <c r="Q225" s="7" t="n">
        <v>5881.46</v>
      </c>
      <c r="R225" s="7" t="n">
        <v>4901.79</v>
      </c>
      <c r="S225" s="7" t="n">
        <v>5266.68</v>
      </c>
      <c r="T225" s="8">
        <f>SUM(H225:S225)</f>
        <v/>
      </c>
      <c r="U225" s="2" t="inlineStr">
        <is>
          <t>CONTRACTOR_QUOTE</t>
        </is>
      </c>
    </row>
    <row r="226">
      <c r="A226" s="2" t="inlineStr">
        <is>
          <t>8000_8900</t>
        </is>
      </c>
      <c r="B226" s="2" t="inlineStr">
        <is>
          <t>Equipos Moviles</t>
        </is>
      </c>
      <c r="C226" s="2" t="inlineStr">
        <is>
          <t>SN-8000-8900</t>
        </is>
      </c>
      <c r="D226" s="2" t="inlineStr">
        <is>
          <t>CC-8000</t>
        </is>
      </c>
      <c r="E226" s="2" t="inlineStr">
        <is>
          <t>M01</t>
        </is>
      </c>
      <c r="F226" s="2" t="inlineStr">
        <is>
          <t>OTHER_SERVICES</t>
        </is>
      </c>
      <c r="G226" s="2" t="inlineStr">
        <is>
          <t>Otros servicios de mantencion</t>
        </is>
      </c>
      <c r="H226" s="7" t="n">
        <v>1915.11</v>
      </c>
      <c r="I226" s="7" t="n">
        <v>1995.21</v>
      </c>
      <c r="J226" s="7" t="n">
        <v>2266.66</v>
      </c>
      <c r="K226" s="7" t="n">
        <v>1950.24</v>
      </c>
      <c r="L226" s="7" t="n">
        <v>1848.62</v>
      </c>
      <c r="M226" s="7" t="n">
        <v>1825.39</v>
      </c>
      <c r="N226" s="7" t="n">
        <v>2145.1</v>
      </c>
      <c r="O226" s="7" t="n">
        <v>2187.05</v>
      </c>
      <c r="P226" s="7" t="n">
        <v>1750.36</v>
      </c>
      <c r="Q226" s="7" t="n">
        <v>2401.75</v>
      </c>
      <c r="R226" s="7" t="n">
        <v>2051.83</v>
      </c>
      <c r="S226" s="7" t="n">
        <v>2105.18</v>
      </c>
      <c r="T226" s="8">
        <f>SUM(H226:S226)</f>
        <v/>
      </c>
      <c r="U226" s="2" t="inlineStr">
        <is>
          <t>HISTORICAL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44" customWidth="1" min="4" max="4"/>
    <col width="14" customWidth="1" min="5" max="5"/>
    <col width="10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2" customWidth="1" min="23" max="23"/>
  </cols>
  <sheetData>
    <row r="1">
      <c r="A1" s="1" t="inlineStr">
        <is>
          <t>capex_id</t>
        </is>
      </c>
      <c r="B1" s="1" t="inlineStr">
        <is>
          <t>capex_category</t>
        </is>
      </c>
      <c r="C1" s="1" t="inlineStr">
        <is>
          <t>capex_category_desc</t>
        </is>
      </c>
      <c r="D1" s="1" t="inlineStr">
        <is>
          <t>project_name</t>
        </is>
      </c>
      <c r="E1" s="1" t="inlineStr">
        <is>
          <t>wbs_element</t>
        </is>
      </c>
      <c r="F1" s="1" t="inlineStr">
        <is>
          <t>cost_center</t>
        </is>
      </c>
      <c r="G1" s="1" t="inlineStr">
        <is>
          <t>asset_class</t>
        </is>
      </c>
      <c r="H1" s="1" t="inlineStr">
        <is>
          <t>sap_func_loc</t>
        </is>
      </c>
      <c r="I1" s="1" t="inlineStr">
        <is>
          <t>jan_budget_usd</t>
        </is>
      </c>
      <c r="J1" s="1" t="inlineStr">
        <is>
          <t>feb_budget_usd</t>
        </is>
      </c>
      <c r="K1" s="1" t="inlineStr">
        <is>
          <t>mar_budget_usd</t>
        </is>
      </c>
      <c r="L1" s="1" t="inlineStr">
        <is>
          <t>apr_budget_usd</t>
        </is>
      </c>
      <c r="M1" s="1" t="inlineStr">
        <is>
          <t>may_budget_usd</t>
        </is>
      </c>
      <c r="N1" s="1" t="inlineStr">
        <is>
          <t>jun_budget_usd</t>
        </is>
      </c>
      <c r="O1" s="1" t="inlineStr">
        <is>
          <t>jul_budget_usd</t>
        </is>
      </c>
      <c r="P1" s="1" t="inlineStr">
        <is>
          <t>aug_budget_usd</t>
        </is>
      </c>
      <c r="Q1" s="1" t="inlineStr">
        <is>
          <t>sep_budget_usd</t>
        </is>
      </c>
      <c r="R1" s="1" t="inlineStr">
        <is>
          <t>oct_budget_usd</t>
        </is>
      </c>
      <c r="S1" s="1" t="inlineStr">
        <is>
          <t>nov_budget_usd</t>
        </is>
      </c>
      <c r="T1" s="1" t="inlineStr">
        <is>
          <t>dec_budget_usd</t>
        </is>
      </c>
      <c r="U1" s="1" t="inlineStr">
        <is>
          <t>annual_budget_usd</t>
        </is>
      </c>
      <c r="V1" s="1" t="inlineStr">
        <is>
          <t>approval_status</t>
        </is>
      </c>
      <c r="W1" s="1" t="inlineStr">
        <is>
          <t>priority</t>
        </is>
      </c>
    </row>
    <row r="2">
      <c r="A2" s="2" t="inlineStr">
        <is>
          <t>CAPEX-2026-001</t>
        </is>
      </c>
      <c r="B2" s="2" t="inlineStr">
        <is>
          <t>SUSTAINING</t>
        </is>
      </c>
      <c r="C2" s="2" t="inlineStr">
        <is>
          <t>Sustaining</t>
        </is>
      </c>
      <c r="D2" s="2" t="inlineStr">
        <is>
          <t>Reemplazo revestimientos molino SAG</t>
        </is>
      </c>
      <c r="E2" s="2" t="inlineStr">
        <is>
          <t>WBS-SN-3000</t>
        </is>
      </c>
      <c r="F2" s="2" t="inlineStr">
        <is>
          <t>CC-3000</t>
        </is>
      </c>
      <c r="G2" s="2" t="inlineStr">
        <is>
          <t>PLANT_EQUIP</t>
        </is>
      </c>
      <c r="H2" s="2" t="inlineStr">
        <is>
          <t>SN-3000-3100</t>
        </is>
      </c>
      <c r="I2" s="7" t="n">
        <v>327615.81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779207.11</v>
      </c>
      <c r="P2" s="7" t="n">
        <v>0</v>
      </c>
      <c r="Q2" s="7" t="n">
        <v>0</v>
      </c>
      <c r="R2" s="7" t="n">
        <v>1646006.02</v>
      </c>
      <c r="S2" s="7" t="n">
        <v>1747171.06</v>
      </c>
      <c r="T2" s="7" t="n">
        <v>0</v>
      </c>
      <c r="U2" s="8">
        <f>SUM(I2:T2)</f>
        <v/>
      </c>
      <c r="V2" s="2" t="inlineStr">
        <is>
          <t>APPROVED</t>
        </is>
      </c>
      <c r="W2" s="2" t="inlineStr">
        <is>
          <t>2-Alta</t>
        </is>
      </c>
    </row>
    <row r="3">
      <c r="A3" s="2" t="inlineStr">
        <is>
          <t>CAPEX-2026-002</t>
        </is>
      </c>
      <c r="B3" s="2" t="inlineStr">
        <is>
          <t>SUSTAINING</t>
        </is>
      </c>
      <c r="C3" s="2" t="inlineStr">
        <is>
          <t>Sustaining</t>
        </is>
      </c>
      <c r="D3" s="2" t="inlineStr">
        <is>
          <t>Overhaul chancador primario</t>
        </is>
      </c>
      <c r="E3" s="2" t="inlineStr">
        <is>
          <t>WBS-SN-3000</t>
        </is>
      </c>
      <c r="F3" s="2" t="inlineStr">
        <is>
          <t>CC-3000</t>
        </is>
      </c>
      <c r="G3" s="2" t="inlineStr">
        <is>
          <t>PLANT_EQUIP</t>
        </is>
      </c>
      <c r="H3" s="2" t="inlineStr">
        <is>
          <t>SN-2000-2100</t>
        </is>
      </c>
      <c r="I3" s="7" t="n">
        <v>274526.6399999998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662578.15</v>
      </c>
      <c r="O3" s="7" t="n">
        <v>0</v>
      </c>
      <c r="P3" s="7" t="n">
        <v>977912.37</v>
      </c>
      <c r="Q3" s="7" t="n">
        <v>953211.48</v>
      </c>
      <c r="R3" s="7" t="n">
        <v>0</v>
      </c>
      <c r="S3" s="7" t="n">
        <v>192250.47</v>
      </c>
      <c r="T3" s="7" t="n">
        <v>139520.89</v>
      </c>
      <c r="U3" s="8">
        <f>SUM(I3:T3)</f>
        <v/>
      </c>
      <c r="V3" s="2" t="inlineStr">
        <is>
          <t>APPROVED</t>
        </is>
      </c>
      <c r="W3" s="2" t="inlineStr">
        <is>
          <t>1-Critica</t>
        </is>
      </c>
    </row>
    <row r="4">
      <c r="A4" s="2" t="inlineStr">
        <is>
          <t>CAPEX-2026-003</t>
        </is>
      </c>
      <c r="B4" s="2" t="inlineStr">
        <is>
          <t>SUSTAINING</t>
        </is>
      </c>
      <c r="C4" s="2" t="inlineStr">
        <is>
          <t>Sustaining</t>
        </is>
      </c>
      <c r="D4" s="2" t="inlineStr">
        <is>
          <t>Reemplazo bombas proceso area humeda</t>
        </is>
      </c>
      <c r="E4" s="2" t="inlineStr">
        <is>
          <t>WBS-SN-3000</t>
        </is>
      </c>
      <c r="F4" s="2" t="inlineStr">
        <is>
          <t>CC-3000</t>
        </is>
      </c>
      <c r="G4" s="2" t="inlineStr">
        <is>
          <t>PLANT_EQUIP</t>
        </is>
      </c>
      <c r="H4" s="2" t="inlineStr">
        <is>
          <t>SN-3000-3300</t>
        </is>
      </c>
      <c r="I4" s="7" t="n">
        <v>36664.83000000024</v>
      </c>
      <c r="J4" s="7" t="n">
        <v>170306.44</v>
      </c>
      <c r="K4" s="7" t="n">
        <v>0</v>
      </c>
      <c r="L4" s="7" t="n">
        <v>281360.2</v>
      </c>
      <c r="M4" s="7" t="n">
        <v>0</v>
      </c>
      <c r="N4" s="7" t="n">
        <v>444775.43</v>
      </c>
      <c r="O4" s="7" t="n">
        <v>0</v>
      </c>
      <c r="P4" s="7" t="n">
        <v>404149.48</v>
      </c>
      <c r="Q4" s="7" t="n">
        <v>0</v>
      </c>
      <c r="R4" s="7" t="n">
        <v>294988.32</v>
      </c>
      <c r="S4" s="7" t="n">
        <v>392225</v>
      </c>
      <c r="T4" s="7" t="n">
        <v>75530.3</v>
      </c>
      <c r="U4" s="8">
        <f>SUM(I4:T4)</f>
        <v/>
      </c>
      <c r="V4" s="2" t="inlineStr">
        <is>
          <t>APPROVED</t>
        </is>
      </c>
      <c r="W4" s="2" t="inlineStr">
        <is>
          <t>1-Critica</t>
        </is>
      </c>
    </row>
    <row r="5">
      <c r="A5" s="2" t="inlineStr">
        <is>
          <t>CAPEX-2026-004</t>
        </is>
      </c>
      <c r="B5" s="2" t="inlineStr">
        <is>
          <t>SUSTAINING</t>
        </is>
      </c>
      <c r="C5" s="2" t="inlineStr">
        <is>
          <t>Sustaining</t>
        </is>
      </c>
      <c r="D5" s="2" t="inlineStr">
        <is>
          <t>Cambio correas transportadoras</t>
        </is>
      </c>
      <c r="E5" s="2" t="inlineStr">
        <is>
          <t>WBS-SN-2000</t>
        </is>
      </c>
      <c r="F5" s="2" t="inlineStr">
        <is>
          <t>CC-2000</t>
        </is>
      </c>
      <c r="G5" s="2" t="inlineStr">
        <is>
          <t>PLANT_EQUIP</t>
        </is>
      </c>
      <c r="H5" s="2" t="inlineStr">
        <is>
          <t>SN-2000-2200</t>
        </is>
      </c>
      <c r="I5" s="7" t="n">
        <v>46028.60999999977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744467.4</v>
      </c>
      <c r="P5" s="7" t="n">
        <v>364876.4</v>
      </c>
      <c r="Q5" s="7" t="n">
        <v>0</v>
      </c>
      <c r="R5" s="7" t="n">
        <v>60223.86</v>
      </c>
      <c r="S5" s="7" t="n">
        <v>282199.77</v>
      </c>
      <c r="T5" s="7" t="n">
        <v>302203.96</v>
      </c>
      <c r="U5" s="8">
        <f>SUM(I5:T5)</f>
        <v/>
      </c>
      <c r="V5" s="2" t="inlineStr">
        <is>
          <t>APPROVED</t>
        </is>
      </c>
      <c r="W5" s="2" t="inlineStr">
        <is>
          <t>1-Critica</t>
        </is>
      </c>
    </row>
    <row r="6">
      <c r="A6" s="2" t="inlineStr">
        <is>
          <t>CAPEX-2026-005</t>
        </is>
      </c>
      <c r="B6" s="2" t="inlineStr">
        <is>
          <t>SUSTAINING</t>
        </is>
      </c>
      <c r="C6" s="2" t="inlineStr">
        <is>
          <t>Sustaining</t>
        </is>
      </c>
      <c r="D6" s="2" t="inlineStr">
        <is>
          <t>Reemplazo instrumentacion control planta</t>
        </is>
      </c>
      <c r="E6" s="2" t="inlineStr">
        <is>
          <t>WBS-SN-3000</t>
        </is>
      </c>
      <c r="F6" s="2" t="inlineStr">
        <is>
          <t>CC-3000</t>
        </is>
      </c>
      <c r="G6" s="2" t="inlineStr">
        <is>
          <t>PLANT_EQUIP</t>
        </is>
      </c>
      <c r="H6" s="2" t="inlineStr">
        <is>
          <t>SN-4000-4600</t>
        </is>
      </c>
      <c r="I6" s="7" t="n">
        <v>23589.52000000001</v>
      </c>
      <c r="J6" s="7" t="n">
        <v>0</v>
      </c>
      <c r="K6" s="7" t="n">
        <v>191942.33</v>
      </c>
      <c r="L6" s="7" t="n">
        <v>0</v>
      </c>
      <c r="M6" s="7" t="n">
        <v>526274.8100000001</v>
      </c>
      <c r="N6" s="7" t="n">
        <v>0</v>
      </c>
      <c r="O6" s="7" t="n">
        <v>116639.09</v>
      </c>
      <c r="P6" s="7" t="n">
        <v>0</v>
      </c>
      <c r="Q6" s="7" t="n">
        <v>0</v>
      </c>
      <c r="R6" s="7" t="n">
        <v>110774.48</v>
      </c>
      <c r="S6" s="7" t="n">
        <v>230779.77</v>
      </c>
      <c r="T6" s="7" t="n">
        <v>0</v>
      </c>
      <c r="U6" s="8">
        <f>SUM(I6:T6)</f>
        <v/>
      </c>
      <c r="V6" s="2" t="inlineStr">
        <is>
          <t>APPROVED</t>
        </is>
      </c>
      <c r="W6" s="2" t="inlineStr">
        <is>
          <t>2-Alta</t>
        </is>
      </c>
    </row>
    <row r="7">
      <c r="A7" s="2" t="inlineStr">
        <is>
          <t>CAPEX-2026-006</t>
        </is>
      </c>
      <c r="B7" s="2" t="inlineStr">
        <is>
          <t>SUSTAINING</t>
        </is>
      </c>
      <c r="C7" s="2" t="inlineStr">
        <is>
          <t>Sustaining</t>
        </is>
      </c>
      <c r="D7" s="2" t="inlineStr">
        <is>
          <t>Overhaul generadores emergencia</t>
        </is>
      </c>
      <c r="E7" s="2" t="inlineStr">
        <is>
          <t>WBS-SN-4000</t>
        </is>
      </c>
      <c r="F7" s="2" t="inlineStr">
        <is>
          <t>CC-4000</t>
        </is>
      </c>
      <c r="G7" s="2" t="inlineStr">
        <is>
          <t>PLANT_EQUIP</t>
        </is>
      </c>
      <c r="H7" s="2" t="inlineStr">
        <is>
          <t>SN-4000-4400</t>
        </is>
      </c>
      <c r="I7" s="7" t="n">
        <v>20942.49999999998</v>
      </c>
      <c r="J7" s="7" t="n">
        <v>63160.45</v>
      </c>
      <c r="K7" s="7" t="n">
        <v>111272.07</v>
      </c>
      <c r="L7" s="7" t="n">
        <v>57067.68</v>
      </c>
      <c r="M7" s="7" t="n">
        <v>68104.67</v>
      </c>
      <c r="N7" s="7" t="n">
        <v>45263.63</v>
      </c>
      <c r="O7" s="7" t="n">
        <v>43535.15</v>
      </c>
      <c r="P7" s="7" t="n">
        <v>130365.94</v>
      </c>
      <c r="Q7" s="7" t="n">
        <v>59707.07</v>
      </c>
      <c r="R7" s="7" t="n">
        <v>143759.03</v>
      </c>
      <c r="S7" s="7" t="n">
        <v>65410.93</v>
      </c>
      <c r="T7" s="7" t="n">
        <v>141410.88</v>
      </c>
      <c r="U7" s="8">
        <f>SUM(I7:T7)</f>
        <v/>
      </c>
      <c r="V7" s="2" t="inlineStr">
        <is>
          <t>APPROVED</t>
        </is>
      </c>
      <c r="W7" s="2" t="inlineStr">
        <is>
          <t>2-Alta</t>
        </is>
      </c>
    </row>
    <row r="8">
      <c r="A8" s="2" t="inlineStr">
        <is>
          <t>CAPEX-2026-007</t>
        </is>
      </c>
      <c r="B8" s="2" t="inlineStr">
        <is>
          <t>SUSTAINING</t>
        </is>
      </c>
      <c r="C8" s="2" t="inlineStr">
        <is>
          <t>Sustaining</t>
        </is>
      </c>
      <c r="D8" s="2" t="inlineStr">
        <is>
          <t>Reemplazo camion minero CAT 785</t>
        </is>
      </c>
      <c r="E8" s="2" t="inlineStr">
        <is>
          <t>WBS-SN-1000</t>
        </is>
      </c>
      <c r="F8" s="2" t="inlineStr">
        <is>
          <t>CC-1000</t>
        </is>
      </c>
      <c r="G8" s="2" t="inlineStr">
        <is>
          <t>MOBILE_EQUIP</t>
        </is>
      </c>
      <c r="H8" s="2" t="inlineStr">
        <is>
          <t>SN-8000-8900</t>
        </is>
      </c>
      <c r="I8" s="7" t="n">
        <v>0</v>
      </c>
      <c r="J8" s="7" t="n">
        <v>755575.97</v>
      </c>
      <c r="K8" s="7" t="n">
        <v>0</v>
      </c>
      <c r="L8" s="7" t="n">
        <v>0</v>
      </c>
      <c r="M8" s="7" t="n">
        <v>120809.01</v>
      </c>
      <c r="N8" s="7" t="n">
        <v>470725.26</v>
      </c>
      <c r="O8" s="7" t="n">
        <v>1577907.58</v>
      </c>
      <c r="P8" s="7" t="n">
        <v>1295027.71</v>
      </c>
      <c r="Q8" s="7" t="n">
        <v>1279954.47</v>
      </c>
      <c r="R8" s="7" t="n">
        <v>0</v>
      </c>
      <c r="S8" s="7" t="n">
        <v>0</v>
      </c>
      <c r="T8" s="7" t="n">
        <v>0</v>
      </c>
      <c r="U8" s="8">
        <f>SUM(I8:T8)</f>
        <v/>
      </c>
      <c r="V8" s="2" t="inlineStr">
        <is>
          <t>APPROVED</t>
        </is>
      </c>
      <c r="W8" s="2" t="inlineStr">
        <is>
          <t>2-Alta</t>
        </is>
      </c>
    </row>
    <row r="9">
      <c r="A9" s="2" t="inlineStr">
        <is>
          <t>CAPEX-2026-008</t>
        </is>
      </c>
      <c r="B9" s="2" t="inlineStr">
        <is>
          <t>SUSTAINING</t>
        </is>
      </c>
      <c r="C9" s="2" t="inlineStr">
        <is>
          <t>Sustaining</t>
        </is>
      </c>
      <c r="D9" s="2" t="inlineStr">
        <is>
          <t>Reemplazo excavadora hidraulica</t>
        </is>
      </c>
      <c r="E9" s="2" t="inlineStr">
        <is>
          <t>WBS-SN-1000</t>
        </is>
      </c>
      <c r="F9" s="2" t="inlineStr">
        <is>
          <t>CC-1000</t>
        </is>
      </c>
      <c r="G9" s="2" t="inlineStr">
        <is>
          <t>MOBILE_EQUIP</t>
        </is>
      </c>
      <c r="H9" s="2" t="inlineStr">
        <is>
          <t>SN-1000-1200</t>
        </is>
      </c>
      <c r="I9" s="7" t="n">
        <v>0</v>
      </c>
      <c r="J9" s="7" t="n">
        <v>375405.8900000007</v>
      </c>
      <c r="K9" s="7" t="n">
        <v>650294.3199999999</v>
      </c>
      <c r="L9" s="7" t="n">
        <v>0</v>
      </c>
      <c r="M9" s="7" t="n">
        <v>0</v>
      </c>
      <c r="N9" s="7" t="n">
        <v>0</v>
      </c>
      <c r="O9" s="7" t="n">
        <v>915265.14</v>
      </c>
      <c r="P9" s="7" t="n">
        <v>1134300.16</v>
      </c>
      <c r="Q9" s="7" t="n">
        <v>0</v>
      </c>
      <c r="R9" s="7" t="n">
        <v>268870.61</v>
      </c>
      <c r="S9" s="7" t="n">
        <v>0</v>
      </c>
      <c r="T9" s="7" t="n">
        <v>455863.88</v>
      </c>
      <c r="U9" s="8">
        <f>SUM(I9:T9)</f>
        <v/>
      </c>
      <c r="V9" s="2" t="inlineStr">
        <is>
          <t>APPROVED</t>
        </is>
      </c>
      <c r="W9" s="2" t="inlineStr">
        <is>
          <t>2-Alta</t>
        </is>
      </c>
    </row>
    <row r="10">
      <c r="A10" s="2" t="inlineStr">
        <is>
          <t>CAPEX-2026-009</t>
        </is>
      </c>
      <c r="B10" s="2" t="inlineStr">
        <is>
          <t>SUSTAINING</t>
        </is>
      </c>
      <c r="C10" s="2" t="inlineStr">
        <is>
          <t>Sustaining</t>
        </is>
      </c>
      <c r="D10" s="2" t="inlineStr">
        <is>
          <t>Overhaul perforadora Atlas Copco</t>
        </is>
      </c>
      <c r="E10" s="2" t="inlineStr">
        <is>
          <t>WBS-SN-1000</t>
        </is>
      </c>
      <c r="F10" s="2" t="inlineStr">
        <is>
          <t>CC-1000</t>
        </is>
      </c>
      <c r="G10" s="2" t="inlineStr">
        <is>
          <t>MOBILE_EQUIP</t>
        </is>
      </c>
      <c r="H10" s="2" t="inlineStr">
        <is>
          <t>SN-1000-1200</t>
        </is>
      </c>
      <c r="I10" s="7" t="n">
        <v>0</v>
      </c>
      <c r="J10" s="7" t="n">
        <v>964690.75</v>
      </c>
      <c r="K10" s="7" t="n">
        <v>527750.64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707558.61</v>
      </c>
      <c r="T10" s="7" t="n">
        <v>0</v>
      </c>
      <c r="U10" s="8">
        <f>SUM(I10:T10)</f>
        <v/>
      </c>
      <c r="V10" s="2" t="inlineStr">
        <is>
          <t>APPROVED</t>
        </is>
      </c>
      <c r="W10" s="2" t="inlineStr">
        <is>
          <t>1-Critica</t>
        </is>
      </c>
    </row>
    <row r="11">
      <c r="A11" s="2" t="inlineStr">
        <is>
          <t>CAPEX-2026-010</t>
        </is>
      </c>
      <c r="B11" s="2" t="inlineStr">
        <is>
          <t>SUSTAINING</t>
        </is>
      </c>
      <c r="C11" s="2" t="inlineStr">
        <is>
          <t>Sustaining</t>
        </is>
      </c>
      <c r="D11" s="2" t="inlineStr">
        <is>
          <t>Reemplazo sistema HVAC campamento</t>
        </is>
      </c>
      <c r="E11" s="2" t="inlineStr">
        <is>
          <t>WBS-SN-5000</t>
        </is>
      </c>
      <c r="F11" s="2" t="inlineStr">
        <is>
          <t>CC-5000</t>
        </is>
      </c>
      <c r="G11" s="2" t="inlineStr">
        <is>
          <t>INFRASTRUCTURE</t>
        </is>
      </c>
      <c r="H11" s="2" t="inlineStr">
        <is>
          <t>SN-5000-5200</t>
        </is>
      </c>
      <c r="I11" s="7" t="n">
        <v>115721.88</v>
      </c>
      <c r="J11" s="7" t="n">
        <v>129080.37</v>
      </c>
      <c r="K11" s="7" t="n">
        <v>119980.84</v>
      </c>
      <c r="L11" s="7" t="n">
        <v>0</v>
      </c>
      <c r="M11" s="7" t="n">
        <v>3454.25</v>
      </c>
      <c r="N11" s="7" t="n">
        <v>37120.65</v>
      </c>
      <c r="O11" s="7" t="n">
        <v>153762.78</v>
      </c>
      <c r="P11" s="7" t="n">
        <v>0</v>
      </c>
      <c r="Q11" s="7" t="n">
        <v>181811.96</v>
      </c>
      <c r="R11" s="7" t="n">
        <v>59067.27</v>
      </c>
      <c r="S11" s="7" t="n">
        <v>0</v>
      </c>
      <c r="T11" s="7" t="n">
        <v>0</v>
      </c>
      <c r="U11" s="8">
        <f>SUM(I11:T11)</f>
        <v/>
      </c>
      <c r="V11" s="2" t="inlineStr">
        <is>
          <t>APPROVED</t>
        </is>
      </c>
      <c r="W11" s="2" t="inlineStr">
        <is>
          <t>3-Media</t>
        </is>
      </c>
    </row>
    <row r="12">
      <c r="A12" s="2" t="inlineStr">
        <is>
          <t>CAPEX-2026-011</t>
        </is>
      </c>
      <c r="B12" s="2" t="inlineStr">
        <is>
          <t>SUSTAINING</t>
        </is>
      </c>
      <c r="C12" s="2" t="inlineStr">
        <is>
          <t>Sustaining</t>
        </is>
      </c>
      <c r="D12" s="2" t="inlineStr">
        <is>
          <t>Mejora sistema tratamiento agua</t>
        </is>
      </c>
      <c r="E12" s="2" t="inlineStr">
        <is>
          <t>WBS-SN-7000</t>
        </is>
      </c>
      <c r="F12" s="2" t="inlineStr">
        <is>
          <t>CC-7000</t>
        </is>
      </c>
      <c r="G12" s="2" t="inlineStr">
        <is>
          <t>INFRASTRUCTURE</t>
        </is>
      </c>
      <c r="H12" s="2" t="inlineStr">
        <is>
          <t>SN-7000-7200</t>
        </is>
      </c>
      <c r="I12" s="7" t="n">
        <v>183381.69</v>
      </c>
      <c r="J12" s="7" t="n">
        <v>0</v>
      </c>
      <c r="K12" s="7" t="n">
        <v>36367.74</v>
      </c>
      <c r="L12" s="7" t="n">
        <v>303357.73</v>
      </c>
      <c r="M12" s="7" t="n">
        <v>74179.56</v>
      </c>
      <c r="N12" s="7" t="n">
        <v>306893.72</v>
      </c>
      <c r="O12" s="7" t="n">
        <v>77857.22</v>
      </c>
      <c r="P12" s="7" t="n">
        <v>0</v>
      </c>
      <c r="Q12" s="7" t="n">
        <v>384664.83</v>
      </c>
      <c r="R12" s="7" t="n">
        <v>0</v>
      </c>
      <c r="S12" s="7" t="n">
        <v>133297.51</v>
      </c>
      <c r="T12" s="7" t="n">
        <v>0</v>
      </c>
      <c r="U12" s="8">
        <f>SUM(I12:T12)</f>
        <v/>
      </c>
      <c r="V12" s="2" t="inlineStr">
        <is>
          <t>APPROVED</t>
        </is>
      </c>
      <c r="W12" s="2" t="inlineStr">
        <is>
          <t>1-Critica</t>
        </is>
      </c>
    </row>
    <row r="13">
      <c r="A13" s="2" t="inlineStr">
        <is>
          <t>CAPEX-2026-012</t>
        </is>
      </c>
      <c r="B13" s="2" t="inlineStr">
        <is>
          <t>SUSTAINING</t>
        </is>
      </c>
      <c r="C13" s="2" t="inlineStr">
        <is>
          <t>Sustaining</t>
        </is>
      </c>
      <c r="D13" s="2" t="inlineStr">
        <is>
          <t>Actualizacion sistema SCADA</t>
        </is>
      </c>
      <c r="E13" s="2" t="inlineStr">
        <is>
          <t>WBS-SN-4000</t>
        </is>
      </c>
      <c r="F13" s="2" t="inlineStr">
        <is>
          <t>CC-4000</t>
        </is>
      </c>
      <c r="G13" s="2" t="inlineStr">
        <is>
          <t>IT_SYSTEMS</t>
        </is>
      </c>
      <c r="H13" s="2" t="inlineStr">
        <is>
          <t>SN-4000-4600</t>
        </is>
      </c>
      <c r="I13" s="7" t="n">
        <v>222440.31</v>
      </c>
      <c r="J13" s="7" t="n">
        <v>0</v>
      </c>
      <c r="K13" s="7" t="n">
        <v>0</v>
      </c>
      <c r="L13" s="7" t="n">
        <v>75702.82000000001</v>
      </c>
      <c r="M13" s="7" t="n">
        <v>43614.58</v>
      </c>
      <c r="N13" s="7" t="n">
        <v>224562.73</v>
      </c>
      <c r="O13" s="7" t="n">
        <v>192560.12</v>
      </c>
      <c r="P13" s="7" t="n">
        <v>152766.31</v>
      </c>
      <c r="Q13" s="7" t="n">
        <v>101043.12</v>
      </c>
      <c r="R13" s="7" t="n">
        <v>87310.00999999999</v>
      </c>
      <c r="S13" s="7" t="n">
        <v>0</v>
      </c>
      <c r="T13" s="7" t="n">
        <v>0</v>
      </c>
      <c r="U13" s="8">
        <f>SUM(I13:T13)</f>
        <v/>
      </c>
      <c r="V13" s="2" t="inlineStr">
        <is>
          <t>APPROVED</t>
        </is>
      </c>
      <c r="W13" s="2" t="inlineStr">
        <is>
          <t>2-Alta</t>
        </is>
      </c>
    </row>
    <row r="14">
      <c r="A14" s="2" t="inlineStr">
        <is>
          <t>CAPEX-2026-013</t>
        </is>
      </c>
      <c r="B14" s="2" t="inlineStr">
        <is>
          <t>SUSTAINING</t>
        </is>
      </c>
      <c r="C14" s="2" t="inlineStr">
        <is>
          <t>Sustaining</t>
        </is>
      </c>
      <c r="D14" s="2" t="inlineStr">
        <is>
          <t>Reemplazo celdas electrolisis refineria</t>
        </is>
      </c>
      <c r="E14" s="2" t="inlineStr">
        <is>
          <t>WBS-SN-3000</t>
        </is>
      </c>
      <c r="F14" s="2" t="inlineStr">
        <is>
          <t>CC-3000</t>
        </is>
      </c>
      <c r="G14" s="2" t="inlineStr">
        <is>
          <t>PLANT_EQUIP</t>
        </is>
      </c>
      <c r="H14" s="2" t="inlineStr">
        <is>
          <t>SN-3000-3500</t>
        </is>
      </c>
      <c r="I14" s="7" t="n">
        <v>364063.16</v>
      </c>
      <c r="J14" s="7" t="n">
        <v>215355.58</v>
      </c>
      <c r="K14" s="7" t="n">
        <v>0</v>
      </c>
      <c r="L14" s="7" t="n">
        <v>427145.3</v>
      </c>
      <c r="M14" s="7" t="n">
        <v>278973.01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277196.4</v>
      </c>
      <c r="S14" s="7" t="n">
        <v>237266.55</v>
      </c>
      <c r="T14" s="7" t="n">
        <v>0</v>
      </c>
      <c r="U14" s="8">
        <f>SUM(I14:T14)</f>
        <v/>
      </c>
      <c r="V14" s="2" t="inlineStr">
        <is>
          <t>APPROVED</t>
        </is>
      </c>
      <c r="W14" s="2" t="inlineStr">
        <is>
          <t>1-Critica</t>
        </is>
      </c>
    </row>
    <row r="15">
      <c r="A15" s="2" t="inlineStr">
        <is>
          <t>CAPEX-2026-014</t>
        </is>
      </c>
      <c r="B15" s="2" t="inlineStr">
        <is>
          <t>SUSTAINING</t>
        </is>
      </c>
      <c r="C15" s="2" t="inlineStr">
        <is>
          <t>Sustaining</t>
        </is>
      </c>
      <c r="D15" s="2" t="inlineStr">
        <is>
          <t>Reemplazo valvulas criticas area humeda</t>
        </is>
      </c>
      <c r="E15" s="2" t="inlineStr">
        <is>
          <t>WBS-SN-3000</t>
        </is>
      </c>
      <c r="F15" s="2" t="inlineStr">
        <is>
          <t>CC-3000</t>
        </is>
      </c>
      <c r="G15" s="2" t="inlineStr">
        <is>
          <t>PLANT_EQUIP</t>
        </is>
      </c>
      <c r="H15" s="2" t="inlineStr">
        <is>
          <t>SN-3000-3300</t>
        </is>
      </c>
      <c r="I15" s="7" t="n">
        <v>36323.54999999989</v>
      </c>
      <c r="J15" s="7" t="n">
        <v>180352.46</v>
      </c>
      <c r="K15" s="7" t="n">
        <v>0</v>
      </c>
      <c r="L15" s="7" t="n">
        <v>41195.81</v>
      </c>
      <c r="M15" s="7" t="n">
        <v>251252.2</v>
      </c>
      <c r="N15" s="7" t="n">
        <v>0</v>
      </c>
      <c r="O15" s="7" t="n">
        <v>110998.22</v>
      </c>
      <c r="P15" s="7" t="n">
        <v>46700.37</v>
      </c>
      <c r="Q15" s="7" t="n">
        <v>171459.42</v>
      </c>
      <c r="R15" s="7" t="n">
        <v>0</v>
      </c>
      <c r="S15" s="7" t="n">
        <v>0</v>
      </c>
      <c r="T15" s="7" t="n">
        <v>61717.97</v>
      </c>
      <c r="U15" s="8">
        <f>SUM(I15:T15)</f>
        <v/>
      </c>
      <c r="V15" s="2" t="inlineStr">
        <is>
          <t>APPROVED</t>
        </is>
      </c>
      <c r="W15" s="2" t="inlineStr">
        <is>
          <t>1-Critica</t>
        </is>
      </c>
    </row>
    <row r="16">
      <c r="A16" s="2" t="inlineStr">
        <is>
          <t>CAPEX-2026-015</t>
        </is>
      </c>
      <c r="B16" s="2" t="inlineStr">
        <is>
          <t>SUSTAINING</t>
        </is>
      </c>
      <c r="C16" s="2" t="inlineStr">
        <is>
          <t>Sustaining</t>
        </is>
      </c>
      <c r="D16" s="2" t="inlineStr">
        <is>
          <t>Refuerzo estructural espesadores</t>
        </is>
      </c>
      <c r="E16" s="2" t="inlineStr">
        <is>
          <t>WBS-SN-3000</t>
        </is>
      </c>
      <c r="F16" s="2" t="inlineStr">
        <is>
          <t>CC-3000</t>
        </is>
      </c>
      <c r="G16" s="2" t="inlineStr">
        <is>
          <t>PLANT_EQUIP</t>
        </is>
      </c>
      <c r="H16" s="2" t="inlineStr">
        <is>
          <t>SN-3000-3600</t>
        </is>
      </c>
      <c r="I16" s="7" t="n">
        <v>74366.58</v>
      </c>
      <c r="J16" s="7" t="n">
        <v>0</v>
      </c>
      <c r="K16" s="7" t="n">
        <v>85921.49000000001</v>
      </c>
      <c r="L16" s="7" t="n">
        <v>334104.15</v>
      </c>
      <c r="M16" s="7" t="n">
        <v>46070.59</v>
      </c>
      <c r="N16" s="7" t="n">
        <v>0</v>
      </c>
      <c r="O16" s="7" t="n">
        <v>0</v>
      </c>
      <c r="P16" s="7" t="n">
        <v>54172.59</v>
      </c>
      <c r="Q16" s="7" t="n">
        <v>0</v>
      </c>
      <c r="R16" s="7" t="n">
        <v>253279.91</v>
      </c>
      <c r="S16" s="7" t="n">
        <v>153014.35</v>
      </c>
      <c r="T16" s="7" t="n">
        <v>199070.34</v>
      </c>
      <c r="U16" s="8">
        <f>SUM(I16:T16)</f>
        <v/>
      </c>
      <c r="V16" s="2" t="inlineStr">
        <is>
          <t>APPROVED</t>
        </is>
      </c>
      <c r="W16" s="2" t="inlineStr">
        <is>
          <t>2-Alta</t>
        </is>
      </c>
    </row>
    <row r="17">
      <c r="A17" s="2" t="inlineStr">
        <is>
          <t>CAPEX-2026-016</t>
        </is>
      </c>
      <c r="B17" s="2" t="inlineStr">
        <is>
          <t>SUSTAINING</t>
        </is>
      </c>
      <c r="C17" s="2" t="inlineStr">
        <is>
          <t>Sustaining</t>
        </is>
      </c>
      <c r="D17" s="2" t="inlineStr">
        <is>
          <t>Reemplazo sistema deteccion incendios</t>
        </is>
      </c>
      <c r="E17" s="2" t="inlineStr">
        <is>
          <t>WBS-SN-4000</t>
        </is>
      </c>
      <c r="F17" s="2" t="inlineStr">
        <is>
          <t>CC-4000</t>
        </is>
      </c>
      <c r="G17" s="2" t="inlineStr">
        <is>
          <t>INFRASTRUCTURE</t>
        </is>
      </c>
      <c r="H17" s="2" t="inlineStr">
        <is>
          <t>SN-4000-4700</t>
        </is>
      </c>
      <c r="I17" s="7" t="n">
        <v>0</v>
      </c>
      <c r="J17" s="7" t="n">
        <v>179096.56</v>
      </c>
      <c r="K17" s="7" t="n">
        <v>166100.19</v>
      </c>
      <c r="L17" s="7" t="n">
        <v>109738.48</v>
      </c>
      <c r="M17" s="7" t="n">
        <v>67619.62</v>
      </c>
      <c r="N17" s="7" t="n">
        <v>0</v>
      </c>
      <c r="O17" s="7" t="n">
        <v>113333.37</v>
      </c>
      <c r="P17" s="7" t="n">
        <v>0</v>
      </c>
      <c r="Q17" s="7" t="n">
        <v>0</v>
      </c>
      <c r="R17" s="7" t="n">
        <v>14111.78</v>
      </c>
      <c r="S17" s="7" t="n">
        <v>0</v>
      </c>
      <c r="T17" s="7" t="n">
        <v>0</v>
      </c>
      <c r="U17" s="8">
        <f>SUM(I17:T17)</f>
        <v/>
      </c>
      <c r="V17" s="2" t="inlineStr">
        <is>
          <t>APPROVED</t>
        </is>
      </c>
      <c r="W17" s="2" t="inlineStr">
        <is>
          <t>2-Alta</t>
        </is>
      </c>
    </row>
    <row r="18">
      <c r="A18" s="2" t="inlineStr">
        <is>
          <t>CAPEX-2026-017</t>
        </is>
      </c>
      <c r="B18" s="2" t="inlineStr">
        <is>
          <t>SUSTAINING</t>
        </is>
      </c>
      <c r="C18" s="2" t="inlineStr">
        <is>
          <t>Sustaining</t>
        </is>
      </c>
      <c r="D18" s="2" t="inlineStr">
        <is>
          <t>Reemplazo filtros y celdas carbon</t>
        </is>
      </c>
      <c r="E18" s="2" t="inlineStr">
        <is>
          <t>WBS-SN-3000</t>
        </is>
      </c>
      <c r="F18" s="2" t="inlineStr">
        <is>
          <t>CC-3000</t>
        </is>
      </c>
      <c r="G18" s="2" t="inlineStr">
        <is>
          <t>PLANT_EQUIP</t>
        </is>
      </c>
      <c r="H18" s="2" t="inlineStr">
        <is>
          <t>SN-3000-3400</t>
        </is>
      </c>
      <c r="I18" s="7" t="n">
        <v>0</v>
      </c>
      <c r="J18" s="7" t="n">
        <v>0</v>
      </c>
      <c r="K18" s="7" t="n">
        <v>106952.2299999999</v>
      </c>
      <c r="L18" s="7" t="n">
        <v>135187.58</v>
      </c>
      <c r="M18" s="7" t="n">
        <v>23695.77</v>
      </c>
      <c r="N18" s="7" t="n">
        <v>260422.48</v>
      </c>
      <c r="O18" s="7" t="n">
        <v>0</v>
      </c>
      <c r="P18" s="7" t="n">
        <v>0</v>
      </c>
      <c r="Q18" s="7" t="n">
        <v>152113.17</v>
      </c>
      <c r="R18" s="7" t="n">
        <v>0</v>
      </c>
      <c r="S18" s="7" t="n">
        <v>0</v>
      </c>
      <c r="T18" s="7" t="n">
        <v>71628.77</v>
      </c>
      <c r="U18" s="8">
        <f>SUM(I18:T18)</f>
        <v/>
      </c>
      <c r="V18" s="2" t="inlineStr">
        <is>
          <t>APPROVED</t>
        </is>
      </c>
      <c r="W18" s="2" t="inlineStr">
        <is>
          <t>3-Media</t>
        </is>
      </c>
    </row>
    <row r="19">
      <c r="A19" s="2" t="inlineStr">
        <is>
          <t>CAPEX-2026-018</t>
        </is>
      </c>
      <c r="B19" s="2" t="inlineStr">
        <is>
          <t>SUSTAINING</t>
        </is>
      </c>
      <c r="C19" s="2" t="inlineStr">
        <is>
          <t>Sustaining</t>
        </is>
      </c>
      <c r="D19" s="2" t="inlineStr">
        <is>
          <t>Overhaul compresores aire</t>
        </is>
      </c>
      <c r="E19" s="2" t="inlineStr">
        <is>
          <t>WBS-SN-4000</t>
        </is>
      </c>
      <c r="F19" s="2" t="inlineStr">
        <is>
          <t>CC-4000</t>
        </is>
      </c>
      <c r="G19" s="2" t="inlineStr">
        <is>
          <t>PLANT_EQUIP</t>
        </is>
      </c>
      <c r="H19" s="2" t="inlineStr">
        <is>
          <t>SN-4000-4300</t>
        </is>
      </c>
      <c r="I19" s="7" t="n">
        <v>25884.29</v>
      </c>
      <c r="J19" s="7" t="n">
        <v>0</v>
      </c>
      <c r="K19" s="7" t="n">
        <v>104416.9</v>
      </c>
      <c r="L19" s="7" t="n">
        <v>162118.23</v>
      </c>
      <c r="M19" s="7" t="n">
        <v>128446.55</v>
      </c>
      <c r="N19" s="7" t="n">
        <v>0</v>
      </c>
      <c r="O19" s="7" t="n">
        <v>69882.62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59251.41</v>
      </c>
      <c r="U19" s="8">
        <f>SUM(I19:T19)</f>
        <v/>
      </c>
      <c r="V19" s="2" t="inlineStr">
        <is>
          <t>APPROVED</t>
        </is>
      </c>
      <c r="W19" s="2" t="inlineStr">
        <is>
          <t>1-Critica</t>
        </is>
      </c>
    </row>
    <row r="20">
      <c r="A20" s="2" t="inlineStr">
        <is>
          <t>CAPEX-2026-019</t>
        </is>
      </c>
      <c r="B20" s="2" t="inlineStr">
        <is>
          <t>SUSTAINING</t>
        </is>
      </c>
      <c r="C20" s="2" t="inlineStr">
        <is>
          <t>Sustaining</t>
        </is>
      </c>
      <c r="D20" s="2" t="inlineStr">
        <is>
          <t>Reemplazo bulldozer D10T</t>
        </is>
      </c>
      <c r="E20" s="2" t="inlineStr">
        <is>
          <t>WBS-SN-1000</t>
        </is>
      </c>
      <c r="F20" s="2" t="inlineStr">
        <is>
          <t>CC-1000</t>
        </is>
      </c>
      <c r="G20" s="2" t="inlineStr">
        <is>
          <t>MOBILE_EQUIP</t>
        </is>
      </c>
      <c r="H20" s="2" t="inlineStr">
        <is>
          <t>SN-8000-8900</t>
        </is>
      </c>
      <c r="I20" s="7" t="n">
        <v>146940.3200000002</v>
      </c>
      <c r="J20" s="7" t="n">
        <v>73935.03</v>
      </c>
      <c r="K20" s="7" t="n">
        <v>96167.3</v>
      </c>
      <c r="L20" s="7" t="n">
        <v>740952.8199999999</v>
      </c>
      <c r="M20" s="7" t="n">
        <v>297096.57</v>
      </c>
      <c r="N20" s="7" t="n">
        <v>487414.73</v>
      </c>
      <c r="O20" s="7" t="n">
        <v>275849.73</v>
      </c>
      <c r="P20" s="7" t="n">
        <v>294868.03</v>
      </c>
      <c r="Q20" s="7" t="n">
        <v>80475.67</v>
      </c>
      <c r="R20" s="7" t="n">
        <v>189210.63</v>
      </c>
      <c r="S20" s="7" t="n">
        <v>334990.52</v>
      </c>
      <c r="T20" s="7" t="n">
        <v>182098.65</v>
      </c>
      <c r="U20" s="8">
        <f>SUM(I20:T20)</f>
        <v/>
      </c>
      <c r="V20" s="2" t="inlineStr">
        <is>
          <t>APPROVED</t>
        </is>
      </c>
      <c r="W20" s="2" t="inlineStr">
        <is>
          <t>1-Critica</t>
        </is>
      </c>
    </row>
    <row r="21">
      <c r="A21" s="2" t="inlineStr">
        <is>
          <t>CAPEX-2026-020</t>
        </is>
      </c>
      <c r="B21" s="2" t="inlineStr">
        <is>
          <t>SUSTAINING</t>
        </is>
      </c>
      <c r="C21" s="2" t="inlineStr">
        <is>
          <t>Sustaining</t>
        </is>
      </c>
      <c r="D21" s="2" t="inlineStr">
        <is>
          <t>Reemplazo cargador frontal 992K</t>
        </is>
      </c>
      <c r="E21" s="2" t="inlineStr">
        <is>
          <t>WBS-SN-1000</t>
        </is>
      </c>
      <c r="F21" s="2" t="inlineStr">
        <is>
          <t>CC-1000</t>
        </is>
      </c>
      <c r="G21" s="2" t="inlineStr">
        <is>
          <t>MOBILE_EQUIP</t>
        </is>
      </c>
      <c r="H21" s="2" t="inlineStr">
        <is>
          <t>SN-8000-8900</t>
        </is>
      </c>
      <c r="I21" s="7" t="n">
        <v>0</v>
      </c>
      <c r="J21" s="7" t="n">
        <v>0</v>
      </c>
      <c r="K21" s="7" t="n">
        <v>0</v>
      </c>
      <c r="L21" s="7" t="n">
        <v>2106892.43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379986.32</v>
      </c>
      <c r="R21" s="7" t="n">
        <v>0</v>
      </c>
      <c r="S21" s="7" t="n">
        <v>0</v>
      </c>
      <c r="T21" s="7" t="n">
        <v>313121.25</v>
      </c>
      <c r="U21" s="8">
        <f>SUM(I21:T21)</f>
        <v/>
      </c>
      <c r="V21" s="2" t="inlineStr">
        <is>
          <t>APPROVED</t>
        </is>
      </c>
      <c r="W21" s="2" t="inlineStr">
        <is>
          <t>2-Alta</t>
        </is>
      </c>
    </row>
    <row r="22">
      <c r="A22" s="2" t="inlineStr">
        <is>
          <t>CAPEX-2026-021</t>
        </is>
      </c>
      <c r="B22" s="2" t="inlineStr">
        <is>
          <t>MINE_DEVELOPMENT</t>
        </is>
      </c>
      <c r="C22" s="2" t="inlineStr">
        <is>
          <t>Desarrollo Mina</t>
        </is>
      </c>
      <c r="D22" s="2" t="inlineStr">
        <is>
          <t>Preparacion Fase 3 pit expansion</t>
        </is>
      </c>
      <c r="E22" s="2" t="inlineStr">
        <is>
          <t>WBS-SN-1000</t>
        </is>
      </c>
      <c r="F22" s="2" t="inlineStr">
        <is>
          <t>CC-1000</t>
        </is>
      </c>
      <c r="G22" s="2" t="inlineStr">
        <is>
          <t>MINE_PREP</t>
        </is>
      </c>
      <c r="H22" s="2" t="n"/>
      <c r="I22" s="7" t="n">
        <v>607147.6</v>
      </c>
      <c r="J22" s="7" t="n">
        <v>267518</v>
      </c>
      <c r="K22" s="7" t="n">
        <v>0</v>
      </c>
      <c r="L22" s="7" t="n">
        <v>1122181.54</v>
      </c>
      <c r="M22" s="7" t="n">
        <v>847170.99</v>
      </c>
      <c r="N22" s="7" t="n">
        <v>912289.3199999999</v>
      </c>
      <c r="O22" s="7" t="n">
        <v>486706.38</v>
      </c>
      <c r="P22" s="7" t="n">
        <v>833458.3199999999</v>
      </c>
      <c r="Q22" s="7" t="n">
        <v>0</v>
      </c>
      <c r="R22" s="7" t="n">
        <v>0</v>
      </c>
      <c r="S22" s="7" t="n">
        <v>0</v>
      </c>
      <c r="T22" s="7" t="n">
        <v>923527.85</v>
      </c>
      <c r="U22" s="8">
        <f>SUM(I22:T22)</f>
        <v/>
      </c>
      <c r="V22" s="2" t="inlineStr">
        <is>
          <t>APPROVED</t>
        </is>
      </c>
      <c r="W22" s="2" t="inlineStr">
        <is>
          <t>2-Alta</t>
        </is>
      </c>
    </row>
    <row r="23">
      <c r="A23" s="2" t="inlineStr">
        <is>
          <t>CAPEX-2026-022</t>
        </is>
      </c>
      <c r="B23" s="2" t="inlineStr">
        <is>
          <t>MINE_DEVELOPMENT</t>
        </is>
      </c>
      <c r="C23" s="2" t="inlineStr">
        <is>
          <t>Desarrollo Mina</t>
        </is>
      </c>
      <c r="D23" s="2" t="inlineStr">
        <is>
          <t>Accesos y caminos Fase 3</t>
        </is>
      </c>
      <c r="E23" s="2" t="inlineStr">
        <is>
          <t>WBS-SN-1000</t>
        </is>
      </c>
      <c r="F23" s="2" t="inlineStr">
        <is>
          <t>CC-1000</t>
        </is>
      </c>
      <c r="G23" s="2" t="inlineStr">
        <is>
          <t>MINE_PREP</t>
        </is>
      </c>
      <c r="H23" s="2" t="n"/>
      <c r="I23" s="7" t="n">
        <v>0</v>
      </c>
      <c r="J23" s="7" t="n">
        <v>0</v>
      </c>
      <c r="K23" s="7" t="n">
        <v>0</v>
      </c>
      <c r="L23" s="7" t="n">
        <v>626637.0899999993</v>
      </c>
      <c r="M23" s="7" t="n">
        <v>0</v>
      </c>
      <c r="N23" s="7" t="n">
        <v>0</v>
      </c>
      <c r="O23" s="7" t="n">
        <v>818179.8</v>
      </c>
      <c r="P23" s="7" t="n">
        <v>1893876.76</v>
      </c>
      <c r="Q23" s="7" t="n">
        <v>313770.03</v>
      </c>
      <c r="R23" s="7" t="n">
        <v>0</v>
      </c>
      <c r="S23" s="7" t="n">
        <v>326094.44</v>
      </c>
      <c r="T23" s="7" t="n">
        <v>521441.88</v>
      </c>
      <c r="U23" s="8">
        <f>SUM(I23:T23)</f>
        <v/>
      </c>
      <c r="V23" s="2" t="inlineStr">
        <is>
          <t>APPROVED</t>
        </is>
      </c>
      <c r="W23" s="2" t="inlineStr">
        <is>
          <t>1-Critica</t>
        </is>
      </c>
    </row>
    <row r="24">
      <c r="A24" s="2" t="inlineStr">
        <is>
          <t>CAPEX-2026-023</t>
        </is>
      </c>
      <c r="B24" s="2" t="inlineStr">
        <is>
          <t>MINE_DEVELOPMENT</t>
        </is>
      </c>
      <c r="C24" s="2" t="inlineStr">
        <is>
          <t>Desarrollo Mina</t>
        </is>
      </c>
      <c r="D24" s="2" t="inlineStr">
        <is>
          <t>Perforacion y tronadura desarrollo</t>
        </is>
      </c>
      <c r="E24" s="2" t="inlineStr">
        <is>
          <t>WBS-SN-1000</t>
        </is>
      </c>
      <c r="F24" s="2" t="inlineStr">
        <is>
          <t>CC-1000</t>
        </is>
      </c>
      <c r="G24" s="2" t="inlineStr">
        <is>
          <t>MINE_PREP</t>
        </is>
      </c>
      <c r="H24" s="2" t="n"/>
      <c r="I24" s="7" t="n">
        <v>1194562.66</v>
      </c>
      <c r="J24" s="7" t="n">
        <v>484556.62</v>
      </c>
      <c r="K24" s="7" t="n">
        <v>0</v>
      </c>
      <c r="L24" s="7" t="n">
        <v>0</v>
      </c>
      <c r="M24" s="7" t="n">
        <v>390822.84</v>
      </c>
      <c r="N24" s="7" t="n">
        <v>140204.11</v>
      </c>
      <c r="O24" s="7" t="n">
        <v>278339.26</v>
      </c>
      <c r="P24" s="7" t="n">
        <v>0</v>
      </c>
      <c r="Q24" s="7" t="n">
        <v>1127143.12</v>
      </c>
      <c r="R24" s="7" t="n">
        <v>0</v>
      </c>
      <c r="S24" s="7" t="n">
        <v>407189.22</v>
      </c>
      <c r="T24" s="7" t="n">
        <v>477182.17</v>
      </c>
      <c r="U24" s="8">
        <f>SUM(I24:T24)</f>
        <v/>
      </c>
      <c r="V24" s="2" t="inlineStr">
        <is>
          <t>APPROVED</t>
        </is>
      </c>
      <c r="W24" s="2" t="inlineStr">
        <is>
          <t>1-Critica</t>
        </is>
      </c>
    </row>
    <row r="25">
      <c r="A25" s="2" t="inlineStr">
        <is>
          <t>CAPEX-2026-024</t>
        </is>
      </c>
      <c r="B25" s="2" t="inlineStr">
        <is>
          <t>DEVELOPMENT</t>
        </is>
      </c>
      <c r="C25" s="2" t="inlineStr">
        <is>
          <t>Desarrollo</t>
        </is>
      </c>
      <c r="D25" s="2" t="inlineStr">
        <is>
          <t>Ampliacion bodega repuestos</t>
        </is>
      </c>
      <c r="E25" s="2" t="inlineStr">
        <is>
          <t>WBS-SN-5000</t>
        </is>
      </c>
      <c r="F25" s="2" t="inlineStr">
        <is>
          <t>CC-5000</t>
        </is>
      </c>
      <c r="G25" s="2" t="inlineStr">
        <is>
          <t>INFRASTRUCTURE</t>
        </is>
      </c>
      <c r="H25" s="2" t="inlineStr">
        <is>
          <t>SN-5000-5300</t>
        </is>
      </c>
      <c r="I25" s="7" t="n">
        <v>0</v>
      </c>
      <c r="J25" s="7" t="n">
        <v>421152.2</v>
      </c>
      <c r="K25" s="7" t="n">
        <v>0</v>
      </c>
      <c r="L25" s="7" t="n">
        <v>138343.96</v>
      </c>
      <c r="M25" s="7" t="n">
        <v>462904.32</v>
      </c>
      <c r="N25" s="7" t="n">
        <v>0</v>
      </c>
      <c r="O25" s="7" t="n">
        <v>477599.52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8">
        <f>SUM(I25:T25)</f>
        <v/>
      </c>
      <c r="V25" s="2" t="inlineStr">
        <is>
          <t>APPROVED</t>
        </is>
      </c>
      <c r="W25" s="2" t="inlineStr">
        <is>
          <t>2-Alta</t>
        </is>
      </c>
    </row>
    <row r="26">
      <c r="A26" s="2" t="inlineStr">
        <is>
          <t>CAPEX-2026-025</t>
        </is>
      </c>
      <c r="B26" s="2" t="inlineStr">
        <is>
          <t>DEVELOPMENT</t>
        </is>
      </c>
      <c r="C26" s="2" t="inlineStr">
        <is>
          <t>Desarrollo</t>
        </is>
      </c>
      <c r="D26" s="2" t="inlineStr">
        <is>
          <t>Implementacion sistema AMS</t>
        </is>
      </c>
      <c r="E26" s="2" t="inlineStr">
        <is>
          <t>WBS-SN-8000</t>
        </is>
      </c>
      <c r="F26" s="2" t="inlineStr">
        <is>
          <t>CC-8000</t>
        </is>
      </c>
      <c r="G26" s="2" t="inlineStr">
        <is>
          <t>IT_SYSTEMS</t>
        </is>
      </c>
      <c r="H26" s="2" t="n"/>
      <c r="I26" s="7" t="n">
        <v>107881.2900000001</v>
      </c>
      <c r="J26" s="7" t="n">
        <v>121700.53</v>
      </c>
      <c r="K26" s="7" t="n">
        <v>131436.97</v>
      </c>
      <c r="L26" s="7" t="n">
        <v>0</v>
      </c>
      <c r="M26" s="7" t="n">
        <v>0</v>
      </c>
      <c r="N26" s="7" t="n">
        <v>103334.09</v>
      </c>
      <c r="O26" s="7" t="n">
        <v>35773.88</v>
      </c>
      <c r="P26" s="7" t="n">
        <v>0</v>
      </c>
      <c r="Q26" s="7" t="n">
        <v>0</v>
      </c>
      <c r="R26" s="7" t="n">
        <v>48124.84</v>
      </c>
      <c r="S26" s="7" t="n">
        <v>62920.81</v>
      </c>
      <c r="T26" s="7" t="n">
        <v>188827.59</v>
      </c>
      <c r="U26" s="8">
        <f>SUM(I26:T26)</f>
        <v/>
      </c>
      <c r="V26" s="2" t="inlineStr">
        <is>
          <t>PENDING</t>
        </is>
      </c>
      <c r="W26" s="2" t="inlineStr">
        <is>
          <t>3-Media</t>
        </is>
      </c>
    </row>
    <row r="27">
      <c r="A27" s="2" t="inlineStr">
        <is>
          <t>CAPEX-2026-026</t>
        </is>
      </c>
      <c r="B27" s="2" t="inlineStr">
        <is>
          <t>DEVELOPMENT</t>
        </is>
      </c>
      <c r="C27" s="2" t="inlineStr">
        <is>
          <t>Desarrollo</t>
        </is>
      </c>
      <c r="D27" s="2" t="inlineStr">
        <is>
          <t>Mejora sistema supresion de polvo</t>
        </is>
      </c>
      <c r="E27" s="2" t="inlineStr">
        <is>
          <t>WBS-SN-3000</t>
        </is>
      </c>
      <c r="F27" s="2" t="inlineStr">
        <is>
          <t>CC-3000</t>
        </is>
      </c>
      <c r="G27" s="2" t="inlineStr">
        <is>
          <t>INFRASTRUCTURE</t>
        </is>
      </c>
      <c r="H27" s="2" t="inlineStr">
        <is>
          <t>SN-2000-2100</t>
        </is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168934.46</v>
      </c>
      <c r="N27" s="7" t="n">
        <v>0</v>
      </c>
      <c r="O27" s="7" t="n">
        <v>0</v>
      </c>
      <c r="P27" s="7" t="n">
        <v>195744.84</v>
      </c>
      <c r="Q27" s="7" t="n">
        <v>1261299.68</v>
      </c>
      <c r="R27" s="7" t="n">
        <v>221444.95</v>
      </c>
      <c r="S27" s="7" t="n">
        <v>588990.33</v>
      </c>
      <c r="T27" s="7" t="n">
        <v>63585.74</v>
      </c>
      <c r="U27" s="8">
        <f>SUM(I27:T27)</f>
        <v/>
      </c>
      <c r="V27" s="2" t="inlineStr">
        <is>
          <t>APPROVED</t>
        </is>
      </c>
      <c r="W27" s="2" t="inlineStr">
        <is>
          <t>2-Alta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28" customWidth="1" min="21" max="21"/>
  </cols>
  <sheetData>
    <row r="1">
      <c r="A1" s="1" t="inlineStr">
        <is>
          <t>kpi_domain</t>
        </is>
      </c>
      <c r="B1" s="1" t="inlineStr">
        <is>
          <t>kpi_name</t>
        </is>
      </c>
      <c r="C1" s="1" t="inlineStr">
        <is>
          <t>kpi_description</t>
        </is>
      </c>
      <c r="D1" s="1" t="inlineStr">
        <is>
          <t>area</t>
        </is>
      </c>
      <c r="E1" s="1" t="inlineStr">
        <is>
          <t>planning_group</t>
        </is>
      </c>
      <c r="F1" s="1" t="inlineStr">
        <is>
          <t>unit</t>
        </is>
      </c>
      <c r="G1" s="1" t="inlineStr">
        <is>
          <t>jan_target</t>
        </is>
      </c>
      <c r="H1" s="1" t="inlineStr">
        <is>
          <t>feb_target</t>
        </is>
      </c>
      <c r="I1" s="1" t="inlineStr">
        <is>
          <t>mar_target</t>
        </is>
      </c>
      <c r="J1" s="1" t="inlineStr">
        <is>
          <t>apr_target</t>
        </is>
      </c>
      <c r="K1" s="1" t="inlineStr">
        <is>
          <t>may_target</t>
        </is>
      </c>
      <c r="L1" s="1" t="inlineStr">
        <is>
          <t>jun_target</t>
        </is>
      </c>
      <c r="M1" s="1" t="inlineStr">
        <is>
          <t>jul_target</t>
        </is>
      </c>
      <c r="N1" s="1" t="inlineStr">
        <is>
          <t>aug_target</t>
        </is>
      </c>
      <c r="O1" s="1" t="inlineStr">
        <is>
          <t>sep_target</t>
        </is>
      </c>
      <c r="P1" s="1" t="inlineStr">
        <is>
          <t>oct_target</t>
        </is>
      </c>
      <c r="Q1" s="1" t="inlineStr">
        <is>
          <t>nov_target</t>
        </is>
      </c>
      <c r="R1" s="1" t="inlineStr">
        <is>
          <t>dec_target</t>
        </is>
      </c>
      <c r="S1" s="1" t="inlineStr">
        <is>
          <t>annual_target</t>
        </is>
      </c>
      <c r="T1" s="1" t="inlineStr">
        <is>
          <t>calculation_method</t>
        </is>
      </c>
      <c r="U1" s="1" t="inlineStr">
        <is>
          <t>data_source_file</t>
        </is>
      </c>
    </row>
    <row r="2">
      <c r="A2" s="2" t="inlineStr">
        <is>
          <t>PRODUCTION</t>
        </is>
      </c>
      <c r="B2" s="2" t="inlineStr">
        <is>
          <t>gold_produced_oz</t>
        </is>
      </c>
      <c r="C2" s="2" t="inlineStr">
        <is>
          <t>Oro producido</t>
        </is>
      </c>
      <c r="D2" s="2" t="inlineStr">
        <is>
          <t>Global</t>
        </is>
      </c>
      <c r="E2" s="2" t="n"/>
      <c r="F2" s="2" t="inlineStr">
        <is>
          <t>oz</t>
        </is>
      </c>
      <c r="G2" s="3" t="n">
        <v>20765</v>
      </c>
      <c r="H2" s="3" t="n">
        <v>20911</v>
      </c>
      <c r="I2" s="3" t="n">
        <v>21973</v>
      </c>
      <c r="J2" s="3" t="n">
        <v>21319</v>
      </c>
      <c r="K2" s="3" t="n">
        <v>21431</v>
      </c>
      <c r="L2" s="3" t="n">
        <v>19281</v>
      </c>
      <c r="M2" s="3" t="n">
        <v>21456</v>
      </c>
      <c r="N2" s="3" t="n">
        <v>20122</v>
      </c>
      <c r="O2" s="3" t="n">
        <v>18793</v>
      </c>
      <c r="P2" s="3" t="n">
        <v>21873</v>
      </c>
      <c r="Q2" s="3" t="n">
        <v>20564</v>
      </c>
      <c r="R2" s="3" t="n">
        <v>21511</v>
      </c>
      <c r="S2" s="4">
        <f>SUM(G2:R2)</f>
        <v/>
      </c>
      <c r="T2" s="2" t="inlineStr">
        <is>
          <t>SUM</t>
        </is>
      </c>
      <c r="U2" s="2" t="inlineStr">
        <is>
          <t>Production_Plan</t>
        </is>
      </c>
    </row>
    <row r="3">
      <c r="A3" s="2" t="inlineStr">
        <is>
          <t>PRODUCTION</t>
        </is>
      </c>
      <c r="B3" s="2" t="inlineStr">
        <is>
          <t>ore_processed_tonnes</t>
        </is>
      </c>
      <c r="C3" s="2" t="inlineStr">
        <is>
          <t>Mineral procesado</t>
        </is>
      </c>
      <c r="D3" s="2" t="inlineStr">
        <is>
          <t>Global</t>
        </is>
      </c>
      <c r="E3" s="2" t="n"/>
      <c r="F3" s="2" t="inlineStr">
        <is>
          <t>tonnes</t>
        </is>
      </c>
      <c r="G3" s="3" t="n">
        <v>702123</v>
      </c>
      <c r="H3" s="3" t="n">
        <v>668421</v>
      </c>
      <c r="I3" s="3" t="n">
        <v>721454</v>
      </c>
      <c r="J3" s="3" t="n">
        <v>681625</v>
      </c>
      <c r="K3" s="3" t="n">
        <v>693180</v>
      </c>
      <c r="L3" s="3" t="n">
        <v>628880</v>
      </c>
      <c r="M3" s="3" t="n">
        <v>667244</v>
      </c>
      <c r="N3" s="3" t="n">
        <v>705379</v>
      </c>
      <c r="O3" s="3" t="n">
        <v>667801</v>
      </c>
      <c r="P3" s="3" t="n">
        <v>714111</v>
      </c>
      <c r="Q3" s="3" t="n">
        <v>678733</v>
      </c>
      <c r="R3" s="3" t="n">
        <v>671050</v>
      </c>
      <c r="S3" s="4">
        <f>SUM(G3:R3)</f>
        <v/>
      </c>
      <c r="T3" s="2" t="inlineStr">
        <is>
          <t>SUM</t>
        </is>
      </c>
      <c r="U3" s="2" t="inlineStr">
        <is>
          <t>Production_Plan</t>
        </is>
      </c>
    </row>
    <row r="4">
      <c r="A4" s="2" t="inlineStr">
        <is>
          <t>PRODUCTION</t>
        </is>
      </c>
      <c r="B4" s="2" t="inlineStr">
        <is>
          <t>head_grade_g_t</t>
        </is>
      </c>
      <c r="C4" s="2" t="inlineStr">
        <is>
          <t>Ley de cabeza Au</t>
        </is>
      </c>
      <c r="D4" s="2" t="inlineStr">
        <is>
          <t>Global</t>
        </is>
      </c>
      <c r="E4" s="2" t="n"/>
      <c r="F4" s="2" t="inlineStr">
        <is>
          <t>g/t</t>
        </is>
      </c>
      <c r="G4" s="6" t="n">
        <v>1.3807</v>
      </c>
      <c r="H4" s="6" t="n">
        <v>1.3412</v>
      </c>
      <c r="I4" s="6" t="n">
        <v>1.3695</v>
      </c>
      <c r="J4" s="6" t="n">
        <v>1.3235</v>
      </c>
      <c r="K4" s="6" t="n">
        <v>1.3793</v>
      </c>
      <c r="L4" s="6" t="n">
        <v>1.3443</v>
      </c>
      <c r="M4" s="6" t="n">
        <v>1.3264</v>
      </c>
      <c r="N4" s="6" t="n">
        <v>1.3559</v>
      </c>
      <c r="O4" s="6" t="n">
        <v>1.3328</v>
      </c>
      <c r="P4" s="6" t="n">
        <v>1.3328</v>
      </c>
      <c r="Q4" s="6" t="n">
        <v>1.3188</v>
      </c>
      <c r="R4" s="6" t="n">
        <v>1.3268</v>
      </c>
      <c r="S4" s="4">
        <f>AVERAGE(G4:R4)</f>
        <v/>
      </c>
      <c r="T4" s="2" t="inlineStr">
        <is>
          <t>WEIGHTED_AVG</t>
        </is>
      </c>
      <c r="U4" s="2" t="inlineStr">
        <is>
          <t>Production_Plan</t>
        </is>
      </c>
    </row>
    <row r="5">
      <c r="A5" s="2" t="inlineStr">
        <is>
          <t>PRODUCTION</t>
        </is>
      </c>
      <c r="B5" s="2" t="inlineStr">
        <is>
          <t>recovery_pct</t>
        </is>
      </c>
      <c r="C5" s="2" t="inlineStr">
        <is>
          <t>Recuperacion metalurgica</t>
        </is>
      </c>
      <c r="D5" s="2" t="inlineStr">
        <is>
          <t>Global</t>
        </is>
      </c>
      <c r="E5" s="2" t="n"/>
      <c r="F5" s="2" t="inlineStr">
        <is>
          <t>%</t>
        </is>
      </c>
      <c r="G5" s="5" t="n">
        <v>0.8957000000000001</v>
      </c>
      <c r="H5" s="5" t="n">
        <v>0.8812</v>
      </c>
      <c r="I5" s="5" t="n">
        <v>0.8723</v>
      </c>
      <c r="J5" s="5" t="n">
        <v>0.9026999999999999</v>
      </c>
      <c r="K5" s="5" t="n">
        <v>0.8957000000000001</v>
      </c>
      <c r="L5" s="5" t="n">
        <v>0.87</v>
      </c>
      <c r="M5" s="5" t="n">
        <v>0.8594000000000001</v>
      </c>
      <c r="N5" s="5" t="n">
        <v>0.8633</v>
      </c>
      <c r="O5" s="5" t="n">
        <v>0.8892</v>
      </c>
      <c r="P5" s="5" t="n">
        <v>0.8833</v>
      </c>
      <c r="Q5" s="5" t="n">
        <v>0.9054</v>
      </c>
      <c r="R5" s="5" t="n">
        <v>0.8542999999999999</v>
      </c>
      <c r="S5" s="4">
        <f>AVERAGE(G5:R5)</f>
        <v/>
      </c>
      <c r="T5" s="2" t="inlineStr">
        <is>
          <t>WEIGHTED_AVG</t>
        </is>
      </c>
      <c r="U5" s="2" t="inlineStr">
        <is>
          <t>Production_Plan</t>
        </is>
      </c>
    </row>
    <row r="6">
      <c r="A6" s="2" t="inlineStr">
        <is>
          <t>PRODUCTION</t>
        </is>
      </c>
      <c r="B6" s="2" t="inlineStr">
        <is>
          <t>strip_ratio</t>
        </is>
      </c>
      <c r="C6" s="2" t="inlineStr">
        <is>
          <t>Relacion esteril/mineral</t>
        </is>
      </c>
      <c r="D6" s="2" t="inlineStr">
        <is>
          <t>Mina</t>
        </is>
      </c>
      <c r="E6" s="2" t="n"/>
      <c r="F6" s="2" t="inlineStr">
        <is>
          <t>ratio</t>
        </is>
      </c>
      <c r="G6" s="6" t="n">
        <v>2.0452</v>
      </c>
      <c r="H6" s="6" t="n">
        <v>1.9417</v>
      </c>
      <c r="I6" s="6" t="n">
        <v>1.991</v>
      </c>
      <c r="J6" s="6" t="n">
        <v>2.05</v>
      </c>
      <c r="K6" s="6" t="n">
        <v>2.019</v>
      </c>
      <c r="L6" s="6" t="n">
        <v>2.01</v>
      </c>
      <c r="M6" s="6" t="n">
        <v>1.9776</v>
      </c>
      <c r="N6" s="6" t="n">
        <v>2.0559</v>
      </c>
      <c r="O6" s="6" t="n">
        <v>1.9602</v>
      </c>
      <c r="P6" s="6" t="n">
        <v>1.9724</v>
      </c>
      <c r="Q6" s="6" t="n">
        <v>1.9944</v>
      </c>
      <c r="R6" s="6" t="n">
        <v>1.9552</v>
      </c>
      <c r="S6" s="4">
        <f>AVERAGE(G6:R6)</f>
        <v/>
      </c>
      <c r="T6" s="2" t="inlineStr">
        <is>
          <t>WEIGHTED_AVG</t>
        </is>
      </c>
      <c r="U6" s="2" t="inlineStr">
        <is>
          <t>Production_Plan</t>
        </is>
      </c>
    </row>
    <row r="7">
      <c r="A7" s="2" t="inlineStr">
        <is>
          <t>PRODUCTION</t>
        </is>
      </c>
      <c r="B7" s="2" t="inlineStr">
        <is>
          <t>plant_throughput_tpd</t>
        </is>
      </c>
      <c r="C7" s="2" t="inlineStr">
        <is>
          <t>Tratamiento diario planta</t>
        </is>
      </c>
      <c r="D7" s="2" t="inlineStr">
        <is>
          <t>Planta</t>
        </is>
      </c>
      <c r="E7" s="2" t="n"/>
      <c r="F7" s="2" t="inlineStr">
        <is>
          <t>tpd</t>
        </is>
      </c>
      <c r="G7" s="6" t="n">
        <v>22363</v>
      </c>
      <c r="H7" s="6" t="n">
        <v>21845</v>
      </c>
      <c r="I7" s="6" t="n">
        <v>23037</v>
      </c>
      <c r="J7" s="6" t="n">
        <v>22226</v>
      </c>
      <c r="K7" s="6" t="n">
        <v>22646</v>
      </c>
      <c r="L7" s="6" t="n">
        <v>22965</v>
      </c>
      <c r="M7" s="6" t="n">
        <v>22895</v>
      </c>
      <c r="N7" s="6" t="n">
        <v>22969</v>
      </c>
      <c r="O7" s="6" t="n">
        <v>22763</v>
      </c>
      <c r="P7" s="6" t="n">
        <v>22053</v>
      </c>
      <c r="Q7" s="6" t="n">
        <v>22286</v>
      </c>
      <c r="R7" s="6" t="n">
        <v>22482</v>
      </c>
      <c r="S7" s="4">
        <f>AVERAGE(G7:R7)</f>
        <v/>
      </c>
      <c r="T7" s="2" t="inlineStr">
        <is>
          <t>WEIGHTED_AVG</t>
        </is>
      </c>
      <c r="U7" s="2" t="inlineStr">
        <is>
          <t>Production_Plan</t>
        </is>
      </c>
    </row>
    <row r="8">
      <c r="A8" s="2" t="inlineStr">
        <is>
          <t>MAINTENANCE</t>
        </is>
      </c>
      <c r="B8" s="2" t="inlineStr">
        <is>
          <t>maint_budget_total_usd</t>
        </is>
      </c>
      <c r="C8" s="2" t="inlineStr">
        <is>
          <t>Presupuesto mantencion total</t>
        </is>
      </c>
      <c r="D8" s="2" t="inlineStr">
        <is>
          <t>Global</t>
        </is>
      </c>
      <c r="E8" s="2" t="n"/>
      <c r="F8" s="2" t="inlineStr">
        <is>
          <t>USD</t>
        </is>
      </c>
      <c r="G8" s="7" t="n">
        <v>6460825</v>
      </c>
      <c r="H8" s="7" t="n">
        <v>6624831</v>
      </c>
      <c r="I8" s="7" t="n">
        <v>6841034</v>
      </c>
      <c r="J8" s="7" t="n">
        <v>6772212</v>
      </c>
      <c r="K8" s="7" t="n">
        <v>6278812</v>
      </c>
      <c r="L8" s="7" t="n">
        <v>6307904</v>
      </c>
      <c r="M8" s="7" t="n">
        <v>6510123</v>
      </c>
      <c r="N8" s="7" t="n">
        <v>6348768</v>
      </c>
      <c r="O8" s="7" t="n">
        <v>5874251</v>
      </c>
      <c r="P8" s="7" t="n">
        <v>7138777</v>
      </c>
      <c r="Q8" s="7" t="n">
        <v>6288618</v>
      </c>
      <c r="R8" s="7" t="n">
        <v>6227014</v>
      </c>
      <c r="S8" s="4">
        <f>SUM(G8:R8)</f>
        <v/>
      </c>
      <c r="T8" s="2" t="inlineStr">
        <is>
          <t>SUM</t>
        </is>
      </c>
      <c r="U8" s="2" t="inlineStr">
        <is>
          <t>20_financial_assignments</t>
        </is>
      </c>
    </row>
    <row r="9">
      <c r="A9" s="2" t="inlineStr">
        <is>
          <t>MAINTENANCE</t>
        </is>
      </c>
      <c r="B9" s="2" t="inlineStr">
        <is>
          <t>maint_cost_per_oz</t>
        </is>
      </c>
      <c r="C9" s="2" t="inlineStr">
        <is>
          <t>Costo mantencion por onza</t>
        </is>
      </c>
      <c r="D9" s="2" t="inlineStr">
        <is>
          <t>Global</t>
        </is>
      </c>
      <c r="E9" s="2" t="n"/>
      <c r="F9" s="2" t="inlineStr">
        <is>
          <t>USD/oz</t>
        </is>
      </c>
      <c r="G9" s="7" t="n">
        <v>302</v>
      </c>
      <c r="H9" s="7" t="n">
        <v>317</v>
      </c>
      <c r="I9" s="7" t="n">
        <v>303</v>
      </c>
      <c r="J9" s="7" t="n">
        <v>311</v>
      </c>
      <c r="K9" s="7" t="n">
        <v>313</v>
      </c>
      <c r="L9" s="7" t="n">
        <v>318</v>
      </c>
      <c r="M9" s="7" t="n">
        <v>311</v>
      </c>
      <c r="N9" s="7" t="n">
        <v>305</v>
      </c>
      <c r="O9" s="7" t="n">
        <v>306</v>
      </c>
      <c r="P9" s="7" t="n">
        <v>302</v>
      </c>
      <c r="Q9" s="7" t="n">
        <v>306</v>
      </c>
      <c r="R9" s="7" t="n">
        <v>317</v>
      </c>
      <c r="S9" s="4">
        <f>AVERAGE(G9:R9)</f>
        <v/>
      </c>
      <c r="T9" s="2" t="inlineStr">
        <is>
          <t>FORMULA</t>
        </is>
      </c>
      <c r="U9" s="2" t="inlineStr">
        <is>
          <t>29_cost_history</t>
        </is>
      </c>
    </row>
    <row r="10">
      <c r="A10" s="2" t="inlineStr">
        <is>
          <t>MAINTENANCE</t>
        </is>
      </c>
      <c r="B10" s="2" t="inlineStr">
        <is>
          <t>pm_compliance_pct</t>
        </is>
      </c>
      <c r="C10" s="2" t="inlineStr">
        <is>
          <t>Cumplimiento PM</t>
        </is>
      </c>
      <c r="D10" s="2" t="inlineStr">
        <is>
          <t>Global</t>
        </is>
      </c>
      <c r="E10" s="2" t="n"/>
      <c r="F10" s="2" t="inlineStr">
        <is>
          <t>%</t>
        </is>
      </c>
      <c r="G10" s="5" t="n">
        <v>0.9342</v>
      </c>
      <c r="H10" s="5" t="n">
        <v>0.8969</v>
      </c>
      <c r="I10" s="5" t="n">
        <v>0.9189000000000001</v>
      </c>
      <c r="J10" s="5" t="n">
        <v>0.9091</v>
      </c>
      <c r="K10" s="5" t="n">
        <v>0.9283</v>
      </c>
      <c r="L10" s="5" t="n">
        <v>0.9455</v>
      </c>
      <c r="M10" s="5" t="n">
        <v>0.9272</v>
      </c>
      <c r="N10" s="5" t="n">
        <v>0.9336</v>
      </c>
      <c r="O10" s="5" t="n">
        <v>0.9144</v>
      </c>
      <c r="P10" s="5" t="n">
        <v>0.8942</v>
      </c>
      <c r="Q10" s="5" t="n">
        <v>0.9155</v>
      </c>
      <c r="R10" s="5" t="n">
        <v>0.9206</v>
      </c>
      <c r="S10" s="4">
        <f>AVERAGE(G10:R10)</f>
        <v/>
      </c>
      <c r="T10" s="2" t="inlineStr">
        <is>
          <t>WEIGHTED_AVG</t>
        </is>
      </c>
      <c r="U10" s="2" t="inlineStr">
        <is>
          <t>38_kpi_snapshots</t>
        </is>
      </c>
    </row>
    <row r="11">
      <c r="A11" s="2" t="inlineStr">
        <is>
          <t>MAINTENANCE</t>
        </is>
      </c>
      <c r="B11" s="2" t="inlineStr">
        <is>
          <t>pm_vs_cm_ratio</t>
        </is>
      </c>
      <c r="C11" s="2" t="inlineStr">
        <is>
          <t>Ratio PM/CM (horas)</t>
        </is>
      </c>
      <c r="D11" s="2" t="inlineStr">
        <is>
          <t>Global</t>
        </is>
      </c>
      <c r="E11" s="2" t="n"/>
      <c r="F11" s="2" t="inlineStr">
        <is>
          <t>ratio</t>
        </is>
      </c>
      <c r="G11" s="6" t="n">
        <v>3.4985</v>
      </c>
      <c r="H11" s="6" t="n">
        <v>3.444</v>
      </c>
      <c r="I11" s="6" t="n">
        <v>3.4947</v>
      </c>
      <c r="J11" s="6" t="n">
        <v>3.5458</v>
      </c>
      <c r="K11" s="6" t="n">
        <v>3.4604</v>
      </c>
      <c r="L11" s="6" t="n">
        <v>3.5281</v>
      </c>
      <c r="M11" s="6" t="n">
        <v>3.4272</v>
      </c>
      <c r="N11" s="6" t="n">
        <v>3.4534</v>
      </c>
      <c r="O11" s="6" t="n">
        <v>3.5806</v>
      </c>
      <c r="P11" s="6" t="n">
        <v>3.5266</v>
      </c>
      <c r="Q11" s="6" t="n">
        <v>3.413</v>
      </c>
      <c r="R11" s="6" t="n">
        <v>3.4506</v>
      </c>
      <c r="S11" s="4">
        <f>AVERAGE(G11:R11)</f>
        <v/>
      </c>
      <c r="T11" s="2" t="inlineStr">
        <is>
          <t>WEIGHTED_AVG</t>
        </is>
      </c>
      <c r="U11" s="2" t="inlineStr">
        <is>
          <t>06_work_order_history</t>
        </is>
      </c>
    </row>
    <row r="12">
      <c r="A12" s="2" t="inlineStr">
        <is>
          <t>MAINTENANCE</t>
        </is>
      </c>
      <c r="B12" s="2" t="inlineStr">
        <is>
          <t>backlog_weeks</t>
        </is>
      </c>
      <c r="C12" s="2" t="inlineStr">
        <is>
          <t>Backlog mantención (semanas)</t>
        </is>
      </c>
      <c r="D12" s="2" t="inlineStr">
        <is>
          <t>Global</t>
        </is>
      </c>
      <c r="E12" s="2" t="n"/>
      <c r="F12" s="2" t="inlineStr">
        <is>
          <t>weeks</t>
        </is>
      </c>
      <c r="G12" s="6" t="n">
        <v>4.1186</v>
      </c>
      <c r="H12" s="6" t="n">
        <v>3.9448</v>
      </c>
      <c r="I12" s="6" t="n">
        <v>4.0193</v>
      </c>
      <c r="J12" s="6" t="n">
        <v>4.0121</v>
      </c>
      <c r="K12" s="6" t="n">
        <v>3.9766</v>
      </c>
      <c r="L12" s="6" t="n">
        <v>3.8881</v>
      </c>
      <c r="M12" s="6" t="n">
        <v>3.9482</v>
      </c>
      <c r="N12" s="6" t="n">
        <v>4.1088</v>
      </c>
      <c r="O12" s="6" t="n">
        <v>3.8846</v>
      </c>
      <c r="P12" s="6" t="n">
        <v>4.0518</v>
      </c>
      <c r="Q12" s="6" t="n">
        <v>4.0943</v>
      </c>
      <c r="R12" s="6" t="n">
        <v>4.063</v>
      </c>
      <c r="S12" s="4">
        <f>AVERAGE(G12:R12)</f>
        <v/>
      </c>
      <c r="T12" s="2" t="inlineStr">
        <is>
          <t>WEIGHTED_AVG</t>
        </is>
      </c>
      <c r="U12" s="2" t="inlineStr">
        <is>
          <t>23_active_backlog</t>
        </is>
      </c>
    </row>
    <row r="13">
      <c r="A13" s="2" t="inlineStr">
        <is>
          <t>MAINTENANCE</t>
        </is>
      </c>
      <c r="B13" s="2" t="inlineStr">
        <is>
          <t>schedule_compliance_pct</t>
        </is>
      </c>
      <c r="C13" s="2" t="inlineStr">
        <is>
          <t>Cumplimiento programacion</t>
        </is>
      </c>
      <c r="D13" s="2" t="inlineStr">
        <is>
          <t>Global</t>
        </is>
      </c>
      <c r="E13" s="2" t="n"/>
      <c r="F13" s="2" t="inlineStr">
        <is>
          <t>%</t>
        </is>
      </c>
      <c r="G13" s="5" t="n">
        <v>0.8707</v>
      </c>
      <c r="H13" s="5" t="n">
        <v>0.8811</v>
      </c>
      <c r="I13" s="5" t="n">
        <v>0.8994</v>
      </c>
      <c r="J13" s="5" t="n">
        <v>0.9051</v>
      </c>
      <c r="K13" s="5" t="n">
        <v>0.8587</v>
      </c>
      <c r="L13" s="5" t="n">
        <v>0.8602</v>
      </c>
      <c r="M13" s="5" t="n">
        <v>0.9041</v>
      </c>
      <c r="N13" s="5" t="n">
        <v>0.8997000000000001</v>
      </c>
      <c r="O13" s="5" t="n">
        <v>0.8647</v>
      </c>
      <c r="P13" s="5" t="n">
        <v>0.9048</v>
      </c>
      <c r="Q13" s="5" t="n">
        <v>0.8646</v>
      </c>
      <c r="R13" s="5" t="n">
        <v>0.8583</v>
      </c>
      <c r="S13" s="4">
        <f>AVERAGE(G13:R13)</f>
        <v/>
      </c>
      <c r="T13" s="2" t="inlineStr">
        <is>
          <t>WEIGHTED_AVG</t>
        </is>
      </c>
      <c r="U13" s="2" t="inlineStr">
        <is>
          <t>38_kpi_snapshots</t>
        </is>
      </c>
    </row>
    <row r="14">
      <c r="A14" s="2" t="inlineStr">
        <is>
          <t>MAINTENANCE</t>
        </is>
      </c>
      <c r="B14" s="2" t="inlineStr">
        <is>
          <t>wrench_time_pct</t>
        </is>
      </c>
      <c r="C14" s="2" t="inlineStr">
        <is>
          <t>Tiempo llave en mano</t>
        </is>
      </c>
      <c r="D14" s="2" t="inlineStr">
        <is>
          <t>Global</t>
        </is>
      </c>
      <c r="E14" s="2" t="n"/>
      <c r="F14" s="2" t="inlineStr">
        <is>
          <t>%</t>
        </is>
      </c>
      <c r="G14" s="5" t="n">
        <v>0.556</v>
      </c>
      <c r="H14" s="5" t="n">
        <v>0.5513</v>
      </c>
      <c r="I14" s="5" t="n">
        <v>0.5414</v>
      </c>
      <c r="J14" s="5" t="n">
        <v>0.5641</v>
      </c>
      <c r="K14" s="5" t="n">
        <v>0.5468</v>
      </c>
      <c r="L14" s="5" t="n">
        <v>0.5468</v>
      </c>
      <c r="M14" s="5" t="n">
        <v>0.5544</v>
      </c>
      <c r="N14" s="5" t="n">
        <v>0.5411</v>
      </c>
      <c r="O14" s="5" t="n">
        <v>0.5528999999999999</v>
      </c>
      <c r="P14" s="5" t="n">
        <v>0.5455</v>
      </c>
      <c r="Q14" s="5" t="n">
        <v>0.5564</v>
      </c>
      <c r="R14" s="5" t="n">
        <v>0.5417</v>
      </c>
      <c r="S14" s="4">
        <f>AVERAGE(G14:R14)</f>
        <v/>
      </c>
      <c r="T14" s="2" t="inlineStr">
        <is>
          <t>WEIGHTED_AVG</t>
        </is>
      </c>
      <c r="U14" s="2" t="inlineStr">
        <is>
          <t>38_kpi_snapshots</t>
        </is>
      </c>
    </row>
    <row r="15">
      <c r="A15" s="2" t="inlineStr">
        <is>
          <t>MAINTENANCE</t>
        </is>
      </c>
      <c r="B15" s="2" t="inlineStr">
        <is>
          <t>maint_cost_per_op_hour</t>
        </is>
      </c>
      <c r="C15" s="2" t="inlineStr">
        <is>
          <t>Costo mantencion por hora operativa</t>
        </is>
      </c>
      <c r="D15" s="2" t="inlineStr">
        <is>
          <t>Global</t>
        </is>
      </c>
      <c r="E15" s="2" t="n"/>
      <c r="F15" s="2" t="inlineStr">
        <is>
          <t>USD/hr</t>
        </is>
      </c>
      <c r="G15" s="7" t="n">
        <v>9666</v>
      </c>
      <c r="H15" s="7" t="n">
        <v>9704</v>
      </c>
      <c r="I15" s="7" t="n">
        <v>10110</v>
      </c>
      <c r="J15" s="7" t="n">
        <v>10058</v>
      </c>
      <c r="K15" s="7" t="n">
        <v>10046</v>
      </c>
      <c r="L15" s="7" t="n">
        <v>10018</v>
      </c>
      <c r="M15" s="7" t="n">
        <v>9933</v>
      </c>
      <c r="N15" s="7" t="n">
        <v>9615</v>
      </c>
      <c r="O15" s="7" t="n">
        <v>9748</v>
      </c>
      <c r="P15" s="7" t="n">
        <v>9889</v>
      </c>
      <c r="Q15" s="7" t="n">
        <v>9619</v>
      </c>
      <c r="R15" s="7" t="n">
        <v>9574</v>
      </c>
      <c r="S15" s="4">
        <f>AVERAGE(G15:R15)</f>
        <v/>
      </c>
      <c r="T15" s="2" t="inlineStr">
        <is>
          <t>FORMULA</t>
        </is>
      </c>
      <c r="U15" s="2" t="inlineStr">
        <is>
          <t>29_cost_history</t>
        </is>
      </c>
    </row>
    <row r="16">
      <c r="A16" s="2" t="inlineStr">
        <is>
          <t>MAINTENANCE</t>
        </is>
      </c>
      <c r="B16" s="2" t="inlineStr">
        <is>
          <t>pm_compliance_pct_m01</t>
        </is>
      </c>
      <c r="C16" s="2" t="inlineStr">
        <is>
          <t>Cumplimiento PM - Mina</t>
        </is>
      </c>
      <c r="D16" s="2" t="inlineStr">
        <is>
          <t>Mina</t>
        </is>
      </c>
      <c r="E16" s="2" t="inlineStr">
        <is>
          <t>M01</t>
        </is>
      </c>
      <c r="F16" s="2" t="inlineStr">
        <is>
          <t>%</t>
        </is>
      </c>
      <c r="G16" s="5" t="n">
        <v>0.878</v>
      </c>
      <c r="H16" s="5" t="n">
        <v>0.8788</v>
      </c>
      <c r="I16" s="5" t="n">
        <v>0.8789</v>
      </c>
      <c r="J16" s="5" t="n">
        <v>0.8833</v>
      </c>
      <c r="K16" s="5" t="n">
        <v>0.9</v>
      </c>
      <c r="L16" s="5" t="n">
        <v>0.8884</v>
      </c>
      <c r="M16" s="5" t="n">
        <v>0.9194</v>
      </c>
      <c r="N16" s="5" t="n">
        <v>0.9203</v>
      </c>
      <c r="O16" s="5" t="n">
        <v>0.9227</v>
      </c>
      <c r="P16" s="5" t="n">
        <v>0.8984</v>
      </c>
      <c r="Q16" s="5" t="n">
        <v>0.9147999999999999</v>
      </c>
      <c r="R16" s="5" t="n">
        <v>0.9049</v>
      </c>
      <c r="S16" s="4">
        <f>AVERAGE(G16:R16)</f>
        <v/>
      </c>
      <c r="T16" s="2" t="inlineStr">
        <is>
          <t>WEIGHTED_AVG</t>
        </is>
      </c>
      <c r="U16" s="2" t="inlineStr">
        <is>
          <t>38_kpi_snapshots</t>
        </is>
      </c>
    </row>
    <row r="17">
      <c r="A17" s="2" t="inlineStr">
        <is>
          <t>MAINTENANCE</t>
        </is>
      </c>
      <c r="B17" s="2" t="inlineStr">
        <is>
          <t>pm_compliance_pct_p01</t>
        </is>
      </c>
      <c r="C17" s="2" t="inlineStr">
        <is>
          <t>Cumplimiento PM - Area Seca</t>
        </is>
      </c>
      <c r="D17" s="2" t="inlineStr">
        <is>
          <t>Planta</t>
        </is>
      </c>
      <c r="E17" s="2" t="inlineStr">
        <is>
          <t>P01</t>
        </is>
      </c>
      <c r="F17" s="2" t="inlineStr">
        <is>
          <t>%</t>
        </is>
      </c>
      <c r="G17" s="5" t="n">
        <v>0.9102</v>
      </c>
      <c r="H17" s="5" t="n">
        <v>0.9376</v>
      </c>
      <c r="I17" s="5" t="n">
        <v>0.9488</v>
      </c>
      <c r="J17" s="5" t="n">
        <v>0.9215</v>
      </c>
      <c r="K17" s="5" t="n">
        <v>0.9438</v>
      </c>
      <c r="L17" s="5" t="n">
        <v>0.9453</v>
      </c>
      <c r="M17" s="5" t="n">
        <v>0.9379999999999999</v>
      </c>
      <c r="N17" s="5" t="n">
        <v>0.9514</v>
      </c>
      <c r="O17" s="5" t="n">
        <v>0.9102</v>
      </c>
      <c r="P17" s="5" t="n">
        <v>0.9492</v>
      </c>
      <c r="Q17" s="5" t="n">
        <v>0.9362</v>
      </c>
      <c r="R17" s="5" t="n">
        <v>0.9498</v>
      </c>
      <c r="S17" s="4">
        <f>AVERAGE(G17:R17)</f>
        <v/>
      </c>
      <c r="T17" s="2" t="inlineStr">
        <is>
          <t>WEIGHTED_AVG</t>
        </is>
      </c>
      <c r="U17" s="2" t="inlineStr">
        <is>
          <t>38_kpi_snapshots</t>
        </is>
      </c>
    </row>
    <row r="18">
      <c r="A18" s="2" t="inlineStr">
        <is>
          <t>MAINTENANCE</t>
        </is>
      </c>
      <c r="B18" s="2" t="inlineStr">
        <is>
          <t>pm_compliance_pct_p02</t>
        </is>
      </c>
      <c r="C18" s="2" t="inlineStr">
        <is>
          <t>Cumplimiento PM - Area Humeda</t>
        </is>
      </c>
      <c r="D18" s="2" t="inlineStr">
        <is>
          <t>Planta</t>
        </is>
      </c>
      <c r="E18" s="2" t="inlineStr">
        <is>
          <t>P02</t>
        </is>
      </c>
      <c r="F18" s="2" t="inlineStr">
        <is>
          <t>%</t>
        </is>
      </c>
      <c r="G18" s="5" t="n">
        <v>0.9118000000000001</v>
      </c>
      <c r="H18" s="5" t="n">
        <v>0.9006</v>
      </c>
      <c r="I18" s="5" t="n">
        <v>0.9317</v>
      </c>
      <c r="J18" s="5" t="n">
        <v>0.9306</v>
      </c>
      <c r="K18" s="5" t="n">
        <v>0.8973</v>
      </c>
      <c r="L18" s="5" t="n">
        <v>0.9233</v>
      </c>
      <c r="M18" s="5" t="n">
        <v>0.8877</v>
      </c>
      <c r="N18" s="5" t="n">
        <v>0.8874</v>
      </c>
      <c r="O18" s="5" t="n">
        <v>0.9106</v>
      </c>
      <c r="P18" s="5" t="n">
        <v>0.8847</v>
      </c>
      <c r="Q18" s="5" t="n">
        <v>0.9064</v>
      </c>
      <c r="R18" s="5" t="n">
        <v>0.9258999999999999</v>
      </c>
      <c r="S18" s="4">
        <f>AVERAGE(G18:R18)</f>
        <v/>
      </c>
      <c r="T18" s="2" t="inlineStr">
        <is>
          <t>WEIGHTED_AVG</t>
        </is>
      </c>
      <c r="U18" s="2" t="inlineStr">
        <is>
          <t>38_kpi_snapshots</t>
        </is>
      </c>
    </row>
    <row r="19">
      <c r="A19" s="2" t="inlineStr">
        <is>
          <t>MAINTENANCE</t>
        </is>
      </c>
      <c r="B19" s="2" t="inlineStr">
        <is>
          <t>pm_compliance_pct_p03</t>
        </is>
      </c>
      <c r="C19" s="2" t="inlineStr">
        <is>
          <t>Cumplimiento PM - Servicios</t>
        </is>
      </c>
      <c r="D19" s="2" t="inlineStr">
        <is>
          <t>Servicios</t>
        </is>
      </c>
      <c r="E19" s="2" t="inlineStr">
        <is>
          <t>P03</t>
        </is>
      </c>
      <c r="F19" s="2" t="inlineStr">
        <is>
          <t>%</t>
        </is>
      </c>
      <c r="G19" s="5" t="n">
        <v>0.962</v>
      </c>
      <c r="H19" s="5" t="n">
        <v>0.9262</v>
      </c>
      <c r="I19" s="5" t="n">
        <v>0.9161</v>
      </c>
      <c r="J19" s="5" t="n">
        <v>0.9474</v>
      </c>
      <c r="K19" s="5" t="n">
        <v>0.9267</v>
      </c>
      <c r="L19" s="5" t="n">
        <v>0.9131</v>
      </c>
      <c r="M19" s="5" t="n">
        <v>0.9192</v>
      </c>
      <c r="N19" s="5" t="n">
        <v>0.9647</v>
      </c>
      <c r="O19" s="5" t="n">
        <v>0.9612000000000001</v>
      </c>
      <c r="P19" s="5" t="n">
        <v>0.9586</v>
      </c>
      <c r="Q19" s="5" t="n">
        <v>0.9308999999999999</v>
      </c>
      <c r="R19" s="5" t="n">
        <v>0.9520999999999999</v>
      </c>
      <c r="S19" s="4">
        <f>AVERAGE(G19:R19)</f>
        <v/>
      </c>
      <c r="T19" s="2" t="inlineStr">
        <is>
          <t>WEIGHTED_AVG</t>
        </is>
      </c>
      <c r="U19" s="2" t="inlineStr">
        <is>
          <t>38_kpi_snapshots</t>
        </is>
      </c>
    </row>
    <row r="20">
      <c r="A20" s="2" t="inlineStr">
        <is>
          <t>FINANCIAL</t>
        </is>
      </c>
      <c r="B20" s="2" t="inlineStr">
        <is>
          <t>aisc_per_oz</t>
        </is>
      </c>
      <c r="C20" s="2" t="inlineStr">
        <is>
          <t>AISC por onza</t>
        </is>
      </c>
      <c r="D20" s="2" t="inlineStr">
        <is>
          <t>Global</t>
        </is>
      </c>
      <c r="E20" s="2" t="n"/>
      <c r="F20" s="2" t="inlineStr">
        <is>
          <t>USD/oz</t>
        </is>
      </c>
      <c r="G20" s="7" t="n">
        <v>822</v>
      </c>
      <c r="H20" s="7" t="n">
        <v>803</v>
      </c>
      <c r="I20" s="7" t="n">
        <v>792</v>
      </c>
      <c r="J20" s="7" t="n">
        <v>814</v>
      </c>
      <c r="K20" s="7" t="n">
        <v>797</v>
      </c>
      <c r="L20" s="7" t="n">
        <v>804</v>
      </c>
      <c r="M20" s="7" t="n">
        <v>802</v>
      </c>
      <c r="N20" s="7" t="n">
        <v>786</v>
      </c>
      <c r="O20" s="7" t="n">
        <v>776</v>
      </c>
      <c r="P20" s="7" t="n">
        <v>824</v>
      </c>
      <c r="Q20" s="7" t="n">
        <v>796</v>
      </c>
      <c r="R20" s="7" t="n">
        <v>790</v>
      </c>
      <c r="S20" s="4">
        <f>AVERAGE(G20:R20)</f>
        <v/>
      </c>
      <c r="T20" s="2" t="inlineStr">
        <is>
          <t>FORMULA</t>
        </is>
      </c>
      <c r="U20" s="2" t="inlineStr">
        <is>
          <t>OPEX_by_Area+CAPEX_Plan</t>
        </is>
      </c>
    </row>
    <row r="21">
      <c r="A21" s="2" t="inlineStr">
        <is>
          <t>FINANCIAL</t>
        </is>
      </c>
      <c r="B21" s="2" t="inlineStr">
        <is>
          <t>cash_cost_per_oz</t>
        </is>
      </c>
      <c r="C21" s="2" t="inlineStr">
        <is>
          <t>Cash cost por onza</t>
        </is>
      </c>
      <c r="D21" s="2" t="inlineStr">
        <is>
          <t>Global</t>
        </is>
      </c>
      <c r="E21" s="2" t="n"/>
      <c r="F21" s="2" t="inlineStr">
        <is>
          <t>USD/oz</t>
        </is>
      </c>
      <c r="G21" s="7" t="n">
        <v>610</v>
      </c>
      <c r="H21" s="7" t="n">
        <v>603</v>
      </c>
      <c r="I21" s="7" t="n">
        <v>614</v>
      </c>
      <c r="J21" s="7" t="n">
        <v>610</v>
      </c>
      <c r="K21" s="7" t="n">
        <v>592</v>
      </c>
      <c r="L21" s="7" t="n">
        <v>603</v>
      </c>
      <c r="M21" s="7" t="n">
        <v>600</v>
      </c>
      <c r="N21" s="7" t="n">
        <v>616</v>
      </c>
      <c r="O21" s="7" t="n">
        <v>591</v>
      </c>
      <c r="P21" s="7" t="n">
        <v>592</v>
      </c>
      <c r="Q21" s="7" t="n">
        <v>615</v>
      </c>
      <c r="R21" s="7" t="n">
        <v>598</v>
      </c>
      <c r="S21" s="4">
        <f>AVERAGE(G21:R21)</f>
        <v/>
      </c>
      <c r="T21" s="2" t="inlineStr">
        <is>
          <t>FORMULA</t>
        </is>
      </c>
      <c r="U21" s="2" t="inlineStr">
        <is>
          <t>OPEX_by_Area</t>
        </is>
      </c>
    </row>
    <row r="22">
      <c r="A22" s="2" t="inlineStr">
        <is>
          <t>FINANCIAL</t>
        </is>
      </c>
      <c r="B22" s="2" t="inlineStr">
        <is>
          <t>revenue_usd</t>
        </is>
      </c>
      <c r="C22" s="2" t="inlineStr">
        <is>
          <t>Ingreso por ventas Au</t>
        </is>
      </c>
      <c r="D22" s="2" t="inlineStr">
        <is>
          <t>Global</t>
        </is>
      </c>
      <c r="E22" s="2" t="n"/>
      <c r="F22" s="2" t="inlineStr">
        <is>
          <t>USD</t>
        </is>
      </c>
      <c r="G22" s="7" t="n">
        <v>42327963</v>
      </c>
      <c r="H22" s="7" t="n">
        <v>42521158</v>
      </c>
      <c r="I22" s="7" t="n">
        <v>42083095</v>
      </c>
      <c r="J22" s="7" t="n">
        <v>43397614</v>
      </c>
      <c r="K22" s="7" t="n">
        <v>42123821</v>
      </c>
      <c r="L22" s="7" t="n">
        <v>39582907</v>
      </c>
      <c r="M22" s="7" t="n">
        <v>40968750</v>
      </c>
      <c r="N22" s="7" t="n">
        <v>42636873</v>
      </c>
      <c r="O22" s="7" t="n">
        <v>37817109</v>
      </c>
      <c r="P22" s="7" t="n">
        <v>46341336</v>
      </c>
      <c r="Q22" s="7" t="n">
        <v>39974798</v>
      </c>
      <c r="R22" s="7" t="n">
        <v>40224577</v>
      </c>
      <c r="S22" s="4">
        <f>SUM(G22:R22)</f>
        <v/>
      </c>
      <c r="T22" s="2" t="inlineStr">
        <is>
          <t>SUM</t>
        </is>
      </c>
      <c r="U22" s="2" t="inlineStr">
        <is>
          <t>Production_Plan</t>
        </is>
      </c>
    </row>
    <row r="23">
      <c r="A23" s="2" t="inlineStr">
        <is>
          <t>FINANCIAL</t>
        </is>
      </c>
      <c r="B23" s="2" t="inlineStr">
        <is>
          <t>ebitda_usd</t>
        </is>
      </c>
      <c r="C23" s="2" t="inlineStr">
        <is>
          <t>EBITDA</t>
        </is>
      </c>
      <c r="D23" s="2" t="inlineStr">
        <is>
          <t>Global</t>
        </is>
      </c>
      <c r="E23" s="2" t="n"/>
      <c r="F23" s="2" t="inlineStr">
        <is>
          <t>USD</t>
        </is>
      </c>
      <c r="G23" s="7" t="n">
        <v>24168956</v>
      </c>
      <c r="H23" s="7" t="n">
        <v>22448906</v>
      </c>
      <c r="I23" s="7" t="n">
        <v>24175433</v>
      </c>
      <c r="J23" s="7" t="n">
        <v>24771850</v>
      </c>
      <c r="K23" s="7" t="n">
        <v>22548030</v>
      </c>
      <c r="L23" s="7" t="n">
        <v>21823451</v>
      </c>
      <c r="M23" s="7" t="n">
        <v>23461675</v>
      </c>
      <c r="N23" s="7" t="n">
        <v>23439781</v>
      </c>
      <c r="O23" s="7" t="n">
        <v>21785887</v>
      </c>
      <c r="P23" s="7" t="n">
        <v>25849707</v>
      </c>
      <c r="Q23" s="7" t="n">
        <v>22236083</v>
      </c>
      <c r="R23" s="7" t="n">
        <v>23290240</v>
      </c>
      <c r="S23" s="4">
        <f>SUM(G23:R23)</f>
        <v/>
      </c>
      <c r="T23" s="2" t="inlineStr">
        <is>
          <t>SUM</t>
        </is>
      </c>
      <c r="U23" s="2" t="inlineStr">
        <is>
          <t>OPEX_by_Area</t>
        </is>
      </c>
    </row>
    <row r="24">
      <c r="A24" s="2" t="inlineStr">
        <is>
          <t>FINANCIAL</t>
        </is>
      </c>
      <c r="B24" s="2" t="inlineStr">
        <is>
          <t>ebitda_margin_pct</t>
        </is>
      </c>
      <c r="C24" s="2" t="inlineStr">
        <is>
          <t>Margen EBITDA</t>
        </is>
      </c>
      <c r="D24" s="2" t="inlineStr">
        <is>
          <t>Global</t>
        </is>
      </c>
      <c r="E24" s="2" t="n"/>
      <c r="F24" s="2" t="inlineStr">
        <is>
          <t>%</t>
        </is>
      </c>
      <c r="G24" s="5" t="n">
        <v>0.544</v>
      </c>
      <c r="H24" s="5" t="n">
        <v>0.556</v>
      </c>
      <c r="I24" s="5" t="n">
        <v>0.5498</v>
      </c>
      <c r="J24" s="5" t="n">
        <v>0.5631</v>
      </c>
      <c r="K24" s="5" t="n">
        <v>0.5493</v>
      </c>
      <c r="L24" s="5" t="n">
        <v>0.5733</v>
      </c>
      <c r="M24" s="5" t="n">
        <v>0.5717</v>
      </c>
      <c r="N24" s="5" t="n">
        <v>0.5689</v>
      </c>
      <c r="O24" s="5" t="n">
        <v>0.5704</v>
      </c>
      <c r="P24" s="5" t="n">
        <v>0.5754</v>
      </c>
      <c r="Q24" s="5" t="n">
        <v>0.5538999999999999</v>
      </c>
      <c r="R24" s="5" t="n">
        <v>0.5760999999999999</v>
      </c>
      <c r="S24" s="4">
        <f>AVERAGE(G24:R24)</f>
        <v/>
      </c>
      <c r="T24" s="2" t="inlineStr">
        <is>
          <t>WEIGHTED_AVG</t>
        </is>
      </c>
      <c r="U24" s="2" t="inlineStr">
        <is>
          <t>OPEX_by_Area</t>
        </is>
      </c>
    </row>
    <row r="25">
      <c r="A25" s="2" t="inlineStr">
        <is>
          <t>FINANCIAL</t>
        </is>
      </c>
      <c r="B25" s="2" t="inlineStr">
        <is>
          <t>opex_total_usd</t>
        </is>
      </c>
      <c r="C25" s="2" t="inlineStr">
        <is>
          <t>OPEX total</t>
        </is>
      </c>
      <c r="D25" s="2" t="inlineStr">
        <is>
          <t>Global</t>
        </is>
      </c>
      <c r="E25" s="2" t="n"/>
      <c r="F25" s="2" t="inlineStr">
        <is>
          <t>USD</t>
        </is>
      </c>
      <c r="G25" s="7" t="n">
        <v>17558221</v>
      </c>
      <c r="H25" s="7" t="n">
        <v>16077442</v>
      </c>
      <c r="I25" s="7" t="n">
        <v>17698747</v>
      </c>
      <c r="J25" s="7" t="n">
        <v>17590328</v>
      </c>
      <c r="K25" s="7" t="n">
        <v>15622041</v>
      </c>
      <c r="L25" s="7" t="n">
        <v>16421025</v>
      </c>
      <c r="M25" s="7" t="n">
        <v>16450183</v>
      </c>
      <c r="N25" s="7" t="n">
        <v>17055868</v>
      </c>
      <c r="O25" s="7" t="n">
        <v>14809871</v>
      </c>
      <c r="P25" s="7" t="n">
        <v>17266247</v>
      </c>
      <c r="Q25" s="7" t="n">
        <v>16791816</v>
      </c>
      <c r="R25" s="7" t="n">
        <v>16658211</v>
      </c>
      <c r="S25" s="4">
        <f>SUM(G25:R25)</f>
        <v/>
      </c>
      <c r="T25" s="2" t="inlineStr">
        <is>
          <t>SUM</t>
        </is>
      </c>
      <c r="U25" s="2" t="inlineStr">
        <is>
          <t>OPEX_by_Area</t>
        </is>
      </c>
    </row>
    <row r="26">
      <c r="A26" s="2" t="inlineStr">
        <is>
          <t>FINANCIAL</t>
        </is>
      </c>
      <c r="B26" s="2" t="inlineStr">
        <is>
          <t>capex_sustaining_usd</t>
        </is>
      </c>
      <c r="C26" s="2" t="inlineStr">
        <is>
          <t>CAPEX sustaining</t>
        </is>
      </c>
      <c r="D26" s="2" t="inlineStr">
        <is>
          <t>Global</t>
        </is>
      </c>
      <c r="E26" s="2" t="n"/>
      <c r="F26" s="2" t="inlineStr">
        <is>
          <t>USD</t>
        </is>
      </c>
      <c r="G26" s="7" t="n">
        <v>3465555</v>
      </c>
      <c r="H26" s="7" t="n">
        <v>3327733</v>
      </c>
      <c r="I26" s="7" t="n">
        <v>3497987</v>
      </c>
      <c r="J26" s="7" t="n">
        <v>3458228</v>
      </c>
      <c r="K26" s="7" t="n">
        <v>3397355</v>
      </c>
      <c r="L26" s="7" t="n">
        <v>3180767</v>
      </c>
      <c r="M26" s="7" t="n">
        <v>3273313</v>
      </c>
      <c r="N26" s="7" t="n">
        <v>3434011</v>
      </c>
      <c r="O26" s="7" t="n">
        <v>3024653</v>
      </c>
      <c r="P26" s="7" t="n">
        <v>3601390</v>
      </c>
      <c r="Q26" s="7" t="n">
        <v>3304486</v>
      </c>
      <c r="R26" s="7" t="n">
        <v>3484522</v>
      </c>
      <c r="S26" s="4">
        <f>SUM(G26:R26)</f>
        <v/>
      </c>
      <c r="T26" s="2" t="inlineStr">
        <is>
          <t>SUM</t>
        </is>
      </c>
      <c r="U26" s="2" t="inlineStr">
        <is>
          <t>CAPEX_Plan</t>
        </is>
      </c>
    </row>
    <row r="27">
      <c r="A27" s="2" t="inlineStr">
        <is>
          <t>FINANCIAL</t>
        </is>
      </c>
      <c r="B27" s="2" t="inlineStr">
        <is>
          <t>opex_per_tonne</t>
        </is>
      </c>
      <c r="C27" s="2" t="inlineStr">
        <is>
          <t>OPEX por tonelada procesada</t>
        </is>
      </c>
      <c r="D27" s="2" t="inlineStr">
        <is>
          <t>Global</t>
        </is>
      </c>
      <c r="E27" s="2" t="n"/>
      <c r="F27" s="2" t="inlineStr">
        <is>
          <t>USD/t</t>
        </is>
      </c>
      <c r="G27" s="7" t="n">
        <v>25</v>
      </c>
      <c r="H27" s="7" t="n">
        <v>25</v>
      </c>
      <c r="I27" s="7" t="n">
        <v>25</v>
      </c>
      <c r="J27" s="7" t="n">
        <v>24</v>
      </c>
      <c r="K27" s="7" t="n">
        <v>24</v>
      </c>
      <c r="L27" s="7" t="n">
        <v>24</v>
      </c>
      <c r="M27" s="7" t="n">
        <v>24</v>
      </c>
      <c r="N27" s="7" t="n">
        <v>25</v>
      </c>
      <c r="O27" s="7" t="n">
        <v>25</v>
      </c>
      <c r="P27" s="7" t="n">
        <v>24</v>
      </c>
      <c r="Q27" s="7" t="n">
        <v>24</v>
      </c>
      <c r="R27" s="7" t="n">
        <v>24</v>
      </c>
      <c r="S27" s="4">
        <f>AVERAGE(G27:R27)</f>
        <v/>
      </c>
      <c r="T27" s="2" t="inlineStr">
        <is>
          <t>FORMULA</t>
        </is>
      </c>
      <c r="U27" s="2" t="inlineStr">
        <is>
          <t>OPEX_by_Area</t>
        </is>
      </c>
    </row>
    <row r="28">
      <c r="A28" s="2" t="inlineStr">
        <is>
          <t>FINANCIAL</t>
        </is>
      </c>
      <c r="B28" s="2" t="inlineStr">
        <is>
          <t>maint_cost_pct_revenue</t>
        </is>
      </c>
      <c r="C28" s="2" t="inlineStr">
        <is>
          <t>Costo mantencion / Ingresos</t>
        </is>
      </c>
      <c r="D28" s="2" t="inlineStr">
        <is>
          <t>Global</t>
        </is>
      </c>
      <c r="E28" s="2" t="n"/>
      <c r="F28" s="2" t="inlineStr">
        <is>
          <t>%</t>
        </is>
      </c>
      <c r="G28" s="5" t="n">
        <v>0.1508</v>
      </c>
      <c r="H28" s="5" t="n">
        <v>0.1577</v>
      </c>
      <c r="I28" s="5" t="n">
        <v>0.1599</v>
      </c>
      <c r="J28" s="5" t="n">
        <v>0.1531</v>
      </c>
      <c r="K28" s="5" t="n">
        <v>0.1532</v>
      </c>
      <c r="L28" s="5" t="n">
        <v>0.1594</v>
      </c>
      <c r="M28" s="5" t="n">
        <v>0.1563</v>
      </c>
      <c r="N28" s="5" t="n">
        <v>0.1523</v>
      </c>
      <c r="O28" s="5" t="n">
        <v>0.1511</v>
      </c>
      <c r="P28" s="5" t="n">
        <v>0.1559</v>
      </c>
      <c r="Q28" s="5" t="n">
        <v>0.1549</v>
      </c>
      <c r="R28" s="5" t="n">
        <v>0.1547</v>
      </c>
      <c r="S28" s="4">
        <f>AVERAGE(G28:R28)</f>
        <v/>
      </c>
      <c r="T28" s="2" t="inlineStr">
        <is>
          <t>FORMULA</t>
        </is>
      </c>
      <c r="U28" s="2" t="inlineStr">
        <is>
          <t>29_cost_history</t>
        </is>
      </c>
    </row>
    <row r="29">
      <c r="A29" s="2" t="inlineStr">
        <is>
          <t>RELIABILITY</t>
        </is>
      </c>
      <c r="B29" s="2" t="inlineStr">
        <is>
          <t>plant_availability_pct</t>
        </is>
      </c>
      <c r="C29" s="2" t="inlineStr">
        <is>
          <t>Disponibilidad planta global</t>
        </is>
      </c>
      <c r="D29" s="2" t="inlineStr">
        <is>
          <t>Planta</t>
        </is>
      </c>
      <c r="E29" s="2" t="n"/>
      <c r="F29" s="2" t="inlineStr">
        <is>
          <t>%</t>
        </is>
      </c>
      <c r="G29" s="5" t="n">
        <v>0.9459</v>
      </c>
      <c r="H29" s="5" t="n">
        <v>0.9069</v>
      </c>
      <c r="I29" s="5" t="n">
        <v>0.9193</v>
      </c>
      <c r="J29" s="5" t="n">
        <v>0.9042</v>
      </c>
      <c r="K29" s="5" t="n">
        <v>0.9102</v>
      </c>
      <c r="L29" s="5" t="n">
        <v>0.9347</v>
      </c>
      <c r="M29" s="5" t="n">
        <v>0.9033</v>
      </c>
      <c r="N29" s="5" t="n">
        <v>0.9297</v>
      </c>
      <c r="O29" s="5" t="n">
        <v>0.8996</v>
      </c>
      <c r="P29" s="5" t="n">
        <v>0.9029</v>
      </c>
      <c r="Q29" s="5" t="n">
        <v>0.8937</v>
      </c>
      <c r="R29" s="5" t="n">
        <v>0.9272</v>
      </c>
      <c r="S29" s="4">
        <f>AVERAGE(G29:R29)</f>
        <v/>
      </c>
      <c r="T29" s="2" t="inlineStr">
        <is>
          <t>WEIGHTED_AVG</t>
        </is>
      </c>
      <c r="U29" s="2" t="inlineStr">
        <is>
          <t>30_reliability_data</t>
        </is>
      </c>
    </row>
    <row r="30">
      <c r="A30" s="2" t="inlineStr">
        <is>
          <t>RELIABILITY</t>
        </is>
      </c>
      <c r="B30" s="2" t="inlineStr">
        <is>
          <t>mine_availability_pct</t>
        </is>
      </c>
      <c r="C30" s="2" t="inlineStr">
        <is>
          <t>Disponibilidad equipos mina</t>
        </is>
      </c>
      <c r="D30" s="2" t="inlineStr">
        <is>
          <t>Mina</t>
        </is>
      </c>
      <c r="E30" s="2" t="n"/>
      <c r="F30" s="2" t="inlineStr">
        <is>
          <t>%</t>
        </is>
      </c>
      <c r="G30" s="5" t="n">
        <v>0.9059</v>
      </c>
      <c r="H30" s="5" t="n">
        <v>0.8883</v>
      </c>
      <c r="I30" s="5" t="n">
        <v>0.9024</v>
      </c>
      <c r="J30" s="5" t="n">
        <v>0.8814</v>
      </c>
      <c r="K30" s="5" t="n">
        <v>0.8895</v>
      </c>
      <c r="L30" s="5" t="n">
        <v>0.9025</v>
      </c>
      <c r="M30" s="5" t="n">
        <v>0.8582</v>
      </c>
      <c r="N30" s="5" t="n">
        <v>0.8851</v>
      </c>
      <c r="O30" s="5" t="n">
        <v>0.884</v>
      </c>
      <c r="P30" s="5" t="n">
        <v>0.8554</v>
      </c>
      <c r="Q30" s="5" t="n">
        <v>0.8618</v>
      </c>
      <c r="R30" s="5" t="n">
        <v>0.8828</v>
      </c>
      <c r="S30" s="4">
        <f>AVERAGE(G30:R30)</f>
        <v/>
      </c>
      <c r="T30" s="2" t="inlineStr">
        <is>
          <t>WEIGHTED_AVG</t>
        </is>
      </c>
      <c r="U30" s="2" t="inlineStr">
        <is>
          <t>30_reliability_data</t>
        </is>
      </c>
    </row>
    <row r="31">
      <c r="A31" s="2" t="inlineStr">
        <is>
          <t>RELIABILITY</t>
        </is>
      </c>
      <c r="B31" s="2" t="inlineStr">
        <is>
          <t>mtbf_plant_hrs</t>
        </is>
      </c>
      <c r="C31" s="2" t="inlineStr">
        <is>
          <t>MTBF planta (horas)</t>
        </is>
      </c>
      <c r="D31" s="2" t="inlineStr">
        <is>
          <t>Planta</t>
        </is>
      </c>
      <c r="E31" s="2" t="n"/>
      <c r="F31" s="2" t="inlineStr">
        <is>
          <t>hours</t>
        </is>
      </c>
      <c r="G31" s="6" t="n">
        <v>720</v>
      </c>
      <c r="H31" s="6" t="n">
        <v>713</v>
      </c>
      <c r="I31" s="6" t="n">
        <v>729</v>
      </c>
      <c r="J31" s="6" t="n">
        <v>714</v>
      </c>
      <c r="K31" s="6" t="n">
        <v>732</v>
      </c>
      <c r="L31" s="6" t="n">
        <v>733</v>
      </c>
      <c r="M31" s="6" t="n">
        <v>726</v>
      </c>
      <c r="N31" s="6" t="n">
        <v>710</v>
      </c>
      <c r="O31" s="6" t="n">
        <v>733</v>
      </c>
      <c r="P31" s="6" t="n">
        <v>709</v>
      </c>
      <c r="Q31" s="6" t="n">
        <v>711</v>
      </c>
      <c r="R31" s="6" t="n">
        <v>725</v>
      </c>
      <c r="S31" s="4">
        <f>AVERAGE(G31:R31)</f>
        <v/>
      </c>
      <c r="T31" s="2" t="inlineStr">
        <is>
          <t>WEIGHTED_AVG</t>
        </is>
      </c>
      <c r="U31" s="2" t="inlineStr">
        <is>
          <t>30_reliability_data</t>
        </is>
      </c>
    </row>
    <row r="32">
      <c r="A32" s="2" t="inlineStr">
        <is>
          <t>RELIABILITY</t>
        </is>
      </c>
      <c r="B32" s="2" t="inlineStr">
        <is>
          <t>mttr_plant_hrs</t>
        </is>
      </c>
      <c r="C32" s="2" t="inlineStr">
        <is>
          <t>MTTR planta (horas)</t>
        </is>
      </c>
      <c r="D32" s="2" t="inlineStr">
        <is>
          <t>Planta</t>
        </is>
      </c>
      <c r="E32" s="2" t="n"/>
      <c r="F32" s="2" t="inlineStr">
        <is>
          <t>hours</t>
        </is>
      </c>
      <c r="G32" s="6" t="n">
        <v>4.551</v>
      </c>
      <c r="H32" s="6" t="n">
        <v>4.4652</v>
      </c>
      <c r="I32" s="6" t="n">
        <v>4.5247</v>
      </c>
      <c r="J32" s="6" t="n">
        <v>4.432</v>
      </c>
      <c r="K32" s="6" t="n">
        <v>4.5796</v>
      </c>
      <c r="L32" s="6" t="n">
        <v>4.6329</v>
      </c>
      <c r="M32" s="6" t="n">
        <v>4.5536</v>
      </c>
      <c r="N32" s="6" t="n">
        <v>4.4512</v>
      </c>
      <c r="O32" s="6" t="n">
        <v>4.4592</v>
      </c>
      <c r="P32" s="6" t="n">
        <v>4.3732</v>
      </c>
      <c r="Q32" s="6" t="n">
        <v>4.5397</v>
      </c>
      <c r="R32" s="6" t="n">
        <v>4.527</v>
      </c>
      <c r="S32" s="4">
        <f>AVERAGE(G32:R32)</f>
        <v/>
      </c>
      <c r="T32" s="2" t="inlineStr">
        <is>
          <t>WEIGHTED_AVG</t>
        </is>
      </c>
      <c r="U32" s="2" t="inlineStr">
        <is>
          <t>30_reliability_data</t>
        </is>
      </c>
    </row>
    <row r="33">
      <c r="A33" s="2" t="inlineStr">
        <is>
          <t>RELIABILITY</t>
        </is>
      </c>
      <c r="B33" s="2" t="inlineStr">
        <is>
          <t>mtbf_mine_hrs</t>
        </is>
      </c>
      <c r="C33" s="2" t="inlineStr">
        <is>
          <t>MTBF equipos mina (horas)</t>
        </is>
      </c>
      <c r="D33" s="2" t="inlineStr">
        <is>
          <t>Mina</t>
        </is>
      </c>
      <c r="E33" s="2" t="n"/>
      <c r="F33" s="2" t="inlineStr">
        <is>
          <t>hours</t>
        </is>
      </c>
      <c r="G33" s="6" t="n">
        <v>493</v>
      </c>
      <c r="H33" s="6" t="n">
        <v>477</v>
      </c>
      <c r="I33" s="6" t="n">
        <v>492</v>
      </c>
      <c r="J33" s="6" t="n">
        <v>488</v>
      </c>
      <c r="K33" s="6" t="n">
        <v>474</v>
      </c>
      <c r="L33" s="6" t="n">
        <v>466</v>
      </c>
      <c r="M33" s="6" t="n">
        <v>487</v>
      </c>
      <c r="N33" s="6" t="n">
        <v>480</v>
      </c>
      <c r="O33" s="6" t="n">
        <v>493</v>
      </c>
      <c r="P33" s="6" t="n">
        <v>466</v>
      </c>
      <c r="Q33" s="6" t="n">
        <v>481</v>
      </c>
      <c r="R33" s="6" t="n">
        <v>488</v>
      </c>
      <c r="S33" s="4">
        <f>AVERAGE(G33:R33)</f>
        <v/>
      </c>
      <c r="T33" s="2" t="inlineStr">
        <is>
          <t>WEIGHTED_AVG</t>
        </is>
      </c>
      <c r="U33" s="2" t="inlineStr">
        <is>
          <t>30_reliability_data</t>
        </is>
      </c>
    </row>
    <row r="34">
      <c r="A34" s="2" t="inlineStr">
        <is>
          <t>RELIABILITY</t>
        </is>
      </c>
      <c r="B34" s="2" t="inlineStr">
        <is>
          <t>mttr_mine_hrs</t>
        </is>
      </c>
      <c r="C34" s="2" t="inlineStr">
        <is>
          <t>MTTR equipos mina (horas)</t>
        </is>
      </c>
      <c r="D34" s="2" t="inlineStr">
        <is>
          <t>Mina</t>
        </is>
      </c>
      <c r="E34" s="2" t="n"/>
      <c r="F34" s="2" t="inlineStr">
        <is>
          <t>hours</t>
        </is>
      </c>
      <c r="G34" s="6" t="n">
        <v>6.1043</v>
      </c>
      <c r="H34" s="6" t="n">
        <v>6.0619</v>
      </c>
      <c r="I34" s="6" t="n">
        <v>5.962</v>
      </c>
      <c r="J34" s="6" t="n">
        <v>5.8442</v>
      </c>
      <c r="K34" s="6" t="n">
        <v>5.9286</v>
      </c>
      <c r="L34" s="6" t="n">
        <v>6.0544</v>
      </c>
      <c r="M34" s="6" t="n">
        <v>6.0976</v>
      </c>
      <c r="N34" s="6" t="n">
        <v>6.1143</v>
      </c>
      <c r="O34" s="6" t="n">
        <v>6.0987</v>
      </c>
      <c r="P34" s="6" t="n">
        <v>5.9366</v>
      </c>
      <c r="Q34" s="6" t="n">
        <v>6.0699</v>
      </c>
      <c r="R34" s="6" t="n">
        <v>6.1689</v>
      </c>
      <c r="S34" s="4">
        <f>AVERAGE(G34:R34)</f>
        <v/>
      </c>
      <c r="T34" s="2" t="inlineStr">
        <is>
          <t>WEIGHTED_AVG</t>
        </is>
      </c>
      <c r="U34" s="2" t="inlineStr">
        <is>
          <t>30_reliability_data</t>
        </is>
      </c>
    </row>
    <row r="35">
      <c r="A35" s="2" t="inlineStr">
        <is>
          <t>RELIABILITY</t>
        </is>
      </c>
      <c r="B35" s="2" t="inlineStr">
        <is>
          <t>cost_of_unreliability_usd</t>
        </is>
      </c>
      <c r="C35" s="2" t="inlineStr">
        <is>
          <t>Costo de no confiabilidad</t>
        </is>
      </c>
      <c r="D35" s="2" t="inlineStr">
        <is>
          <t>Global</t>
        </is>
      </c>
      <c r="E35" s="2" t="n"/>
      <c r="F35" s="2" t="inlineStr">
        <is>
          <t>USD</t>
        </is>
      </c>
      <c r="G35" s="7" t="n">
        <v>1227922</v>
      </c>
      <c r="H35" s="7" t="n">
        <v>1257762</v>
      </c>
      <c r="I35" s="7" t="n">
        <v>1276125</v>
      </c>
      <c r="J35" s="7" t="n">
        <v>1240654</v>
      </c>
      <c r="K35" s="7" t="n">
        <v>1213079</v>
      </c>
      <c r="L35" s="7" t="n">
        <v>1153581</v>
      </c>
      <c r="M35" s="7" t="n">
        <v>1288165</v>
      </c>
      <c r="N35" s="7" t="n">
        <v>1233252</v>
      </c>
      <c r="O35" s="7" t="n">
        <v>1212788</v>
      </c>
      <c r="P35" s="7" t="n">
        <v>1408894</v>
      </c>
      <c r="Q35" s="7" t="n">
        <v>1264636</v>
      </c>
      <c r="R35" s="7" t="n">
        <v>1223141</v>
      </c>
      <c r="S35" s="4">
        <f>SUM(G35:R35)</f>
        <v/>
      </c>
      <c r="T35" s="2" t="inlineStr">
        <is>
          <t>SUM</t>
        </is>
      </c>
      <c r="U35" s="2" t="inlineStr">
        <is>
          <t>30_reliability_data</t>
        </is>
      </c>
    </row>
    <row r="36">
      <c r="A36" s="2" t="inlineStr">
        <is>
          <t>RELIABILITY</t>
        </is>
      </c>
      <c r="B36" s="2" t="inlineStr">
        <is>
          <t>oee_pct</t>
        </is>
      </c>
      <c r="C36" s="2" t="inlineStr">
        <is>
          <t>OEE planta</t>
        </is>
      </c>
      <c r="D36" s="2" t="inlineStr">
        <is>
          <t>Planta</t>
        </is>
      </c>
      <c r="E36" s="2" t="n"/>
      <c r="F36" s="2" t="inlineStr">
        <is>
          <t>%</t>
        </is>
      </c>
      <c r="G36" s="5" t="n">
        <v>0.7728</v>
      </c>
      <c r="H36" s="5" t="n">
        <v>0.7711</v>
      </c>
      <c r="I36" s="5" t="n">
        <v>0.7998</v>
      </c>
      <c r="J36" s="5" t="n">
        <v>0.7606000000000001</v>
      </c>
      <c r="K36" s="5" t="n">
        <v>0.7841</v>
      </c>
      <c r="L36" s="5" t="n">
        <v>0.7793</v>
      </c>
      <c r="M36" s="5" t="n">
        <v>0.8023</v>
      </c>
      <c r="N36" s="5" t="n">
        <v>0.8017</v>
      </c>
      <c r="O36" s="5" t="n">
        <v>0.7764</v>
      </c>
      <c r="P36" s="5" t="n">
        <v>0.7773</v>
      </c>
      <c r="Q36" s="5" t="n">
        <v>0.7746</v>
      </c>
      <c r="R36" s="5" t="n">
        <v>0.7935</v>
      </c>
      <c r="S36" s="4">
        <f>AVERAGE(G36:R36)</f>
        <v/>
      </c>
      <c r="T36" s="2" t="inlineStr">
        <is>
          <t>WEIGHTED_AVG</t>
        </is>
      </c>
      <c r="U36" s="2" t="inlineStr">
        <is>
          <t>30_reliability_data</t>
        </is>
      </c>
    </row>
    <row r="37">
      <c r="A37" s="2" t="inlineStr">
        <is>
          <t>SAFETY</t>
        </is>
      </c>
      <c r="B37" s="2" t="inlineStr">
        <is>
          <t>trifr</t>
        </is>
      </c>
      <c r="C37" s="2" t="inlineStr">
        <is>
          <t>TRIFR (lesiones registrables)</t>
        </is>
      </c>
      <c r="D37" s="2" t="inlineStr">
        <is>
          <t>Global</t>
        </is>
      </c>
      <c r="E37" s="2" t="n"/>
      <c r="F37" s="2" t="inlineStr">
        <is>
          <t>rate</t>
        </is>
      </c>
      <c r="G37" s="6" t="n">
        <v>2.44</v>
      </c>
      <c r="H37" s="6" t="n">
        <v>2.4424</v>
      </c>
      <c r="I37" s="6" t="n">
        <v>2.5307</v>
      </c>
      <c r="J37" s="6" t="n">
        <v>2.4275</v>
      </c>
      <c r="K37" s="6" t="n">
        <v>2.5257</v>
      </c>
      <c r="L37" s="6" t="n">
        <v>2.4443</v>
      </c>
      <c r="M37" s="6" t="n">
        <v>2.5429</v>
      </c>
      <c r="N37" s="6" t="n">
        <v>2.5359</v>
      </c>
      <c r="O37" s="6" t="n">
        <v>2.4523</v>
      </c>
      <c r="P37" s="6" t="n">
        <v>2.5385</v>
      </c>
      <c r="Q37" s="6" t="n">
        <v>2.5435</v>
      </c>
      <c r="R37" s="6" t="n">
        <v>2.5638</v>
      </c>
      <c r="S37" s="4">
        <f>AVERAGE(G37:R37)</f>
        <v/>
      </c>
      <c r="T37" s="2" t="inlineStr">
        <is>
          <t>WEIGHTED_AVG</t>
        </is>
      </c>
      <c r="U37" s="2" t="n"/>
    </row>
    <row r="38">
      <c r="A38" s="2" t="inlineStr">
        <is>
          <t>SAFETY</t>
        </is>
      </c>
      <c r="B38" s="2" t="inlineStr">
        <is>
          <t>ltifr</t>
        </is>
      </c>
      <c r="C38" s="2" t="inlineStr">
        <is>
          <t>LTIFR (lesiones con tiempo perdido)</t>
        </is>
      </c>
      <c r="D38" s="2" t="inlineStr">
        <is>
          <t>Global</t>
        </is>
      </c>
      <c r="E38" s="2" t="n"/>
      <c r="F38" s="2" t="inlineStr">
        <is>
          <t>rate</t>
        </is>
      </c>
      <c r="G38" s="6" t="n">
        <v>0.8108</v>
      </c>
      <c r="H38" s="6" t="n">
        <v>0.8176</v>
      </c>
      <c r="I38" s="6" t="n">
        <v>0.8066</v>
      </c>
      <c r="J38" s="6" t="n">
        <v>0.806</v>
      </c>
      <c r="K38" s="6" t="n">
        <v>0.8084</v>
      </c>
      <c r="L38" s="6" t="n">
        <v>0.7955</v>
      </c>
      <c r="M38" s="6" t="n">
        <v>0.787</v>
      </c>
      <c r="N38" s="6" t="n">
        <v>0.7958</v>
      </c>
      <c r="O38" s="6" t="n">
        <v>0.8045</v>
      </c>
      <c r="P38" s="6" t="n">
        <v>0.8091</v>
      </c>
      <c r="Q38" s="6" t="n">
        <v>0.7979000000000001</v>
      </c>
      <c r="R38" s="6" t="n">
        <v>0.7917999999999999</v>
      </c>
      <c r="S38" s="4">
        <f>AVERAGE(G38:R38)</f>
        <v/>
      </c>
      <c r="T38" s="2" t="inlineStr">
        <is>
          <t>WEIGHTED_AVG</t>
        </is>
      </c>
      <c r="U38" s="2" t="n"/>
    </row>
    <row r="39">
      <c r="A39" s="2" t="inlineStr">
        <is>
          <t>SAFETY</t>
        </is>
      </c>
      <c r="B39" s="2" t="inlineStr">
        <is>
          <t>near_miss_reports</t>
        </is>
      </c>
      <c r="C39" s="2" t="inlineStr">
        <is>
          <t>Reportes casi-accidentes</t>
        </is>
      </c>
      <c r="D39" s="2" t="inlineStr">
        <is>
          <t>Global</t>
        </is>
      </c>
      <c r="E39" s="2" t="n"/>
      <c r="F39" s="2" t="inlineStr">
        <is>
          <t>count</t>
        </is>
      </c>
      <c r="G39" s="3" t="n">
        <v>10</v>
      </c>
      <c r="H39" s="3" t="n">
        <v>9</v>
      </c>
      <c r="I39" s="3" t="n">
        <v>10</v>
      </c>
      <c r="J39" s="3" t="n">
        <v>10</v>
      </c>
      <c r="K39" s="3" t="n">
        <v>10</v>
      </c>
      <c r="L39" s="3" t="n">
        <v>9</v>
      </c>
      <c r="M39" s="3" t="n">
        <v>10</v>
      </c>
      <c r="N39" s="3" t="n">
        <v>10</v>
      </c>
      <c r="O39" s="3" t="n">
        <v>10</v>
      </c>
      <c r="P39" s="3" t="n">
        <v>11</v>
      </c>
      <c r="Q39" s="3" t="n">
        <v>10</v>
      </c>
      <c r="R39" s="3" t="n">
        <v>10</v>
      </c>
      <c r="S39" s="4">
        <f>SUM(G39:R39)</f>
        <v/>
      </c>
      <c r="T39" s="2" t="inlineStr">
        <is>
          <t>SUM</t>
        </is>
      </c>
      <c r="U39" s="2" t="n"/>
    </row>
    <row r="40">
      <c r="A40" s="2" t="inlineStr">
        <is>
          <t>SAFETY</t>
        </is>
      </c>
      <c r="B40" s="2" t="inlineStr">
        <is>
          <t>safety_observations</t>
        </is>
      </c>
      <c r="C40" s="2" t="inlineStr">
        <is>
          <t>Observaciones de seguridad</t>
        </is>
      </c>
      <c r="D40" s="2" t="inlineStr">
        <is>
          <t>Global</t>
        </is>
      </c>
      <c r="E40" s="2" t="n"/>
      <c r="F40" s="2" t="inlineStr">
        <is>
          <t>count</t>
        </is>
      </c>
      <c r="G40" s="3" t="n">
        <v>51</v>
      </c>
      <c r="H40" s="3" t="n">
        <v>50</v>
      </c>
      <c r="I40" s="3" t="n">
        <v>50</v>
      </c>
      <c r="J40" s="3" t="n">
        <v>53</v>
      </c>
      <c r="K40" s="3" t="n">
        <v>48</v>
      </c>
      <c r="L40" s="3" t="n">
        <v>49</v>
      </c>
      <c r="M40" s="3" t="n">
        <v>49</v>
      </c>
      <c r="N40" s="3" t="n">
        <v>50</v>
      </c>
      <c r="O40" s="3" t="n">
        <v>48</v>
      </c>
      <c r="P40" s="3" t="n">
        <v>53</v>
      </c>
      <c r="Q40" s="3" t="n">
        <v>48</v>
      </c>
      <c r="R40" s="3" t="n">
        <v>53</v>
      </c>
      <c r="S40" s="4">
        <f>SUM(G40:R40)</f>
        <v/>
      </c>
      <c r="T40" s="2" t="inlineStr">
        <is>
          <t>SUM</t>
        </is>
      </c>
      <c r="U4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3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</cols>
  <sheetData>
    <row r="1">
      <c r="A1" s="1" t="inlineStr">
        <is>
          <t>sap_func_loc</t>
        </is>
      </c>
      <c r="B1" s="1" t="inlineStr">
        <is>
          <t>sap_func_loc_short</t>
        </is>
      </c>
      <c r="C1" s="1" t="inlineStr">
        <is>
          <t>equipment_name</t>
        </is>
      </c>
      <c r="D1" s="1" t="inlineStr">
        <is>
          <t>equnr</t>
        </is>
      </c>
      <c r="E1" s="1" t="inlineStr">
        <is>
          <t>cost_center</t>
        </is>
      </c>
      <c r="F1" s="1" t="inlineStr">
        <is>
          <t>planning_group</t>
        </is>
      </c>
      <c r="G1" s="1" t="inlineStr">
        <is>
          <t>cost_element</t>
        </is>
      </c>
      <c r="H1" s="1" t="inlineStr">
        <is>
          <t>cost_element_desc</t>
        </is>
      </c>
      <c r="I1" s="1" t="inlineStr">
        <is>
          <t>jan_budget_usd</t>
        </is>
      </c>
      <c r="J1" s="1" t="inlineStr">
        <is>
          <t>feb_budget_usd</t>
        </is>
      </c>
      <c r="K1" s="1" t="inlineStr">
        <is>
          <t>mar_budget_usd</t>
        </is>
      </c>
      <c r="L1" s="1" t="inlineStr">
        <is>
          <t>apr_budget_usd</t>
        </is>
      </c>
      <c r="M1" s="1" t="inlineStr">
        <is>
          <t>may_budget_usd</t>
        </is>
      </c>
      <c r="N1" s="1" t="inlineStr">
        <is>
          <t>jun_budget_usd</t>
        </is>
      </c>
      <c r="O1" s="1" t="inlineStr">
        <is>
          <t>jul_budget_usd</t>
        </is>
      </c>
      <c r="P1" s="1" t="inlineStr">
        <is>
          <t>aug_budget_usd</t>
        </is>
      </c>
      <c r="Q1" s="1" t="inlineStr">
        <is>
          <t>sep_budget_usd</t>
        </is>
      </c>
      <c r="R1" s="1" t="inlineStr">
        <is>
          <t>oct_budget_usd</t>
        </is>
      </c>
      <c r="S1" s="1" t="inlineStr">
        <is>
          <t>nov_budget_usd</t>
        </is>
      </c>
      <c r="T1" s="1" t="inlineStr">
        <is>
          <t>dec_budget_usd</t>
        </is>
      </c>
      <c r="U1" s="1" t="inlineStr">
        <is>
          <t>annual_budget_usd</t>
        </is>
      </c>
    </row>
    <row r="2">
      <c r="A2" s="2" t="inlineStr">
        <is>
          <t>SN-1000-1200-1210-1210AR0001</t>
        </is>
      </c>
      <c r="B2" s="2" t="inlineStr">
        <is>
          <t>1210AR0001</t>
        </is>
      </c>
      <c r="C2" s="2" t="inlineStr">
        <is>
          <t>Acumulador de aire seco</t>
        </is>
      </c>
      <c r="D2" s="2" t="n">
        <v>1</v>
      </c>
      <c r="E2" s="2" t="inlineStr">
        <is>
          <t>CC-1000</t>
        </is>
      </c>
      <c r="F2" s="2" t="inlineStr">
        <is>
          <t>P01</t>
        </is>
      </c>
      <c r="G2" s="2" t="n">
        <v>610000</v>
      </c>
      <c r="H2" s="2" t="inlineStr">
        <is>
          <t>Mano obra interna</t>
        </is>
      </c>
      <c r="I2" s="9" t="n">
        <v>1984.29</v>
      </c>
      <c r="J2" s="9" t="n">
        <v>1885.8</v>
      </c>
      <c r="K2" s="9" t="n">
        <v>2036.99</v>
      </c>
      <c r="L2" s="9" t="n">
        <v>1959.44</v>
      </c>
      <c r="M2" s="9" t="n">
        <v>1870.91</v>
      </c>
      <c r="N2" s="9" t="n">
        <v>1671.64</v>
      </c>
      <c r="O2" s="9" t="n">
        <v>1831.27</v>
      </c>
      <c r="P2" s="9" t="n">
        <v>1798.43</v>
      </c>
      <c r="Q2" s="9" t="n">
        <v>1669.46</v>
      </c>
      <c r="R2" s="9" t="n">
        <v>2169.31</v>
      </c>
      <c r="S2" s="9" t="n">
        <v>1779.34</v>
      </c>
      <c r="T2" s="9" t="n">
        <v>2016.83</v>
      </c>
      <c r="U2" s="10">
        <f>SUM(I2:T2)</f>
        <v/>
      </c>
    </row>
    <row r="3">
      <c r="A3" s="2" t="inlineStr">
        <is>
          <t>SN-1000-1200-1210-1210AR0001</t>
        </is>
      </c>
      <c r="B3" s="2" t="inlineStr">
        <is>
          <t>1210AR0001</t>
        </is>
      </c>
      <c r="C3" s="2" t="inlineStr">
        <is>
          <t>Acumulador de aire seco</t>
        </is>
      </c>
      <c r="D3" s="2" t="n">
        <v>1</v>
      </c>
      <c r="E3" s="2" t="inlineStr">
        <is>
          <t>CC-1000</t>
        </is>
      </c>
      <c r="F3" s="2" t="inlineStr">
        <is>
          <t>P01</t>
        </is>
      </c>
      <c r="G3" s="2" t="n">
        <v>620000</v>
      </c>
      <c r="H3" s="2" t="inlineStr">
        <is>
          <t>Materiales</t>
        </is>
      </c>
      <c r="I3" s="9" t="n">
        <v>2143.12</v>
      </c>
      <c r="J3" s="9" t="n">
        <v>1975.27</v>
      </c>
      <c r="K3" s="9" t="n">
        <v>2093.68</v>
      </c>
      <c r="L3" s="9" t="n">
        <v>2046.54</v>
      </c>
      <c r="M3" s="9" t="n">
        <v>1887.31</v>
      </c>
      <c r="N3" s="9" t="n">
        <v>1984.94</v>
      </c>
      <c r="O3" s="9" t="n">
        <v>1935.35</v>
      </c>
      <c r="P3" s="9" t="n">
        <v>1850.83</v>
      </c>
      <c r="Q3" s="9" t="n">
        <v>1909.65</v>
      </c>
      <c r="R3" s="9" t="n">
        <v>2050.33</v>
      </c>
      <c r="S3" s="9" t="n">
        <v>2077.54</v>
      </c>
      <c r="T3" s="9" t="n">
        <v>2182.33</v>
      </c>
      <c r="U3" s="10">
        <f>SUM(I3:T3)</f>
        <v/>
      </c>
    </row>
    <row r="4">
      <c r="A4" s="2" t="inlineStr">
        <is>
          <t>SN-1000-1200-1210-1210AR0001</t>
        </is>
      </c>
      <c r="B4" s="2" t="inlineStr">
        <is>
          <t>1210AR0001</t>
        </is>
      </c>
      <c r="C4" s="2" t="inlineStr">
        <is>
          <t>Acumulador de aire seco</t>
        </is>
      </c>
      <c r="D4" s="2" t="n">
        <v>1</v>
      </c>
      <c r="E4" s="2" t="inlineStr">
        <is>
          <t>CC-1000</t>
        </is>
      </c>
      <c r="F4" s="2" t="inlineStr">
        <is>
          <t>P01</t>
        </is>
      </c>
      <c r="G4" s="2" t="n">
        <v>630000</v>
      </c>
      <c r="H4" s="2" t="inlineStr">
        <is>
          <t>Servicios externos</t>
        </is>
      </c>
      <c r="I4" s="9" t="n">
        <v>2159.45</v>
      </c>
      <c r="J4" s="9" t="n">
        <v>1962.58</v>
      </c>
      <c r="K4" s="9" t="n">
        <v>2381.31</v>
      </c>
      <c r="L4" s="9" t="n">
        <v>2182.48</v>
      </c>
      <c r="M4" s="9" t="n">
        <v>2297.51</v>
      </c>
      <c r="N4" s="9" t="n">
        <v>2218.53</v>
      </c>
      <c r="O4" s="9" t="n">
        <v>2283.28</v>
      </c>
      <c r="P4" s="9" t="n">
        <v>2087.62</v>
      </c>
      <c r="Q4" s="9" t="n">
        <v>1973.94</v>
      </c>
      <c r="R4" s="9" t="n">
        <v>2460.53</v>
      </c>
      <c r="S4" s="9" t="n">
        <v>2029.98</v>
      </c>
      <c r="T4" s="9" t="n">
        <v>2076.37</v>
      </c>
      <c r="U4" s="10">
        <f>SUM(I4:T4)</f>
        <v/>
      </c>
    </row>
    <row r="5">
      <c r="A5" s="2" t="inlineStr">
        <is>
          <t>SN-1000-1200-1210-1210AR0002</t>
        </is>
      </c>
      <c r="B5" s="2" t="inlineStr">
        <is>
          <t>1210AR0002</t>
        </is>
      </c>
      <c r="C5" s="2" t="inlineStr">
        <is>
          <t>Acumulador de aire seco</t>
        </is>
      </c>
      <c r="D5" s="2" t="n">
        <v>2</v>
      </c>
      <c r="E5" s="2" t="inlineStr">
        <is>
          <t>CC-1000</t>
        </is>
      </c>
      <c r="F5" s="2" t="inlineStr">
        <is>
          <t>P01</t>
        </is>
      </c>
      <c r="G5" s="2" t="n">
        <v>610000</v>
      </c>
      <c r="H5" s="2" t="inlineStr">
        <is>
          <t>Mano obra interna</t>
        </is>
      </c>
      <c r="I5" s="9" t="n">
        <v>701.12</v>
      </c>
      <c r="J5" s="9" t="n">
        <v>652.11</v>
      </c>
      <c r="K5" s="9" t="n">
        <v>669.74</v>
      </c>
      <c r="L5" s="9" t="n">
        <v>613.86</v>
      </c>
      <c r="M5" s="9" t="n">
        <v>647.05</v>
      </c>
      <c r="N5" s="9" t="n">
        <v>661.92</v>
      </c>
      <c r="O5" s="9" t="n">
        <v>605.3099999999999</v>
      </c>
      <c r="P5" s="9" t="n">
        <v>643.4</v>
      </c>
      <c r="Q5" s="9" t="n">
        <v>633.71</v>
      </c>
      <c r="R5" s="9" t="n">
        <v>719.02</v>
      </c>
      <c r="S5" s="9" t="n">
        <v>641.09</v>
      </c>
      <c r="T5" s="9" t="n">
        <v>672.64</v>
      </c>
      <c r="U5" s="10">
        <f>SUM(I5:T5)</f>
        <v/>
      </c>
    </row>
    <row r="6">
      <c r="A6" s="2" t="inlineStr">
        <is>
          <t>SN-1000-1200-1210-1210AR0002</t>
        </is>
      </c>
      <c r="B6" s="2" t="inlineStr">
        <is>
          <t>1210AR0002</t>
        </is>
      </c>
      <c r="C6" s="2" t="inlineStr">
        <is>
          <t>Acumulador de aire seco</t>
        </is>
      </c>
      <c r="D6" s="2" t="n">
        <v>2</v>
      </c>
      <c r="E6" s="2" t="inlineStr">
        <is>
          <t>CC-1000</t>
        </is>
      </c>
      <c r="F6" s="2" t="inlineStr">
        <is>
          <t>P01</t>
        </is>
      </c>
      <c r="G6" s="2" t="n">
        <v>620000</v>
      </c>
      <c r="H6" s="2" t="inlineStr">
        <is>
          <t>Materiales</t>
        </is>
      </c>
      <c r="I6" s="9" t="n">
        <v>571.8200000000001</v>
      </c>
      <c r="J6" s="9" t="n">
        <v>598.74</v>
      </c>
      <c r="K6" s="9" t="n">
        <v>627.25</v>
      </c>
      <c r="L6" s="9" t="n">
        <v>626.8200000000001</v>
      </c>
      <c r="M6" s="9" t="n">
        <v>611.1900000000001</v>
      </c>
      <c r="N6" s="9" t="n">
        <v>554.83</v>
      </c>
      <c r="O6" s="9" t="n">
        <v>579.6799999999999</v>
      </c>
      <c r="P6" s="9" t="n">
        <v>606.47</v>
      </c>
      <c r="Q6" s="9" t="n">
        <v>552.17</v>
      </c>
      <c r="R6" s="9" t="n">
        <v>644.89</v>
      </c>
      <c r="S6" s="9" t="n">
        <v>587.3099999999999</v>
      </c>
      <c r="T6" s="9" t="n">
        <v>624.5599999999999</v>
      </c>
      <c r="U6" s="10">
        <f>SUM(I6:T6)</f>
        <v/>
      </c>
    </row>
    <row r="7">
      <c r="A7" s="2" t="inlineStr">
        <is>
          <t>SN-1000-1200-1210-1210AR0002</t>
        </is>
      </c>
      <c r="B7" s="2" t="inlineStr">
        <is>
          <t>1210AR0002</t>
        </is>
      </c>
      <c r="C7" s="2" t="inlineStr">
        <is>
          <t>Acumulador de aire seco</t>
        </is>
      </c>
      <c r="D7" s="2" t="n">
        <v>2</v>
      </c>
      <c r="E7" s="2" t="inlineStr">
        <is>
          <t>CC-1000</t>
        </is>
      </c>
      <c r="F7" s="2" t="inlineStr">
        <is>
          <t>P01</t>
        </is>
      </c>
      <c r="G7" s="2" t="n">
        <v>630000</v>
      </c>
      <c r="H7" s="2" t="inlineStr">
        <is>
          <t>Servicios externos</t>
        </is>
      </c>
      <c r="I7" s="9" t="n">
        <v>609.9</v>
      </c>
      <c r="J7" s="9" t="n">
        <v>561.35</v>
      </c>
      <c r="K7" s="9" t="n">
        <v>636.74</v>
      </c>
      <c r="L7" s="9" t="n">
        <v>576.76</v>
      </c>
      <c r="M7" s="9" t="n">
        <v>599.95</v>
      </c>
      <c r="N7" s="9" t="n">
        <v>586.77</v>
      </c>
      <c r="O7" s="9" t="n">
        <v>589.02</v>
      </c>
      <c r="P7" s="9" t="n">
        <v>617.97</v>
      </c>
      <c r="Q7" s="9" t="n">
        <v>524.8099999999999</v>
      </c>
      <c r="R7" s="9" t="n">
        <v>608.72</v>
      </c>
      <c r="S7" s="9" t="n">
        <v>620.5700000000001</v>
      </c>
      <c r="T7" s="9" t="n">
        <v>604.79</v>
      </c>
      <c r="U7" s="10">
        <f>SUM(I7:T7)</f>
        <v/>
      </c>
    </row>
    <row r="8">
      <c r="A8" s="2" t="inlineStr">
        <is>
          <t>SN-1000-1200-1210-1210CN0001</t>
        </is>
      </c>
      <c r="B8" s="2" t="inlineStr">
        <is>
          <t>1210CN0001</t>
        </is>
      </c>
      <c r="C8" s="2" t="inlineStr">
        <is>
          <t>Puente grúa taller</t>
        </is>
      </c>
      <c r="D8" s="2" t="n">
        <v>3</v>
      </c>
      <c r="E8" s="2" t="inlineStr">
        <is>
          <t>CC-1000</t>
        </is>
      </c>
      <c r="F8" s="2" t="inlineStr">
        <is>
          <t>P01</t>
        </is>
      </c>
      <c r="G8" s="2" t="n">
        <v>610000</v>
      </c>
      <c r="H8" s="2" t="inlineStr">
        <is>
          <t>Mano obra interna</t>
        </is>
      </c>
      <c r="I8" s="9" t="n">
        <v>2200.05</v>
      </c>
      <c r="J8" s="9" t="n">
        <v>2206.33</v>
      </c>
      <c r="K8" s="9" t="n">
        <v>2114.7</v>
      </c>
      <c r="L8" s="9" t="n">
        <v>2237.98</v>
      </c>
      <c r="M8" s="9" t="n">
        <v>1984.27</v>
      </c>
      <c r="N8" s="9" t="n">
        <v>1905.87</v>
      </c>
      <c r="O8" s="9" t="n">
        <v>2159.23</v>
      </c>
      <c r="P8" s="9" t="n">
        <v>2159.83</v>
      </c>
      <c r="Q8" s="9" t="n">
        <v>2043</v>
      </c>
      <c r="R8" s="9" t="n">
        <v>2399.68</v>
      </c>
      <c r="S8" s="9" t="n">
        <v>2237.18</v>
      </c>
      <c r="T8" s="9" t="n">
        <v>2185.05</v>
      </c>
      <c r="U8" s="10">
        <f>SUM(I8:T8)</f>
        <v/>
      </c>
    </row>
    <row r="9">
      <c r="A9" s="2" t="inlineStr">
        <is>
          <t>SN-1000-1200-1210-1210CN0001</t>
        </is>
      </c>
      <c r="B9" s="2" t="inlineStr">
        <is>
          <t>1210CN0001</t>
        </is>
      </c>
      <c r="C9" s="2" t="inlineStr">
        <is>
          <t>Puente grúa taller</t>
        </is>
      </c>
      <c r="D9" s="2" t="n">
        <v>3</v>
      </c>
      <c r="E9" s="2" t="inlineStr">
        <is>
          <t>CC-1000</t>
        </is>
      </c>
      <c r="F9" s="2" t="inlineStr">
        <is>
          <t>P01</t>
        </is>
      </c>
      <c r="G9" s="2" t="n">
        <v>620000</v>
      </c>
      <c r="H9" s="2" t="inlineStr">
        <is>
          <t>Materiales</t>
        </is>
      </c>
      <c r="I9" s="9" t="n">
        <v>2412.28</v>
      </c>
      <c r="J9" s="9" t="n">
        <v>2140.8</v>
      </c>
      <c r="K9" s="9" t="n">
        <v>2305.12</v>
      </c>
      <c r="L9" s="9" t="n">
        <v>2150.65</v>
      </c>
      <c r="M9" s="9" t="n">
        <v>2063.52</v>
      </c>
      <c r="N9" s="9" t="n">
        <v>2317.01</v>
      </c>
      <c r="O9" s="9" t="n">
        <v>2378.83</v>
      </c>
      <c r="P9" s="9" t="n">
        <v>2325.47</v>
      </c>
      <c r="Q9" s="9" t="n">
        <v>2069.88</v>
      </c>
      <c r="R9" s="9" t="n">
        <v>2306.21</v>
      </c>
      <c r="S9" s="9" t="n">
        <v>2064.31</v>
      </c>
      <c r="T9" s="9" t="n">
        <v>2198.44</v>
      </c>
      <c r="U9" s="10">
        <f>SUM(I9:T9)</f>
        <v/>
      </c>
    </row>
    <row r="10">
      <c r="A10" s="2" t="inlineStr">
        <is>
          <t>SN-1000-1200-1210-1210CN0001</t>
        </is>
      </c>
      <c r="B10" s="2" t="inlineStr">
        <is>
          <t>1210CN0001</t>
        </is>
      </c>
      <c r="C10" s="2" t="inlineStr">
        <is>
          <t>Puente grúa taller</t>
        </is>
      </c>
      <c r="D10" s="2" t="n">
        <v>3</v>
      </c>
      <c r="E10" s="2" t="inlineStr">
        <is>
          <t>CC-1000</t>
        </is>
      </c>
      <c r="F10" s="2" t="inlineStr">
        <is>
          <t>P01</t>
        </is>
      </c>
      <c r="G10" s="2" t="n">
        <v>630000</v>
      </c>
      <c r="H10" s="2" t="inlineStr">
        <is>
          <t>Servicios externos</t>
        </is>
      </c>
      <c r="I10" s="9" t="n">
        <v>2511.43</v>
      </c>
      <c r="J10" s="9" t="n">
        <v>2402.51</v>
      </c>
      <c r="K10" s="9" t="n">
        <v>2367.34</v>
      </c>
      <c r="L10" s="9" t="n">
        <v>2607.83</v>
      </c>
      <c r="M10" s="9" t="n">
        <v>2443.47</v>
      </c>
      <c r="N10" s="9" t="n">
        <v>2293.76</v>
      </c>
      <c r="O10" s="9" t="n">
        <v>2422.09</v>
      </c>
      <c r="P10" s="9" t="n">
        <v>2346.13</v>
      </c>
      <c r="Q10" s="9" t="n">
        <v>2124.7</v>
      </c>
      <c r="R10" s="9" t="n">
        <v>2505.9</v>
      </c>
      <c r="S10" s="9" t="n">
        <v>2397.51</v>
      </c>
      <c r="T10" s="9" t="n">
        <v>2226.25</v>
      </c>
      <c r="U10" s="10">
        <f>SUM(I10:T10)</f>
        <v/>
      </c>
    </row>
    <row r="11">
      <c r="A11" s="2" t="inlineStr">
        <is>
          <t>SN-1000-1200-1210-1210CP0001</t>
        </is>
      </c>
      <c r="B11" s="2" t="inlineStr">
        <is>
          <t>1210CP0001</t>
        </is>
      </c>
      <c r="C11" s="2" t="inlineStr">
        <is>
          <t xml:space="preserve">Compresor de aire </t>
        </is>
      </c>
      <c r="D11" s="2" t="n">
        <v>4</v>
      </c>
      <c r="E11" s="2" t="inlineStr">
        <is>
          <t>CC-1000</t>
        </is>
      </c>
      <c r="F11" s="2" t="inlineStr">
        <is>
          <t>P01</t>
        </is>
      </c>
      <c r="G11" s="2" t="n">
        <v>610000</v>
      </c>
      <c r="H11" s="2" t="inlineStr">
        <is>
          <t>Mano obra interna</t>
        </is>
      </c>
      <c r="I11" s="9" t="n">
        <v>238.87</v>
      </c>
      <c r="J11" s="9" t="n">
        <v>230.24</v>
      </c>
      <c r="K11" s="9" t="n">
        <v>275.1</v>
      </c>
      <c r="L11" s="9" t="n">
        <v>266.28</v>
      </c>
      <c r="M11" s="9" t="n">
        <v>248.68</v>
      </c>
      <c r="N11" s="9" t="n">
        <v>225.71</v>
      </c>
      <c r="O11" s="9" t="n">
        <v>252.09</v>
      </c>
      <c r="P11" s="9" t="n">
        <v>251.06</v>
      </c>
      <c r="Q11" s="9" t="n">
        <v>222.59</v>
      </c>
      <c r="R11" s="9" t="n">
        <v>269.22</v>
      </c>
      <c r="S11" s="9" t="n">
        <v>240.29</v>
      </c>
      <c r="T11" s="9" t="n">
        <v>260.81</v>
      </c>
      <c r="U11" s="10">
        <f>SUM(I11:T11)</f>
        <v/>
      </c>
    </row>
    <row r="12">
      <c r="A12" s="2" t="inlineStr">
        <is>
          <t>SN-1000-1200-1210-1210CP0001</t>
        </is>
      </c>
      <c r="B12" s="2" t="inlineStr">
        <is>
          <t>1210CP0001</t>
        </is>
      </c>
      <c r="C12" s="2" t="inlineStr">
        <is>
          <t xml:space="preserve">Compresor de aire </t>
        </is>
      </c>
      <c r="D12" s="2" t="n">
        <v>4</v>
      </c>
      <c r="E12" s="2" t="inlineStr">
        <is>
          <t>CC-1000</t>
        </is>
      </c>
      <c r="F12" s="2" t="inlineStr">
        <is>
          <t>P01</t>
        </is>
      </c>
      <c r="G12" s="2" t="n">
        <v>620000</v>
      </c>
      <c r="H12" s="2" t="inlineStr">
        <is>
          <t>Materiales</t>
        </is>
      </c>
      <c r="I12" s="9" t="n">
        <v>270.49</v>
      </c>
      <c r="J12" s="9" t="n">
        <v>275.78</v>
      </c>
      <c r="K12" s="9" t="n">
        <v>300.73</v>
      </c>
      <c r="L12" s="9" t="n">
        <v>292.2</v>
      </c>
      <c r="M12" s="9" t="n">
        <v>298.93</v>
      </c>
      <c r="N12" s="9" t="n">
        <v>280.14</v>
      </c>
      <c r="O12" s="9" t="n">
        <v>270.47</v>
      </c>
      <c r="P12" s="9" t="n">
        <v>265.92</v>
      </c>
      <c r="Q12" s="9" t="n">
        <v>272.07</v>
      </c>
      <c r="R12" s="9" t="n">
        <v>284.82</v>
      </c>
      <c r="S12" s="9" t="n">
        <v>280.43</v>
      </c>
      <c r="T12" s="9" t="n">
        <v>310.43</v>
      </c>
      <c r="U12" s="10">
        <f>SUM(I12:T12)</f>
        <v/>
      </c>
    </row>
    <row r="13">
      <c r="A13" s="2" t="inlineStr">
        <is>
          <t>SN-1000-1200-1210-1210CP0001</t>
        </is>
      </c>
      <c r="B13" s="2" t="inlineStr">
        <is>
          <t>1210CP0001</t>
        </is>
      </c>
      <c r="C13" s="2" t="inlineStr">
        <is>
          <t xml:space="preserve">Compresor de aire </t>
        </is>
      </c>
      <c r="D13" s="2" t="n">
        <v>4</v>
      </c>
      <c r="E13" s="2" t="inlineStr">
        <is>
          <t>CC-1000</t>
        </is>
      </c>
      <c r="F13" s="2" t="inlineStr">
        <is>
          <t>P01</t>
        </is>
      </c>
      <c r="G13" s="2" t="n">
        <v>630000</v>
      </c>
      <c r="H13" s="2" t="inlineStr">
        <is>
          <t>Servicios externos</t>
        </is>
      </c>
      <c r="I13" s="9" t="n">
        <v>280.94</v>
      </c>
      <c r="J13" s="9" t="n">
        <v>282.3</v>
      </c>
      <c r="K13" s="9" t="n">
        <v>287.15</v>
      </c>
      <c r="L13" s="9" t="n">
        <v>288.48</v>
      </c>
      <c r="M13" s="9" t="n">
        <v>296.91</v>
      </c>
      <c r="N13" s="9" t="n">
        <v>263.02</v>
      </c>
      <c r="O13" s="9" t="n">
        <v>301.03</v>
      </c>
      <c r="P13" s="9" t="n">
        <v>298.17</v>
      </c>
      <c r="Q13" s="9" t="n">
        <v>248.15</v>
      </c>
      <c r="R13" s="9" t="n">
        <v>281.37</v>
      </c>
      <c r="S13" s="9" t="n">
        <v>253.94</v>
      </c>
      <c r="T13" s="9" t="n">
        <v>262.46</v>
      </c>
      <c r="U13" s="10">
        <f>SUM(I13:T13)</f>
        <v/>
      </c>
    </row>
    <row r="14">
      <c r="A14" s="2" t="inlineStr">
        <is>
          <t>SN-1000-1200-1210-1210CP0002</t>
        </is>
      </c>
      <c r="B14" s="2" t="inlineStr">
        <is>
          <t>1210CP0002</t>
        </is>
      </c>
      <c r="C14" s="2" t="inlineStr">
        <is>
          <t xml:space="preserve">Compresor de aire </t>
        </is>
      </c>
      <c r="D14" s="2" t="n">
        <v>5</v>
      </c>
      <c r="E14" s="2" t="inlineStr">
        <is>
          <t>CC-1000</t>
        </is>
      </c>
      <c r="F14" s="2" t="inlineStr">
        <is>
          <t>P01</t>
        </is>
      </c>
      <c r="G14" s="2" t="n">
        <v>610000</v>
      </c>
      <c r="H14" s="2" t="inlineStr">
        <is>
          <t>Mano obra interna</t>
        </is>
      </c>
      <c r="I14" s="9" t="n">
        <v>2499.89</v>
      </c>
      <c r="J14" s="9" t="n">
        <v>2182.39</v>
      </c>
      <c r="K14" s="9" t="n">
        <v>2383.37</v>
      </c>
      <c r="L14" s="9" t="n">
        <v>2565.8</v>
      </c>
      <c r="M14" s="9" t="n">
        <v>2174.97</v>
      </c>
      <c r="N14" s="9" t="n">
        <v>2389.1</v>
      </c>
      <c r="O14" s="9" t="n">
        <v>2297.17</v>
      </c>
      <c r="P14" s="9" t="n">
        <v>2232.15</v>
      </c>
      <c r="Q14" s="9" t="n">
        <v>2284.43</v>
      </c>
      <c r="R14" s="9" t="n">
        <v>2618.7</v>
      </c>
      <c r="S14" s="9" t="n">
        <v>2442.3</v>
      </c>
      <c r="T14" s="9" t="n">
        <v>2505.31</v>
      </c>
      <c r="U14" s="10">
        <f>SUM(I14:T14)</f>
        <v/>
      </c>
    </row>
    <row r="15">
      <c r="A15" s="2" t="inlineStr">
        <is>
          <t>SN-1000-1200-1210-1210CP0002</t>
        </is>
      </c>
      <c r="B15" s="2" t="inlineStr">
        <is>
          <t>1210CP0002</t>
        </is>
      </c>
      <c r="C15" s="2" t="inlineStr">
        <is>
          <t xml:space="preserve">Compresor de aire </t>
        </is>
      </c>
      <c r="D15" s="2" t="n">
        <v>5</v>
      </c>
      <c r="E15" s="2" t="inlineStr">
        <is>
          <t>CC-1000</t>
        </is>
      </c>
      <c r="F15" s="2" t="inlineStr">
        <is>
          <t>P01</t>
        </is>
      </c>
      <c r="G15" s="2" t="n">
        <v>620000</v>
      </c>
      <c r="H15" s="2" t="inlineStr">
        <is>
          <t>Materiales</t>
        </is>
      </c>
      <c r="I15" s="9" t="n">
        <v>2785.74</v>
      </c>
      <c r="J15" s="9" t="n">
        <v>2640.93</v>
      </c>
      <c r="K15" s="9" t="n">
        <v>3033.89</v>
      </c>
      <c r="L15" s="9" t="n">
        <v>3031.66</v>
      </c>
      <c r="M15" s="9" t="n">
        <v>3017.82</v>
      </c>
      <c r="N15" s="9" t="n">
        <v>2665.45</v>
      </c>
      <c r="O15" s="9" t="n">
        <v>2770.81</v>
      </c>
      <c r="P15" s="9" t="n">
        <v>2950.3</v>
      </c>
      <c r="Q15" s="9" t="n">
        <v>2564.97</v>
      </c>
      <c r="R15" s="9" t="n">
        <v>3259.36</v>
      </c>
      <c r="S15" s="9" t="n">
        <v>2894.13</v>
      </c>
      <c r="T15" s="9" t="n">
        <v>2836.84</v>
      </c>
      <c r="U15" s="10">
        <f>SUM(I15:T15)</f>
        <v/>
      </c>
    </row>
    <row r="16">
      <c r="A16" s="2" t="inlineStr">
        <is>
          <t>SN-1000-1200-1210-1210CP0002</t>
        </is>
      </c>
      <c r="B16" s="2" t="inlineStr">
        <is>
          <t>1210CP0002</t>
        </is>
      </c>
      <c r="C16" s="2" t="inlineStr">
        <is>
          <t xml:space="preserve">Compresor de aire </t>
        </is>
      </c>
      <c r="D16" s="2" t="n">
        <v>5</v>
      </c>
      <c r="E16" s="2" t="inlineStr">
        <is>
          <t>CC-1000</t>
        </is>
      </c>
      <c r="F16" s="2" t="inlineStr">
        <is>
          <t>P01</t>
        </is>
      </c>
      <c r="G16" s="2" t="n">
        <v>630000</v>
      </c>
      <c r="H16" s="2" t="inlineStr">
        <is>
          <t>Servicios externos</t>
        </is>
      </c>
      <c r="I16" s="9" t="n">
        <v>3001.68</v>
      </c>
      <c r="J16" s="9" t="n">
        <v>2605.85</v>
      </c>
      <c r="K16" s="9" t="n">
        <v>3102.45</v>
      </c>
      <c r="L16" s="9" t="n">
        <v>2890.03</v>
      </c>
      <c r="M16" s="9" t="n">
        <v>2942.14</v>
      </c>
      <c r="N16" s="9" t="n">
        <v>2623.42</v>
      </c>
      <c r="O16" s="9" t="n">
        <v>3005.48</v>
      </c>
      <c r="P16" s="9" t="n">
        <v>2773.16</v>
      </c>
      <c r="Q16" s="9" t="n">
        <v>2424.18</v>
      </c>
      <c r="R16" s="9" t="n">
        <v>3244.52</v>
      </c>
      <c r="S16" s="9" t="n">
        <v>2556.23</v>
      </c>
      <c r="T16" s="9" t="n">
        <v>2784.38</v>
      </c>
      <c r="U16" s="10">
        <f>SUM(I16:T16)</f>
        <v/>
      </c>
    </row>
    <row r="17">
      <c r="A17" s="2" t="inlineStr">
        <is>
          <t>SN-1000-1200-1210-1210CT0001</t>
        </is>
      </c>
      <c r="B17" s="2" t="inlineStr">
        <is>
          <t>1210CT0001</t>
        </is>
      </c>
      <c r="C17" s="2" t="inlineStr">
        <is>
          <t>Sistema CCTV taller EMP</t>
        </is>
      </c>
      <c r="D17" s="2" t="n">
        <v>6</v>
      </c>
      <c r="E17" s="2" t="inlineStr">
        <is>
          <t>CC-1000</t>
        </is>
      </c>
      <c r="F17" s="2" t="inlineStr">
        <is>
          <t>P01</t>
        </is>
      </c>
      <c r="G17" s="2" t="n">
        <v>610000</v>
      </c>
      <c r="H17" s="2" t="inlineStr">
        <is>
          <t>Mano obra interna</t>
        </is>
      </c>
      <c r="I17" s="9" t="n">
        <v>670.04</v>
      </c>
      <c r="J17" s="9" t="n">
        <v>610.03</v>
      </c>
      <c r="K17" s="9" t="n">
        <v>644.91</v>
      </c>
      <c r="L17" s="9" t="n">
        <v>620.55</v>
      </c>
      <c r="M17" s="9" t="n">
        <v>585.84</v>
      </c>
      <c r="N17" s="9" t="n">
        <v>569.27</v>
      </c>
      <c r="O17" s="9" t="n">
        <v>629.4</v>
      </c>
      <c r="P17" s="9" t="n">
        <v>636.46</v>
      </c>
      <c r="Q17" s="9" t="n">
        <v>596.48</v>
      </c>
      <c r="R17" s="9" t="n">
        <v>690.8200000000001</v>
      </c>
      <c r="S17" s="9" t="n">
        <v>553.9</v>
      </c>
      <c r="T17" s="9" t="n">
        <v>620.75</v>
      </c>
      <c r="U17" s="10">
        <f>SUM(I17:T17)</f>
        <v/>
      </c>
    </row>
    <row r="18">
      <c r="A18" s="2" t="inlineStr">
        <is>
          <t>SN-1000-1200-1210-1210CT0001</t>
        </is>
      </c>
      <c r="B18" s="2" t="inlineStr">
        <is>
          <t>1210CT0001</t>
        </is>
      </c>
      <c r="C18" s="2" t="inlineStr">
        <is>
          <t>Sistema CCTV taller EMP</t>
        </is>
      </c>
      <c r="D18" s="2" t="n">
        <v>6</v>
      </c>
      <c r="E18" s="2" t="inlineStr">
        <is>
          <t>CC-1000</t>
        </is>
      </c>
      <c r="F18" s="2" t="inlineStr">
        <is>
          <t>P01</t>
        </is>
      </c>
      <c r="G18" s="2" t="n">
        <v>620000</v>
      </c>
      <c r="H18" s="2" t="inlineStr">
        <is>
          <t>Materiales</t>
        </is>
      </c>
      <c r="I18" s="9" t="n">
        <v>479.91</v>
      </c>
      <c r="J18" s="9" t="n">
        <v>455.06</v>
      </c>
      <c r="K18" s="9" t="n">
        <v>511.02</v>
      </c>
      <c r="L18" s="9" t="n">
        <v>465.33</v>
      </c>
      <c r="M18" s="9" t="n">
        <v>433.31</v>
      </c>
      <c r="N18" s="9" t="n">
        <v>420.45</v>
      </c>
      <c r="O18" s="9" t="n">
        <v>486.15</v>
      </c>
      <c r="P18" s="9" t="n">
        <v>474.88</v>
      </c>
      <c r="Q18" s="9" t="n">
        <v>406.47</v>
      </c>
      <c r="R18" s="9" t="n">
        <v>469.52</v>
      </c>
      <c r="S18" s="9" t="n">
        <v>466.04</v>
      </c>
      <c r="T18" s="9" t="n">
        <v>440.99</v>
      </c>
      <c r="U18" s="10">
        <f>SUM(I18:T18)</f>
        <v/>
      </c>
    </row>
    <row r="19">
      <c r="A19" s="2" t="inlineStr">
        <is>
          <t>SN-1000-1200-1210-1210CT0001</t>
        </is>
      </c>
      <c r="B19" s="2" t="inlineStr">
        <is>
          <t>1210CT0001</t>
        </is>
      </c>
      <c r="C19" s="2" t="inlineStr">
        <is>
          <t>Sistema CCTV taller EMP</t>
        </is>
      </c>
      <c r="D19" s="2" t="n">
        <v>6</v>
      </c>
      <c r="E19" s="2" t="inlineStr">
        <is>
          <t>CC-1000</t>
        </is>
      </c>
      <c r="F19" s="2" t="inlineStr">
        <is>
          <t>P01</t>
        </is>
      </c>
      <c r="G19" s="2" t="n">
        <v>630000</v>
      </c>
      <c r="H19" s="2" t="inlineStr">
        <is>
          <t>Servicios externos</t>
        </is>
      </c>
      <c r="I19" s="9" t="n">
        <v>607.72</v>
      </c>
      <c r="J19" s="9" t="n">
        <v>529.55</v>
      </c>
      <c r="K19" s="9" t="n">
        <v>555.04</v>
      </c>
      <c r="L19" s="9" t="n">
        <v>634.86</v>
      </c>
      <c r="M19" s="9" t="n">
        <v>558.86</v>
      </c>
      <c r="N19" s="9" t="n">
        <v>539.5700000000001</v>
      </c>
      <c r="O19" s="9" t="n">
        <v>605.41</v>
      </c>
      <c r="P19" s="9" t="n">
        <v>617.0700000000001</v>
      </c>
      <c r="Q19" s="9" t="n">
        <v>578.17</v>
      </c>
      <c r="R19" s="9" t="n">
        <v>646.6900000000001</v>
      </c>
      <c r="S19" s="9" t="n">
        <v>546.84</v>
      </c>
      <c r="T19" s="9" t="n">
        <v>545.88</v>
      </c>
      <c r="U19" s="10">
        <f>SUM(I19:T19)</f>
        <v/>
      </c>
    </row>
    <row r="20">
      <c r="A20" s="2" t="inlineStr">
        <is>
          <t>SN-1000-1200-1210-1210DR0001</t>
        </is>
      </c>
      <c r="B20" s="2" t="inlineStr">
        <is>
          <t>1210DR0001</t>
        </is>
      </c>
      <c r="C20" s="2" t="inlineStr">
        <is>
          <t>Secador de aire</t>
        </is>
      </c>
      <c r="D20" s="2" t="n">
        <v>7</v>
      </c>
      <c r="E20" s="2" t="inlineStr">
        <is>
          <t>CC-1000</t>
        </is>
      </c>
      <c r="F20" s="2" t="inlineStr">
        <is>
          <t>P01</t>
        </is>
      </c>
      <c r="G20" s="2" t="n">
        <v>610000</v>
      </c>
      <c r="H20" s="2" t="inlineStr">
        <is>
          <t>Mano obra interna</t>
        </is>
      </c>
      <c r="I20" s="9" t="n">
        <v>2110.24</v>
      </c>
      <c r="J20" s="9" t="n">
        <v>1992.55</v>
      </c>
      <c r="K20" s="9" t="n">
        <v>2250.19</v>
      </c>
      <c r="L20" s="9" t="n">
        <v>1962.95</v>
      </c>
      <c r="M20" s="9" t="n">
        <v>2024.44</v>
      </c>
      <c r="N20" s="9" t="n">
        <v>1804.95</v>
      </c>
      <c r="O20" s="9" t="n">
        <v>2038.67</v>
      </c>
      <c r="P20" s="9" t="n">
        <v>1901.2</v>
      </c>
      <c r="Q20" s="9" t="n">
        <v>1790.18</v>
      </c>
      <c r="R20" s="9" t="n">
        <v>2073.47</v>
      </c>
      <c r="S20" s="9" t="n">
        <v>2029.94</v>
      </c>
      <c r="T20" s="9" t="n">
        <v>2160.24</v>
      </c>
      <c r="U20" s="10">
        <f>SUM(I20:T20)</f>
        <v/>
      </c>
    </row>
    <row r="21">
      <c r="A21" s="2" t="inlineStr">
        <is>
          <t>SN-1000-1200-1210-1210DR0001</t>
        </is>
      </c>
      <c r="B21" s="2" t="inlineStr">
        <is>
          <t>1210DR0001</t>
        </is>
      </c>
      <c r="C21" s="2" t="inlineStr">
        <is>
          <t>Secador de aire</t>
        </is>
      </c>
      <c r="D21" s="2" t="n">
        <v>7</v>
      </c>
      <c r="E21" s="2" t="inlineStr">
        <is>
          <t>CC-1000</t>
        </is>
      </c>
      <c r="F21" s="2" t="inlineStr">
        <is>
          <t>P01</t>
        </is>
      </c>
      <c r="G21" s="2" t="n">
        <v>620000</v>
      </c>
      <c r="H21" s="2" t="inlineStr">
        <is>
          <t>Materiales</t>
        </is>
      </c>
      <c r="I21" s="9" t="n">
        <v>1994.77</v>
      </c>
      <c r="J21" s="9" t="n">
        <v>1756.06</v>
      </c>
      <c r="K21" s="9" t="n">
        <v>1812.7</v>
      </c>
      <c r="L21" s="9" t="n">
        <v>1969.27</v>
      </c>
      <c r="M21" s="9" t="n">
        <v>1721.03</v>
      </c>
      <c r="N21" s="9" t="n">
        <v>1868.48</v>
      </c>
      <c r="O21" s="9" t="n">
        <v>1678.23</v>
      </c>
      <c r="P21" s="9" t="n">
        <v>1954.82</v>
      </c>
      <c r="Q21" s="9" t="n">
        <v>1569.92</v>
      </c>
      <c r="R21" s="9" t="n">
        <v>2084.98</v>
      </c>
      <c r="S21" s="9" t="n">
        <v>1769.19</v>
      </c>
      <c r="T21" s="9" t="n">
        <v>1992.14</v>
      </c>
      <c r="U21" s="10">
        <f>SUM(I21:T21)</f>
        <v/>
      </c>
    </row>
    <row r="22">
      <c r="A22" s="2" t="inlineStr">
        <is>
          <t>SN-1000-1200-1210-1210DR0001</t>
        </is>
      </c>
      <c r="B22" s="2" t="inlineStr">
        <is>
          <t>1210DR0001</t>
        </is>
      </c>
      <c r="C22" s="2" t="inlineStr">
        <is>
          <t>Secador de aire</t>
        </is>
      </c>
      <c r="D22" s="2" t="n">
        <v>7</v>
      </c>
      <c r="E22" s="2" t="inlineStr">
        <is>
          <t>CC-1000</t>
        </is>
      </c>
      <c r="F22" s="2" t="inlineStr">
        <is>
          <t>P01</t>
        </is>
      </c>
      <c r="G22" s="2" t="n">
        <v>630000</v>
      </c>
      <c r="H22" s="2" t="inlineStr">
        <is>
          <t>Servicios externos</t>
        </is>
      </c>
      <c r="I22" s="9" t="n">
        <v>1594.33</v>
      </c>
      <c r="J22" s="9" t="n">
        <v>1639.49</v>
      </c>
      <c r="K22" s="9" t="n">
        <v>1603.33</v>
      </c>
      <c r="L22" s="9" t="n">
        <v>1615.33</v>
      </c>
      <c r="M22" s="9" t="n">
        <v>1580.41</v>
      </c>
      <c r="N22" s="9" t="n">
        <v>1469.64</v>
      </c>
      <c r="O22" s="9" t="n">
        <v>1580.75</v>
      </c>
      <c r="P22" s="9" t="n">
        <v>1568.15</v>
      </c>
      <c r="Q22" s="9" t="n">
        <v>1533.92</v>
      </c>
      <c r="R22" s="9" t="n">
        <v>1548.42</v>
      </c>
      <c r="S22" s="9" t="n">
        <v>1446.45</v>
      </c>
      <c r="T22" s="9" t="n">
        <v>1684.67</v>
      </c>
      <c r="U22" s="10">
        <f>SUM(I22:T22)</f>
        <v/>
      </c>
    </row>
    <row r="23">
      <c r="A23" s="2" t="inlineStr">
        <is>
          <t>SN-1000-1200-1210-1210DR0002</t>
        </is>
      </c>
      <c r="B23" s="2" t="inlineStr">
        <is>
          <t>1210DR0002</t>
        </is>
      </c>
      <c r="C23" s="2" t="inlineStr">
        <is>
          <t>Secador de aire</t>
        </is>
      </c>
      <c r="D23" s="2" t="n">
        <v>8</v>
      </c>
      <c r="E23" s="2" t="inlineStr">
        <is>
          <t>CC-1000</t>
        </is>
      </c>
      <c r="F23" s="2" t="inlineStr">
        <is>
          <t>P01</t>
        </is>
      </c>
      <c r="G23" s="2" t="n">
        <v>610000</v>
      </c>
      <c r="H23" s="2" t="inlineStr">
        <is>
          <t>Mano obra interna</t>
        </is>
      </c>
      <c r="I23" s="9" t="n">
        <v>1294.98</v>
      </c>
      <c r="J23" s="9" t="n">
        <v>1282.44</v>
      </c>
      <c r="K23" s="9" t="n">
        <v>1271.08</v>
      </c>
      <c r="L23" s="9" t="n">
        <v>1240.6</v>
      </c>
      <c r="M23" s="9" t="n">
        <v>1257.04</v>
      </c>
      <c r="N23" s="9" t="n">
        <v>1192.81</v>
      </c>
      <c r="O23" s="9" t="n">
        <v>1295.28</v>
      </c>
      <c r="P23" s="9" t="n">
        <v>1190.39</v>
      </c>
      <c r="Q23" s="9" t="n">
        <v>1279.56</v>
      </c>
      <c r="R23" s="9" t="n">
        <v>1484.98</v>
      </c>
      <c r="S23" s="9" t="n">
        <v>1276.01</v>
      </c>
      <c r="T23" s="9" t="n">
        <v>1304.05</v>
      </c>
      <c r="U23" s="10">
        <f>SUM(I23:T23)</f>
        <v/>
      </c>
    </row>
    <row r="24">
      <c r="A24" s="2" t="inlineStr">
        <is>
          <t>SN-1000-1200-1210-1210DR0002</t>
        </is>
      </c>
      <c r="B24" s="2" t="inlineStr">
        <is>
          <t>1210DR0002</t>
        </is>
      </c>
      <c r="C24" s="2" t="inlineStr">
        <is>
          <t>Secador de aire</t>
        </is>
      </c>
      <c r="D24" s="2" t="n">
        <v>8</v>
      </c>
      <c r="E24" s="2" t="inlineStr">
        <is>
          <t>CC-1000</t>
        </is>
      </c>
      <c r="F24" s="2" t="inlineStr">
        <is>
          <t>P01</t>
        </is>
      </c>
      <c r="G24" s="2" t="n">
        <v>620000</v>
      </c>
      <c r="H24" s="2" t="inlineStr">
        <is>
          <t>Materiales</t>
        </is>
      </c>
      <c r="I24" s="9" t="n">
        <v>1096.69</v>
      </c>
      <c r="J24" s="9" t="n">
        <v>1037.22</v>
      </c>
      <c r="K24" s="9" t="n">
        <v>998.33</v>
      </c>
      <c r="L24" s="9" t="n">
        <v>1114.22</v>
      </c>
      <c r="M24" s="9" t="n">
        <v>1064.6</v>
      </c>
      <c r="N24" s="9" t="n">
        <v>1048.38</v>
      </c>
      <c r="O24" s="9" t="n">
        <v>1060.36</v>
      </c>
      <c r="P24" s="9" t="n">
        <v>1040.72</v>
      </c>
      <c r="Q24" s="9" t="n">
        <v>939.77</v>
      </c>
      <c r="R24" s="9" t="n">
        <v>1179.54</v>
      </c>
      <c r="S24" s="9" t="n">
        <v>1048.27</v>
      </c>
      <c r="T24" s="9" t="n">
        <v>962.58</v>
      </c>
      <c r="U24" s="10">
        <f>SUM(I24:T24)</f>
        <v/>
      </c>
    </row>
    <row r="25">
      <c r="A25" s="2" t="inlineStr">
        <is>
          <t>SN-1000-1200-1210-1210DR0002</t>
        </is>
      </c>
      <c r="B25" s="2" t="inlineStr">
        <is>
          <t>1210DR0002</t>
        </is>
      </c>
      <c r="C25" s="2" t="inlineStr">
        <is>
          <t>Secador de aire</t>
        </is>
      </c>
      <c r="D25" s="2" t="n">
        <v>8</v>
      </c>
      <c r="E25" s="2" t="inlineStr">
        <is>
          <t>CC-1000</t>
        </is>
      </c>
      <c r="F25" s="2" t="inlineStr">
        <is>
          <t>P01</t>
        </is>
      </c>
      <c r="G25" s="2" t="n">
        <v>630000</v>
      </c>
      <c r="H25" s="2" t="inlineStr">
        <is>
          <t>Servicios externos</t>
        </is>
      </c>
      <c r="I25" s="9" t="n">
        <v>941.9299999999999</v>
      </c>
      <c r="J25" s="9" t="n">
        <v>973.11</v>
      </c>
      <c r="K25" s="9" t="n">
        <v>1046.8</v>
      </c>
      <c r="L25" s="9" t="n">
        <v>908.24</v>
      </c>
      <c r="M25" s="9" t="n">
        <v>945.6</v>
      </c>
      <c r="N25" s="9" t="n">
        <v>882.8</v>
      </c>
      <c r="O25" s="9" t="n">
        <v>1012.54</v>
      </c>
      <c r="P25" s="9" t="n">
        <v>992.09</v>
      </c>
      <c r="Q25" s="9" t="n">
        <v>923.67</v>
      </c>
      <c r="R25" s="9" t="n">
        <v>1010.04</v>
      </c>
      <c r="S25" s="9" t="n">
        <v>898.8200000000001</v>
      </c>
      <c r="T25" s="9" t="n">
        <v>920.65</v>
      </c>
      <c r="U25" s="10">
        <f>SUM(I25:T25)</f>
        <v/>
      </c>
    </row>
    <row r="26">
      <c r="A26" s="2" t="inlineStr">
        <is>
          <t>SN-1000-1200-1210-1210EF0001</t>
        </is>
      </c>
      <c r="B26" s="2" t="inlineStr">
        <is>
          <t>1210EF0001</t>
        </is>
      </c>
      <c r="C26" s="2" t="inlineStr">
        <is>
          <t>Extractor taller EMP</t>
        </is>
      </c>
      <c r="D26" s="2" t="n">
        <v>9</v>
      </c>
      <c r="E26" s="2" t="inlineStr">
        <is>
          <t>CC-1000</t>
        </is>
      </c>
      <c r="F26" s="2" t="inlineStr">
        <is>
          <t>P01</t>
        </is>
      </c>
      <c r="G26" s="2" t="n">
        <v>610000</v>
      </c>
      <c r="H26" s="2" t="inlineStr">
        <is>
          <t>Mano obra interna</t>
        </is>
      </c>
      <c r="I26" s="9" t="n">
        <v>185.59</v>
      </c>
      <c r="J26" s="9" t="n">
        <v>177.65</v>
      </c>
      <c r="K26" s="9" t="n">
        <v>191.38</v>
      </c>
      <c r="L26" s="9" t="n">
        <v>189.51</v>
      </c>
      <c r="M26" s="9" t="n">
        <v>171.51</v>
      </c>
      <c r="N26" s="9" t="n">
        <v>171.3</v>
      </c>
      <c r="O26" s="9" t="n">
        <v>184.08</v>
      </c>
      <c r="P26" s="9" t="n">
        <v>181.25</v>
      </c>
      <c r="Q26" s="9" t="n">
        <v>153.44</v>
      </c>
      <c r="R26" s="9" t="n">
        <v>183.78</v>
      </c>
      <c r="S26" s="9" t="n">
        <v>156.42</v>
      </c>
      <c r="T26" s="9" t="n">
        <v>186.99</v>
      </c>
      <c r="U26" s="10">
        <f>SUM(I26:T26)</f>
        <v/>
      </c>
    </row>
    <row r="27">
      <c r="A27" s="2" t="inlineStr">
        <is>
          <t>SN-1000-1200-1210-1210EF0001</t>
        </is>
      </c>
      <c r="B27" s="2" t="inlineStr">
        <is>
          <t>1210EF0001</t>
        </is>
      </c>
      <c r="C27" s="2" t="inlineStr">
        <is>
          <t>Extractor taller EMP</t>
        </is>
      </c>
      <c r="D27" s="2" t="n">
        <v>9</v>
      </c>
      <c r="E27" s="2" t="inlineStr">
        <is>
          <t>CC-1000</t>
        </is>
      </c>
      <c r="F27" s="2" t="inlineStr">
        <is>
          <t>P01</t>
        </is>
      </c>
      <c r="G27" s="2" t="n">
        <v>620000</v>
      </c>
      <c r="H27" s="2" t="inlineStr">
        <is>
          <t>Materiales</t>
        </is>
      </c>
      <c r="I27" s="9" t="n">
        <v>199.36</v>
      </c>
      <c r="J27" s="9" t="n">
        <v>206.59</v>
      </c>
      <c r="K27" s="9" t="n">
        <v>214.59</v>
      </c>
      <c r="L27" s="9" t="n">
        <v>203.92</v>
      </c>
      <c r="M27" s="9" t="n">
        <v>189.55</v>
      </c>
      <c r="N27" s="9" t="n">
        <v>200.54</v>
      </c>
      <c r="O27" s="9" t="n">
        <v>204.91</v>
      </c>
      <c r="P27" s="9" t="n">
        <v>212.89</v>
      </c>
      <c r="Q27" s="9" t="n">
        <v>190.65</v>
      </c>
      <c r="R27" s="9" t="n">
        <v>232.57</v>
      </c>
      <c r="S27" s="9" t="n">
        <v>199.27</v>
      </c>
      <c r="T27" s="9" t="n">
        <v>209.2</v>
      </c>
      <c r="U27" s="10">
        <f>SUM(I27:T27)</f>
        <v/>
      </c>
    </row>
    <row r="28">
      <c r="A28" s="2" t="inlineStr">
        <is>
          <t>SN-1000-1200-1210-1210EF0001</t>
        </is>
      </c>
      <c r="B28" s="2" t="inlineStr">
        <is>
          <t>1210EF0001</t>
        </is>
      </c>
      <c r="C28" s="2" t="inlineStr">
        <is>
          <t>Extractor taller EMP</t>
        </is>
      </c>
      <c r="D28" s="2" t="n">
        <v>9</v>
      </c>
      <c r="E28" s="2" t="inlineStr">
        <is>
          <t>CC-1000</t>
        </is>
      </c>
      <c r="F28" s="2" t="inlineStr">
        <is>
          <t>P01</t>
        </is>
      </c>
      <c r="G28" s="2" t="n">
        <v>630000</v>
      </c>
      <c r="H28" s="2" t="inlineStr">
        <is>
          <t>Servicios externos</t>
        </is>
      </c>
      <c r="I28" s="9" t="n">
        <v>227.69</v>
      </c>
      <c r="J28" s="9" t="n">
        <v>210.05</v>
      </c>
      <c r="K28" s="9" t="n">
        <v>216.09</v>
      </c>
      <c r="L28" s="9" t="n">
        <v>240.99</v>
      </c>
      <c r="M28" s="9" t="n">
        <v>228.52</v>
      </c>
      <c r="N28" s="9" t="n">
        <v>223.66</v>
      </c>
      <c r="O28" s="9" t="n">
        <v>216.24</v>
      </c>
      <c r="P28" s="9" t="n">
        <v>213.2</v>
      </c>
      <c r="Q28" s="9" t="n">
        <v>194.5</v>
      </c>
      <c r="R28" s="9" t="n">
        <v>238.47</v>
      </c>
      <c r="S28" s="9" t="n">
        <v>222.46</v>
      </c>
      <c r="T28" s="9" t="n">
        <v>225.94</v>
      </c>
      <c r="U28" s="10">
        <f>SUM(I28:T28)</f>
        <v/>
      </c>
    </row>
    <row r="29">
      <c r="A29" s="2" t="inlineStr">
        <is>
          <t>SN-1000-1200-1210-1210EF0002</t>
        </is>
      </c>
      <c r="B29" s="2" t="inlineStr">
        <is>
          <t>1210EF0002</t>
        </is>
      </c>
      <c r="C29" s="2" t="inlineStr">
        <is>
          <t>Extractor taller EMP</t>
        </is>
      </c>
      <c r="D29" s="2" t="n">
        <v>10</v>
      </c>
      <c r="E29" s="2" t="inlineStr">
        <is>
          <t>CC-1000</t>
        </is>
      </c>
      <c r="F29" s="2" t="inlineStr">
        <is>
          <t>P01</t>
        </is>
      </c>
      <c r="G29" s="2" t="n">
        <v>610000</v>
      </c>
      <c r="H29" s="2" t="inlineStr">
        <is>
          <t>Mano obra interna</t>
        </is>
      </c>
      <c r="I29" s="9" t="n">
        <v>1127.99</v>
      </c>
      <c r="J29" s="9" t="n">
        <v>997.3099999999999</v>
      </c>
      <c r="K29" s="9" t="n">
        <v>1073.08</v>
      </c>
      <c r="L29" s="9" t="n">
        <v>1108.86</v>
      </c>
      <c r="M29" s="9" t="n">
        <v>1010.1</v>
      </c>
      <c r="N29" s="9" t="n">
        <v>1011.63</v>
      </c>
      <c r="O29" s="9" t="n">
        <v>1098.51</v>
      </c>
      <c r="P29" s="9" t="n">
        <v>1111.65</v>
      </c>
      <c r="Q29" s="9" t="n">
        <v>911.55</v>
      </c>
      <c r="R29" s="9" t="n">
        <v>1195.62</v>
      </c>
      <c r="S29" s="9" t="n">
        <v>1003.43</v>
      </c>
      <c r="T29" s="9" t="n">
        <v>1012.51</v>
      </c>
      <c r="U29" s="10">
        <f>SUM(I29:T29)</f>
        <v/>
      </c>
    </row>
    <row r="30">
      <c r="A30" s="2" t="inlineStr">
        <is>
          <t>SN-1000-1200-1210-1210EF0002</t>
        </is>
      </c>
      <c r="B30" s="2" t="inlineStr">
        <is>
          <t>1210EF0002</t>
        </is>
      </c>
      <c r="C30" s="2" t="inlineStr">
        <is>
          <t>Extractor taller EMP</t>
        </is>
      </c>
      <c r="D30" s="2" t="n">
        <v>10</v>
      </c>
      <c r="E30" s="2" t="inlineStr">
        <is>
          <t>CC-1000</t>
        </is>
      </c>
      <c r="F30" s="2" t="inlineStr">
        <is>
          <t>P01</t>
        </is>
      </c>
      <c r="G30" s="2" t="n">
        <v>620000</v>
      </c>
      <c r="H30" s="2" t="inlineStr">
        <is>
          <t>Materiales</t>
        </is>
      </c>
      <c r="I30" s="9" t="n">
        <v>1162.42</v>
      </c>
      <c r="J30" s="9" t="n">
        <v>1040.22</v>
      </c>
      <c r="K30" s="9" t="n">
        <v>1061.03</v>
      </c>
      <c r="L30" s="9" t="n">
        <v>1103.84</v>
      </c>
      <c r="M30" s="9" t="n">
        <v>1003.02</v>
      </c>
      <c r="N30" s="9" t="n">
        <v>942.4</v>
      </c>
      <c r="O30" s="9" t="n">
        <v>995.12</v>
      </c>
      <c r="P30" s="9" t="n">
        <v>993.79</v>
      </c>
      <c r="Q30" s="9" t="n">
        <v>929.54</v>
      </c>
      <c r="R30" s="9" t="n">
        <v>1074.5</v>
      </c>
      <c r="S30" s="9" t="n">
        <v>1046.77</v>
      </c>
      <c r="T30" s="9" t="n">
        <v>1018.54</v>
      </c>
      <c r="U30" s="10">
        <f>SUM(I30:T30)</f>
        <v/>
      </c>
    </row>
    <row r="31">
      <c r="A31" s="2" t="inlineStr">
        <is>
          <t>SN-1000-1200-1210-1210EF0002</t>
        </is>
      </c>
      <c r="B31" s="2" t="inlineStr">
        <is>
          <t>1210EF0002</t>
        </is>
      </c>
      <c r="C31" s="2" t="inlineStr">
        <is>
          <t>Extractor taller EMP</t>
        </is>
      </c>
      <c r="D31" s="2" t="n">
        <v>10</v>
      </c>
      <c r="E31" s="2" t="inlineStr">
        <is>
          <t>CC-1000</t>
        </is>
      </c>
      <c r="F31" s="2" t="inlineStr">
        <is>
          <t>P01</t>
        </is>
      </c>
      <c r="G31" s="2" t="n">
        <v>630000</v>
      </c>
      <c r="H31" s="2" t="inlineStr">
        <is>
          <t>Servicios externos</t>
        </is>
      </c>
      <c r="I31" s="9" t="n">
        <v>1114.06</v>
      </c>
      <c r="J31" s="9" t="n">
        <v>1006.42</v>
      </c>
      <c r="K31" s="9" t="n">
        <v>1087.02</v>
      </c>
      <c r="L31" s="9" t="n">
        <v>993.8</v>
      </c>
      <c r="M31" s="9" t="n">
        <v>965.55</v>
      </c>
      <c r="N31" s="9" t="n">
        <v>909.01</v>
      </c>
      <c r="O31" s="9" t="n">
        <v>972.25</v>
      </c>
      <c r="P31" s="9" t="n">
        <v>989.0700000000001</v>
      </c>
      <c r="Q31" s="9" t="n">
        <v>905.87</v>
      </c>
      <c r="R31" s="9" t="n">
        <v>1033.82</v>
      </c>
      <c r="S31" s="9" t="n">
        <v>933.1</v>
      </c>
      <c r="T31" s="9" t="n">
        <v>1034.87</v>
      </c>
      <c r="U31" s="10">
        <f>SUM(I31:T31)</f>
        <v/>
      </c>
    </row>
    <row r="32">
      <c r="A32" s="2" t="inlineStr">
        <is>
          <t>SN-1000-1200-1210-1210EF0003</t>
        </is>
      </c>
      <c r="B32" s="2" t="inlineStr">
        <is>
          <t>1210EF0003</t>
        </is>
      </c>
      <c r="C32" s="2" t="inlineStr">
        <is>
          <t>Extractor taller EMP</t>
        </is>
      </c>
      <c r="D32" s="2" t="n">
        <v>11</v>
      </c>
      <c r="E32" s="2" t="inlineStr">
        <is>
          <t>CC-1000</t>
        </is>
      </c>
      <c r="F32" s="2" t="inlineStr">
        <is>
          <t>P01</t>
        </is>
      </c>
      <c r="G32" s="2" t="n">
        <v>610000</v>
      </c>
      <c r="H32" s="2" t="inlineStr">
        <is>
          <t>Mano obra interna</t>
        </is>
      </c>
      <c r="I32" s="9" t="n">
        <v>705.76</v>
      </c>
      <c r="J32" s="9" t="n">
        <v>696.38</v>
      </c>
      <c r="K32" s="9" t="n">
        <v>751.27</v>
      </c>
      <c r="L32" s="9" t="n">
        <v>669.04</v>
      </c>
      <c r="M32" s="9" t="n">
        <v>732.89</v>
      </c>
      <c r="N32" s="9" t="n">
        <v>689.48</v>
      </c>
      <c r="O32" s="9" t="n">
        <v>659.7</v>
      </c>
      <c r="P32" s="9" t="n">
        <v>748.38</v>
      </c>
      <c r="Q32" s="9" t="n">
        <v>702.15</v>
      </c>
      <c r="R32" s="9" t="n">
        <v>708.6</v>
      </c>
      <c r="S32" s="9" t="n">
        <v>659.7</v>
      </c>
      <c r="T32" s="9" t="n">
        <v>752.33</v>
      </c>
      <c r="U32" s="10">
        <f>SUM(I32:T32)</f>
        <v/>
      </c>
    </row>
    <row r="33">
      <c r="A33" s="2" t="inlineStr">
        <is>
          <t>SN-1000-1200-1210-1210EF0003</t>
        </is>
      </c>
      <c r="B33" s="2" t="inlineStr">
        <is>
          <t>1210EF0003</t>
        </is>
      </c>
      <c r="C33" s="2" t="inlineStr">
        <is>
          <t>Extractor taller EMP</t>
        </is>
      </c>
      <c r="D33" s="2" t="n">
        <v>11</v>
      </c>
      <c r="E33" s="2" t="inlineStr">
        <is>
          <t>CC-1000</t>
        </is>
      </c>
      <c r="F33" s="2" t="inlineStr">
        <is>
          <t>P01</t>
        </is>
      </c>
      <c r="G33" s="2" t="n">
        <v>620000</v>
      </c>
      <c r="H33" s="2" t="inlineStr">
        <is>
          <t>Materiales</t>
        </is>
      </c>
      <c r="I33" s="9" t="n">
        <v>789.98</v>
      </c>
      <c r="J33" s="9" t="n">
        <v>765.3200000000001</v>
      </c>
      <c r="K33" s="9" t="n">
        <v>823.35</v>
      </c>
      <c r="L33" s="9" t="n">
        <v>830.89</v>
      </c>
      <c r="M33" s="9" t="n">
        <v>821.8099999999999</v>
      </c>
      <c r="N33" s="9" t="n">
        <v>762.84</v>
      </c>
      <c r="O33" s="9" t="n">
        <v>810.46</v>
      </c>
      <c r="P33" s="9" t="n">
        <v>846.62</v>
      </c>
      <c r="Q33" s="9" t="n">
        <v>702.41</v>
      </c>
      <c r="R33" s="9" t="n">
        <v>844.09</v>
      </c>
      <c r="S33" s="9" t="n">
        <v>815.89</v>
      </c>
      <c r="T33" s="9" t="n">
        <v>879.38</v>
      </c>
      <c r="U33" s="10">
        <f>SUM(I33:T33)</f>
        <v/>
      </c>
    </row>
    <row r="34">
      <c r="A34" s="2" t="inlineStr">
        <is>
          <t>SN-1000-1200-1210-1210EF0003</t>
        </is>
      </c>
      <c r="B34" s="2" t="inlineStr">
        <is>
          <t>1210EF0003</t>
        </is>
      </c>
      <c r="C34" s="2" t="inlineStr">
        <is>
          <t>Extractor taller EMP</t>
        </is>
      </c>
      <c r="D34" s="2" t="n">
        <v>11</v>
      </c>
      <c r="E34" s="2" t="inlineStr">
        <is>
          <t>CC-1000</t>
        </is>
      </c>
      <c r="F34" s="2" t="inlineStr">
        <is>
          <t>P01</t>
        </is>
      </c>
      <c r="G34" s="2" t="n">
        <v>630000</v>
      </c>
      <c r="H34" s="2" t="inlineStr">
        <is>
          <t>Servicios externos</t>
        </is>
      </c>
      <c r="I34" s="9" t="n">
        <v>800.78</v>
      </c>
      <c r="J34" s="9" t="n">
        <v>720.3</v>
      </c>
      <c r="K34" s="9" t="n">
        <v>798.34</v>
      </c>
      <c r="L34" s="9" t="n">
        <v>801.79</v>
      </c>
      <c r="M34" s="9" t="n">
        <v>740.52</v>
      </c>
      <c r="N34" s="9" t="n">
        <v>718.59</v>
      </c>
      <c r="O34" s="9" t="n">
        <v>765.4400000000001</v>
      </c>
      <c r="P34" s="9" t="n">
        <v>719.96</v>
      </c>
      <c r="Q34" s="9" t="n">
        <v>705.8</v>
      </c>
      <c r="R34" s="9" t="n">
        <v>802.77</v>
      </c>
      <c r="S34" s="9" t="n">
        <v>734.65</v>
      </c>
      <c r="T34" s="9" t="n">
        <v>743.8200000000001</v>
      </c>
      <c r="U34" s="10">
        <f>SUM(I34:T34)</f>
        <v/>
      </c>
    </row>
    <row r="35">
      <c r="A35" s="2" t="inlineStr">
        <is>
          <t>SN-1000-1200-1210-1210EF0004</t>
        </is>
      </c>
      <c r="B35" s="2" t="inlineStr">
        <is>
          <t>1210EF0004</t>
        </is>
      </c>
      <c r="C35" s="2" t="inlineStr">
        <is>
          <t>Extractor taller EMP</t>
        </is>
      </c>
      <c r="D35" s="2" t="n">
        <v>12</v>
      </c>
      <c r="E35" s="2" t="inlineStr">
        <is>
          <t>CC-1000</t>
        </is>
      </c>
      <c r="F35" s="2" t="inlineStr">
        <is>
          <t>P01</t>
        </is>
      </c>
      <c r="G35" s="2" t="n">
        <v>610000</v>
      </c>
      <c r="H35" s="2" t="inlineStr">
        <is>
          <t>Mano obra interna</t>
        </is>
      </c>
      <c r="I35" s="9" t="n">
        <v>541.38</v>
      </c>
      <c r="J35" s="9" t="n">
        <v>529.34</v>
      </c>
      <c r="K35" s="9" t="n">
        <v>563.98</v>
      </c>
      <c r="L35" s="9" t="n">
        <v>533.89</v>
      </c>
      <c r="M35" s="9" t="n">
        <v>482.92</v>
      </c>
      <c r="N35" s="9" t="n">
        <v>502.52</v>
      </c>
      <c r="O35" s="9" t="n">
        <v>530</v>
      </c>
      <c r="P35" s="9" t="n">
        <v>542.62</v>
      </c>
      <c r="Q35" s="9" t="n">
        <v>481.07</v>
      </c>
      <c r="R35" s="9" t="n">
        <v>529.91</v>
      </c>
      <c r="S35" s="9" t="n">
        <v>488.32</v>
      </c>
      <c r="T35" s="9" t="n">
        <v>518.65</v>
      </c>
      <c r="U35" s="10">
        <f>SUM(I35:T35)</f>
        <v/>
      </c>
    </row>
    <row r="36">
      <c r="A36" s="2" t="inlineStr">
        <is>
          <t>SN-1000-1200-1210-1210EF0004</t>
        </is>
      </c>
      <c r="B36" s="2" t="inlineStr">
        <is>
          <t>1210EF0004</t>
        </is>
      </c>
      <c r="C36" s="2" t="inlineStr">
        <is>
          <t>Extractor taller EMP</t>
        </is>
      </c>
      <c r="D36" s="2" t="n">
        <v>12</v>
      </c>
      <c r="E36" s="2" t="inlineStr">
        <is>
          <t>CC-1000</t>
        </is>
      </c>
      <c r="F36" s="2" t="inlineStr">
        <is>
          <t>P01</t>
        </is>
      </c>
      <c r="G36" s="2" t="n">
        <v>620000</v>
      </c>
      <c r="H36" s="2" t="inlineStr">
        <is>
          <t>Materiales</t>
        </is>
      </c>
      <c r="I36" s="9" t="n">
        <v>499.95</v>
      </c>
      <c r="J36" s="9" t="n">
        <v>465.94</v>
      </c>
      <c r="K36" s="9" t="n">
        <v>538.47</v>
      </c>
      <c r="L36" s="9" t="n">
        <v>503.31</v>
      </c>
      <c r="M36" s="9" t="n">
        <v>459.1</v>
      </c>
      <c r="N36" s="9" t="n">
        <v>433.48</v>
      </c>
      <c r="O36" s="9" t="n">
        <v>457.56</v>
      </c>
      <c r="P36" s="9" t="n">
        <v>464.22</v>
      </c>
      <c r="Q36" s="9" t="n">
        <v>426.31</v>
      </c>
      <c r="R36" s="9" t="n">
        <v>496.04</v>
      </c>
      <c r="S36" s="9" t="n">
        <v>452.67</v>
      </c>
      <c r="T36" s="9" t="n">
        <v>465.76</v>
      </c>
      <c r="U36" s="10">
        <f>SUM(I36:T36)</f>
        <v/>
      </c>
    </row>
    <row r="37">
      <c r="A37" s="2" t="inlineStr">
        <is>
          <t>SN-1000-1200-1210-1210EF0004</t>
        </is>
      </c>
      <c r="B37" s="2" t="inlineStr">
        <is>
          <t>1210EF0004</t>
        </is>
      </c>
      <c r="C37" s="2" t="inlineStr">
        <is>
          <t>Extractor taller EMP</t>
        </is>
      </c>
      <c r="D37" s="2" t="n">
        <v>12</v>
      </c>
      <c r="E37" s="2" t="inlineStr">
        <is>
          <t>CC-1000</t>
        </is>
      </c>
      <c r="F37" s="2" t="inlineStr">
        <is>
          <t>P01</t>
        </is>
      </c>
      <c r="G37" s="2" t="n">
        <v>630000</v>
      </c>
      <c r="H37" s="2" t="inlineStr">
        <is>
          <t>Servicios externos</t>
        </is>
      </c>
      <c r="I37" s="9" t="n">
        <v>480.39</v>
      </c>
      <c r="J37" s="9" t="n">
        <v>498.77</v>
      </c>
      <c r="K37" s="9" t="n">
        <v>512.96</v>
      </c>
      <c r="L37" s="9" t="n">
        <v>555.37</v>
      </c>
      <c r="M37" s="9" t="n">
        <v>468.25</v>
      </c>
      <c r="N37" s="9" t="n">
        <v>474.42</v>
      </c>
      <c r="O37" s="9" t="n">
        <v>542.6</v>
      </c>
      <c r="P37" s="9" t="n">
        <v>533.5599999999999</v>
      </c>
      <c r="Q37" s="9" t="n">
        <v>493.41</v>
      </c>
      <c r="R37" s="9" t="n">
        <v>522.95</v>
      </c>
      <c r="S37" s="9" t="n">
        <v>462.63</v>
      </c>
      <c r="T37" s="9" t="n">
        <v>525.76</v>
      </c>
      <c r="U37" s="10">
        <f>SUM(I37:T37)</f>
        <v/>
      </c>
    </row>
    <row r="38">
      <c r="A38" s="2" t="inlineStr">
        <is>
          <t>SN-1000-1200-1210-1210EF0005</t>
        </is>
      </c>
      <c r="B38" s="2" t="inlineStr">
        <is>
          <t>1210EF0005</t>
        </is>
      </c>
      <c r="C38" s="2" t="inlineStr">
        <is>
          <t>Extractor taller EMP</t>
        </is>
      </c>
      <c r="D38" s="2" t="n">
        <v>13</v>
      </c>
      <c r="E38" s="2" t="inlineStr">
        <is>
          <t>CC-1000</t>
        </is>
      </c>
      <c r="F38" s="2" t="inlineStr">
        <is>
          <t>P01</t>
        </is>
      </c>
      <c r="G38" s="2" t="n">
        <v>610000</v>
      </c>
      <c r="H38" s="2" t="inlineStr">
        <is>
          <t>Mano obra interna</t>
        </is>
      </c>
      <c r="I38" s="9" t="n">
        <v>1427.69</v>
      </c>
      <c r="J38" s="9" t="n">
        <v>1380.61</v>
      </c>
      <c r="K38" s="9" t="n">
        <v>1379.47</v>
      </c>
      <c r="L38" s="9" t="n">
        <v>1477.59</v>
      </c>
      <c r="M38" s="9" t="n">
        <v>1302.94</v>
      </c>
      <c r="N38" s="9" t="n">
        <v>1287.68</v>
      </c>
      <c r="O38" s="9" t="n">
        <v>1370.04</v>
      </c>
      <c r="P38" s="9" t="n">
        <v>1386.6</v>
      </c>
      <c r="Q38" s="9" t="n">
        <v>1236.98</v>
      </c>
      <c r="R38" s="9" t="n">
        <v>1402.54</v>
      </c>
      <c r="S38" s="9" t="n">
        <v>1365.44</v>
      </c>
      <c r="T38" s="9" t="n">
        <v>1358.96</v>
      </c>
      <c r="U38" s="10">
        <f>SUM(I38:T38)</f>
        <v/>
      </c>
    </row>
    <row r="39">
      <c r="A39" s="2" t="inlineStr">
        <is>
          <t>SN-1000-1200-1210-1210EF0005</t>
        </is>
      </c>
      <c r="B39" s="2" t="inlineStr">
        <is>
          <t>1210EF0005</t>
        </is>
      </c>
      <c r="C39" s="2" t="inlineStr">
        <is>
          <t>Extractor taller EMP</t>
        </is>
      </c>
      <c r="D39" s="2" t="n">
        <v>13</v>
      </c>
      <c r="E39" s="2" t="inlineStr">
        <is>
          <t>CC-1000</t>
        </is>
      </c>
      <c r="F39" s="2" t="inlineStr">
        <is>
          <t>P01</t>
        </is>
      </c>
      <c r="G39" s="2" t="n">
        <v>620000</v>
      </c>
      <c r="H39" s="2" t="inlineStr">
        <is>
          <t>Materiales</t>
        </is>
      </c>
      <c r="I39" s="9" t="n">
        <v>1177.39</v>
      </c>
      <c r="J39" s="9" t="n">
        <v>1198.75</v>
      </c>
      <c r="K39" s="9" t="n">
        <v>1266.06</v>
      </c>
      <c r="L39" s="9" t="n">
        <v>1158.3</v>
      </c>
      <c r="M39" s="9" t="n">
        <v>1176.64</v>
      </c>
      <c r="N39" s="9" t="n">
        <v>1098.95</v>
      </c>
      <c r="O39" s="9" t="n">
        <v>1136.08</v>
      </c>
      <c r="P39" s="9" t="n">
        <v>1315.58</v>
      </c>
      <c r="Q39" s="9" t="n">
        <v>1104.17</v>
      </c>
      <c r="R39" s="9" t="n">
        <v>1381.88</v>
      </c>
      <c r="S39" s="9" t="n">
        <v>1135.47</v>
      </c>
      <c r="T39" s="9" t="n">
        <v>1274.97</v>
      </c>
      <c r="U39" s="10">
        <f>SUM(I39:T39)</f>
        <v/>
      </c>
    </row>
    <row r="40">
      <c r="A40" s="2" t="inlineStr">
        <is>
          <t>SN-1000-1200-1210-1210EF0005</t>
        </is>
      </c>
      <c r="B40" s="2" t="inlineStr">
        <is>
          <t>1210EF0005</t>
        </is>
      </c>
      <c r="C40" s="2" t="inlineStr">
        <is>
          <t>Extractor taller EMP</t>
        </is>
      </c>
      <c r="D40" s="2" t="n">
        <v>13</v>
      </c>
      <c r="E40" s="2" t="inlineStr">
        <is>
          <t>CC-1000</t>
        </is>
      </c>
      <c r="F40" s="2" t="inlineStr">
        <is>
          <t>P01</t>
        </is>
      </c>
      <c r="G40" s="2" t="n">
        <v>630000</v>
      </c>
      <c r="H40" s="2" t="inlineStr">
        <is>
          <t>Servicios externos</t>
        </is>
      </c>
      <c r="I40" s="9" t="n">
        <v>1301.17</v>
      </c>
      <c r="J40" s="9" t="n">
        <v>1230.76</v>
      </c>
      <c r="K40" s="9" t="n">
        <v>1276.85</v>
      </c>
      <c r="L40" s="9" t="n">
        <v>1252.04</v>
      </c>
      <c r="M40" s="9" t="n">
        <v>1327.79</v>
      </c>
      <c r="N40" s="9" t="n">
        <v>1263.73</v>
      </c>
      <c r="O40" s="9" t="n">
        <v>1349.41</v>
      </c>
      <c r="P40" s="9" t="n">
        <v>1179.05</v>
      </c>
      <c r="Q40" s="9" t="n">
        <v>1211.78</v>
      </c>
      <c r="R40" s="9" t="n">
        <v>1448.8</v>
      </c>
      <c r="S40" s="9" t="n">
        <v>1153.32</v>
      </c>
      <c r="T40" s="9" t="n">
        <v>1185.66</v>
      </c>
      <c r="U40" s="10">
        <f>SUM(I40:T40)</f>
        <v/>
      </c>
    </row>
    <row r="41">
      <c r="A41" s="2" t="inlineStr">
        <is>
          <t>SN-1000-1200-1210-1210EF0011</t>
        </is>
      </c>
      <c r="B41" s="2" t="inlineStr">
        <is>
          <t>1210EF0011</t>
        </is>
      </c>
      <c r="C41" s="2" t="inlineStr">
        <is>
          <t>Extractor taller EMP</t>
        </is>
      </c>
      <c r="D41" s="2" t="n">
        <v>14</v>
      </c>
      <c r="E41" s="2" t="inlineStr">
        <is>
          <t>CC-1000</t>
        </is>
      </c>
      <c r="F41" s="2" t="inlineStr">
        <is>
          <t>P01</t>
        </is>
      </c>
      <c r="G41" s="2" t="n">
        <v>610000</v>
      </c>
      <c r="H41" s="2" t="inlineStr">
        <is>
          <t>Mano obra interna</t>
        </is>
      </c>
      <c r="I41" s="9" t="n">
        <v>1008.9</v>
      </c>
      <c r="J41" s="9" t="n">
        <v>1014.48</v>
      </c>
      <c r="K41" s="9" t="n">
        <v>949.49</v>
      </c>
      <c r="L41" s="9" t="n">
        <v>1045.35</v>
      </c>
      <c r="M41" s="9" t="n">
        <v>920.41</v>
      </c>
      <c r="N41" s="9" t="n">
        <v>883.5</v>
      </c>
      <c r="O41" s="9" t="n">
        <v>924.61</v>
      </c>
      <c r="P41" s="9" t="n">
        <v>1025.05</v>
      </c>
      <c r="Q41" s="9" t="n">
        <v>933.1799999999999</v>
      </c>
      <c r="R41" s="9" t="n">
        <v>1057.14</v>
      </c>
      <c r="S41" s="9" t="n">
        <v>924.11</v>
      </c>
      <c r="T41" s="9" t="n">
        <v>1050.98</v>
      </c>
      <c r="U41" s="10">
        <f>SUM(I41:T41)</f>
        <v/>
      </c>
    </row>
    <row r="42">
      <c r="A42" s="2" t="inlineStr">
        <is>
          <t>SN-1000-1200-1210-1210EF0011</t>
        </is>
      </c>
      <c r="B42" s="2" t="inlineStr">
        <is>
          <t>1210EF0011</t>
        </is>
      </c>
      <c r="C42" s="2" t="inlineStr">
        <is>
          <t>Extractor taller EMP</t>
        </is>
      </c>
      <c r="D42" s="2" t="n">
        <v>14</v>
      </c>
      <c r="E42" s="2" t="inlineStr">
        <is>
          <t>CC-1000</t>
        </is>
      </c>
      <c r="F42" s="2" t="inlineStr">
        <is>
          <t>P01</t>
        </is>
      </c>
      <c r="G42" s="2" t="n">
        <v>620000</v>
      </c>
      <c r="H42" s="2" t="inlineStr">
        <is>
          <t>Materiales</t>
        </is>
      </c>
      <c r="I42" s="9" t="n">
        <v>912.13</v>
      </c>
      <c r="J42" s="9" t="n">
        <v>829.39</v>
      </c>
      <c r="K42" s="9" t="n">
        <v>860.0599999999999</v>
      </c>
      <c r="L42" s="9" t="n">
        <v>863.98</v>
      </c>
      <c r="M42" s="9" t="n">
        <v>814.88</v>
      </c>
      <c r="N42" s="9" t="n">
        <v>845.27</v>
      </c>
      <c r="O42" s="9" t="n">
        <v>851.1799999999999</v>
      </c>
      <c r="P42" s="9" t="n">
        <v>813.38</v>
      </c>
      <c r="Q42" s="9" t="n">
        <v>842.25</v>
      </c>
      <c r="R42" s="9" t="n">
        <v>900.08</v>
      </c>
      <c r="S42" s="9" t="n">
        <v>829</v>
      </c>
      <c r="T42" s="9" t="n">
        <v>919.1799999999999</v>
      </c>
      <c r="U42" s="10">
        <f>SUM(I42:T42)</f>
        <v/>
      </c>
    </row>
    <row r="43">
      <c r="A43" s="2" t="inlineStr">
        <is>
          <t>SN-1000-1200-1210-1210EF0011</t>
        </is>
      </c>
      <c r="B43" s="2" t="inlineStr">
        <is>
          <t>1210EF0011</t>
        </is>
      </c>
      <c r="C43" s="2" t="inlineStr">
        <is>
          <t>Extractor taller EMP</t>
        </is>
      </c>
      <c r="D43" s="2" t="n">
        <v>14</v>
      </c>
      <c r="E43" s="2" t="inlineStr">
        <is>
          <t>CC-1000</t>
        </is>
      </c>
      <c r="F43" s="2" t="inlineStr">
        <is>
          <t>P01</t>
        </is>
      </c>
      <c r="G43" s="2" t="n">
        <v>630000</v>
      </c>
      <c r="H43" s="2" t="inlineStr">
        <is>
          <t>Servicios externos</t>
        </is>
      </c>
      <c r="I43" s="9" t="n">
        <v>877.47</v>
      </c>
      <c r="J43" s="9" t="n">
        <v>965.28</v>
      </c>
      <c r="K43" s="9" t="n">
        <v>963.96</v>
      </c>
      <c r="L43" s="9" t="n">
        <v>911.14</v>
      </c>
      <c r="M43" s="9" t="n">
        <v>853.9</v>
      </c>
      <c r="N43" s="9" t="n">
        <v>916.64</v>
      </c>
      <c r="O43" s="9" t="n">
        <v>933.6900000000001</v>
      </c>
      <c r="P43" s="9" t="n">
        <v>919.89</v>
      </c>
      <c r="Q43" s="9" t="n">
        <v>906.1</v>
      </c>
      <c r="R43" s="9" t="n">
        <v>1033.09</v>
      </c>
      <c r="S43" s="9" t="n">
        <v>837.03</v>
      </c>
      <c r="T43" s="9" t="n">
        <v>901.28</v>
      </c>
      <c r="U43" s="10">
        <f>SUM(I43:T43)</f>
        <v/>
      </c>
    </row>
    <row r="44">
      <c r="A44" s="2" t="inlineStr">
        <is>
          <t>SN-1000-1200-1210-1210EF0012</t>
        </is>
      </c>
      <c r="B44" s="2" t="inlineStr">
        <is>
          <t>1210EF0012</t>
        </is>
      </c>
      <c r="C44" s="2" t="inlineStr">
        <is>
          <t>Extractor taller EMP</t>
        </is>
      </c>
      <c r="D44" s="2" t="n">
        <v>15</v>
      </c>
      <c r="E44" s="2" t="inlineStr">
        <is>
          <t>CC-1000</t>
        </is>
      </c>
      <c r="F44" s="2" t="inlineStr">
        <is>
          <t>P01</t>
        </is>
      </c>
      <c r="G44" s="2" t="n">
        <v>610000</v>
      </c>
      <c r="H44" s="2" t="inlineStr">
        <is>
          <t>Mano obra interna</t>
        </is>
      </c>
      <c r="I44" s="9" t="n">
        <v>1329</v>
      </c>
      <c r="J44" s="9" t="n">
        <v>1141.89</v>
      </c>
      <c r="K44" s="9" t="n">
        <v>1307.06</v>
      </c>
      <c r="L44" s="9" t="n">
        <v>1334.35</v>
      </c>
      <c r="M44" s="9" t="n">
        <v>1314.75</v>
      </c>
      <c r="N44" s="9" t="n">
        <v>1167.64</v>
      </c>
      <c r="O44" s="9" t="n">
        <v>1317.96</v>
      </c>
      <c r="P44" s="9" t="n">
        <v>1174.02</v>
      </c>
      <c r="Q44" s="9" t="n">
        <v>1231</v>
      </c>
      <c r="R44" s="9" t="n">
        <v>1270.68</v>
      </c>
      <c r="S44" s="9" t="n">
        <v>1193.01</v>
      </c>
      <c r="T44" s="9" t="n">
        <v>1332.04</v>
      </c>
      <c r="U44" s="10">
        <f>SUM(I44:T44)</f>
        <v/>
      </c>
    </row>
    <row r="45">
      <c r="A45" s="2" t="inlineStr">
        <is>
          <t>SN-1000-1200-1210-1210EF0012</t>
        </is>
      </c>
      <c r="B45" s="2" t="inlineStr">
        <is>
          <t>1210EF0012</t>
        </is>
      </c>
      <c r="C45" s="2" t="inlineStr">
        <is>
          <t>Extractor taller EMP</t>
        </is>
      </c>
      <c r="D45" s="2" t="n">
        <v>15</v>
      </c>
      <c r="E45" s="2" t="inlineStr">
        <is>
          <t>CC-1000</t>
        </is>
      </c>
      <c r="F45" s="2" t="inlineStr">
        <is>
          <t>P01</t>
        </is>
      </c>
      <c r="G45" s="2" t="n">
        <v>620000</v>
      </c>
      <c r="H45" s="2" t="inlineStr">
        <is>
          <t>Materiales</t>
        </is>
      </c>
      <c r="I45" s="9" t="n">
        <v>1151.81</v>
      </c>
      <c r="J45" s="9" t="n">
        <v>1202.83</v>
      </c>
      <c r="K45" s="9" t="n">
        <v>1259.53</v>
      </c>
      <c r="L45" s="9" t="n">
        <v>1232.6</v>
      </c>
      <c r="M45" s="9" t="n">
        <v>1203.4</v>
      </c>
      <c r="N45" s="9" t="n">
        <v>1135.28</v>
      </c>
      <c r="O45" s="9" t="n">
        <v>1133.06</v>
      </c>
      <c r="P45" s="9" t="n">
        <v>1149.41</v>
      </c>
      <c r="Q45" s="9" t="n">
        <v>1041.93</v>
      </c>
      <c r="R45" s="9" t="n">
        <v>1355</v>
      </c>
      <c r="S45" s="9" t="n">
        <v>1156.95</v>
      </c>
      <c r="T45" s="9" t="n">
        <v>1177.91</v>
      </c>
      <c r="U45" s="10">
        <f>SUM(I45:T45)</f>
        <v/>
      </c>
    </row>
    <row r="46">
      <c r="A46" s="2" t="inlineStr">
        <is>
          <t>SN-1000-1200-1210-1210EF0012</t>
        </is>
      </c>
      <c r="B46" s="2" t="inlineStr">
        <is>
          <t>1210EF0012</t>
        </is>
      </c>
      <c r="C46" s="2" t="inlineStr">
        <is>
          <t>Extractor taller EMP</t>
        </is>
      </c>
      <c r="D46" s="2" t="n">
        <v>15</v>
      </c>
      <c r="E46" s="2" t="inlineStr">
        <is>
          <t>CC-1000</t>
        </is>
      </c>
      <c r="F46" s="2" t="inlineStr">
        <is>
          <t>P01</t>
        </is>
      </c>
      <c r="G46" s="2" t="n">
        <v>630000</v>
      </c>
      <c r="H46" s="2" t="inlineStr">
        <is>
          <t>Servicios externos</t>
        </is>
      </c>
      <c r="I46" s="9" t="n">
        <v>1401.12</v>
      </c>
      <c r="J46" s="9" t="n">
        <v>1191.48</v>
      </c>
      <c r="K46" s="9" t="n">
        <v>1339.6</v>
      </c>
      <c r="L46" s="9" t="n">
        <v>1310.31</v>
      </c>
      <c r="M46" s="9" t="n">
        <v>1290.2</v>
      </c>
      <c r="N46" s="9" t="n">
        <v>1130.16</v>
      </c>
      <c r="O46" s="9" t="n">
        <v>1357.72</v>
      </c>
      <c r="P46" s="9" t="n">
        <v>1368.38</v>
      </c>
      <c r="Q46" s="9" t="n">
        <v>1204.73</v>
      </c>
      <c r="R46" s="9" t="n">
        <v>1424.76</v>
      </c>
      <c r="S46" s="9" t="n">
        <v>1323.76</v>
      </c>
      <c r="T46" s="9" t="n">
        <v>1342.96</v>
      </c>
      <c r="U46" s="10">
        <f>SUM(I46:T46)</f>
        <v/>
      </c>
    </row>
    <row r="47">
      <c r="A47" s="2" t="inlineStr">
        <is>
          <t>SN-1000-1200-1210-1210EF0013</t>
        </is>
      </c>
      <c r="B47" s="2" t="inlineStr">
        <is>
          <t>1210EF0013</t>
        </is>
      </c>
      <c r="C47" s="2" t="inlineStr">
        <is>
          <t>Extractor aire en baños</t>
        </is>
      </c>
      <c r="D47" s="2" t="n">
        <v>16</v>
      </c>
      <c r="E47" s="2" t="inlineStr">
        <is>
          <t>CC-1000</t>
        </is>
      </c>
      <c r="F47" s="2" t="inlineStr">
        <is>
          <t>P01</t>
        </is>
      </c>
      <c r="G47" s="2" t="n">
        <v>610000</v>
      </c>
      <c r="H47" s="2" t="inlineStr">
        <is>
          <t>Mano obra interna</t>
        </is>
      </c>
      <c r="I47" s="9" t="n">
        <v>726.83</v>
      </c>
      <c r="J47" s="9" t="n">
        <v>704.58</v>
      </c>
      <c r="K47" s="9" t="n">
        <v>716.85</v>
      </c>
      <c r="L47" s="9" t="n">
        <v>746.11</v>
      </c>
      <c r="M47" s="9" t="n">
        <v>744.51</v>
      </c>
      <c r="N47" s="9" t="n">
        <v>718.29</v>
      </c>
      <c r="O47" s="9" t="n">
        <v>698.1900000000001</v>
      </c>
      <c r="P47" s="9" t="n">
        <v>659.38</v>
      </c>
      <c r="Q47" s="9" t="n">
        <v>705.58</v>
      </c>
      <c r="R47" s="9" t="n">
        <v>799.7</v>
      </c>
      <c r="S47" s="9" t="n">
        <v>640.05</v>
      </c>
      <c r="T47" s="9" t="n">
        <v>761.91</v>
      </c>
      <c r="U47" s="10">
        <f>SUM(I47:T47)</f>
        <v/>
      </c>
    </row>
    <row r="48">
      <c r="A48" s="2" t="inlineStr">
        <is>
          <t>SN-1000-1200-1210-1210EF0013</t>
        </is>
      </c>
      <c r="B48" s="2" t="inlineStr">
        <is>
          <t>1210EF0013</t>
        </is>
      </c>
      <c r="C48" s="2" t="inlineStr">
        <is>
          <t>Extractor aire en baños</t>
        </is>
      </c>
      <c r="D48" s="2" t="n">
        <v>16</v>
      </c>
      <c r="E48" s="2" t="inlineStr">
        <is>
          <t>CC-1000</t>
        </is>
      </c>
      <c r="F48" s="2" t="inlineStr">
        <is>
          <t>P01</t>
        </is>
      </c>
      <c r="G48" s="2" t="n">
        <v>620000</v>
      </c>
      <c r="H48" s="2" t="inlineStr">
        <is>
          <t>Materiales</t>
        </is>
      </c>
      <c r="I48" s="9" t="n">
        <v>895.25</v>
      </c>
      <c r="J48" s="9" t="n">
        <v>873.67</v>
      </c>
      <c r="K48" s="9" t="n">
        <v>887.42</v>
      </c>
      <c r="L48" s="9" t="n">
        <v>829.95</v>
      </c>
      <c r="M48" s="9" t="n">
        <v>842.47</v>
      </c>
      <c r="N48" s="9" t="n">
        <v>876.42</v>
      </c>
      <c r="O48" s="9" t="n">
        <v>805.4</v>
      </c>
      <c r="P48" s="9" t="n">
        <v>850.4</v>
      </c>
      <c r="Q48" s="9" t="n">
        <v>800.63</v>
      </c>
      <c r="R48" s="9" t="n">
        <v>948.54</v>
      </c>
      <c r="S48" s="9" t="n">
        <v>903.27</v>
      </c>
      <c r="T48" s="9" t="n">
        <v>865.5</v>
      </c>
      <c r="U48" s="10">
        <f>SUM(I48:T48)</f>
        <v/>
      </c>
    </row>
    <row r="49">
      <c r="A49" s="2" t="inlineStr">
        <is>
          <t>SN-1000-1200-1210-1210EF0013</t>
        </is>
      </c>
      <c r="B49" s="2" t="inlineStr">
        <is>
          <t>1210EF0013</t>
        </is>
      </c>
      <c r="C49" s="2" t="inlineStr">
        <is>
          <t>Extractor aire en baños</t>
        </is>
      </c>
      <c r="D49" s="2" t="n">
        <v>16</v>
      </c>
      <c r="E49" s="2" t="inlineStr">
        <is>
          <t>CC-1000</t>
        </is>
      </c>
      <c r="F49" s="2" t="inlineStr">
        <is>
          <t>P01</t>
        </is>
      </c>
      <c r="G49" s="2" t="n">
        <v>630000</v>
      </c>
      <c r="H49" s="2" t="inlineStr">
        <is>
          <t>Servicios externos</t>
        </is>
      </c>
      <c r="I49" s="9" t="n">
        <v>791.86</v>
      </c>
      <c r="J49" s="9" t="n">
        <v>730.35</v>
      </c>
      <c r="K49" s="9" t="n">
        <v>736.96</v>
      </c>
      <c r="L49" s="9" t="n">
        <v>757.95</v>
      </c>
      <c r="M49" s="9" t="n">
        <v>697.0599999999999</v>
      </c>
      <c r="N49" s="9" t="n">
        <v>677.47</v>
      </c>
      <c r="O49" s="9" t="n">
        <v>747.4299999999999</v>
      </c>
      <c r="P49" s="9" t="n">
        <v>737.04</v>
      </c>
      <c r="Q49" s="9" t="n">
        <v>741.8099999999999</v>
      </c>
      <c r="R49" s="9" t="n">
        <v>788.15</v>
      </c>
      <c r="S49" s="9" t="n">
        <v>732.75</v>
      </c>
      <c r="T49" s="9" t="n">
        <v>774.4299999999999</v>
      </c>
      <c r="U49" s="10">
        <f>SUM(I49:T49)</f>
        <v/>
      </c>
    </row>
    <row r="50">
      <c r="A50" s="2" t="inlineStr">
        <is>
          <t>SN-1000-1200-1210-1210EF0014</t>
        </is>
      </c>
      <c r="B50" s="2" t="inlineStr">
        <is>
          <t>1210EF0014</t>
        </is>
      </c>
      <c r="C50" s="2" t="inlineStr">
        <is>
          <t>Extractor aire en baños</t>
        </is>
      </c>
      <c r="D50" s="2" t="n">
        <v>17</v>
      </c>
      <c r="E50" s="2" t="inlineStr">
        <is>
          <t>CC-1000</t>
        </is>
      </c>
      <c r="F50" s="2" t="inlineStr">
        <is>
          <t>P01</t>
        </is>
      </c>
      <c r="G50" s="2" t="n">
        <v>610000</v>
      </c>
      <c r="H50" s="2" t="inlineStr">
        <is>
          <t>Mano obra interna</t>
        </is>
      </c>
      <c r="I50" s="9" t="n">
        <v>940.67</v>
      </c>
      <c r="J50" s="9" t="n">
        <v>838.8099999999999</v>
      </c>
      <c r="K50" s="9" t="n">
        <v>994.72</v>
      </c>
      <c r="L50" s="9" t="n">
        <v>866.17</v>
      </c>
      <c r="M50" s="9" t="n">
        <v>876.54</v>
      </c>
      <c r="N50" s="9" t="n">
        <v>801.5599999999999</v>
      </c>
      <c r="O50" s="9" t="n">
        <v>969.79</v>
      </c>
      <c r="P50" s="9" t="n">
        <v>897.61</v>
      </c>
      <c r="Q50" s="9" t="n">
        <v>848.65</v>
      </c>
      <c r="R50" s="9" t="n">
        <v>901.3099999999999</v>
      </c>
      <c r="S50" s="9" t="n">
        <v>904.0599999999999</v>
      </c>
      <c r="T50" s="9" t="n">
        <v>869</v>
      </c>
      <c r="U50" s="10">
        <f>SUM(I50:T50)</f>
        <v/>
      </c>
    </row>
    <row r="51">
      <c r="A51" s="2" t="inlineStr">
        <is>
          <t>SN-1000-1200-1210-1210EF0014</t>
        </is>
      </c>
      <c r="B51" s="2" t="inlineStr">
        <is>
          <t>1210EF0014</t>
        </is>
      </c>
      <c r="C51" s="2" t="inlineStr">
        <is>
          <t>Extractor aire en baños</t>
        </is>
      </c>
      <c r="D51" s="2" t="n">
        <v>17</v>
      </c>
      <c r="E51" s="2" t="inlineStr">
        <is>
          <t>CC-1000</t>
        </is>
      </c>
      <c r="F51" s="2" t="inlineStr">
        <is>
          <t>P01</t>
        </is>
      </c>
      <c r="G51" s="2" t="n">
        <v>620000</v>
      </c>
      <c r="H51" s="2" t="inlineStr">
        <is>
          <t>Materiales</t>
        </is>
      </c>
      <c r="I51" s="9" t="n">
        <v>1124.37</v>
      </c>
      <c r="J51" s="9" t="n">
        <v>1082.1</v>
      </c>
      <c r="K51" s="9" t="n">
        <v>1104.09</v>
      </c>
      <c r="L51" s="9" t="n">
        <v>1176.15</v>
      </c>
      <c r="M51" s="9" t="n">
        <v>1155.86</v>
      </c>
      <c r="N51" s="9" t="n">
        <v>1028.37</v>
      </c>
      <c r="O51" s="9" t="n">
        <v>1207.45</v>
      </c>
      <c r="P51" s="9" t="n">
        <v>1146.45</v>
      </c>
      <c r="Q51" s="9" t="n">
        <v>1080.24</v>
      </c>
      <c r="R51" s="9" t="n">
        <v>1234.79</v>
      </c>
      <c r="S51" s="9" t="n">
        <v>1101.26</v>
      </c>
      <c r="T51" s="9" t="n">
        <v>1184.3</v>
      </c>
      <c r="U51" s="10">
        <f>SUM(I51:T51)</f>
        <v/>
      </c>
    </row>
    <row r="52">
      <c r="A52" s="2" t="inlineStr">
        <is>
          <t>SN-1000-1200-1210-1210EF0014</t>
        </is>
      </c>
      <c r="B52" s="2" t="inlineStr">
        <is>
          <t>1210EF0014</t>
        </is>
      </c>
      <c r="C52" s="2" t="inlineStr">
        <is>
          <t>Extractor aire en baños</t>
        </is>
      </c>
      <c r="D52" s="2" t="n">
        <v>17</v>
      </c>
      <c r="E52" s="2" t="inlineStr">
        <is>
          <t>CC-1000</t>
        </is>
      </c>
      <c r="F52" s="2" t="inlineStr">
        <is>
          <t>P01</t>
        </is>
      </c>
      <c r="G52" s="2" t="n">
        <v>630000</v>
      </c>
      <c r="H52" s="2" t="inlineStr">
        <is>
          <t>Servicios externos</t>
        </is>
      </c>
      <c r="I52" s="9" t="n">
        <v>889.72</v>
      </c>
      <c r="J52" s="9" t="n">
        <v>956.73</v>
      </c>
      <c r="K52" s="9" t="n">
        <v>1014.96</v>
      </c>
      <c r="L52" s="9" t="n">
        <v>919.5</v>
      </c>
      <c r="M52" s="9" t="n">
        <v>875.45</v>
      </c>
      <c r="N52" s="9" t="n">
        <v>898.17</v>
      </c>
      <c r="O52" s="9" t="n">
        <v>905.28</v>
      </c>
      <c r="P52" s="9" t="n">
        <v>847.92</v>
      </c>
      <c r="Q52" s="9" t="n">
        <v>807.78</v>
      </c>
      <c r="R52" s="9" t="n">
        <v>1024.52</v>
      </c>
      <c r="S52" s="9" t="n">
        <v>911.5599999999999</v>
      </c>
      <c r="T52" s="9" t="n">
        <v>861.4</v>
      </c>
      <c r="U52" s="10">
        <f>SUM(I52:T52)</f>
        <v/>
      </c>
    </row>
    <row r="53">
      <c r="A53" s="2" t="inlineStr">
        <is>
          <t>SN-1000-1200-1210-1210EF0015</t>
        </is>
      </c>
      <c r="B53" s="2" t="inlineStr">
        <is>
          <t>1210EF0015</t>
        </is>
      </c>
      <c r="C53" s="2" t="inlineStr">
        <is>
          <t>Extractor aire en baños</t>
        </is>
      </c>
      <c r="D53" s="2" t="n">
        <v>18</v>
      </c>
      <c r="E53" s="2" t="inlineStr">
        <is>
          <t>CC-1000</t>
        </is>
      </c>
      <c r="F53" s="2" t="inlineStr">
        <is>
          <t>P01</t>
        </is>
      </c>
      <c r="G53" s="2" t="n">
        <v>610000</v>
      </c>
      <c r="H53" s="2" t="inlineStr">
        <is>
          <t>Mano obra interna</t>
        </is>
      </c>
      <c r="I53" s="9" t="n">
        <v>1173.23</v>
      </c>
      <c r="J53" s="9" t="n">
        <v>1215.29</v>
      </c>
      <c r="K53" s="9" t="n">
        <v>1143.74</v>
      </c>
      <c r="L53" s="9" t="n">
        <v>1149.68</v>
      </c>
      <c r="M53" s="9" t="n">
        <v>1245.56</v>
      </c>
      <c r="N53" s="9" t="n">
        <v>1089.13</v>
      </c>
      <c r="O53" s="9" t="n">
        <v>1230.86</v>
      </c>
      <c r="P53" s="9" t="n">
        <v>1149.78</v>
      </c>
      <c r="Q53" s="9" t="n">
        <v>1046.29</v>
      </c>
      <c r="R53" s="9" t="n">
        <v>1241.91</v>
      </c>
      <c r="S53" s="9" t="n">
        <v>1203.94</v>
      </c>
      <c r="T53" s="9" t="n">
        <v>1288.14</v>
      </c>
      <c r="U53" s="10">
        <f>SUM(I53:T53)</f>
        <v/>
      </c>
    </row>
    <row r="54">
      <c r="A54" s="2" t="inlineStr">
        <is>
          <t>SN-1000-1200-1210-1210EF0015</t>
        </is>
      </c>
      <c r="B54" s="2" t="inlineStr">
        <is>
          <t>1210EF0015</t>
        </is>
      </c>
      <c r="C54" s="2" t="inlineStr">
        <is>
          <t>Extractor aire en baños</t>
        </is>
      </c>
      <c r="D54" s="2" t="n">
        <v>18</v>
      </c>
      <c r="E54" s="2" t="inlineStr">
        <is>
          <t>CC-1000</t>
        </is>
      </c>
      <c r="F54" s="2" t="inlineStr">
        <is>
          <t>P01</t>
        </is>
      </c>
      <c r="G54" s="2" t="n">
        <v>620000</v>
      </c>
      <c r="H54" s="2" t="inlineStr">
        <is>
          <t>Materiales</t>
        </is>
      </c>
      <c r="I54" s="9" t="n">
        <v>1419.12</v>
      </c>
      <c r="J54" s="9" t="n">
        <v>1429.43</v>
      </c>
      <c r="K54" s="9" t="n">
        <v>1389.29</v>
      </c>
      <c r="L54" s="9" t="n">
        <v>1396.74</v>
      </c>
      <c r="M54" s="9" t="n">
        <v>1487.48</v>
      </c>
      <c r="N54" s="9" t="n">
        <v>1246.01</v>
      </c>
      <c r="O54" s="9" t="n">
        <v>1320.26</v>
      </c>
      <c r="P54" s="9" t="n">
        <v>1346.33</v>
      </c>
      <c r="Q54" s="9" t="n">
        <v>1216.03</v>
      </c>
      <c r="R54" s="9" t="n">
        <v>1446.55</v>
      </c>
      <c r="S54" s="9" t="n">
        <v>1386.44</v>
      </c>
      <c r="T54" s="9" t="n">
        <v>1416.35</v>
      </c>
      <c r="U54" s="10">
        <f>SUM(I54:T54)</f>
        <v/>
      </c>
    </row>
    <row r="55">
      <c r="A55" s="2" t="inlineStr">
        <is>
          <t>SN-1000-1200-1210-1210EF0015</t>
        </is>
      </c>
      <c r="B55" s="2" t="inlineStr">
        <is>
          <t>1210EF0015</t>
        </is>
      </c>
      <c r="C55" s="2" t="inlineStr">
        <is>
          <t>Extractor aire en baños</t>
        </is>
      </c>
      <c r="D55" s="2" t="n">
        <v>18</v>
      </c>
      <c r="E55" s="2" t="inlineStr">
        <is>
          <t>CC-1000</t>
        </is>
      </c>
      <c r="F55" s="2" t="inlineStr">
        <is>
          <t>P01</t>
        </is>
      </c>
      <c r="G55" s="2" t="n">
        <v>630000</v>
      </c>
      <c r="H55" s="2" t="inlineStr">
        <is>
          <t>Servicios externos</t>
        </is>
      </c>
      <c r="I55" s="9" t="n">
        <v>1501.79</v>
      </c>
      <c r="J55" s="9" t="n">
        <v>1343.92</v>
      </c>
      <c r="K55" s="9" t="n">
        <v>1388.72</v>
      </c>
      <c r="L55" s="9" t="n">
        <v>1403.34</v>
      </c>
      <c r="M55" s="9" t="n">
        <v>1405.55</v>
      </c>
      <c r="N55" s="9" t="n">
        <v>1288.84</v>
      </c>
      <c r="O55" s="9" t="n">
        <v>1428.47</v>
      </c>
      <c r="P55" s="9" t="n">
        <v>1378.69</v>
      </c>
      <c r="Q55" s="9" t="n">
        <v>1314.1</v>
      </c>
      <c r="R55" s="9" t="n">
        <v>1494.38</v>
      </c>
      <c r="S55" s="9" t="n">
        <v>1310.74</v>
      </c>
      <c r="T55" s="9" t="n">
        <v>1522.75</v>
      </c>
      <c r="U55" s="10">
        <f>SUM(I55:T55)</f>
        <v/>
      </c>
    </row>
    <row r="56">
      <c r="A56" s="2" t="inlineStr">
        <is>
          <t>SN-1000-1200-1210-1210EF0016</t>
        </is>
      </c>
      <c r="B56" s="2" t="inlineStr">
        <is>
          <t>1210EF0016</t>
        </is>
      </c>
      <c r="C56" s="2" t="inlineStr">
        <is>
          <t>Extractor aire en baños</t>
        </is>
      </c>
      <c r="D56" s="2" t="n">
        <v>19</v>
      </c>
      <c r="E56" s="2" t="inlineStr">
        <is>
          <t>CC-1000</t>
        </is>
      </c>
      <c r="F56" s="2" t="inlineStr">
        <is>
          <t>P01</t>
        </is>
      </c>
      <c r="G56" s="2" t="n">
        <v>610000</v>
      </c>
      <c r="H56" s="2" t="inlineStr">
        <is>
          <t>Mano obra interna</t>
        </is>
      </c>
      <c r="I56" s="9" t="n">
        <v>402.66</v>
      </c>
      <c r="J56" s="9" t="n">
        <v>436.51</v>
      </c>
      <c r="K56" s="9" t="n">
        <v>430.92</v>
      </c>
      <c r="L56" s="9" t="n">
        <v>454.77</v>
      </c>
      <c r="M56" s="9" t="n">
        <v>434.09</v>
      </c>
      <c r="N56" s="9" t="n">
        <v>395.37</v>
      </c>
      <c r="O56" s="9" t="n">
        <v>386.74</v>
      </c>
      <c r="P56" s="9" t="n">
        <v>402.75</v>
      </c>
      <c r="Q56" s="9" t="n">
        <v>392.21</v>
      </c>
      <c r="R56" s="9" t="n">
        <v>461.01</v>
      </c>
      <c r="S56" s="9" t="n">
        <v>389.48</v>
      </c>
      <c r="T56" s="9" t="n">
        <v>400.25</v>
      </c>
      <c r="U56" s="10">
        <f>SUM(I56:T56)</f>
        <v/>
      </c>
    </row>
    <row r="57">
      <c r="A57" s="2" t="inlineStr">
        <is>
          <t>SN-1000-1200-1210-1210EF0016</t>
        </is>
      </c>
      <c r="B57" s="2" t="inlineStr">
        <is>
          <t>1210EF0016</t>
        </is>
      </c>
      <c r="C57" s="2" t="inlineStr">
        <is>
          <t>Extractor aire en baños</t>
        </is>
      </c>
      <c r="D57" s="2" t="n">
        <v>19</v>
      </c>
      <c r="E57" s="2" t="inlineStr">
        <is>
          <t>CC-1000</t>
        </is>
      </c>
      <c r="F57" s="2" t="inlineStr">
        <is>
          <t>P01</t>
        </is>
      </c>
      <c r="G57" s="2" t="n">
        <v>620000</v>
      </c>
      <c r="H57" s="2" t="inlineStr">
        <is>
          <t>Materiales</t>
        </is>
      </c>
      <c r="I57" s="9" t="n">
        <v>453.23</v>
      </c>
      <c r="J57" s="9" t="n">
        <v>407.47</v>
      </c>
      <c r="K57" s="9" t="n">
        <v>402.74</v>
      </c>
      <c r="L57" s="9" t="n">
        <v>405.78</v>
      </c>
      <c r="M57" s="9" t="n">
        <v>376.35</v>
      </c>
      <c r="N57" s="9" t="n">
        <v>420.05</v>
      </c>
      <c r="O57" s="9" t="n">
        <v>387.01</v>
      </c>
      <c r="P57" s="9" t="n">
        <v>416.77</v>
      </c>
      <c r="Q57" s="9" t="n">
        <v>369.69</v>
      </c>
      <c r="R57" s="9" t="n">
        <v>448.2</v>
      </c>
      <c r="S57" s="9" t="n">
        <v>408.54</v>
      </c>
      <c r="T57" s="9" t="n">
        <v>440.22</v>
      </c>
      <c r="U57" s="10">
        <f>SUM(I57:T57)</f>
        <v/>
      </c>
    </row>
    <row r="58">
      <c r="A58" s="2" t="inlineStr">
        <is>
          <t>SN-1000-1200-1210-1210EF0016</t>
        </is>
      </c>
      <c r="B58" s="2" t="inlineStr">
        <is>
          <t>1210EF0016</t>
        </is>
      </c>
      <c r="C58" s="2" t="inlineStr">
        <is>
          <t>Extractor aire en baños</t>
        </is>
      </c>
      <c r="D58" s="2" t="n">
        <v>19</v>
      </c>
      <c r="E58" s="2" t="inlineStr">
        <is>
          <t>CC-1000</t>
        </is>
      </c>
      <c r="F58" s="2" t="inlineStr">
        <is>
          <t>P01</t>
        </is>
      </c>
      <c r="G58" s="2" t="n">
        <v>630000</v>
      </c>
      <c r="H58" s="2" t="inlineStr">
        <is>
          <t>Servicios externos</t>
        </is>
      </c>
      <c r="I58" s="9" t="n">
        <v>320.07</v>
      </c>
      <c r="J58" s="9" t="n">
        <v>315.54</v>
      </c>
      <c r="K58" s="9" t="n">
        <v>373.37</v>
      </c>
      <c r="L58" s="9" t="n">
        <v>368.44</v>
      </c>
      <c r="M58" s="9" t="n">
        <v>341.88</v>
      </c>
      <c r="N58" s="9" t="n">
        <v>330.44</v>
      </c>
      <c r="O58" s="9" t="n">
        <v>349.29</v>
      </c>
      <c r="P58" s="9" t="n">
        <v>322.24</v>
      </c>
      <c r="Q58" s="9" t="n">
        <v>337.63</v>
      </c>
      <c r="R58" s="9" t="n">
        <v>362.06</v>
      </c>
      <c r="S58" s="9" t="n">
        <v>323.13</v>
      </c>
      <c r="T58" s="9" t="n">
        <v>346.24</v>
      </c>
      <c r="U58" s="10">
        <f>SUM(I58:T58)</f>
        <v/>
      </c>
    </row>
    <row r="59">
      <c r="A59" s="2" t="inlineStr">
        <is>
          <t>SN-1000-1200-1210-1210EF0017</t>
        </is>
      </c>
      <c r="B59" s="2" t="inlineStr">
        <is>
          <t>1210EF0017</t>
        </is>
      </c>
      <c r="C59" s="2" t="inlineStr">
        <is>
          <t>Extractor aire en baños</t>
        </is>
      </c>
      <c r="D59" s="2" t="n">
        <v>20</v>
      </c>
      <c r="E59" s="2" t="inlineStr">
        <is>
          <t>CC-1000</t>
        </is>
      </c>
      <c r="F59" s="2" t="inlineStr">
        <is>
          <t>P01</t>
        </is>
      </c>
      <c r="G59" s="2" t="n">
        <v>610000</v>
      </c>
      <c r="H59" s="2" t="inlineStr">
        <is>
          <t>Mano obra interna</t>
        </is>
      </c>
      <c r="I59" s="9" t="n">
        <v>247.84</v>
      </c>
      <c r="J59" s="9" t="n">
        <v>262.21</v>
      </c>
      <c r="K59" s="9" t="n">
        <v>246.93</v>
      </c>
      <c r="L59" s="9" t="n">
        <v>266.46</v>
      </c>
      <c r="M59" s="9" t="n">
        <v>243.48</v>
      </c>
      <c r="N59" s="9" t="n">
        <v>240.86</v>
      </c>
      <c r="O59" s="9" t="n">
        <v>247.92</v>
      </c>
      <c r="P59" s="9" t="n">
        <v>250.37</v>
      </c>
      <c r="Q59" s="9" t="n">
        <v>247.11</v>
      </c>
      <c r="R59" s="9" t="n">
        <v>267.61</v>
      </c>
      <c r="S59" s="9" t="n">
        <v>250.92</v>
      </c>
      <c r="T59" s="9" t="n">
        <v>259.29</v>
      </c>
      <c r="U59" s="10">
        <f>SUM(I59:T59)</f>
        <v/>
      </c>
    </row>
    <row r="60">
      <c r="A60" s="2" t="inlineStr">
        <is>
          <t>SN-1000-1200-1210-1210EF0017</t>
        </is>
      </c>
      <c r="B60" s="2" t="inlineStr">
        <is>
          <t>1210EF0017</t>
        </is>
      </c>
      <c r="C60" s="2" t="inlineStr">
        <is>
          <t>Extractor aire en baños</t>
        </is>
      </c>
      <c r="D60" s="2" t="n">
        <v>20</v>
      </c>
      <c r="E60" s="2" t="inlineStr">
        <is>
          <t>CC-1000</t>
        </is>
      </c>
      <c r="F60" s="2" t="inlineStr">
        <is>
          <t>P01</t>
        </is>
      </c>
      <c r="G60" s="2" t="n">
        <v>620000</v>
      </c>
      <c r="H60" s="2" t="inlineStr">
        <is>
          <t>Materiales</t>
        </is>
      </c>
      <c r="I60" s="9" t="n">
        <v>329.21</v>
      </c>
      <c r="J60" s="9" t="n">
        <v>307.9</v>
      </c>
      <c r="K60" s="9" t="n">
        <v>296.77</v>
      </c>
      <c r="L60" s="9" t="n">
        <v>284.96</v>
      </c>
      <c r="M60" s="9" t="n">
        <v>286.95</v>
      </c>
      <c r="N60" s="9" t="n">
        <v>292.56</v>
      </c>
      <c r="O60" s="9" t="n">
        <v>279.91</v>
      </c>
      <c r="P60" s="9" t="n">
        <v>301.02</v>
      </c>
      <c r="Q60" s="9" t="n">
        <v>284.93</v>
      </c>
      <c r="R60" s="9" t="n">
        <v>316.44</v>
      </c>
      <c r="S60" s="9" t="n">
        <v>304.44</v>
      </c>
      <c r="T60" s="9" t="n">
        <v>286.64</v>
      </c>
      <c r="U60" s="10">
        <f>SUM(I60:T60)</f>
        <v/>
      </c>
    </row>
    <row r="61">
      <c r="A61" s="2" t="inlineStr">
        <is>
          <t>SN-1000-1200-1210-1210EF0017</t>
        </is>
      </c>
      <c r="B61" s="2" t="inlineStr">
        <is>
          <t>1210EF0017</t>
        </is>
      </c>
      <c r="C61" s="2" t="inlineStr">
        <is>
          <t>Extractor aire en baños</t>
        </is>
      </c>
      <c r="D61" s="2" t="n">
        <v>20</v>
      </c>
      <c r="E61" s="2" t="inlineStr">
        <is>
          <t>CC-1000</t>
        </is>
      </c>
      <c r="F61" s="2" t="inlineStr">
        <is>
          <t>P01</t>
        </is>
      </c>
      <c r="G61" s="2" t="n">
        <v>630000</v>
      </c>
      <c r="H61" s="2" t="inlineStr">
        <is>
          <t>Servicios externos</t>
        </is>
      </c>
      <c r="I61" s="9" t="n">
        <v>261.17</v>
      </c>
      <c r="J61" s="9" t="n">
        <v>242.91</v>
      </c>
      <c r="K61" s="9" t="n">
        <v>262.31</v>
      </c>
      <c r="L61" s="9" t="n">
        <v>249.63</v>
      </c>
      <c r="M61" s="9" t="n">
        <v>234.36</v>
      </c>
      <c r="N61" s="9" t="n">
        <v>248.03</v>
      </c>
      <c r="O61" s="9" t="n">
        <v>258.76</v>
      </c>
      <c r="P61" s="9" t="n">
        <v>254.32</v>
      </c>
      <c r="Q61" s="9" t="n">
        <v>221.38</v>
      </c>
      <c r="R61" s="9" t="n">
        <v>270.02</v>
      </c>
      <c r="S61" s="9" t="n">
        <v>233.62</v>
      </c>
      <c r="T61" s="9" t="n">
        <v>234.12</v>
      </c>
      <c r="U61" s="10">
        <f>SUM(I61:T61)</f>
        <v/>
      </c>
    </row>
    <row r="62">
      <c r="A62" s="2" t="inlineStr">
        <is>
          <t>SN-1000-1200-1210-1210EF0018</t>
        </is>
      </c>
      <c r="B62" s="2" t="inlineStr">
        <is>
          <t>1210EF0018</t>
        </is>
      </c>
      <c r="C62" s="2" t="inlineStr">
        <is>
          <t>Extractor aire en baños</t>
        </is>
      </c>
      <c r="D62" s="2" t="n">
        <v>21</v>
      </c>
      <c r="E62" s="2" t="inlineStr">
        <is>
          <t>CC-1000</t>
        </is>
      </c>
      <c r="F62" s="2" t="inlineStr">
        <is>
          <t>P01</t>
        </is>
      </c>
      <c r="G62" s="2" t="n">
        <v>610000</v>
      </c>
      <c r="H62" s="2" t="inlineStr">
        <is>
          <t>Mano obra interna</t>
        </is>
      </c>
      <c r="I62" s="9" t="n">
        <v>1474.23</v>
      </c>
      <c r="J62" s="9" t="n">
        <v>1618.78</v>
      </c>
      <c r="K62" s="9" t="n">
        <v>1568.07</v>
      </c>
      <c r="L62" s="9" t="n">
        <v>1488.07</v>
      </c>
      <c r="M62" s="9" t="n">
        <v>1527.53</v>
      </c>
      <c r="N62" s="9" t="n">
        <v>1553.33</v>
      </c>
      <c r="O62" s="9" t="n">
        <v>1590.91</v>
      </c>
      <c r="P62" s="9" t="n">
        <v>1607.22</v>
      </c>
      <c r="Q62" s="9" t="n">
        <v>1463.5</v>
      </c>
      <c r="R62" s="9" t="n">
        <v>1704.33</v>
      </c>
      <c r="S62" s="9" t="n">
        <v>1567.18</v>
      </c>
      <c r="T62" s="9" t="n">
        <v>1493.66</v>
      </c>
      <c r="U62" s="10">
        <f>SUM(I62:T62)</f>
        <v/>
      </c>
    </row>
    <row r="63">
      <c r="A63" s="2" t="inlineStr">
        <is>
          <t>SN-1000-1200-1210-1210EF0018</t>
        </is>
      </c>
      <c r="B63" s="2" t="inlineStr">
        <is>
          <t>1210EF0018</t>
        </is>
      </c>
      <c r="C63" s="2" t="inlineStr">
        <is>
          <t>Extractor aire en baños</t>
        </is>
      </c>
      <c r="D63" s="2" t="n">
        <v>21</v>
      </c>
      <c r="E63" s="2" t="inlineStr">
        <is>
          <t>CC-1000</t>
        </is>
      </c>
      <c r="F63" s="2" t="inlineStr">
        <is>
          <t>P01</t>
        </is>
      </c>
      <c r="G63" s="2" t="n">
        <v>620000</v>
      </c>
      <c r="H63" s="2" t="inlineStr">
        <is>
          <t>Materiales</t>
        </is>
      </c>
      <c r="I63" s="9" t="n">
        <v>1297.06</v>
      </c>
      <c r="J63" s="9" t="n">
        <v>1411.95</v>
      </c>
      <c r="K63" s="9" t="n">
        <v>1469.45</v>
      </c>
      <c r="L63" s="9" t="n">
        <v>1259.05</v>
      </c>
      <c r="M63" s="9" t="n">
        <v>1359.43</v>
      </c>
      <c r="N63" s="9" t="n">
        <v>1357.98</v>
      </c>
      <c r="O63" s="9" t="n">
        <v>1262.5</v>
      </c>
      <c r="P63" s="9" t="n">
        <v>1343.35</v>
      </c>
      <c r="Q63" s="9" t="n">
        <v>1320.26</v>
      </c>
      <c r="R63" s="9" t="n">
        <v>1327.24</v>
      </c>
      <c r="S63" s="9" t="n">
        <v>1328.09</v>
      </c>
      <c r="T63" s="9" t="n">
        <v>1305.88</v>
      </c>
      <c r="U63" s="10">
        <f>SUM(I63:T63)</f>
        <v/>
      </c>
    </row>
    <row r="64">
      <c r="A64" s="2" t="inlineStr">
        <is>
          <t>SN-1000-1200-1210-1210EF0018</t>
        </is>
      </c>
      <c r="B64" s="2" t="inlineStr">
        <is>
          <t>1210EF0018</t>
        </is>
      </c>
      <c r="C64" s="2" t="inlineStr">
        <is>
          <t>Extractor aire en baños</t>
        </is>
      </c>
      <c r="D64" s="2" t="n">
        <v>21</v>
      </c>
      <c r="E64" s="2" t="inlineStr">
        <is>
          <t>CC-1000</t>
        </is>
      </c>
      <c r="F64" s="2" t="inlineStr">
        <is>
          <t>P01</t>
        </is>
      </c>
      <c r="G64" s="2" t="n">
        <v>630000</v>
      </c>
      <c r="H64" s="2" t="inlineStr">
        <is>
          <t>Servicios externos</t>
        </is>
      </c>
      <c r="I64" s="9" t="n">
        <v>1653.53</v>
      </c>
      <c r="J64" s="9" t="n">
        <v>1588.88</v>
      </c>
      <c r="K64" s="9" t="n">
        <v>1547.49</v>
      </c>
      <c r="L64" s="9" t="n">
        <v>1628.62</v>
      </c>
      <c r="M64" s="9" t="n">
        <v>1572.84</v>
      </c>
      <c r="N64" s="9" t="n">
        <v>1398.39</v>
      </c>
      <c r="O64" s="9" t="n">
        <v>1586.23</v>
      </c>
      <c r="P64" s="9" t="n">
        <v>1393.62</v>
      </c>
      <c r="Q64" s="9" t="n">
        <v>1423.72</v>
      </c>
      <c r="R64" s="9" t="n">
        <v>1554.2</v>
      </c>
      <c r="S64" s="9" t="n">
        <v>1369.61</v>
      </c>
      <c r="T64" s="9" t="n">
        <v>1425.14</v>
      </c>
      <c r="U64" s="10">
        <f>SUM(I64:T64)</f>
        <v/>
      </c>
    </row>
    <row r="65">
      <c r="A65" s="2" t="inlineStr">
        <is>
          <t>SN-1000-1200-1210-1210EF0019</t>
        </is>
      </c>
      <c r="B65" s="2" t="inlineStr">
        <is>
          <t>1210EF0019</t>
        </is>
      </c>
      <c r="C65" s="2" t="inlineStr">
        <is>
          <t>Extractor aire en baños</t>
        </is>
      </c>
      <c r="D65" s="2" t="n">
        <v>22</v>
      </c>
      <c r="E65" s="2" t="inlineStr">
        <is>
          <t>CC-1000</t>
        </is>
      </c>
      <c r="F65" s="2" t="inlineStr">
        <is>
          <t>P01</t>
        </is>
      </c>
      <c r="G65" s="2" t="n">
        <v>610000</v>
      </c>
      <c r="H65" s="2" t="inlineStr">
        <is>
          <t>Mano obra interna</t>
        </is>
      </c>
      <c r="I65" s="9" t="n">
        <v>1133.01</v>
      </c>
      <c r="J65" s="9" t="n">
        <v>1162.16</v>
      </c>
      <c r="K65" s="9" t="n">
        <v>1093.38</v>
      </c>
      <c r="L65" s="9" t="n">
        <v>1129.76</v>
      </c>
      <c r="M65" s="9" t="n">
        <v>1134.4</v>
      </c>
      <c r="N65" s="9" t="n">
        <v>1139.67</v>
      </c>
      <c r="O65" s="9" t="n">
        <v>1106.53</v>
      </c>
      <c r="P65" s="9" t="n">
        <v>1161.14</v>
      </c>
      <c r="Q65" s="9" t="n">
        <v>1125.81</v>
      </c>
      <c r="R65" s="9" t="n">
        <v>1251.16</v>
      </c>
      <c r="S65" s="9" t="n">
        <v>1055.57</v>
      </c>
      <c r="T65" s="9" t="n">
        <v>1068.01</v>
      </c>
      <c r="U65" s="10">
        <f>SUM(I65:T65)</f>
        <v/>
      </c>
    </row>
    <row r="66">
      <c r="A66" s="2" t="inlineStr">
        <is>
          <t>SN-1000-1200-1210-1210EF0019</t>
        </is>
      </c>
      <c r="B66" s="2" t="inlineStr">
        <is>
          <t>1210EF0019</t>
        </is>
      </c>
      <c r="C66" s="2" t="inlineStr">
        <is>
          <t>Extractor aire en baños</t>
        </is>
      </c>
      <c r="D66" s="2" t="n">
        <v>22</v>
      </c>
      <c r="E66" s="2" t="inlineStr">
        <is>
          <t>CC-1000</t>
        </is>
      </c>
      <c r="F66" s="2" t="inlineStr">
        <is>
          <t>P01</t>
        </is>
      </c>
      <c r="G66" s="2" t="n">
        <v>620000</v>
      </c>
      <c r="H66" s="2" t="inlineStr">
        <is>
          <t>Materiales</t>
        </is>
      </c>
      <c r="I66" s="9" t="n">
        <v>1061.9</v>
      </c>
      <c r="J66" s="9" t="n">
        <v>1175.96</v>
      </c>
      <c r="K66" s="9" t="n">
        <v>1167.52</v>
      </c>
      <c r="L66" s="9" t="n">
        <v>1232.22</v>
      </c>
      <c r="M66" s="9" t="n">
        <v>1168.14</v>
      </c>
      <c r="N66" s="9" t="n">
        <v>1162.82</v>
      </c>
      <c r="O66" s="9" t="n">
        <v>1100.09</v>
      </c>
      <c r="P66" s="9" t="n">
        <v>1173.78</v>
      </c>
      <c r="Q66" s="9" t="n">
        <v>1032.18</v>
      </c>
      <c r="R66" s="9" t="n">
        <v>1210.93</v>
      </c>
      <c r="S66" s="9" t="n">
        <v>1112.77</v>
      </c>
      <c r="T66" s="9" t="n">
        <v>1211.58</v>
      </c>
      <c r="U66" s="10">
        <f>SUM(I66:T66)</f>
        <v/>
      </c>
    </row>
    <row r="67">
      <c r="A67" s="2" t="inlineStr">
        <is>
          <t>SN-1000-1200-1210-1210EF0019</t>
        </is>
      </c>
      <c r="B67" s="2" t="inlineStr">
        <is>
          <t>1210EF0019</t>
        </is>
      </c>
      <c r="C67" s="2" t="inlineStr">
        <is>
          <t>Extractor aire en baños</t>
        </is>
      </c>
      <c r="D67" s="2" t="n">
        <v>22</v>
      </c>
      <c r="E67" s="2" t="inlineStr">
        <is>
          <t>CC-1000</t>
        </is>
      </c>
      <c r="F67" s="2" t="inlineStr">
        <is>
          <t>P01</t>
        </is>
      </c>
      <c r="G67" s="2" t="n">
        <v>630000</v>
      </c>
      <c r="H67" s="2" t="inlineStr">
        <is>
          <t>Servicios externos</t>
        </is>
      </c>
      <c r="I67" s="9" t="n">
        <v>1298.66</v>
      </c>
      <c r="J67" s="9" t="n">
        <v>1185.51</v>
      </c>
      <c r="K67" s="9" t="n">
        <v>1242.55</v>
      </c>
      <c r="L67" s="9" t="n">
        <v>1294.07</v>
      </c>
      <c r="M67" s="9" t="n">
        <v>1156.72</v>
      </c>
      <c r="N67" s="9" t="n">
        <v>1093.52</v>
      </c>
      <c r="O67" s="9" t="n">
        <v>1191.95</v>
      </c>
      <c r="P67" s="9" t="n">
        <v>1177.38</v>
      </c>
      <c r="Q67" s="9" t="n">
        <v>1098.47</v>
      </c>
      <c r="R67" s="9" t="n">
        <v>1259.38</v>
      </c>
      <c r="S67" s="9" t="n">
        <v>1094.32</v>
      </c>
      <c r="T67" s="9" t="n">
        <v>1142.41</v>
      </c>
      <c r="U67" s="10">
        <f>SUM(I67:T67)</f>
        <v/>
      </c>
    </row>
    <row r="68">
      <c r="A68" s="2" t="inlineStr">
        <is>
          <t>SN-1000-1200-1210-1210EF0020</t>
        </is>
      </c>
      <c r="B68" s="2" t="inlineStr">
        <is>
          <t>1210EF0020</t>
        </is>
      </c>
      <c r="C68" s="2" t="inlineStr">
        <is>
          <t>Extractor aire en baños</t>
        </is>
      </c>
      <c r="D68" s="2" t="n">
        <v>23</v>
      </c>
      <c r="E68" s="2" t="inlineStr">
        <is>
          <t>CC-1000</t>
        </is>
      </c>
      <c r="F68" s="2" t="inlineStr">
        <is>
          <t>P01</t>
        </is>
      </c>
      <c r="G68" s="2" t="n">
        <v>610000</v>
      </c>
      <c r="H68" s="2" t="inlineStr">
        <is>
          <t>Mano obra interna</t>
        </is>
      </c>
      <c r="I68" s="9" t="n">
        <v>2596.96</v>
      </c>
      <c r="J68" s="9" t="n">
        <v>2487.79</v>
      </c>
      <c r="K68" s="9" t="n">
        <v>2731.42</v>
      </c>
      <c r="L68" s="9" t="n">
        <v>2511.83</v>
      </c>
      <c r="M68" s="9" t="n">
        <v>2730.42</v>
      </c>
      <c r="N68" s="9" t="n">
        <v>2573.34</v>
      </c>
      <c r="O68" s="9" t="n">
        <v>2405.68</v>
      </c>
      <c r="P68" s="9" t="n">
        <v>2537.84</v>
      </c>
      <c r="Q68" s="9" t="n">
        <v>2541.1</v>
      </c>
      <c r="R68" s="9" t="n">
        <v>2973.01</v>
      </c>
      <c r="S68" s="9" t="n">
        <v>2478.48</v>
      </c>
      <c r="T68" s="9" t="n">
        <v>2659.28</v>
      </c>
      <c r="U68" s="10">
        <f>SUM(I68:T68)</f>
        <v/>
      </c>
    </row>
    <row r="69">
      <c r="A69" s="2" t="inlineStr">
        <is>
          <t>SN-1000-1200-1210-1210EF0020</t>
        </is>
      </c>
      <c r="B69" s="2" t="inlineStr">
        <is>
          <t>1210EF0020</t>
        </is>
      </c>
      <c r="C69" s="2" t="inlineStr">
        <is>
          <t>Extractor aire en baños</t>
        </is>
      </c>
      <c r="D69" s="2" t="n">
        <v>23</v>
      </c>
      <c r="E69" s="2" t="inlineStr">
        <is>
          <t>CC-1000</t>
        </is>
      </c>
      <c r="F69" s="2" t="inlineStr">
        <is>
          <t>P01</t>
        </is>
      </c>
      <c r="G69" s="2" t="n">
        <v>620000</v>
      </c>
      <c r="H69" s="2" t="inlineStr">
        <is>
          <t>Materiales</t>
        </is>
      </c>
      <c r="I69" s="9" t="n">
        <v>2187.36</v>
      </c>
      <c r="J69" s="9" t="n">
        <v>1872.49</v>
      </c>
      <c r="K69" s="9" t="n">
        <v>2194.61</v>
      </c>
      <c r="L69" s="9" t="n">
        <v>2078.98</v>
      </c>
      <c r="M69" s="9" t="n">
        <v>1999.91</v>
      </c>
      <c r="N69" s="9" t="n">
        <v>1903.15</v>
      </c>
      <c r="O69" s="9" t="n">
        <v>1901.82</v>
      </c>
      <c r="P69" s="9" t="n">
        <v>1882.35</v>
      </c>
      <c r="Q69" s="9" t="n">
        <v>1766.55</v>
      </c>
      <c r="R69" s="9" t="n">
        <v>2034.89</v>
      </c>
      <c r="S69" s="9" t="n">
        <v>2009.16</v>
      </c>
      <c r="T69" s="9" t="n">
        <v>1967.72</v>
      </c>
      <c r="U69" s="10">
        <f>SUM(I69:T69)</f>
        <v/>
      </c>
    </row>
    <row r="70">
      <c r="A70" s="2" t="inlineStr">
        <is>
          <t>SN-1000-1200-1210-1210EF0020</t>
        </is>
      </c>
      <c r="B70" s="2" t="inlineStr">
        <is>
          <t>1210EF0020</t>
        </is>
      </c>
      <c r="C70" s="2" t="inlineStr">
        <is>
          <t>Extractor aire en baños</t>
        </is>
      </c>
      <c r="D70" s="2" t="n">
        <v>23</v>
      </c>
      <c r="E70" s="2" t="inlineStr">
        <is>
          <t>CC-1000</t>
        </is>
      </c>
      <c r="F70" s="2" t="inlineStr">
        <is>
          <t>P01</t>
        </is>
      </c>
      <c r="G70" s="2" t="n">
        <v>630000</v>
      </c>
      <c r="H70" s="2" t="inlineStr">
        <is>
          <t>Servicios externos</t>
        </is>
      </c>
      <c r="I70" s="9" t="n">
        <v>2061.9</v>
      </c>
      <c r="J70" s="9" t="n">
        <v>1963.95</v>
      </c>
      <c r="K70" s="9" t="n">
        <v>2070.88</v>
      </c>
      <c r="L70" s="9" t="n">
        <v>2072.25</v>
      </c>
      <c r="M70" s="9" t="n">
        <v>1762.33</v>
      </c>
      <c r="N70" s="9" t="n">
        <v>1766.42</v>
      </c>
      <c r="O70" s="9" t="n">
        <v>1957.29</v>
      </c>
      <c r="P70" s="9" t="n">
        <v>1936.26</v>
      </c>
      <c r="Q70" s="9" t="n">
        <v>1652.06</v>
      </c>
      <c r="R70" s="9" t="n">
        <v>2128.51</v>
      </c>
      <c r="S70" s="9" t="n">
        <v>1738.59</v>
      </c>
      <c r="T70" s="9" t="n">
        <v>1822.42</v>
      </c>
      <c r="U70" s="10">
        <f>SUM(I70:T70)</f>
        <v/>
      </c>
    </row>
    <row r="71">
      <c r="A71" s="2" t="inlineStr">
        <is>
          <t>SN-1000-1200-1210-1210FA0001</t>
        </is>
      </c>
      <c r="B71" s="2" t="inlineStr">
        <is>
          <t>1210FA0001</t>
        </is>
      </c>
      <c r="C71" s="2" t="inlineStr">
        <is>
          <t>Ventilador inyección aire oficinas</t>
        </is>
      </c>
      <c r="D71" s="2" t="n">
        <v>24</v>
      </c>
      <c r="E71" s="2" t="inlineStr">
        <is>
          <t>CC-1000</t>
        </is>
      </c>
      <c r="F71" s="2" t="inlineStr">
        <is>
          <t>P01</t>
        </is>
      </c>
      <c r="G71" s="2" t="n">
        <v>610000</v>
      </c>
      <c r="H71" s="2" t="inlineStr">
        <is>
          <t>Mano obra interna</t>
        </is>
      </c>
      <c r="I71" s="9" t="n">
        <v>1992.16</v>
      </c>
      <c r="J71" s="9" t="n">
        <v>1918.04</v>
      </c>
      <c r="K71" s="9" t="n">
        <v>1854.07</v>
      </c>
      <c r="L71" s="9" t="n">
        <v>2083.97</v>
      </c>
      <c r="M71" s="9" t="n">
        <v>1831.63</v>
      </c>
      <c r="N71" s="9" t="n">
        <v>1729.43</v>
      </c>
      <c r="O71" s="9" t="n">
        <v>2043.41</v>
      </c>
      <c r="P71" s="9" t="n">
        <v>2061.53</v>
      </c>
      <c r="Q71" s="9" t="n">
        <v>1893.68</v>
      </c>
      <c r="R71" s="9" t="n">
        <v>2176.38</v>
      </c>
      <c r="S71" s="9" t="n">
        <v>1907.71</v>
      </c>
      <c r="T71" s="9" t="n">
        <v>1967.32</v>
      </c>
      <c r="U71" s="10">
        <f>SUM(I71:T71)</f>
        <v/>
      </c>
    </row>
    <row r="72">
      <c r="A72" s="2" t="inlineStr">
        <is>
          <t>SN-1000-1200-1210-1210FA0001</t>
        </is>
      </c>
      <c r="B72" s="2" t="inlineStr">
        <is>
          <t>1210FA0001</t>
        </is>
      </c>
      <c r="C72" s="2" t="inlineStr">
        <is>
          <t>Ventilador inyección aire oficinas</t>
        </is>
      </c>
      <c r="D72" s="2" t="n">
        <v>24</v>
      </c>
      <c r="E72" s="2" t="inlineStr">
        <is>
          <t>CC-1000</t>
        </is>
      </c>
      <c r="F72" s="2" t="inlineStr">
        <is>
          <t>P01</t>
        </is>
      </c>
      <c r="G72" s="2" t="n">
        <v>620000</v>
      </c>
      <c r="H72" s="2" t="inlineStr">
        <is>
          <t>Materiales</t>
        </is>
      </c>
      <c r="I72" s="9" t="n">
        <v>1671.59</v>
      </c>
      <c r="J72" s="9" t="n">
        <v>1603.3</v>
      </c>
      <c r="K72" s="9" t="n">
        <v>1648.48</v>
      </c>
      <c r="L72" s="9" t="n">
        <v>1759.15</v>
      </c>
      <c r="M72" s="9" t="n">
        <v>1643.53</v>
      </c>
      <c r="N72" s="9" t="n">
        <v>1482.29</v>
      </c>
      <c r="O72" s="9" t="n">
        <v>1588.12</v>
      </c>
      <c r="P72" s="9" t="n">
        <v>1709.25</v>
      </c>
      <c r="Q72" s="9" t="n">
        <v>1442.02</v>
      </c>
      <c r="R72" s="9" t="n">
        <v>1892.83</v>
      </c>
      <c r="S72" s="9" t="n">
        <v>1607.48</v>
      </c>
      <c r="T72" s="9" t="n">
        <v>1681.24</v>
      </c>
      <c r="U72" s="10">
        <f>SUM(I72:T72)</f>
        <v/>
      </c>
    </row>
    <row r="73">
      <c r="A73" s="2" t="inlineStr">
        <is>
          <t>SN-1000-1200-1210-1210FA0001</t>
        </is>
      </c>
      <c r="B73" s="2" t="inlineStr">
        <is>
          <t>1210FA0001</t>
        </is>
      </c>
      <c r="C73" s="2" t="inlineStr">
        <is>
          <t>Ventilador inyección aire oficinas</t>
        </is>
      </c>
      <c r="D73" s="2" t="n">
        <v>24</v>
      </c>
      <c r="E73" s="2" t="inlineStr">
        <is>
          <t>CC-1000</t>
        </is>
      </c>
      <c r="F73" s="2" t="inlineStr">
        <is>
          <t>P01</t>
        </is>
      </c>
      <c r="G73" s="2" t="n">
        <v>630000</v>
      </c>
      <c r="H73" s="2" t="inlineStr">
        <is>
          <t>Servicios externos</t>
        </is>
      </c>
      <c r="I73" s="9" t="n">
        <v>2010.36</v>
      </c>
      <c r="J73" s="9" t="n">
        <v>1798.82</v>
      </c>
      <c r="K73" s="9" t="n">
        <v>1986.3</v>
      </c>
      <c r="L73" s="9" t="n">
        <v>1933.45</v>
      </c>
      <c r="M73" s="9" t="n">
        <v>1783.64</v>
      </c>
      <c r="N73" s="9" t="n">
        <v>1898.24</v>
      </c>
      <c r="O73" s="9" t="n">
        <v>1962.03</v>
      </c>
      <c r="P73" s="9" t="n">
        <v>1918.09</v>
      </c>
      <c r="Q73" s="9" t="n">
        <v>1840.41</v>
      </c>
      <c r="R73" s="9" t="n">
        <v>2137.52</v>
      </c>
      <c r="S73" s="9" t="n">
        <v>1872.69</v>
      </c>
      <c r="T73" s="9" t="n">
        <v>2002.3</v>
      </c>
      <c r="U73" s="10">
        <f>SUM(I73:T73)</f>
        <v/>
      </c>
    </row>
    <row r="74">
      <c r="A74" s="2" t="inlineStr">
        <is>
          <t>SN-1000-1200-1210-1210FP0001</t>
        </is>
      </c>
      <c r="B74" s="2" t="inlineStr">
        <is>
          <t>1210FP0001</t>
        </is>
      </c>
      <c r="C74" s="2" t="inlineStr">
        <is>
          <t>Sistema contraincendios Taller EMP</t>
        </is>
      </c>
      <c r="D74" s="2" t="n">
        <v>25</v>
      </c>
      <c r="E74" s="2" t="inlineStr">
        <is>
          <t>CC-1000</t>
        </is>
      </c>
      <c r="F74" s="2" t="inlineStr">
        <is>
          <t>P01</t>
        </is>
      </c>
      <c r="G74" s="2" t="n">
        <v>610000</v>
      </c>
      <c r="H74" s="2" t="inlineStr">
        <is>
          <t>Mano obra interna</t>
        </is>
      </c>
      <c r="I74" s="9" t="n">
        <v>1463.81</v>
      </c>
      <c r="J74" s="9" t="n">
        <v>1398.69</v>
      </c>
      <c r="K74" s="9" t="n">
        <v>1495.98</v>
      </c>
      <c r="L74" s="9" t="n">
        <v>1346.66</v>
      </c>
      <c r="M74" s="9" t="n">
        <v>1463.38</v>
      </c>
      <c r="N74" s="9" t="n">
        <v>1411.79</v>
      </c>
      <c r="O74" s="9" t="n">
        <v>1289.35</v>
      </c>
      <c r="P74" s="9" t="n">
        <v>1465.31</v>
      </c>
      <c r="Q74" s="9" t="n">
        <v>1220.36</v>
      </c>
      <c r="R74" s="9" t="n">
        <v>1463.4</v>
      </c>
      <c r="S74" s="9" t="n">
        <v>1401.8</v>
      </c>
      <c r="T74" s="9" t="n">
        <v>1337.66</v>
      </c>
      <c r="U74" s="10">
        <f>SUM(I74:T74)</f>
        <v/>
      </c>
    </row>
    <row r="75">
      <c r="A75" s="2" t="inlineStr">
        <is>
          <t>SN-1000-1200-1210-1210FP0001</t>
        </is>
      </c>
      <c r="B75" s="2" t="inlineStr">
        <is>
          <t>1210FP0001</t>
        </is>
      </c>
      <c r="C75" s="2" t="inlineStr">
        <is>
          <t>Sistema contraincendios Taller EMP</t>
        </is>
      </c>
      <c r="D75" s="2" t="n">
        <v>25</v>
      </c>
      <c r="E75" s="2" t="inlineStr">
        <is>
          <t>CC-1000</t>
        </is>
      </c>
      <c r="F75" s="2" t="inlineStr">
        <is>
          <t>P01</t>
        </is>
      </c>
      <c r="G75" s="2" t="n">
        <v>620000</v>
      </c>
      <c r="H75" s="2" t="inlineStr">
        <is>
          <t>Materiales</t>
        </is>
      </c>
      <c r="I75" s="9" t="n">
        <v>1504.78</v>
      </c>
      <c r="J75" s="9" t="n">
        <v>1380.13</v>
      </c>
      <c r="K75" s="9" t="n">
        <v>1329.92</v>
      </c>
      <c r="L75" s="9" t="n">
        <v>1381.79</v>
      </c>
      <c r="M75" s="9" t="n">
        <v>1411.11</v>
      </c>
      <c r="N75" s="9" t="n">
        <v>1441.21</v>
      </c>
      <c r="O75" s="9" t="n">
        <v>1429.84</v>
      </c>
      <c r="P75" s="9" t="n">
        <v>1344.88</v>
      </c>
      <c r="Q75" s="9" t="n">
        <v>1330.86</v>
      </c>
      <c r="R75" s="9" t="n">
        <v>1519.1</v>
      </c>
      <c r="S75" s="9" t="n">
        <v>1415.64</v>
      </c>
      <c r="T75" s="9" t="n">
        <v>1331.13</v>
      </c>
      <c r="U75" s="10">
        <f>SUM(I75:T75)</f>
        <v/>
      </c>
    </row>
    <row r="76">
      <c r="A76" s="2" t="inlineStr">
        <is>
          <t>SN-1000-1200-1210-1210FP0001</t>
        </is>
      </c>
      <c r="B76" s="2" t="inlineStr">
        <is>
          <t>1210FP0001</t>
        </is>
      </c>
      <c r="C76" s="2" t="inlineStr">
        <is>
          <t>Sistema contraincendios Taller EMP</t>
        </is>
      </c>
      <c r="D76" s="2" t="n">
        <v>25</v>
      </c>
      <c r="E76" s="2" t="inlineStr">
        <is>
          <t>CC-1000</t>
        </is>
      </c>
      <c r="F76" s="2" t="inlineStr">
        <is>
          <t>P01</t>
        </is>
      </c>
      <c r="G76" s="2" t="n">
        <v>630000</v>
      </c>
      <c r="H76" s="2" t="inlineStr">
        <is>
          <t>Servicios externos</t>
        </is>
      </c>
      <c r="I76" s="9" t="n">
        <v>1412.82</v>
      </c>
      <c r="J76" s="9" t="n">
        <v>1454.38</v>
      </c>
      <c r="K76" s="9" t="n">
        <v>1382.51</v>
      </c>
      <c r="L76" s="9" t="n">
        <v>1435.01</v>
      </c>
      <c r="M76" s="9" t="n">
        <v>1454.72</v>
      </c>
      <c r="N76" s="9" t="n">
        <v>1230.89</v>
      </c>
      <c r="O76" s="9" t="n">
        <v>1471.74</v>
      </c>
      <c r="P76" s="9" t="n">
        <v>1415.16</v>
      </c>
      <c r="Q76" s="9" t="n">
        <v>1191.35</v>
      </c>
      <c r="R76" s="9" t="n">
        <v>1435.5</v>
      </c>
      <c r="S76" s="9" t="n">
        <v>1375.31</v>
      </c>
      <c r="T76" s="9" t="n">
        <v>1298.71</v>
      </c>
      <c r="U76" s="10">
        <f>SUM(I76:T76)</f>
        <v/>
      </c>
    </row>
    <row r="77">
      <c r="A77" s="2" t="inlineStr">
        <is>
          <t>SN-1000-1200-1210-1210HE0001</t>
        </is>
      </c>
      <c r="B77" s="2" t="inlineStr">
        <is>
          <t>1210HE0001</t>
        </is>
      </c>
      <c r="C77" s="2" t="inlineStr">
        <is>
          <t>Calefactor eléctrico edificio</t>
        </is>
      </c>
      <c r="D77" s="2" t="n">
        <v>26</v>
      </c>
      <c r="E77" s="2" t="inlineStr">
        <is>
          <t>CC-1000</t>
        </is>
      </c>
      <c r="F77" s="2" t="inlineStr">
        <is>
          <t>P01</t>
        </is>
      </c>
      <c r="G77" s="2" t="n">
        <v>610000</v>
      </c>
      <c r="H77" s="2" t="inlineStr">
        <is>
          <t>Mano obra interna</t>
        </is>
      </c>
      <c r="I77" s="9" t="n">
        <v>921.72</v>
      </c>
      <c r="J77" s="9" t="n">
        <v>929.34</v>
      </c>
      <c r="K77" s="9" t="n">
        <v>885.6</v>
      </c>
      <c r="L77" s="9" t="n">
        <v>1002.37</v>
      </c>
      <c r="M77" s="9" t="n">
        <v>985.55</v>
      </c>
      <c r="N77" s="9" t="n">
        <v>951.45</v>
      </c>
      <c r="O77" s="9" t="n">
        <v>963.13</v>
      </c>
      <c r="P77" s="9" t="n">
        <v>870.28</v>
      </c>
      <c r="Q77" s="9" t="n">
        <v>897.34</v>
      </c>
      <c r="R77" s="9" t="n">
        <v>922.38</v>
      </c>
      <c r="S77" s="9" t="n">
        <v>827.64</v>
      </c>
      <c r="T77" s="9" t="n">
        <v>912.95</v>
      </c>
      <c r="U77" s="10">
        <f>SUM(I77:T77)</f>
        <v/>
      </c>
    </row>
    <row r="78">
      <c r="A78" s="2" t="inlineStr">
        <is>
          <t>SN-1000-1200-1210-1210HE0001</t>
        </is>
      </c>
      <c r="B78" s="2" t="inlineStr">
        <is>
          <t>1210HE0001</t>
        </is>
      </c>
      <c r="C78" s="2" t="inlineStr">
        <is>
          <t>Calefactor eléctrico edificio</t>
        </is>
      </c>
      <c r="D78" s="2" t="n">
        <v>26</v>
      </c>
      <c r="E78" s="2" t="inlineStr">
        <is>
          <t>CC-1000</t>
        </is>
      </c>
      <c r="F78" s="2" t="inlineStr">
        <is>
          <t>P01</t>
        </is>
      </c>
      <c r="G78" s="2" t="n">
        <v>620000</v>
      </c>
      <c r="H78" s="2" t="inlineStr">
        <is>
          <t>Materiales</t>
        </is>
      </c>
      <c r="I78" s="9" t="n">
        <v>927.73</v>
      </c>
      <c r="J78" s="9" t="n">
        <v>883.0700000000001</v>
      </c>
      <c r="K78" s="9" t="n">
        <v>890.89</v>
      </c>
      <c r="L78" s="9" t="n">
        <v>858.0599999999999</v>
      </c>
      <c r="M78" s="9" t="n">
        <v>930.66</v>
      </c>
      <c r="N78" s="9" t="n">
        <v>823</v>
      </c>
      <c r="O78" s="9" t="n">
        <v>864.72</v>
      </c>
      <c r="P78" s="9" t="n">
        <v>823.6</v>
      </c>
      <c r="Q78" s="9" t="n">
        <v>849.14</v>
      </c>
      <c r="R78" s="9" t="n">
        <v>968.53</v>
      </c>
      <c r="S78" s="9" t="n">
        <v>805.61</v>
      </c>
      <c r="T78" s="9" t="n">
        <v>824.97</v>
      </c>
      <c r="U78" s="10">
        <f>SUM(I78:T78)</f>
        <v/>
      </c>
    </row>
    <row r="79">
      <c r="A79" s="2" t="inlineStr">
        <is>
          <t>SN-1000-1200-1210-1210HE0001</t>
        </is>
      </c>
      <c r="B79" s="2" t="inlineStr">
        <is>
          <t>1210HE0001</t>
        </is>
      </c>
      <c r="C79" s="2" t="inlineStr">
        <is>
          <t>Calefactor eléctrico edificio</t>
        </is>
      </c>
      <c r="D79" s="2" t="n">
        <v>26</v>
      </c>
      <c r="E79" s="2" t="inlineStr">
        <is>
          <t>CC-1000</t>
        </is>
      </c>
      <c r="F79" s="2" t="inlineStr">
        <is>
          <t>P01</t>
        </is>
      </c>
      <c r="G79" s="2" t="n">
        <v>630000</v>
      </c>
      <c r="H79" s="2" t="inlineStr">
        <is>
          <t>Servicios externos</t>
        </is>
      </c>
      <c r="I79" s="9" t="n">
        <v>957.48</v>
      </c>
      <c r="J79" s="9" t="n">
        <v>868.74</v>
      </c>
      <c r="K79" s="9" t="n">
        <v>1012.38</v>
      </c>
      <c r="L79" s="9" t="n">
        <v>883.25</v>
      </c>
      <c r="M79" s="9" t="n">
        <v>896.02</v>
      </c>
      <c r="N79" s="9" t="n">
        <v>937.2</v>
      </c>
      <c r="O79" s="9" t="n">
        <v>903.95</v>
      </c>
      <c r="P79" s="9" t="n">
        <v>934.89</v>
      </c>
      <c r="Q79" s="9" t="n">
        <v>838.0700000000001</v>
      </c>
      <c r="R79" s="9" t="n">
        <v>951.42</v>
      </c>
      <c r="S79" s="9" t="n">
        <v>954.6799999999999</v>
      </c>
      <c r="T79" s="9" t="n">
        <v>915.41</v>
      </c>
      <c r="U79" s="10">
        <f>SUM(I79:T79)</f>
        <v/>
      </c>
    </row>
    <row r="80">
      <c r="A80" s="2" t="inlineStr">
        <is>
          <t>SN-1000-1200-1210-1210HE0002</t>
        </is>
      </c>
      <c r="B80" s="2" t="inlineStr">
        <is>
          <t>1210HE0002</t>
        </is>
      </c>
      <c r="C80" s="2" t="inlineStr">
        <is>
          <t>Calefactor eléctrico edificio</t>
        </is>
      </c>
      <c r="D80" s="2" t="n">
        <v>27</v>
      </c>
      <c r="E80" s="2" t="inlineStr">
        <is>
          <t>CC-1000</t>
        </is>
      </c>
      <c r="F80" s="2" t="inlineStr">
        <is>
          <t>P01</t>
        </is>
      </c>
      <c r="G80" s="2" t="n">
        <v>610000</v>
      </c>
      <c r="H80" s="2" t="inlineStr">
        <is>
          <t>Mano obra interna</t>
        </is>
      </c>
      <c r="I80" s="9" t="n">
        <v>521.5599999999999</v>
      </c>
      <c r="J80" s="9" t="n">
        <v>501.76</v>
      </c>
      <c r="K80" s="9" t="n">
        <v>509.55</v>
      </c>
      <c r="L80" s="9" t="n">
        <v>559</v>
      </c>
      <c r="M80" s="9" t="n">
        <v>517.34</v>
      </c>
      <c r="N80" s="9" t="n">
        <v>540.29</v>
      </c>
      <c r="O80" s="9" t="n">
        <v>531.9400000000001</v>
      </c>
      <c r="P80" s="9" t="n">
        <v>573.5599999999999</v>
      </c>
      <c r="Q80" s="9" t="n">
        <v>472.06</v>
      </c>
      <c r="R80" s="9" t="n">
        <v>609.83</v>
      </c>
      <c r="S80" s="9" t="n">
        <v>539.8099999999999</v>
      </c>
      <c r="T80" s="9" t="n">
        <v>565.4</v>
      </c>
      <c r="U80" s="10">
        <f>SUM(I80:T80)</f>
        <v/>
      </c>
    </row>
    <row r="81">
      <c r="A81" s="2" t="inlineStr">
        <is>
          <t>SN-1000-1200-1210-1210HE0002</t>
        </is>
      </c>
      <c r="B81" s="2" t="inlineStr">
        <is>
          <t>1210HE0002</t>
        </is>
      </c>
      <c r="C81" s="2" t="inlineStr">
        <is>
          <t>Calefactor eléctrico edificio</t>
        </is>
      </c>
      <c r="D81" s="2" t="n">
        <v>27</v>
      </c>
      <c r="E81" s="2" t="inlineStr">
        <is>
          <t>CC-1000</t>
        </is>
      </c>
      <c r="F81" s="2" t="inlineStr">
        <is>
          <t>P01</t>
        </is>
      </c>
      <c r="G81" s="2" t="n">
        <v>620000</v>
      </c>
      <c r="H81" s="2" t="inlineStr">
        <is>
          <t>Materiales</t>
        </is>
      </c>
      <c r="I81" s="9" t="n">
        <v>549.22</v>
      </c>
      <c r="J81" s="9" t="n">
        <v>518.89</v>
      </c>
      <c r="K81" s="9" t="n">
        <v>501.35</v>
      </c>
      <c r="L81" s="9" t="n">
        <v>488.35</v>
      </c>
      <c r="M81" s="9" t="n">
        <v>545.51</v>
      </c>
      <c r="N81" s="9" t="n">
        <v>502.97</v>
      </c>
      <c r="O81" s="9" t="n">
        <v>541.1900000000001</v>
      </c>
      <c r="P81" s="9" t="n">
        <v>514.53</v>
      </c>
      <c r="Q81" s="9" t="n">
        <v>451.31</v>
      </c>
      <c r="R81" s="9" t="n">
        <v>523.54</v>
      </c>
      <c r="S81" s="9" t="n">
        <v>514.79</v>
      </c>
      <c r="T81" s="9" t="n">
        <v>518.26</v>
      </c>
      <c r="U81" s="10">
        <f>SUM(I81:T81)</f>
        <v/>
      </c>
    </row>
    <row r="82">
      <c r="A82" s="2" t="inlineStr">
        <is>
          <t>SN-1000-1200-1210-1210HE0002</t>
        </is>
      </c>
      <c r="B82" s="2" t="inlineStr">
        <is>
          <t>1210HE0002</t>
        </is>
      </c>
      <c r="C82" s="2" t="inlineStr">
        <is>
          <t>Calefactor eléctrico edificio</t>
        </is>
      </c>
      <c r="D82" s="2" t="n">
        <v>27</v>
      </c>
      <c r="E82" s="2" t="inlineStr">
        <is>
          <t>CC-1000</t>
        </is>
      </c>
      <c r="F82" s="2" t="inlineStr">
        <is>
          <t>P01</t>
        </is>
      </c>
      <c r="G82" s="2" t="n">
        <v>630000</v>
      </c>
      <c r="H82" s="2" t="inlineStr">
        <is>
          <t>Servicios externos</t>
        </is>
      </c>
      <c r="I82" s="9" t="n">
        <v>440.94</v>
      </c>
      <c r="J82" s="9" t="n">
        <v>396.26</v>
      </c>
      <c r="K82" s="9" t="n">
        <v>452.05</v>
      </c>
      <c r="L82" s="9" t="n">
        <v>425.71</v>
      </c>
      <c r="M82" s="9" t="n">
        <v>448.42</v>
      </c>
      <c r="N82" s="9" t="n">
        <v>400.97</v>
      </c>
      <c r="O82" s="9" t="n">
        <v>429.61</v>
      </c>
      <c r="P82" s="9" t="n">
        <v>398.42</v>
      </c>
      <c r="Q82" s="9" t="n">
        <v>375.08</v>
      </c>
      <c r="R82" s="9" t="n">
        <v>458.41</v>
      </c>
      <c r="S82" s="9" t="n">
        <v>417.36</v>
      </c>
      <c r="T82" s="9" t="n">
        <v>445.96</v>
      </c>
      <c r="U82" s="10">
        <f>SUM(I82:T82)</f>
        <v/>
      </c>
    </row>
    <row r="83">
      <c r="A83" s="2" t="inlineStr">
        <is>
          <t>SN-1000-1200-1210-1210HE0003</t>
        </is>
      </c>
      <c r="B83" s="2" t="inlineStr">
        <is>
          <t>1210HE0003</t>
        </is>
      </c>
      <c r="C83" s="2" t="inlineStr">
        <is>
          <t>Calefactor eléctrico edificio</t>
        </is>
      </c>
      <c r="D83" s="2" t="n">
        <v>28</v>
      </c>
      <c r="E83" s="2" t="inlineStr">
        <is>
          <t>CC-1000</t>
        </is>
      </c>
      <c r="F83" s="2" t="inlineStr">
        <is>
          <t>P01</t>
        </is>
      </c>
      <c r="G83" s="2" t="n">
        <v>610000</v>
      </c>
      <c r="H83" s="2" t="inlineStr">
        <is>
          <t>Mano obra interna</t>
        </is>
      </c>
      <c r="I83" s="9" t="n">
        <v>331.93</v>
      </c>
      <c r="J83" s="9" t="n">
        <v>328.44</v>
      </c>
      <c r="K83" s="9" t="n">
        <v>339.86</v>
      </c>
      <c r="L83" s="9" t="n">
        <v>298.53</v>
      </c>
      <c r="M83" s="9" t="n">
        <v>311.08</v>
      </c>
      <c r="N83" s="9" t="n">
        <v>282.41</v>
      </c>
      <c r="O83" s="9" t="n">
        <v>302.44</v>
      </c>
      <c r="P83" s="9" t="n">
        <v>339.62</v>
      </c>
      <c r="Q83" s="9" t="n">
        <v>276.73</v>
      </c>
      <c r="R83" s="9" t="n">
        <v>339.99</v>
      </c>
      <c r="S83" s="9" t="n">
        <v>311.02</v>
      </c>
      <c r="T83" s="9" t="n">
        <v>330.36</v>
      </c>
      <c r="U83" s="10">
        <f>SUM(I83:T83)</f>
        <v/>
      </c>
    </row>
    <row r="84">
      <c r="A84" s="2" t="inlineStr">
        <is>
          <t>SN-1000-1200-1210-1210HE0003</t>
        </is>
      </c>
      <c r="B84" s="2" t="inlineStr">
        <is>
          <t>1210HE0003</t>
        </is>
      </c>
      <c r="C84" s="2" t="inlineStr">
        <is>
          <t>Calefactor eléctrico edificio</t>
        </is>
      </c>
      <c r="D84" s="2" t="n">
        <v>28</v>
      </c>
      <c r="E84" s="2" t="inlineStr">
        <is>
          <t>CC-1000</t>
        </is>
      </c>
      <c r="F84" s="2" t="inlineStr">
        <is>
          <t>P01</t>
        </is>
      </c>
      <c r="G84" s="2" t="n">
        <v>620000</v>
      </c>
      <c r="H84" s="2" t="inlineStr">
        <is>
          <t>Materiales</t>
        </is>
      </c>
      <c r="I84" s="9" t="n">
        <v>321.87</v>
      </c>
      <c r="J84" s="9" t="n">
        <v>327.59</v>
      </c>
      <c r="K84" s="9" t="n">
        <v>353.96</v>
      </c>
      <c r="L84" s="9" t="n">
        <v>326.62</v>
      </c>
      <c r="M84" s="9" t="n">
        <v>330.5</v>
      </c>
      <c r="N84" s="9" t="n">
        <v>302.67</v>
      </c>
      <c r="O84" s="9" t="n">
        <v>319.21</v>
      </c>
      <c r="P84" s="9" t="n">
        <v>336.24</v>
      </c>
      <c r="Q84" s="9" t="n">
        <v>299.77</v>
      </c>
      <c r="R84" s="9" t="n">
        <v>372.95</v>
      </c>
      <c r="S84" s="9" t="n">
        <v>341.24</v>
      </c>
      <c r="T84" s="9" t="n">
        <v>363.91</v>
      </c>
      <c r="U84" s="10">
        <f>SUM(I84:T84)</f>
        <v/>
      </c>
    </row>
    <row r="85">
      <c r="A85" s="2" t="inlineStr">
        <is>
          <t>SN-1000-1200-1210-1210HE0003</t>
        </is>
      </c>
      <c r="B85" s="2" t="inlineStr">
        <is>
          <t>1210HE0003</t>
        </is>
      </c>
      <c r="C85" s="2" t="inlineStr">
        <is>
          <t>Calefactor eléctrico edificio</t>
        </is>
      </c>
      <c r="D85" s="2" t="n">
        <v>28</v>
      </c>
      <c r="E85" s="2" t="inlineStr">
        <is>
          <t>CC-1000</t>
        </is>
      </c>
      <c r="F85" s="2" t="inlineStr">
        <is>
          <t>P01</t>
        </is>
      </c>
      <c r="G85" s="2" t="n">
        <v>630000</v>
      </c>
      <c r="H85" s="2" t="inlineStr">
        <is>
          <t>Servicios externos</t>
        </is>
      </c>
      <c r="I85" s="9" t="n">
        <v>286.8</v>
      </c>
      <c r="J85" s="9" t="n">
        <v>273.75</v>
      </c>
      <c r="K85" s="9" t="n">
        <v>312.8</v>
      </c>
      <c r="L85" s="9" t="n">
        <v>313.29</v>
      </c>
      <c r="M85" s="9" t="n">
        <v>271.65</v>
      </c>
      <c r="N85" s="9" t="n">
        <v>303.5</v>
      </c>
      <c r="O85" s="9" t="n">
        <v>275.58</v>
      </c>
      <c r="P85" s="9" t="n">
        <v>298.47</v>
      </c>
      <c r="Q85" s="9" t="n">
        <v>285.46</v>
      </c>
      <c r="R85" s="9" t="n">
        <v>339</v>
      </c>
      <c r="S85" s="9" t="n">
        <v>297.09</v>
      </c>
      <c r="T85" s="9" t="n">
        <v>315.67</v>
      </c>
      <c r="U85" s="10">
        <f>SUM(I85:T85)</f>
        <v/>
      </c>
    </row>
    <row r="86">
      <c r="A86" s="2" t="inlineStr">
        <is>
          <t>SN-1000-1200-1210-1210HE0004</t>
        </is>
      </c>
      <c r="B86" s="2" t="inlineStr">
        <is>
          <t>1210HE0004</t>
        </is>
      </c>
      <c r="C86" s="2" t="inlineStr">
        <is>
          <t>Calefactor eléctrico edificio</t>
        </is>
      </c>
      <c r="D86" s="2" t="n">
        <v>29</v>
      </c>
      <c r="E86" s="2" t="inlineStr">
        <is>
          <t>CC-1000</t>
        </is>
      </c>
      <c r="F86" s="2" t="inlineStr">
        <is>
          <t>P01</t>
        </is>
      </c>
      <c r="G86" s="2" t="n">
        <v>610000</v>
      </c>
      <c r="H86" s="2" t="inlineStr">
        <is>
          <t>Mano obra interna</t>
        </is>
      </c>
      <c r="I86" s="9" t="n">
        <v>160.66</v>
      </c>
      <c r="J86" s="9" t="n">
        <v>137.65</v>
      </c>
      <c r="K86" s="9" t="n">
        <v>164.34</v>
      </c>
      <c r="L86" s="9" t="n">
        <v>154.3</v>
      </c>
      <c r="M86" s="9" t="n">
        <v>155.81</v>
      </c>
      <c r="N86" s="9" t="n">
        <v>142.16</v>
      </c>
      <c r="O86" s="9" t="n">
        <v>153.34</v>
      </c>
      <c r="P86" s="9" t="n">
        <v>150.35</v>
      </c>
      <c r="Q86" s="9" t="n">
        <v>144.64</v>
      </c>
      <c r="R86" s="9" t="n">
        <v>150.77</v>
      </c>
      <c r="S86" s="9" t="n">
        <v>134.84</v>
      </c>
      <c r="T86" s="9" t="n">
        <v>145.9</v>
      </c>
      <c r="U86" s="10">
        <f>SUM(I86:T86)</f>
        <v/>
      </c>
    </row>
    <row r="87">
      <c r="A87" s="2" t="inlineStr">
        <is>
          <t>SN-1000-1200-1210-1210HE0004</t>
        </is>
      </c>
      <c r="B87" s="2" t="inlineStr">
        <is>
          <t>1210HE0004</t>
        </is>
      </c>
      <c r="C87" s="2" t="inlineStr">
        <is>
          <t>Calefactor eléctrico edificio</t>
        </is>
      </c>
      <c r="D87" s="2" t="n">
        <v>29</v>
      </c>
      <c r="E87" s="2" t="inlineStr">
        <is>
          <t>CC-1000</t>
        </is>
      </c>
      <c r="F87" s="2" t="inlineStr">
        <is>
          <t>P01</t>
        </is>
      </c>
      <c r="G87" s="2" t="n">
        <v>620000</v>
      </c>
      <c r="H87" s="2" t="inlineStr">
        <is>
          <t>Materiales</t>
        </is>
      </c>
      <c r="I87" s="9" t="n">
        <v>146.05</v>
      </c>
      <c r="J87" s="9" t="n">
        <v>127.01</v>
      </c>
      <c r="K87" s="9" t="n">
        <v>149.91</v>
      </c>
      <c r="L87" s="9" t="n">
        <v>134.41</v>
      </c>
      <c r="M87" s="9" t="n">
        <v>126.84</v>
      </c>
      <c r="N87" s="9" t="n">
        <v>135.08</v>
      </c>
      <c r="O87" s="9" t="n">
        <v>138.52</v>
      </c>
      <c r="P87" s="9" t="n">
        <v>134.89</v>
      </c>
      <c r="Q87" s="9" t="n">
        <v>126.81</v>
      </c>
      <c r="R87" s="9" t="n">
        <v>150.73</v>
      </c>
      <c r="S87" s="9" t="n">
        <v>125.04</v>
      </c>
      <c r="T87" s="9" t="n">
        <v>147.92</v>
      </c>
      <c r="U87" s="10">
        <f>SUM(I87:T87)</f>
        <v/>
      </c>
    </row>
    <row r="88">
      <c r="A88" s="2" t="inlineStr">
        <is>
          <t>SN-1000-1200-1210-1210HE0004</t>
        </is>
      </c>
      <c r="B88" s="2" t="inlineStr">
        <is>
          <t>1210HE0004</t>
        </is>
      </c>
      <c r="C88" s="2" t="inlineStr">
        <is>
          <t>Calefactor eléctrico edificio</t>
        </is>
      </c>
      <c r="D88" s="2" t="n">
        <v>29</v>
      </c>
      <c r="E88" s="2" t="inlineStr">
        <is>
          <t>CC-1000</t>
        </is>
      </c>
      <c r="F88" s="2" t="inlineStr">
        <is>
          <t>P01</t>
        </is>
      </c>
      <c r="G88" s="2" t="n">
        <v>630000</v>
      </c>
      <c r="H88" s="2" t="inlineStr">
        <is>
          <t>Servicios externos</t>
        </is>
      </c>
      <c r="I88" s="9" t="n">
        <v>183.45</v>
      </c>
      <c r="J88" s="9" t="n">
        <v>164.52</v>
      </c>
      <c r="K88" s="9" t="n">
        <v>186.25</v>
      </c>
      <c r="L88" s="9" t="n">
        <v>167.07</v>
      </c>
      <c r="M88" s="9" t="n">
        <v>160.62</v>
      </c>
      <c r="N88" s="9" t="n">
        <v>161.27</v>
      </c>
      <c r="O88" s="9" t="n">
        <v>174.51</v>
      </c>
      <c r="P88" s="9" t="n">
        <v>185.68</v>
      </c>
      <c r="Q88" s="9" t="n">
        <v>169.29</v>
      </c>
      <c r="R88" s="9" t="n">
        <v>196.59</v>
      </c>
      <c r="S88" s="9" t="n">
        <v>167.85</v>
      </c>
      <c r="T88" s="9" t="n">
        <v>173.7</v>
      </c>
      <c r="U88" s="10">
        <f>SUM(I88:T88)</f>
        <v/>
      </c>
    </row>
    <row r="89">
      <c r="A89" s="2" t="inlineStr">
        <is>
          <t>SN-1000-1200-1210-1210HE0005</t>
        </is>
      </c>
      <c r="B89" s="2" t="inlineStr">
        <is>
          <t>1210HE0005</t>
        </is>
      </c>
      <c r="C89" s="2" t="inlineStr">
        <is>
          <t>Calefactor eléctrico edificio</t>
        </is>
      </c>
      <c r="D89" s="2" t="n">
        <v>30</v>
      </c>
      <c r="E89" s="2" t="inlineStr">
        <is>
          <t>CC-1000</t>
        </is>
      </c>
      <c r="F89" s="2" t="inlineStr">
        <is>
          <t>P01</t>
        </is>
      </c>
      <c r="G89" s="2" t="n">
        <v>610000</v>
      </c>
      <c r="H89" s="2" t="inlineStr">
        <is>
          <t>Mano obra interna</t>
        </is>
      </c>
      <c r="I89" s="9" t="n">
        <v>682.91</v>
      </c>
      <c r="J89" s="9" t="n">
        <v>566.1799999999999</v>
      </c>
      <c r="K89" s="9" t="n">
        <v>677.78</v>
      </c>
      <c r="L89" s="9" t="n">
        <v>642.21</v>
      </c>
      <c r="M89" s="9" t="n">
        <v>608.1</v>
      </c>
      <c r="N89" s="9" t="n">
        <v>614.67</v>
      </c>
      <c r="O89" s="9" t="n">
        <v>619.5</v>
      </c>
      <c r="P89" s="9" t="n">
        <v>657.13</v>
      </c>
      <c r="Q89" s="9" t="n">
        <v>614.6900000000001</v>
      </c>
      <c r="R89" s="9" t="n">
        <v>660.83</v>
      </c>
      <c r="S89" s="9" t="n">
        <v>579.28</v>
      </c>
      <c r="T89" s="9" t="n">
        <v>639.0599999999999</v>
      </c>
      <c r="U89" s="10">
        <f>SUM(I89:T89)</f>
        <v/>
      </c>
    </row>
    <row r="90">
      <c r="A90" s="2" t="inlineStr">
        <is>
          <t>SN-1000-1200-1210-1210HE0005</t>
        </is>
      </c>
      <c r="B90" s="2" t="inlineStr">
        <is>
          <t>1210HE0005</t>
        </is>
      </c>
      <c r="C90" s="2" t="inlineStr">
        <is>
          <t>Calefactor eléctrico edificio</t>
        </is>
      </c>
      <c r="D90" s="2" t="n">
        <v>30</v>
      </c>
      <c r="E90" s="2" t="inlineStr">
        <is>
          <t>CC-1000</t>
        </is>
      </c>
      <c r="F90" s="2" t="inlineStr">
        <is>
          <t>P01</t>
        </is>
      </c>
      <c r="G90" s="2" t="n">
        <v>620000</v>
      </c>
      <c r="H90" s="2" t="inlineStr">
        <is>
          <t>Materiales</t>
        </is>
      </c>
      <c r="I90" s="9" t="n">
        <v>692.16</v>
      </c>
      <c r="J90" s="9" t="n">
        <v>713.95</v>
      </c>
      <c r="K90" s="9" t="n">
        <v>748.88</v>
      </c>
      <c r="L90" s="9" t="n">
        <v>753.72</v>
      </c>
      <c r="M90" s="9" t="n">
        <v>662.11</v>
      </c>
      <c r="N90" s="9" t="n">
        <v>703.1799999999999</v>
      </c>
      <c r="O90" s="9" t="n">
        <v>757.8099999999999</v>
      </c>
      <c r="P90" s="9" t="n">
        <v>674</v>
      </c>
      <c r="Q90" s="9" t="n">
        <v>634.01</v>
      </c>
      <c r="R90" s="9" t="n">
        <v>824.52</v>
      </c>
      <c r="S90" s="9" t="n">
        <v>653.11</v>
      </c>
      <c r="T90" s="9" t="n">
        <v>762.41</v>
      </c>
      <c r="U90" s="10">
        <f>SUM(I90:T90)</f>
        <v/>
      </c>
    </row>
    <row r="91">
      <c r="A91" s="2" t="inlineStr">
        <is>
          <t>SN-1000-1200-1210-1210HE0005</t>
        </is>
      </c>
      <c r="B91" s="2" t="inlineStr">
        <is>
          <t>1210HE0005</t>
        </is>
      </c>
      <c r="C91" s="2" t="inlineStr">
        <is>
          <t>Calefactor eléctrico edificio</t>
        </is>
      </c>
      <c r="D91" s="2" t="n">
        <v>30</v>
      </c>
      <c r="E91" s="2" t="inlineStr">
        <is>
          <t>CC-1000</t>
        </is>
      </c>
      <c r="F91" s="2" t="inlineStr">
        <is>
          <t>P01</t>
        </is>
      </c>
      <c r="G91" s="2" t="n">
        <v>630000</v>
      </c>
      <c r="H91" s="2" t="inlineStr">
        <is>
          <t>Servicios externos</t>
        </is>
      </c>
      <c r="I91" s="9" t="n">
        <v>624.3099999999999</v>
      </c>
      <c r="J91" s="9" t="n">
        <v>664.92</v>
      </c>
      <c r="K91" s="9" t="n">
        <v>651.75</v>
      </c>
      <c r="L91" s="9" t="n">
        <v>652.9299999999999</v>
      </c>
      <c r="M91" s="9" t="n">
        <v>616.54</v>
      </c>
      <c r="N91" s="9" t="n">
        <v>618.4</v>
      </c>
      <c r="O91" s="9" t="n">
        <v>603.3</v>
      </c>
      <c r="P91" s="9" t="n">
        <v>625.76</v>
      </c>
      <c r="Q91" s="9" t="n">
        <v>637.84</v>
      </c>
      <c r="R91" s="9" t="n">
        <v>660.72</v>
      </c>
      <c r="S91" s="9" t="n">
        <v>632.45</v>
      </c>
      <c r="T91" s="9" t="n">
        <v>628.71</v>
      </c>
      <c r="U91" s="10">
        <f>SUM(I91:T91)</f>
        <v/>
      </c>
    </row>
    <row r="92">
      <c r="A92" s="2" t="inlineStr">
        <is>
          <t>SN-1000-1200-1210-1210HE0006</t>
        </is>
      </c>
      <c r="B92" s="2" t="inlineStr">
        <is>
          <t>1210HE0006</t>
        </is>
      </c>
      <c r="C92" s="2" t="inlineStr">
        <is>
          <t>Calefactor eléctrico edificio</t>
        </is>
      </c>
      <c r="D92" s="2" t="n">
        <v>31</v>
      </c>
      <c r="E92" s="2" t="inlineStr">
        <is>
          <t>CC-1000</t>
        </is>
      </c>
      <c r="F92" s="2" t="inlineStr">
        <is>
          <t>P01</t>
        </is>
      </c>
      <c r="G92" s="2" t="n">
        <v>610000</v>
      </c>
      <c r="H92" s="2" t="inlineStr">
        <is>
          <t>Mano obra interna</t>
        </is>
      </c>
      <c r="I92" s="9" t="n">
        <v>2572.03</v>
      </c>
      <c r="J92" s="9" t="n">
        <v>2835.34</v>
      </c>
      <c r="K92" s="9" t="n">
        <v>2741.96</v>
      </c>
      <c r="L92" s="9" t="n">
        <v>2621.11</v>
      </c>
      <c r="M92" s="9" t="n">
        <v>2469.12</v>
      </c>
      <c r="N92" s="9" t="n">
        <v>2424.75</v>
      </c>
      <c r="O92" s="9" t="n">
        <v>2687.34</v>
      </c>
      <c r="P92" s="9" t="n">
        <v>2605.87</v>
      </c>
      <c r="Q92" s="9" t="n">
        <v>2623.73</v>
      </c>
      <c r="R92" s="9" t="n">
        <v>2855.72</v>
      </c>
      <c r="S92" s="9" t="n">
        <v>2487.92</v>
      </c>
      <c r="T92" s="9" t="n">
        <v>2768.34</v>
      </c>
      <c r="U92" s="10">
        <f>SUM(I92:T92)</f>
        <v/>
      </c>
    </row>
    <row r="93">
      <c r="A93" s="2" t="inlineStr">
        <is>
          <t>SN-1000-1200-1210-1210HE0006</t>
        </is>
      </c>
      <c r="B93" s="2" t="inlineStr">
        <is>
          <t>1210HE0006</t>
        </is>
      </c>
      <c r="C93" s="2" t="inlineStr">
        <is>
          <t>Calefactor eléctrico edificio</t>
        </is>
      </c>
      <c r="D93" s="2" t="n">
        <v>31</v>
      </c>
      <c r="E93" s="2" t="inlineStr">
        <is>
          <t>CC-1000</t>
        </is>
      </c>
      <c r="F93" s="2" t="inlineStr">
        <is>
          <t>P01</t>
        </is>
      </c>
      <c r="G93" s="2" t="n">
        <v>620000</v>
      </c>
      <c r="H93" s="2" t="inlineStr">
        <is>
          <t>Materiales</t>
        </is>
      </c>
      <c r="I93" s="9" t="n">
        <v>2442.6</v>
      </c>
      <c r="J93" s="9" t="n">
        <v>2356.72</v>
      </c>
      <c r="K93" s="9" t="n">
        <v>2414.04</v>
      </c>
      <c r="L93" s="9" t="n">
        <v>2680.78</v>
      </c>
      <c r="M93" s="9" t="n">
        <v>2566.77</v>
      </c>
      <c r="N93" s="9" t="n">
        <v>2406.52</v>
      </c>
      <c r="O93" s="9" t="n">
        <v>2667.74</v>
      </c>
      <c r="P93" s="9" t="n">
        <v>2648.99</v>
      </c>
      <c r="Q93" s="9" t="n">
        <v>2384.79</v>
      </c>
      <c r="R93" s="9" t="n">
        <v>2886.17</v>
      </c>
      <c r="S93" s="9" t="n">
        <v>2331.5</v>
      </c>
      <c r="T93" s="9" t="n">
        <v>2405.63</v>
      </c>
      <c r="U93" s="10">
        <f>SUM(I93:T93)</f>
        <v/>
      </c>
    </row>
    <row r="94">
      <c r="A94" s="2" t="inlineStr">
        <is>
          <t>SN-1000-1200-1210-1210HE0006</t>
        </is>
      </c>
      <c r="B94" s="2" t="inlineStr">
        <is>
          <t>1210HE0006</t>
        </is>
      </c>
      <c r="C94" s="2" t="inlineStr">
        <is>
          <t>Calefactor eléctrico edificio</t>
        </is>
      </c>
      <c r="D94" s="2" t="n">
        <v>31</v>
      </c>
      <c r="E94" s="2" t="inlineStr">
        <is>
          <t>CC-1000</t>
        </is>
      </c>
      <c r="F94" s="2" t="inlineStr">
        <is>
          <t>P01</t>
        </is>
      </c>
      <c r="G94" s="2" t="n">
        <v>630000</v>
      </c>
      <c r="H94" s="2" t="inlineStr">
        <is>
          <t>Servicios externos</t>
        </is>
      </c>
      <c r="I94" s="9" t="n">
        <v>2119.08</v>
      </c>
      <c r="J94" s="9" t="n">
        <v>2211.28</v>
      </c>
      <c r="K94" s="9" t="n">
        <v>2465.83</v>
      </c>
      <c r="L94" s="9" t="n">
        <v>2115.09</v>
      </c>
      <c r="M94" s="9" t="n">
        <v>2077.34</v>
      </c>
      <c r="N94" s="9" t="n">
        <v>2119.65</v>
      </c>
      <c r="O94" s="9" t="n">
        <v>2390.31</v>
      </c>
      <c r="P94" s="9" t="n">
        <v>2166.8</v>
      </c>
      <c r="Q94" s="9" t="n">
        <v>2082.11</v>
      </c>
      <c r="R94" s="9" t="n">
        <v>2232.62</v>
      </c>
      <c r="S94" s="9" t="n">
        <v>2041.09</v>
      </c>
      <c r="T94" s="9" t="n">
        <v>2443.84</v>
      </c>
      <c r="U94" s="10">
        <f>SUM(I94:T94)</f>
        <v/>
      </c>
    </row>
    <row r="95">
      <c r="A95" s="2" t="inlineStr">
        <is>
          <t>SN-1000-1200-1210-1210HE0021</t>
        </is>
      </c>
      <c r="B95" s="2" t="inlineStr">
        <is>
          <t>1210HE0021</t>
        </is>
      </c>
      <c r="C95" s="2" t="inlineStr">
        <is>
          <t>Calefactor eléctrico baño</t>
        </is>
      </c>
      <c r="D95" s="2" t="n">
        <v>32</v>
      </c>
      <c r="E95" s="2" t="inlineStr">
        <is>
          <t>CC-1000</t>
        </is>
      </c>
      <c r="F95" s="2" t="inlineStr">
        <is>
          <t>P01</t>
        </is>
      </c>
      <c r="G95" s="2" t="n">
        <v>610000</v>
      </c>
      <c r="H95" s="2" t="inlineStr">
        <is>
          <t>Mano obra interna</t>
        </is>
      </c>
      <c r="I95" s="9" t="n">
        <v>723.89</v>
      </c>
      <c r="J95" s="9" t="n">
        <v>813.28</v>
      </c>
      <c r="K95" s="9" t="n">
        <v>812.16</v>
      </c>
      <c r="L95" s="9" t="n">
        <v>833.42</v>
      </c>
      <c r="M95" s="9" t="n">
        <v>756.63</v>
      </c>
      <c r="N95" s="9" t="n">
        <v>738.12</v>
      </c>
      <c r="O95" s="9" t="n">
        <v>769.09</v>
      </c>
      <c r="P95" s="9" t="n">
        <v>790.08</v>
      </c>
      <c r="Q95" s="9" t="n">
        <v>675.55</v>
      </c>
      <c r="R95" s="9" t="n">
        <v>768.05</v>
      </c>
      <c r="S95" s="9" t="n">
        <v>722.61</v>
      </c>
      <c r="T95" s="9" t="n">
        <v>807.14</v>
      </c>
      <c r="U95" s="10">
        <f>SUM(I95:T95)</f>
        <v/>
      </c>
    </row>
    <row r="96">
      <c r="A96" s="2" t="inlineStr">
        <is>
          <t>SN-1000-1200-1210-1210HE0021</t>
        </is>
      </c>
      <c r="B96" s="2" t="inlineStr">
        <is>
          <t>1210HE0021</t>
        </is>
      </c>
      <c r="C96" s="2" t="inlineStr">
        <is>
          <t>Calefactor eléctrico baño</t>
        </is>
      </c>
      <c r="D96" s="2" t="n">
        <v>32</v>
      </c>
      <c r="E96" s="2" t="inlineStr">
        <is>
          <t>CC-1000</t>
        </is>
      </c>
      <c r="F96" s="2" t="inlineStr">
        <is>
          <t>P01</t>
        </is>
      </c>
      <c r="G96" s="2" t="n">
        <v>620000</v>
      </c>
      <c r="H96" s="2" t="inlineStr">
        <is>
          <t>Materiales</t>
        </is>
      </c>
      <c r="I96" s="9" t="n">
        <v>612.16</v>
      </c>
      <c r="J96" s="9" t="n">
        <v>617.84</v>
      </c>
      <c r="K96" s="9" t="n">
        <v>562.8200000000001</v>
      </c>
      <c r="L96" s="9" t="n">
        <v>612.8</v>
      </c>
      <c r="M96" s="9" t="n">
        <v>572.24</v>
      </c>
      <c r="N96" s="9" t="n">
        <v>590.6900000000001</v>
      </c>
      <c r="O96" s="9" t="n">
        <v>553.58</v>
      </c>
      <c r="P96" s="9" t="n">
        <v>601</v>
      </c>
      <c r="Q96" s="9" t="n">
        <v>572.52</v>
      </c>
      <c r="R96" s="9" t="n">
        <v>673.99</v>
      </c>
      <c r="S96" s="9" t="n">
        <v>581.4</v>
      </c>
      <c r="T96" s="9" t="n">
        <v>591.86</v>
      </c>
      <c r="U96" s="10">
        <f>SUM(I96:T96)</f>
        <v/>
      </c>
    </row>
    <row r="97">
      <c r="A97" s="2" t="inlineStr">
        <is>
          <t>SN-1000-1200-1210-1210HE0021</t>
        </is>
      </c>
      <c r="B97" s="2" t="inlineStr">
        <is>
          <t>1210HE0021</t>
        </is>
      </c>
      <c r="C97" s="2" t="inlineStr">
        <is>
          <t>Calefactor eléctrico baño</t>
        </is>
      </c>
      <c r="D97" s="2" t="n">
        <v>32</v>
      </c>
      <c r="E97" s="2" t="inlineStr">
        <is>
          <t>CC-1000</t>
        </is>
      </c>
      <c r="F97" s="2" t="inlineStr">
        <is>
          <t>P01</t>
        </is>
      </c>
      <c r="G97" s="2" t="n">
        <v>630000</v>
      </c>
      <c r="H97" s="2" t="inlineStr">
        <is>
          <t>Servicios externos</t>
        </is>
      </c>
      <c r="I97" s="9" t="n">
        <v>727.27</v>
      </c>
      <c r="J97" s="9" t="n">
        <v>670.01</v>
      </c>
      <c r="K97" s="9" t="n">
        <v>641.86</v>
      </c>
      <c r="L97" s="9" t="n">
        <v>734.95</v>
      </c>
      <c r="M97" s="9" t="n">
        <v>685.95</v>
      </c>
      <c r="N97" s="9" t="n">
        <v>661.33</v>
      </c>
      <c r="O97" s="9" t="n">
        <v>642.4</v>
      </c>
      <c r="P97" s="9" t="n">
        <v>689.3</v>
      </c>
      <c r="Q97" s="9" t="n">
        <v>615.58</v>
      </c>
      <c r="R97" s="9" t="n">
        <v>743.03</v>
      </c>
      <c r="S97" s="9" t="n">
        <v>610.24</v>
      </c>
      <c r="T97" s="9" t="n">
        <v>699.95</v>
      </c>
      <c r="U97" s="10">
        <f>SUM(I97:T97)</f>
        <v/>
      </c>
    </row>
    <row r="98">
      <c r="A98" s="2" t="inlineStr">
        <is>
          <t>SN-1000-1200-1210-1210HE0022</t>
        </is>
      </c>
      <c r="B98" s="2" t="inlineStr">
        <is>
          <t>1210HE0022</t>
        </is>
      </c>
      <c r="C98" s="2" t="inlineStr">
        <is>
          <t>Calefactor eléctrico baño</t>
        </is>
      </c>
      <c r="D98" s="2" t="n">
        <v>33</v>
      </c>
      <c r="E98" s="2" t="inlineStr">
        <is>
          <t>CC-1000</t>
        </is>
      </c>
      <c r="F98" s="2" t="inlineStr">
        <is>
          <t>P01</t>
        </is>
      </c>
      <c r="G98" s="2" t="n">
        <v>610000</v>
      </c>
      <c r="H98" s="2" t="inlineStr">
        <is>
          <t>Mano obra interna</t>
        </is>
      </c>
      <c r="I98" s="9" t="n">
        <v>2719.66</v>
      </c>
      <c r="J98" s="9" t="n">
        <v>3044.15</v>
      </c>
      <c r="K98" s="9" t="n">
        <v>2918.44</v>
      </c>
      <c r="L98" s="9" t="n">
        <v>3109.12</v>
      </c>
      <c r="M98" s="9" t="n">
        <v>2970.41</v>
      </c>
      <c r="N98" s="9" t="n">
        <v>2774.98</v>
      </c>
      <c r="O98" s="9" t="n">
        <v>2982.62</v>
      </c>
      <c r="P98" s="9" t="n">
        <v>3043.35</v>
      </c>
      <c r="Q98" s="9" t="n">
        <v>2632.2</v>
      </c>
      <c r="R98" s="9" t="n">
        <v>3011.21</v>
      </c>
      <c r="S98" s="9" t="n">
        <v>2854.54</v>
      </c>
      <c r="T98" s="9" t="n">
        <v>3057.89</v>
      </c>
      <c r="U98" s="10">
        <f>SUM(I98:T98)</f>
        <v/>
      </c>
    </row>
    <row r="99">
      <c r="A99" s="2" t="inlineStr">
        <is>
          <t>SN-1000-1200-1210-1210HE0022</t>
        </is>
      </c>
      <c r="B99" s="2" t="inlineStr">
        <is>
          <t>1210HE0022</t>
        </is>
      </c>
      <c r="C99" s="2" t="inlineStr">
        <is>
          <t>Calefactor eléctrico baño</t>
        </is>
      </c>
      <c r="D99" s="2" t="n">
        <v>33</v>
      </c>
      <c r="E99" s="2" t="inlineStr">
        <is>
          <t>CC-1000</t>
        </is>
      </c>
      <c r="F99" s="2" t="inlineStr">
        <is>
          <t>P01</t>
        </is>
      </c>
      <c r="G99" s="2" t="n">
        <v>620000</v>
      </c>
      <c r="H99" s="2" t="inlineStr">
        <is>
          <t>Materiales</t>
        </is>
      </c>
      <c r="I99" s="9" t="n">
        <v>2873.72</v>
      </c>
      <c r="J99" s="9" t="n">
        <v>2619.04</v>
      </c>
      <c r="K99" s="9" t="n">
        <v>2912.99</v>
      </c>
      <c r="L99" s="9" t="n">
        <v>2579.36</v>
      </c>
      <c r="M99" s="9" t="n">
        <v>2678.14</v>
      </c>
      <c r="N99" s="9" t="n">
        <v>2365.81</v>
      </c>
      <c r="O99" s="9" t="n">
        <v>2612.77</v>
      </c>
      <c r="P99" s="9" t="n">
        <v>2627.62</v>
      </c>
      <c r="Q99" s="9" t="n">
        <v>2459.71</v>
      </c>
      <c r="R99" s="9" t="n">
        <v>2988.36</v>
      </c>
      <c r="S99" s="9" t="n">
        <v>2554.81</v>
      </c>
      <c r="T99" s="9" t="n">
        <v>2704.51</v>
      </c>
      <c r="U99" s="10">
        <f>SUM(I99:T99)</f>
        <v/>
      </c>
    </row>
    <row r="100">
      <c r="A100" s="2" t="inlineStr">
        <is>
          <t>SN-1000-1200-1210-1210HE0022</t>
        </is>
      </c>
      <c r="B100" s="2" t="inlineStr">
        <is>
          <t>1210HE0022</t>
        </is>
      </c>
      <c r="C100" s="2" t="inlineStr">
        <is>
          <t>Calefactor eléctrico baño</t>
        </is>
      </c>
      <c r="D100" s="2" t="n">
        <v>33</v>
      </c>
      <c r="E100" s="2" t="inlineStr">
        <is>
          <t>CC-1000</t>
        </is>
      </c>
      <c r="F100" s="2" t="inlineStr">
        <is>
          <t>P01</t>
        </is>
      </c>
      <c r="G100" s="2" t="n">
        <v>630000</v>
      </c>
      <c r="H100" s="2" t="inlineStr">
        <is>
          <t>Servicios externos</t>
        </is>
      </c>
      <c r="I100" s="9" t="n">
        <v>2299.78</v>
      </c>
      <c r="J100" s="9" t="n">
        <v>2165.81</v>
      </c>
      <c r="K100" s="9" t="n">
        <v>2210.21</v>
      </c>
      <c r="L100" s="9" t="n">
        <v>2389.04</v>
      </c>
      <c r="M100" s="9" t="n">
        <v>2336.91</v>
      </c>
      <c r="N100" s="9" t="n">
        <v>2240.46</v>
      </c>
      <c r="O100" s="9" t="n">
        <v>2287.05</v>
      </c>
      <c r="P100" s="9" t="n">
        <v>2253.53</v>
      </c>
      <c r="Q100" s="9" t="n">
        <v>2264.94</v>
      </c>
      <c r="R100" s="9" t="n">
        <v>2487.35</v>
      </c>
      <c r="S100" s="9" t="n">
        <v>2218.6</v>
      </c>
      <c r="T100" s="9" t="n">
        <v>2156.48</v>
      </c>
      <c r="U100" s="10">
        <f>SUM(I100:T100)</f>
        <v/>
      </c>
    </row>
    <row r="101">
      <c r="A101" s="2" t="inlineStr">
        <is>
          <t>SN-1000-1200-1210-1210HE0102</t>
        </is>
      </c>
      <c r="B101" s="2" t="inlineStr">
        <is>
          <t>1210HE0102</t>
        </is>
      </c>
      <c r="C101" s="2" t="inlineStr">
        <is>
          <t>Calefactor eléctrico edificio</t>
        </is>
      </c>
      <c r="D101" s="2" t="n">
        <v>34</v>
      </c>
      <c r="E101" s="2" t="inlineStr">
        <is>
          <t>CC-1000</t>
        </is>
      </c>
      <c r="F101" s="2" t="inlineStr">
        <is>
          <t>P01</t>
        </is>
      </c>
      <c r="G101" s="2" t="n">
        <v>610000</v>
      </c>
      <c r="H101" s="2" t="inlineStr">
        <is>
          <t>Mano obra interna</t>
        </is>
      </c>
      <c r="I101" s="9" t="n">
        <v>1285.84</v>
      </c>
      <c r="J101" s="9" t="n">
        <v>1244.28</v>
      </c>
      <c r="K101" s="9" t="n">
        <v>1341.83</v>
      </c>
      <c r="L101" s="9" t="n">
        <v>1319.57</v>
      </c>
      <c r="M101" s="9" t="n">
        <v>1292.86</v>
      </c>
      <c r="N101" s="9" t="n">
        <v>1279.82</v>
      </c>
      <c r="O101" s="9" t="n">
        <v>1349.12</v>
      </c>
      <c r="P101" s="9" t="n">
        <v>1328.03</v>
      </c>
      <c r="Q101" s="9" t="n">
        <v>1282.56</v>
      </c>
      <c r="R101" s="9" t="n">
        <v>1278.16</v>
      </c>
      <c r="S101" s="9" t="n">
        <v>1182.68</v>
      </c>
      <c r="T101" s="9" t="n">
        <v>1200.59</v>
      </c>
      <c r="U101" s="10">
        <f>SUM(I101:T101)</f>
        <v/>
      </c>
    </row>
    <row r="102">
      <c r="A102" s="2" t="inlineStr">
        <is>
          <t>SN-1000-1200-1210-1210HE0102</t>
        </is>
      </c>
      <c r="B102" s="2" t="inlineStr">
        <is>
          <t>1210HE0102</t>
        </is>
      </c>
      <c r="C102" s="2" t="inlineStr">
        <is>
          <t>Calefactor eléctrico edificio</t>
        </is>
      </c>
      <c r="D102" s="2" t="n">
        <v>34</v>
      </c>
      <c r="E102" s="2" t="inlineStr">
        <is>
          <t>CC-1000</t>
        </is>
      </c>
      <c r="F102" s="2" t="inlineStr">
        <is>
          <t>P01</t>
        </is>
      </c>
      <c r="G102" s="2" t="n">
        <v>620000</v>
      </c>
      <c r="H102" s="2" t="inlineStr">
        <is>
          <t>Materiales</t>
        </is>
      </c>
      <c r="I102" s="9" t="n">
        <v>1488.26</v>
      </c>
      <c r="J102" s="9" t="n">
        <v>1294.43</v>
      </c>
      <c r="K102" s="9" t="n">
        <v>1510.56</v>
      </c>
      <c r="L102" s="9" t="n">
        <v>1302.24</v>
      </c>
      <c r="M102" s="9" t="n">
        <v>1450.69</v>
      </c>
      <c r="N102" s="9" t="n">
        <v>1279.26</v>
      </c>
      <c r="O102" s="9" t="n">
        <v>1283.76</v>
      </c>
      <c r="P102" s="9" t="n">
        <v>1366.46</v>
      </c>
      <c r="Q102" s="9" t="n">
        <v>1226.19</v>
      </c>
      <c r="R102" s="9" t="n">
        <v>1427.19</v>
      </c>
      <c r="S102" s="9" t="n">
        <v>1285.9</v>
      </c>
      <c r="T102" s="9" t="n">
        <v>1458.37</v>
      </c>
      <c r="U102" s="10">
        <f>SUM(I102:T102)</f>
        <v/>
      </c>
    </row>
    <row r="103">
      <c r="A103" s="2" t="inlineStr">
        <is>
          <t>SN-1000-1200-1210-1210HE0102</t>
        </is>
      </c>
      <c r="B103" s="2" t="inlineStr">
        <is>
          <t>1210HE0102</t>
        </is>
      </c>
      <c r="C103" s="2" t="inlineStr">
        <is>
          <t>Calefactor eléctrico edificio</t>
        </is>
      </c>
      <c r="D103" s="2" t="n">
        <v>34</v>
      </c>
      <c r="E103" s="2" t="inlineStr">
        <is>
          <t>CC-1000</t>
        </is>
      </c>
      <c r="F103" s="2" t="inlineStr">
        <is>
          <t>P01</t>
        </is>
      </c>
      <c r="G103" s="2" t="n">
        <v>630000</v>
      </c>
      <c r="H103" s="2" t="inlineStr">
        <is>
          <t>Servicios externos</t>
        </is>
      </c>
      <c r="I103" s="9" t="n">
        <v>1329.41</v>
      </c>
      <c r="J103" s="9" t="n">
        <v>1345.82</v>
      </c>
      <c r="K103" s="9" t="n">
        <v>1433.2</v>
      </c>
      <c r="L103" s="9" t="n">
        <v>1322.48</v>
      </c>
      <c r="M103" s="9" t="n">
        <v>1310.53</v>
      </c>
      <c r="N103" s="9" t="n">
        <v>1206.15</v>
      </c>
      <c r="O103" s="9" t="n">
        <v>1274.88</v>
      </c>
      <c r="P103" s="9" t="n">
        <v>1380.69</v>
      </c>
      <c r="Q103" s="9" t="n">
        <v>1186.28</v>
      </c>
      <c r="R103" s="9" t="n">
        <v>1453.95</v>
      </c>
      <c r="S103" s="9" t="n">
        <v>1343.4</v>
      </c>
      <c r="T103" s="9" t="n">
        <v>1277.03</v>
      </c>
      <c r="U103" s="10">
        <f>SUM(I103:T103)</f>
        <v/>
      </c>
    </row>
    <row r="104">
      <c r="A104" s="2" t="inlineStr">
        <is>
          <t>SN-1000-1200-1210-1210PK0001</t>
        </is>
      </c>
      <c r="B104" s="2" t="inlineStr">
        <is>
          <t>1210PK0001</t>
        </is>
      </c>
      <c r="C104" s="2" t="inlineStr">
        <is>
          <t>Paquete microfiltrado de aceite</t>
        </is>
      </c>
      <c r="D104" s="2" t="n">
        <v>35</v>
      </c>
      <c r="E104" s="2" t="inlineStr">
        <is>
          <t>CC-1000</t>
        </is>
      </c>
      <c r="F104" s="2" t="inlineStr">
        <is>
          <t>P01</t>
        </is>
      </c>
      <c r="G104" s="2" t="n">
        <v>610000</v>
      </c>
      <c r="H104" s="2" t="inlineStr">
        <is>
          <t>Mano obra interna</t>
        </is>
      </c>
      <c r="I104" s="9" t="n">
        <v>1914.25</v>
      </c>
      <c r="J104" s="9" t="n">
        <v>2063.95</v>
      </c>
      <c r="K104" s="9" t="n">
        <v>2007.6</v>
      </c>
      <c r="L104" s="9" t="n">
        <v>2091.81</v>
      </c>
      <c r="M104" s="9" t="n">
        <v>1946.5</v>
      </c>
      <c r="N104" s="9" t="n">
        <v>1729.16</v>
      </c>
      <c r="O104" s="9" t="n">
        <v>1993.63</v>
      </c>
      <c r="P104" s="9" t="n">
        <v>2090.52</v>
      </c>
      <c r="Q104" s="9" t="n">
        <v>1845.82</v>
      </c>
      <c r="R104" s="9" t="n">
        <v>2211.64</v>
      </c>
      <c r="S104" s="9" t="n">
        <v>2004.96</v>
      </c>
      <c r="T104" s="9" t="n">
        <v>1893.98</v>
      </c>
      <c r="U104" s="10">
        <f>SUM(I104:T104)</f>
        <v/>
      </c>
    </row>
    <row r="105">
      <c r="A105" s="2" t="inlineStr">
        <is>
          <t>SN-1000-1200-1210-1210PK0001</t>
        </is>
      </c>
      <c r="B105" s="2" t="inlineStr">
        <is>
          <t>1210PK0001</t>
        </is>
      </c>
      <c r="C105" s="2" t="inlineStr">
        <is>
          <t>Paquete microfiltrado de aceite</t>
        </is>
      </c>
      <c r="D105" s="2" t="n">
        <v>35</v>
      </c>
      <c r="E105" s="2" t="inlineStr">
        <is>
          <t>CC-1000</t>
        </is>
      </c>
      <c r="F105" s="2" t="inlineStr">
        <is>
          <t>P01</t>
        </is>
      </c>
      <c r="G105" s="2" t="n">
        <v>620000</v>
      </c>
      <c r="H105" s="2" t="inlineStr">
        <is>
          <t>Materiales</t>
        </is>
      </c>
      <c r="I105" s="9" t="n">
        <v>1781.22</v>
      </c>
      <c r="J105" s="9" t="n">
        <v>1664.41</v>
      </c>
      <c r="K105" s="9" t="n">
        <v>1864.83</v>
      </c>
      <c r="L105" s="9" t="n">
        <v>1864.35</v>
      </c>
      <c r="M105" s="9" t="n">
        <v>1656.88</v>
      </c>
      <c r="N105" s="9" t="n">
        <v>1570.08</v>
      </c>
      <c r="O105" s="9" t="n">
        <v>1792.17</v>
      </c>
      <c r="P105" s="9" t="n">
        <v>1651.4</v>
      </c>
      <c r="Q105" s="9" t="n">
        <v>1678.28</v>
      </c>
      <c r="R105" s="9" t="n">
        <v>1826.3</v>
      </c>
      <c r="S105" s="9" t="n">
        <v>1704.15</v>
      </c>
      <c r="T105" s="9" t="n">
        <v>1627.27</v>
      </c>
      <c r="U105" s="10">
        <f>SUM(I105:T105)</f>
        <v/>
      </c>
    </row>
    <row r="106">
      <c r="A106" s="2" t="inlineStr">
        <is>
          <t>SN-1000-1200-1210-1210PK0001</t>
        </is>
      </c>
      <c r="B106" s="2" t="inlineStr">
        <is>
          <t>1210PK0001</t>
        </is>
      </c>
      <c r="C106" s="2" t="inlineStr">
        <is>
          <t>Paquete microfiltrado de aceite</t>
        </is>
      </c>
      <c r="D106" s="2" t="n">
        <v>35</v>
      </c>
      <c r="E106" s="2" t="inlineStr">
        <is>
          <t>CC-1000</t>
        </is>
      </c>
      <c r="F106" s="2" t="inlineStr">
        <is>
          <t>P01</t>
        </is>
      </c>
      <c r="G106" s="2" t="n">
        <v>630000</v>
      </c>
      <c r="H106" s="2" t="inlineStr">
        <is>
          <t>Servicios externos</t>
        </is>
      </c>
      <c r="I106" s="9" t="n">
        <v>2004.71</v>
      </c>
      <c r="J106" s="9" t="n">
        <v>1976.09</v>
      </c>
      <c r="K106" s="9" t="n">
        <v>1933.22</v>
      </c>
      <c r="L106" s="9" t="n">
        <v>2099.33</v>
      </c>
      <c r="M106" s="9" t="n">
        <v>2072.26</v>
      </c>
      <c r="N106" s="9" t="n">
        <v>1806.35</v>
      </c>
      <c r="O106" s="9" t="n">
        <v>1851.87</v>
      </c>
      <c r="P106" s="9" t="n">
        <v>1826.84</v>
      </c>
      <c r="Q106" s="9" t="n">
        <v>1884.09</v>
      </c>
      <c r="R106" s="9" t="n">
        <v>2170.82</v>
      </c>
      <c r="S106" s="9" t="n">
        <v>1930.15</v>
      </c>
      <c r="T106" s="9" t="n">
        <v>1922.29</v>
      </c>
      <c r="U106" s="10">
        <f>SUM(I106:T106)</f>
        <v/>
      </c>
    </row>
    <row r="107">
      <c r="A107" s="2" t="inlineStr">
        <is>
          <t>SN-1000-1200-1210-1210PK0002</t>
        </is>
      </c>
      <c r="B107" s="2" t="inlineStr">
        <is>
          <t>1210PK0002</t>
        </is>
      </c>
      <c r="C107" s="2" t="inlineStr">
        <is>
          <t>Paquete microfiltrado de aceite</t>
        </is>
      </c>
      <c r="D107" s="2" t="n">
        <v>36</v>
      </c>
      <c r="E107" s="2" t="inlineStr">
        <is>
          <t>CC-1000</t>
        </is>
      </c>
      <c r="F107" s="2" t="inlineStr">
        <is>
          <t>P01</t>
        </is>
      </c>
      <c r="G107" s="2" t="n">
        <v>610000</v>
      </c>
      <c r="H107" s="2" t="inlineStr">
        <is>
          <t>Mano obra interna</t>
        </is>
      </c>
      <c r="I107" s="9" t="n">
        <v>2376.44</v>
      </c>
      <c r="J107" s="9" t="n">
        <v>2257.36</v>
      </c>
      <c r="K107" s="9" t="n">
        <v>2550.45</v>
      </c>
      <c r="L107" s="9" t="n">
        <v>2207.46</v>
      </c>
      <c r="M107" s="9" t="n">
        <v>2340.39</v>
      </c>
      <c r="N107" s="9" t="n">
        <v>2158.94</v>
      </c>
      <c r="O107" s="9" t="n">
        <v>2267.93</v>
      </c>
      <c r="P107" s="9" t="n">
        <v>2371.32</v>
      </c>
      <c r="Q107" s="9" t="n">
        <v>2200.46</v>
      </c>
      <c r="R107" s="9" t="n">
        <v>2667.49</v>
      </c>
      <c r="S107" s="9" t="n">
        <v>2088.02</v>
      </c>
      <c r="T107" s="9" t="n">
        <v>2179.88</v>
      </c>
      <c r="U107" s="10">
        <f>SUM(I107:T107)</f>
        <v/>
      </c>
    </row>
    <row r="108">
      <c r="A108" s="2" t="inlineStr">
        <is>
          <t>SN-1000-1200-1210-1210PK0002</t>
        </is>
      </c>
      <c r="B108" s="2" t="inlineStr">
        <is>
          <t>1210PK0002</t>
        </is>
      </c>
      <c r="C108" s="2" t="inlineStr">
        <is>
          <t>Paquete microfiltrado de aceite</t>
        </is>
      </c>
      <c r="D108" s="2" t="n">
        <v>36</v>
      </c>
      <c r="E108" s="2" t="inlineStr">
        <is>
          <t>CC-1000</t>
        </is>
      </c>
      <c r="F108" s="2" t="inlineStr">
        <is>
          <t>P01</t>
        </is>
      </c>
      <c r="G108" s="2" t="n">
        <v>620000</v>
      </c>
      <c r="H108" s="2" t="inlineStr">
        <is>
          <t>Materiales</t>
        </is>
      </c>
      <c r="I108" s="9" t="n">
        <v>2636.29</v>
      </c>
      <c r="J108" s="9" t="n">
        <v>2421.08</v>
      </c>
      <c r="K108" s="9" t="n">
        <v>2454.11</v>
      </c>
      <c r="L108" s="9" t="n">
        <v>2433.88</v>
      </c>
      <c r="M108" s="9" t="n">
        <v>2683.28</v>
      </c>
      <c r="N108" s="9" t="n">
        <v>2318.2</v>
      </c>
      <c r="O108" s="9" t="n">
        <v>2479.51</v>
      </c>
      <c r="P108" s="9" t="n">
        <v>2437.1</v>
      </c>
      <c r="Q108" s="9" t="n">
        <v>2319.09</v>
      </c>
      <c r="R108" s="9" t="n">
        <v>2561</v>
      </c>
      <c r="S108" s="9" t="n">
        <v>2476.54</v>
      </c>
      <c r="T108" s="9" t="n">
        <v>2409.27</v>
      </c>
      <c r="U108" s="10">
        <f>SUM(I108:T108)</f>
        <v/>
      </c>
    </row>
    <row r="109">
      <c r="A109" s="2" t="inlineStr">
        <is>
          <t>SN-1000-1200-1210-1210PK0002</t>
        </is>
      </c>
      <c r="B109" s="2" t="inlineStr">
        <is>
          <t>1210PK0002</t>
        </is>
      </c>
      <c r="C109" s="2" t="inlineStr">
        <is>
          <t>Paquete microfiltrado de aceite</t>
        </is>
      </c>
      <c r="D109" s="2" t="n">
        <v>36</v>
      </c>
      <c r="E109" s="2" t="inlineStr">
        <is>
          <t>CC-1000</t>
        </is>
      </c>
      <c r="F109" s="2" t="inlineStr">
        <is>
          <t>P01</t>
        </is>
      </c>
      <c r="G109" s="2" t="n">
        <v>630000</v>
      </c>
      <c r="H109" s="2" t="inlineStr">
        <is>
          <t>Servicios externos</t>
        </is>
      </c>
      <c r="I109" s="9" t="n">
        <v>2429.55</v>
      </c>
      <c r="J109" s="9" t="n">
        <v>2463.88</v>
      </c>
      <c r="K109" s="9" t="n">
        <v>2720.46</v>
      </c>
      <c r="L109" s="9" t="n">
        <v>2601.98</v>
      </c>
      <c r="M109" s="9" t="n">
        <v>2473.11</v>
      </c>
      <c r="N109" s="9" t="n">
        <v>2309.84</v>
      </c>
      <c r="O109" s="9" t="n">
        <v>2420.52</v>
      </c>
      <c r="P109" s="9" t="n">
        <v>2551.35</v>
      </c>
      <c r="Q109" s="9" t="n">
        <v>2496.97</v>
      </c>
      <c r="R109" s="9" t="n">
        <v>2750.22</v>
      </c>
      <c r="S109" s="9" t="n">
        <v>2428.71</v>
      </c>
      <c r="T109" s="9" t="n">
        <v>2615.86</v>
      </c>
      <c r="U109" s="10">
        <f>SUM(I109:T109)</f>
        <v/>
      </c>
    </row>
    <row r="110">
      <c r="A110" s="2" t="inlineStr">
        <is>
          <t>SN-1000-1200-1210-1210PU0009</t>
        </is>
      </c>
      <c r="B110" s="2" t="inlineStr">
        <is>
          <t>1210PU0009</t>
        </is>
      </c>
      <c r="C110" s="2" t="inlineStr">
        <is>
          <t>Bomba agua lavado</t>
        </is>
      </c>
      <c r="D110" s="2" t="n">
        <v>37</v>
      </c>
      <c r="E110" s="2" t="inlineStr">
        <is>
          <t>CC-1000</t>
        </is>
      </c>
      <c r="F110" s="2" t="inlineStr">
        <is>
          <t>P01</t>
        </is>
      </c>
      <c r="G110" s="2" t="n">
        <v>610000</v>
      </c>
      <c r="H110" s="2" t="inlineStr">
        <is>
          <t>Mano obra interna</t>
        </is>
      </c>
      <c r="I110" s="9" t="n">
        <v>525.59</v>
      </c>
      <c r="J110" s="9" t="n">
        <v>550.89</v>
      </c>
      <c r="K110" s="9" t="n">
        <v>613.2</v>
      </c>
      <c r="L110" s="9" t="n">
        <v>536.64</v>
      </c>
      <c r="M110" s="9" t="n">
        <v>564.77</v>
      </c>
      <c r="N110" s="9" t="n">
        <v>504.17</v>
      </c>
      <c r="O110" s="9" t="n">
        <v>557.26</v>
      </c>
      <c r="P110" s="9" t="n">
        <v>517.71</v>
      </c>
      <c r="Q110" s="9" t="n">
        <v>511.46</v>
      </c>
      <c r="R110" s="9" t="n">
        <v>621.75</v>
      </c>
      <c r="S110" s="9" t="n">
        <v>523.0700000000001</v>
      </c>
      <c r="T110" s="9" t="n">
        <v>576.89</v>
      </c>
      <c r="U110" s="10">
        <f>SUM(I110:T110)</f>
        <v/>
      </c>
    </row>
    <row r="111">
      <c r="A111" s="2" t="inlineStr">
        <is>
          <t>SN-1000-1200-1210-1210PU0009</t>
        </is>
      </c>
      <c r="B111" s="2" t="inlineStr">
        <is>
          <t>1210PU0009</t>
        </is>
      </c>
      <c r="C111" s="2" t="inlineStr">
        <is>
          <t>Bomba agua lavado</t>
        </is>
      </c>
      <c r="D111" s="2" t="n">
        <v>37</v>
      </c>
      <c r="E111" s="2" t="inlineStr">
        <is>
          <t>CC-1000</t>
        </is>
      </c>
      <c r="F111" s="2" t="inlineStr">
        <is>
          <t>P01</t>
        </is>
      </c>
      <c r="G111" s="2" t="n">
        <v>620000</v>
      </c>
      <c r="H111" s="2" t="inlineStr">
        <is>
          <t>Materiales</t>
        </is>
      </c>
      <c r="I111" s="9" t="n">
        <v>632.48</v>
      </c>
      <c r="J111" s="9" t="n">
        <v>546.9</v>
      </c>
      <c r="K111" s="9" t="n">
        <v>588.64</v>
      </c>
      <c r="L111" s="9" t="n">
        <v>559.75</v>
      </c>
      <c r="M111" s="9" t="n">
        <v>619.15</v>
      </c>
      <c r="N111" s="9" t="n">
        <v>592.33</v>
      </c>
      <c r="O111" s="9" t="n">
        <v>583.9</v>
      </c>
      <c r="P111" s="9" t="n">
        <v>611.21</v>
      </c>
      <c r="Q111" s="9" t="n">
        <v>541.65</v>
      </c>
      <c r="R111" s="9" t="n">
        <v>637.78</v>
      </c>
      <c r="S111" s="9" t="n">
        <v>524.5</v>
      </c>
      <c r="T111" s="9" t="n">
        <v>612.58</v>
      </c>
      <c r="U111" s="10">
        <f>SUM(I111:T111)</f>
        <v/>
      </c>
    </row>
    <row r="112">
      <c r="A112" s="2" t="inlineStr">
        <is>
          <t>SN-1000-1200-1210-1210PU0009</t>
        </is>
      </c>
      <c r="B112" s="2" t="inlineStr">
        <is>
          <t>1210PU0009</t>
        </is>
      </c>
      <c r="C112" s="2" t="inlineStr">
        <is>
          <t>Bomba agua lavado</t>
        </is>
      </c>
      <c r="D112" s="2" t="n">
        <v>37</v>
      </c>
      <c r="E112" s="2" t="inlineStr">
        <is>
          <t>CC-1000</t>
        </is>
      </c>
      <c r="F112" s="2" t="inlineStr">
        <is>
          <t>P01</t>
        </is>
      </c>
      <c r="G112" s="2" t="n">
        <v>630000</v>
      </c>
      <c r="H112" s="2" t="inlineStr">
        <is>
          <t>Servicios externos</t>
        </is>
      </c>
      <c r="I112" s="9" t="n">
        <v>518.21</v>
      </c>
      <c r="J112" s="9" t="n">
        <v>496.6</v>
      </c>
      <c r="K112" s="9" t="n">
        <v>514.35</v>
      </c>
      <c r="L112" s="9" t="n">
        <v>456.5</v>
      </c>
      <c r="M112" s="9" t="n">
        <v>462.43</v>
      </c>
      <c r="N112" s="9" t="n">
        <v>443.78</v>
      </c>
      <c r="O112" s="9" t="n">
        <v>471.88</v>
      </c>
      <c r="P112" s="9" t="n">
        <v>450.29</v>
      </c>
      <c r="Q112" s="9" t="n">
        <v>480.51</v>
      </c>
      <c r="R112" s="9" t="n">
        <v>524.78</v>
      </c>
      <c r="S112" s="9" t="n">
        <v>452.52</v>
      </c>
      <c r="T112" s="9" t="n">
        <v>481.56</v>
      </c>
      <c r="U112" s="10">
        <f>SUM(I112:T112)</f>
        <v/>
      </c>
    </row>
    <row r="113">
      <c r="A113" s="2" t="inlineStr">
        <is>
          <t>SN-1000-1200-1210-1210PU0010</t>
        </is>
      </c>
      <c r="B113" s="2" t="inlineStr">
        <is>
          <t>1210PU0010</t>
        </is>
      </c>
      <c r="C113" s="2" t="inlineStr">
        <is>
          <t>Bomba agua lavado</t>
        </is>
      </c>
      <c r="D113" s="2" t="n">
        <v>38</v>
      </c>
      <c r="E113" s="2" t="inlineStr">
        <is>
          <t>CC-1000</t>
        </is>
      </c>
      <c r="F113" s="2" t="inlineStr">
        <is>
          <t>P01</t>
        </is>
      </c>
      <c r="G113" s="2" t="n">
        <v>610000</v>
      </c>
      <c r="H113" s="2" t="inlineStr">
        <is>
          <t>Mano obra interna</t>
        </is>
      </c>
      <c r="I113" s="9" t="n">
        <v>1907.31</v>
      </c>
      <c r="J113" s="9" t="n">
        <v>1815.47</v>
      </c>
      <c r="K113" s="9" t="n">
        <v>2024.24</v>
      </c>
      <c r="L113" s="9" t="n">
        <v>1878.39</v>
      </c>
      <c r="M113" s="9" t="n">
        <v>1963.05</v>
      </c>
      <c r="N113" s="9" t="n">
        <v>1856.84</v>
      </c>
      <c r="O113" s="9" t="n">
        <v>1753.81</v>
      </c>
      <c r="P113" s="9" t="n">
        <v>1963.99</v>
      </c>
      <c r="Q113" s="9" t="n">
        <v>1606.61</v>
      </c>
      <c r="R113" s="9" t="n">
        <v>2083.7</v>
      </c>
      <c r="S113" s="9" t="n">
        <v>1746.05</v>
      </c>
      <c r="T113" s="9" t="n">
        <v>1978.93</v>
      </c>
      <c r="U113" s="10">
        <f>SUM(I113:T113)</f>
        <v/>
      </c>
    </row>
    <row r="114">
      <c r="A114" s="2" t="inlineStr">
        <is>
          <t>SN-1000-1200-1210-1210PU0010</t>
        </is>
      </c>
      <c r="B114" s="2" t="inlineStr">
        <is>
          <t>1210PU0010</t>
        </is>
      </c>
      <c r="C114" s="2" t="inlineStr">
        <is>
          <t>Bomba agua lavado</t>
        </is>
      </c>
      <c r="D114" s="2" t="n">
        <v>38</v>
      </c>
      <c r="E114" s="2" t="inlineStr">
        <is>
          <t>CC-1000</t>
        </is>
      </c>
      <c r="F114" s="2" t="inlineStr">
        <is>
          <t>P01</t>
        </is>
      </c>
      <c r="G114" s="2" t="n">
        <v>620000</v>
      </c>
      <c r="H114" s="2" t="inlineStr">
        <is>
          <t>Materiales</t>
        </is>
      </c>
      <c r="I114" s="9" t="n">
        <v>2202.95</v>
      </c>
      <c r="J114" s="9" t="n">
        <v>2120.14</v>
      </c>
      <c r="K114" s="9" t="n">
        <v>2056.04</v>
      </c>
      <c r="L114" s="9" t="n">
        <v>1961.64</v>
      </c>
      <c r="M114" s="9" t="n">
        <v>2004.39</v>
      </c>
      <c r="N114" s="9" t="n">
        <v>1864.15</v>
      </c>
      <c r="O114" s="9" t="n">
        <v>2122.4</v>
      </c>
      <c r="P114" s="9" t="n">
        <v>2005.11</v>
      </c>
      <c r="Q114" s="9" t="n">
        <v>2060.8</v>
      </c>
      <c r="R114" s="9" t="n">
        <v>2268.66</v>
      </c>
      <c r="S114" s="9" t="n">
        <v>2094.33</v>
      </c>
      <c r="T114" s="9" t="n">
        <v>1965.06</v>
      </c>
      <c r="U114" s="10">
        <f>SUM(I114:T114)</f>
        <v/>
      </c>
    </row>
    <row r="115">
      <c r="A115" s="2" t="inlineStr">
        <is>
          <t>SN-1000-1200-1210-1210PU0010</t>
        </is>
      </c>
      <c r="B115" s="2" t="inlineStr">
        <is>
          <t>1210PU0010</t>
        </is>
      </c>
      <c r="C115" s="2" t="inlineStr">
        <is>
          <t>Bomba agua lavado</t>
        </is>
      </c>
      <c r="D115" s="2" t="n">
        <v>38</v>
      </c>
      <c r="E115" s="2" t="inlineStr">
        <is>
          <t>CC-1000</t>
        </is>
      </c>
      <c r="F115" s="2" t="inlineStr">
        <is>
          <t>P01</t>
        </is>
      </c>
      <c r="G115" s="2" t="n">
        <v>630000</v>
      </c>
      <c r="H115" s="2" t="inlineStr">
        <is>
          <t>Servicios externos</t>
        </is>
      </c>
      <c r="I115" s="9" t="n">
        <v>2285.05</v>
      </c>
      <c r="J115" s="9" t="n">
        <v>2060.55</v>
      </c>
      <c r="K115" s="9" t="n">
        <v>2199.69</v>
      </c>
      <c r="L115" s="9" t="n">
        <v>2233.58</v>
      </c>
      <c r="M115" s="9" t="n">
        <v>1966.94</v>
      </c>
      <c r="N115" s="9" t="n">
        <v>2005.29</v>
      </c>
      <c r="O115" s="9" t="n">
        <v>2063.52</v>
      </c>
      <c r="P115" s="9" t="n">
        <v>1976.47</v>
      </c>
      <c r="Q115" s="9" t="n">
        <v>1910.29</v>
      </c>
      <c r="R115" s="9" t="n">
        <v>2104.78</v>
      </c>
      <c r="S115" s="9" t="n">
        <v>1875.63</v>
      </c>
      <c r="T115" s="9" t="n">
        <v>2003.5</v>
      </c>
      <c r="U115" s="10">
        <f>SUM(I115:T115)</f>
        <v/>
      </c>
    </row>
    <row r="116">
      <c r="A116" s="2" t="inlineStr">
        <is>
          <t>SN-1000-1200-1210-1210PU0012</t>
        </is>
      </c>
      <c r="B116" s="2" t="inlineStr">
        <is>
          <t>1210PU0012</t>
        </is>
      </c>
      <c r="C116" s="2" t="inlineStr">
        <is>
          <t>Bomba distribución aceite HD50</t>
        </is>
      </c>
      <c r="D116" s="2" t="n">
        <v>39</v>
      </c>
      <c r="E116" s="2" t="inlineStr">
        <is>
          <t>CC-1000</t>
        </is>
      </c>
      <c r="F116" s="2" t="inlineStr">
        <is>
          <t>P01</t>
        </is>
      </c>
      <c r="G116" s="2" t="n">
        <v>610000</v>
      </c>
      <c r="H116" s="2" t="inlineStr">
        <is>
          <t>Mano obra interna</t>
        </is>
      </c>
      <c r="I116" s="9" t="n">
        <v>691.65</v>
      </c>
      <c r="J116" s="9" t="n">
        <v>711.36</v>
      </c>
      <c r="K116" s="9" t="n">
        <v>685.98</v>
      </c>
      <c r="L116" s="9" t="n">
        <v>666.33</v>
      </c>
      <c r="M116" s="9" t="n">
        <v>665.9</v>
      </c>
      <c r="N116" s="9" t="n">
        <v>636.45</v>
      </c>
      <c r="O116" s="9" t="n">
        <v>630.0700000000001</v>
      </c>
      <c r="P116" s="9" t="n">
        <v>686.83</v>
      </c>
      <c r="Q116" s="9" t="n">
        <v>597.3</v>
      </c>
      <c r="R116" s="9" t="n">
        <v>738.79</v>
      </c>
      <c r="S116" s="9" t="n">
        <v>666.37</v>
      </c>
      <c r="T116" s="9" t="n">
        <v>644.2</v>
      </c>
      <c r="U116" s="10">
        <f>SUM(I116:T116)</f>
        <v/>
      </c>
    </row>
    <row r="117">
      <c r="A117" s="2" t="inlineStr">
        <is>
          <t>SN-1000-1200-1210-1210PU0012</t>
        </is>
      </c>
      <c r="B117" s="2" t="inlineStr">
        <is>
          <t>1210PU0012</t>
        </is>
      </c>
      <c r="C117" s="2" t="inlineStr">
        <is>
          <t>Bomba distribución aceite HD50</t>
        </is>
      </c>
      <c r="D117" s="2" t="n">
        <v>39</v>
      </c>
      <c r="E117" s="2" t="inlineStr">
        <is>
          <t>CC-1000</t>
        </is>
      </c>
      <c r="F117" s="2" t="inlineStr">
        <is>
          <t>P01</t>
        </is>
      </c>
      <c r="G117" s="2" t="n">
        <v>620000</v>
      </c>
      <c r="H117" s="2" t="inlineStr">
        <is>
          <t>Materiales</t>
        </is>
      </c>
      <c r="I117" s="9" t="n">
        <v>535.42</v>
      </c>
      <c r="J117" s="9" t="n">
        <v>491.16</v>
      </c>
      <c r="K117" s="9" t="n">
        <v>481.22</v>
      </c>
      <c r="L117" s="9" t="n">
        <v>553.63</v>
      </c>
      <c r="M117" s="9" t="n">
        <v>461.6</v>
      </c>
      <c r="N117" s="9" t="n">
        <v>494.87</v>
      </c>
      <c r="O117" s="9" t="n">
        <v>541.03</v>
      </c>
      <c r="P117" s="9" t="n">
        <v>480.64</v>
      </c>
      <c r="Q117" s="9" t="n">
        <v>440.5</v>
      </c>
      <c r="R117" s="9" t="n">
        <v>508.52</v>
      </c>
      <c r="S117" s="9" t="n">
        <v>470.62</v>
      </c>
      <c r="T117" s="9" t="n">
        <v>476.88</v>
      </c>
      <c r="U117" s="10">
        <f>SUM(I117:T117)</f>
        <v/>
      </c>
    </row>
    <row r="118">
      <c r="A118" s="2" t="inlineStr">
        <is>
          <t>SN-1000-1200-1210-1210PU0012</t>
        </is>
      </c>
      <c r="B118" s="2" t="inlineStr">
        <is>
          <t>1210PU0012</t>
        </is>
      </c>
      <c r="C118" s="2" t="inlineStr">
        <is>
          <t>Bomba distribución aceite HD50</t>
        </is>
      </c>
      <c r="D118" s="2" t="n">
        <v>39</v>
      </c>
      <c r="E118" s="2" t="inlineStr">
        <is>
          <t>CC-1000</t>
        </is>
      </c>
      <c r="F118" s="2" t="inlineStr">
        <is>
          <t>P01</t>
        </is>
      </c>
      <c r="G118" s="2" t="n">
        <v>630000</v>
      </c>
      <c r="H118" s="2" t="inlineStr">
        <is>
          <t>Servicios externos</t>
        </is>
      </c>
      <c r="I118" s="9" t="n">
        <v>569.58</v>
      </c>
      <c r="J118" s="9" t="n">
        <v>591.77</v>
      </c>
      <c r="K118" s="9" t="n">
        <v>668.14</v>
      </c>
      <c r="L118" s="9" t="n">
        <v>644</v>
      </c>
      <c r="M118" s="9" t="n">
        <v>604.71</v>
      </c>
      <c r="N118" s="9" t="n">
        <v>555.83</v>
      </c>
      <c r="O118" s="9" t="n">
        <v>612.14</v>
      </c>
      <c r="P118" s="9" t="n">
        <v>602.11</v>
      </c>
      <c r="Q118" s="9" t="n">
        <v>551.89</v>
      </c>
      <c r="R118" s="9" t="n">
        <v>608.79</v>
      </c>
      <c r="S118" s="9" t="n">
        <v>616.73</v>
      </c>
      <c r="T118" s="9" t="n">
        <v>603.98</v>
      </c>
      <c r="U118" s="10">
        <f>SUM(I118:T118)</f>
        <v/>
      </c>
    </row>
    <row r="119">
      <c r="A119" s="2" t="inlineStr">
        <is>
          <t>SN-1000-1200-1210-1210PU0016</t>
        </is>
      </c>
      <c r="B119" s="2" t="inlineStr">
        <is>
          <t>1210PU0016</t>
        </is>
      </c>
      <c r="C119" s="2" t="inlineStr">
        <is>
          <t>Bomba distribución aceite HD30</t>
        </is>
      </c>
      <c r="D119" s="2" t="n">
        <v>40</v>
      </c>
      <c r="E119" s="2" t="inlineStr">
        <is>
          <t>CC-1000</t>
        </is>
      </c>
      <c r="F119" s="2" t="inlineStr">
        <is>
          <t>P01</t>
        </is>
      </c>
      <c r="G119" s="2" t="n">
        <v>610000</v>
      </c>
      <c r="H119" s="2" t="inlineStr">
        <is>
          <t>Mano obra interna</t>
        </is>
      </c>
      <c r="I119" s="9" t="n">
        <v>1635.2</v>
      </c>
      <c r="J119" s="9" t="n">
        <v>1589.52</v>
      </c>
      <c r="K119" s="9" t="n">
        <v>1776.69</v>
      </c>
      <c r="L119" s="9" t="n">
        <v>1735.03</v>
      </c>
      <c r="M119" s="9" t="n">
        <v>1689.29</v>
      </c>
      <c r="N119" s="9" t="n">
        <v>1442.14</v>
      </c>
      <c r="O119" s="9" t="n">
        <v>1615.22</v>
      </c>
      <c r="P119" s="9" t="n">
        <v>1630.33</v>
      </c>
      <c r="Q119" s="9" t="n">
        <v>1406.13</v>
      </c>
      <c r="R119" s="9" t="n">
        <v>1696.96</v>
      </c>
      <c r="S119" s="9" t="n">
        <v>1650.15</v>
      </c>
      <c r="T119" s="9" t="n">
        <v>1564.31</v>
      </c>
      <c r="U119" s="10">
        <f>SUM(I119:T119)</f>
        <v/>
      </c>
    </row>
    <row r="120">
      <c r="A120" s="2" t="inlineStr">
        <is>
          <t>SN-1000-1200-1210-1210PU0016</t>
        </is>
      </c>
      <c r="B120" s="2" t="inlineStr">
        <is>
          <t>1210PU0016</t>
        </is>
      </c>
      <c r="C120" s="2" t="inlineStr">
        <is>
          <t>Bomba distribución aceite HD30</t>
        </is>
      </c>
      <c r="D120" s="2" t="n">
        <v>40</v>
      </c>
      <c r="E120" s="2" t="inlineStr">
        <is>
          <t>CC-1000</t>
        </is>
      </c>
      <c r="F120" s="2" t="inlineStr">
        <is>
          <t>P01</t>
        </is>
      </c>
      <c r="G120" s="2" t="n">
        <v>620000</v>
      </c>
      <c r="H120" s="2" t="inlineStr">
        <is>
          <t>Materiales</t>
        </is>
      </c>
      <c r="I120" s="9" t="n">
        <v>1710.72</v>
      </c>
      <c r="J120" s="9" t="n">
        <v>1594.23</v>
      </c>
      <c r="K120" s="9" t="n">
        <v>1736.35</v>
      </c>
      <c r="L120" s="9" t="n">
        <v>1931.14</v>
      </c>
      <c r="M120" s="9" t="n">
        <v>1821.47</v>
      </c>
      <c r="N120" s="9" t="n">
        <v>1802.1</v>
      </c>
      <c r="O120" s="9" t="n">
        <v>1753.18</v>
      </c>
      <c r="P120" s="9" t="n">
        <v>1644.93</v>
      </c>
      <c r="Q120" s="9" t="n">
        <v>1646.97</v>
      </c>
      <c r="R120" s="9" t="n">
        <v>1879.68</v>
      </c>
      <c r="S120" s="9" t="n">
        <v>1793.38</v>
      </c>
      <c r="T120" s="9" t="n">
        <v>1667.28</v>
      </c>
      <c r="U120" s="10">
        <f>SUM(I120:T120)</f>
        <v/>
      </c>
    </row>
    <row r="121">
      <c r="A121" s="2" t="inlineStr">
        <is>
          <t>SN-1000-1200-1210-1210PU0016</t>
        </is>
      </c>
      <c r="B121" s="2" t="inlineStr">
        <is>
          <t>1210PU0016</t>
        </is>
      </c>
      <c r="C121" s="2" t="inlineStr">
        <is>
          <t>Bomba distribución aceite HD30</t>
        </is>
      </c>
      <c r="D121" s="2" t="n">
        <v>40</v>
      </c>
      <c r="E121" s="2" t="inlineStr">
        <is>
          <t>CC-1000</t>
        </is>
      </c>
      <c r="F121" s="2" t="inlineStr">
        <is>
          <t>P01</t>
        </is>
      </c>
      <c r="G121" s="2" t="n">
        <v>630000</v>
      </c>
      <c r="H121" s="2" t="inlineStr">
        <is>
          <t>Servicios externos</t>
        </is>
      </c>
      <c r="I121" s="9" t="n">
        <v>1647.38</v>
      </c>
      <c r="J121" s="9" t="n">
        <v>1636.35</v>
      </c>
      <c r="K121" s="9" t="n">
        <v>1830.53</v>
      </c>
      <c r="L121" s="9" t="n">
        <v>1740.44</v>
      </c>
      <c r="M121" s="9" t="n">
        <v>1658.18</v>
      </c>
      <c r="N121" s="9" t="n">
        <v>1606.77</v>
      </c>
      <c r="O121" s="9" t="n">
        <v>1699.14</v>
      </c>
      <c r="P121" s="9" t="n">
        <v>1786.08</v>
      </c>
      <c r="Q121" s="9" t="n">
        <v>1691.13</v>
      </c>
      <c r="R121" s="9" t="n">
        <v>1977.83</v>
      </c>
      <c r="S121" s="9" t="n">
        <v>1730.83</v>
      </c>
      <c r="T121" s="9" t="n">
        <v>1683.6</v>
      </c>
      <c r="U121" s="10">
        <f>SUM(I121:T121)</f>
        <v/>
      </c>
    </row>
    <row r="122">
      <c r="A122" s="2" t="inlineStr">
        <is>
          <t>SN-1000-1200-1210-1210PU0041</t>
        </is>
      </c>
      <c r="B122" s="2" t="inlineStr">
        <is>
          <t>1210PU0041</t>
        </is>
      </c>
      <c r="C122" s="2" t="inlineStr">
        <is>
          <t>Bomba alimentación planta agua lavado</t>
        </is>
      </c>
      <c r="D122" s="2" t="n">
        <v>41</v>
      </c>
      <c r="E122" s="2" t="inlineStr">
        <is>
          <t>CC-1000</t>
        </is>
      </c>
      <c r="F122" s="2" t="inlineStr">
        <is>
          <t>P01</t>
        </is>
      </c>
      <c r="G122" s="2" t="n">
        <v>610000</v>
      </c>
      <c r="H122" s="2" t="inlineStr">
        <is>
          <t>Mano obra interna</t>
        </is>
      </c>
      <c r="I122" s="9" t="n">
        <v>2003.94</v>
      </c>
      <c r="J122" s="9" t="n">
        <v>1876.13</v>
      </c>
      <c r="K122" s="9" t="n">
        <v>2157.11</v>
      </c>
      <c r="L122" s="9" t="n">
        <v>1876.86</v>
      </c>
      <c r="M122" s="9" t="n">
        <v>2088.44</v>
      </c>
      <c r="N122" s="9" t="n">
        <v>1884.02</v>
      </c>
      <c r="O122" s="9" t="n">
        <v>2027.25</v>
      </c>
      <c r="P122" s="9" t="n">
        <v>2031.85</v>
      </c>
      <c r="Q122" s="9" t="n">
        <v>1962.44</v>
      </c>
      <c r="R122" s="9" t="n">
        <v>2185.07</v>
      </c>
      <c r="S122" s="9" t="n">
        <v>1954.48</v>
      </c>
      <c r="T122" s="9" t="n">
        <v>1872.73</v>
      </c>
      <c r="U122" s="10">
        <f>SUM(I122:T122)</f>
        <v/>
      </c>
    </row>
    <row r="123">
      <c r="A123" s="2" t="inlineStr">
        <is>
          <t>SN-1000-1200-1210-1210PU0041</t>
        </is>
      </c>
      <c r="B123" s="2" t="inlineStr">
        <is>
          <t>1210PU0041</t>
        </is>
      </c>
      <c r="C123" s="2" t="inlineStr">
        <is>
          <t>Bomba alimentación planta agua lavado</t>
        </is>
      </c>
      <c r="D123" s="2" t="n">
        <v>41</v>
      </c>
      <c r="E123" s="2" t="inlineStr">
        <is>
          <t>CC-1000</t>
        </is>
      </c>
      <c r="F123" s="2" t="inlineStr">
        <is>
          <t>P01</t>
        </is>
      </c>
      <c r="G123" s="2" t="n">
        <v>620000</v>
      </c>
      <c r="H123" s="2" t="inlineStr">
        <is>
          <t>Materiales</t>
        </is>
      </c>
      <c r="I123" s="9" t="n">
        <v>1804.7</v>
      </c>
      <c r="J123" s="9" t="n">
        <v>1914.38</v>
      </c>
      <c r="K123" s="9" t="n">
        <v>1935.7</v>
      </c>
      <c r="L123" s="9" t="n">
        <v>1969.14</v>
      </c>
      <c r="M123" s="9" t="n">
        <v>1717.39</v>
      </c>
      <c r="N123" s="9" t="n">
        <v>1671.46</v>
      </c>
      <c r="O123" s="9" t="n">
        <v>1938.36</v>
      </c>
      <c r="P123" s="9" t="n">
        <v>1743.15</v>
      </c>
      <c r="Q123" s="9" t="n">
        <v>1623.64</v>
      </c>
      <c r="R123" s="9" t="n">
        <v>1861.88</v>
      </c>
      <c r="S123" s="9" t="n">
        <v>1945.28</v>
      </c>
      <c r="T123" s="9" t="n">
        <v>1972.69</v>
      </c>
      <c r="U123" s="10">
        <f>SUM(I123:T123)</f>
        <v/>
      </c>
    </row>
    <row r="124">
      <c r="A124" s="2" t="inlineStr">
        <is>
          <t>SN-1000-1200-1210-1210PU0041</t>
        </is>
      </c>
      <c r="B124" s="2" t="inlineStr">
        <is>
          <t>1210PU0041</t>
        </is>
      </c>
      <c r="C124" s="2" t="inlineStr">
        <is>
          <t>Bomba alimentación planta agua lavado</t>
        </is>
      </c>
      <c r="D124" s="2" t="n">
        <v>41</v>
      </c>
      <c r="E124" s="2" t="inlineStr">
        <is>
          <t>CC-1000</t>
        </is>
      </c>
      <c r="F124" s="2" t="inlineStr">
        <is>
          <t>P01</t>
        </is>
      </c>
      <c r="G124" s="2" t="n">
        <v>630000</v>
      </c>
      <c r="H124" s="2" t="inlineStr">
        <is>
          <t>Servicios externos</t>
        </is>
      </c>
      <c r="I124" s="9" t="n">
        <v>1768.81</v>
      </c>
      <c r="J124" s="9" t="n">
        <v>1721.46</v>
      </c>
      <c r="K124" s="9" t="n">
        <v>1928.87</v>
      </c>
      <c r="L124" s="9" t="n">
        <v>1877.74</v>
      </c>
      <c r="M124" s="9" t="n">
        <v>1683.2</v>
      </c>
      <c r="N124" s="9" t="n">
        <v>1623.03</v>
      </c>
      <c r="O124" s="9" t="n">
        <v>1676.67</v>
      </c>
      <c r="P124" s="9" t="n">
        <v>1835.56</v>
      </c>
      <c r="Q124" s="9" t="n">
        <v>1737.72</v>
      </c>
      <c r="R124" s="9" t="n">
        <v>1858.85</v>
      </c>
      <c r="S124" s="9" t="n">
        <v>1600.91</v>
      </c>
      <c r="T124" s="9" t="n">
        <v>1696.08</v>
      </c>
      <c r="U124" s="10">
        <f>SUM(I124:T124)</f>
        <v/>
      </c>
    </row>
    <row r="125">
      <c r="A125" s="2" t="inlineStr">
        <is>
          <t>SN-1000-1200-1210-1210PU0042</t>
        </is>
      </c>
      <c r="B125" s="2" t="inlineStr">
        <is>
          <t>1210PU0042</t>
        </is>
      </c>
      <c r="C125" s="2" t="inlineStr">
        <is>
          <t>Bomba descarga planta agua lavado</t>
        </is>
      </c>
      <c r="D125" s="2" t="n">
        <v>42</v>
      </c>
      <c r="E125" s="2" t="inlineStr">
        <is>
          <t>CC-1000</t>
        </is>
      </c>
      <c r="F125" s="2" t="inlineStr">
        <is>
          <t>P01</t>
        </is>
      </c>
      <c r="G125" s="2" t="n">
        <v>610000</v>
      </c>
      <c r="H125" s="2" t="inlineStr">
        <is>
          <t>Mano obra interna</t>
        </is>
      </c>
      <c r="I125" s="9" t="n">
        <v>2697.27</v>
      </c>
      <c r="J125" s="9" t="n">
        <v>2806.11</v>
      </c>
      <c r="K125" s="9" t="n">
        <v>2874.23</v>
      </c>
      <c r="L125" s="9" t="n">
        <v>2739.07</v>
      </c>
      <c r="M125" s="9" t="n">
        <v>2576.04</v>
      </c>
      <c r="N125" s="9" t="n">
        <v>2453.38</v>
      </c>
      <c r="O125" s="9" t="n">
        <v>2783.12</v>
      </c>
      <c r="P125" s="9" t="n">
        <v>2849.49</v>
      </c>
      <c r="Q125" s="9" t="n">
        <v>2601.32</v>
      </c>
      <c r="R125" s="9" t="n">
        <v>2960.1</v>
      </c>
      <c r="S125" s="9" t="n">
        <v>2450.56</v>
      </c>
      <c r="T125" s="9" t="n">
        <v>2979.94</v>
      </c>
      <c r="U125" s="10">
        <f>SUM(I125:T125)</f>
        <v/>
      </c>
    </row>
    <row r="126">
      <c r="A126" s="2" t="inlineStr">
        <is>
          <t>SN-1000-1200-1210-1210PU0042</t>
        </is>
      </c>
      <c r="B126" s="2" t="inlineStr">
        <is>
          <t>1210PU0042</t>
        </is>
      </c>
      <c r="C126" s="2" t="inlineStr">
        <is>
          <t>Bomba descarga planta agua lavado</t>
        </is>
      </c>
      <c r="D126" s="2" t="n">
        <v>42</v>
      </c>
      <c r="E126" s="2" t="inlineStr">
        <is>
          <t>CC-1000</t>
        </is>
      </c>
      <c r="F126" s="2" t="inlineStr">
        <is>
          <t>P01</t>
        </is>
      </c>
      <c r="G126" s="2" t="n">
        <v>620000</v>
      </c>
      <c r="H126" s="2" t="inlineStr">
        <is>
          <t>Materiales</t>
        </is>
      </c>
      <c r="I126" s="9" t="n">
        <v>2477.41</v>
      </c>
      <c r="J126" s="9" t="n">
        <v>2661.85</v>
      </c>
      <c r="K126" s="9" t="n">
        <v>2631.65</v>
      </c>
      <c r="L126" s="9" t="n">
        <v>2599.19</v>
      </c>
      <c r="M126" s="9" t="n">
        <v>2582.65</v>
      </c>
      <c r="N126" s="9" t="n">
        <v>2519.46</v>
      </c>
      <c r="O126" s="9" t="n">
        <v>2574.03</v>
      </c>
      <c r="P126" s="9" t="n">
        <v>2358.9</v>
      </c>
      <c r="Q126" s="9" t="n">
        <v>2276.06</v>
      </c>
      <c r="R126" s="9" t="n">
        <v>2892.27</v>
      </c>
      <c r="S126" s="9" t="n">
        <v>2322.8</v>
      </c>
      <c r="T126" s="9" t="n">
        <v>2495.19</v>
      </c>
      <c r="U126" s="10">
        <f>SUM(I126:T126)</f>
        <v/>
      </c>
    </row>
    <row r="127">
      <c r="A127" s="2" t="inlineStr">
        <is>
          <t>SN-1000-1200-1210-1210PU0042</t>
        </is>
      </c>
      <c r="B127" s="2" t="inlineStr">
        <is>
          <t>1210PU0042</t>
        </is>
      </c>
      <c r="C127" s="2" t="inlineStr">
        <is>
          <t>Bomba descarga planta agua lavado</t>
        </is>
      </c>
      <c r="D127" s="2" t="n">
        <v>42</v>
      </c>
      <c r="E127" s="2" t="inlineStr">
        <is>
          <t>CC-1000</t>
        </is>
      </c>
      <c r="F127" s="2" t="inlineStr">
        <is>
          <t>P01</t>
        </is>
      </c>
      <c r="G127" s="2" t="n">
        <v>630000</v>
      </c>
      <c r="H127" s="2" t="inlineStr">
        <is>
          <t>Servicios externos</t>
        </is>
      </c>
      <c r="I127" s="9" t="n">
        <v>2273.56</v>
      </c>
      <c r="J127" s="9" t="n">
        <v>2254.91</v>
      </c>
      <c r="K127" s="9" t="n">
        <v>2484.57</v>
      </c>
      <c r="L127" s="9" t="n">
        <v>2203.15</v>
      </c>
      <c r="M127" s="9" t="n">
        <v>2090.89</v>
      </c>
      <c r="N127" s="9" t="n">
        <v>2046.06</v>
      </c>
      <c r="O127" s="9" t="n">
        <v>2389.24</v>
      </c>
      <c r="P127" s="9" t="n">
        <v>2299.68</v>
      </c>
      <c r="Q127" s="9" t="n">
        <v>2021.77</v>
      </c>
      <c r="R127" s="9" t="n">
        <v>2547.91</v>
      </c>
      <c r="S127" s="9" t="n">
        <v>2302.99</v>
      </c>
      <c r="T127" s="9" t="n">
        <v>2408.86</v>
      </c>
      <c r="U127" s="10">
        <f>SUM(I127:T127)</f>
        <v/>
      </c>
    </row>
    <row r="128">
      <c r="A128" s="2" t="inlineStr">
        <is>
          <t>SN-1000-1200-1210-1210RD0001</t>
        </is>
      </c>
      <c r="B128" s="2" t="inlineStr">
        <is>
          <t>1210RD0001</t>
        </is>
      </c>
      <c r="C128" s="2" t="inlineStr">
        <is>
          <t>Puerta Taller Camiones</t>
        </is>
      </c>
      <c r="D128" s="2" t="n">
        <v>43</v>
      </c>
      <c r="E128" s="2" t="inlineStr">
        <is>
          <t>CC-1000</t>
        </is>
      </c>
      <c r="F128" s="2" t="inlineStr">
        <is>
          <t>P01</t>
        </is>
      </c>
      <c r="G128" s="2" t="n">
        <v>610000</v>
      </c>
      <c r="H128" s="2" t="inlineStr">
        <is>
          <t>Mano obra interna</t>
        </is>
      </c>
      <c r="I128" s="9" t="n">
        <v>1772.72</v>
      </c>
      <c r="J128" s="9" t="n">
        <v>1853.49</v>
      </c>
      <c r="K128" s="9" t="n">
        <v>1853.64</v>
      </c>
      <c r="L128" s="9" t="n">
        <v>1949.19</v>
      </c>
      <c r="M128" s="9" t="n">
        <v>1854.92</v>
      </c>
      <c r="N128" s="9" t="n">
        <v>1805.23</v>
      </c>
      <c r="O128" s="9" t="n">
        <v>1854.22</v>
      </c>
      <c r="P128" s="9" t="n">
        <v>1713.59</v>
      </c>
      <c r="Q128" s="9" t="n">
        <v>1695.34</v>
      </c>
      <c r="R128" s="9" t="n">
        <v>2101.22</v>
      </c>
      <c r="S128" s="9" t="n">
        <v>1872.95</v>
      </c>
      <c r="T128" s="9" t="n">
        <v>1700.92</v>
      </c>
      <c r="U128" s="10">
        <f>SUM(I128:T128)</f>
        <v/>
      </c>
    </row>
    <row r="129">
      <c r="A129" s="2" t="inlineStr">
        <is>
          <t>SN-1000-1200-1210-1210RD0001</t>
        </is>
      </c>
      <c r="B129" s="2" t="inlineStr">
        <is>
          <t>1210RD0001</t>
        </is>
      </c>
      <c r="C129" s="2" t="inlineStr">
        <is>
          <t>Puerta Taller Camiones</t>
        </is>
      </c>
      <c r="D129" s="2" t="n">
        <v>43</v>
      </c>
      <c r="E129" s="2" t="inlineStr">
        <is>
          <t>CC-1000</t>
        </is>
      </c>
      <c r="F129" s="2" t="inlineStr">
        <is>
          <t>P01</t>
        </is>
      </c>
      <c r="G129" s="2" t="n">
        <v>620000</v>
      </c>
      <c r="H129" s="2" t="inlineStr">
        <is>
          <t>Materiales</t>
        </is>
      </c>
      <c r="I129" s="9" t="n">
        <v>1359.76</v>
      </c>
      <c r="J129" s="9" t="n">
        <v>1444.37</v>
      </c>
      <c r="K129" s="9" t="n">
        <v>1534.43</v>
      </c>
      <c r="L129" s="9" t="n">
        <v>1380.29</v>
      </c>
      <c r="M129" s="9" t="n">
        <v>1402.07</v>
      </c>
      <c r="N129" s="9" t="n">
        <v>1426.98</v>
      </c>
      <c r="O129" s="9" t="n">
        <v>1468.78</v>
      </c>
      <c r="P129" s="9" t="n">
        <v>1423.9</v>
      </c>
      <c r="Q129" s="9" t="n">
        <v>1336.61</v>
      </c>
      <c r="R129" s="9" t="n">
        <v>1528.44</v>
      </c>
      <c r="S129" s="9" t="n">
        <v>1325.81</v>
      </c>
      <c r="T129" s="9" t="n">
        <v>1451.36</v>
      </c>
      <c r="U129" s="10">
        <f>SUM(I129:T129)</f>
        <v/>
      </c>
    </row>
    <row r="130">
      <c r="A130" s="2" t="inlineStr">
        <is>
          <t>SN-1000-1200-1210-1210RD0001</t>
        </is>
      </c>
      <c r="B130" s="2" t="inlineStr">
        <is>
          <t>1210RD0001</t>
        </is>
      </c>
      <c r="C130" s="2" t="inlineStr">
        <is>
          <t>Puerta Taller Camiones</t>
        </is>
      </c>
      <c r="D130" s="2" t="n">
        <v>43</v>
      </c>
      <c r="E130" s="2" t="inlineStr">
        <is>
          <t>CC-1000</t>
        </is>
      </c>
      <c r="F130" s="2" t="inlineStr">
        <is>
          <t>P01</t>
        </is>
      </c>
      <c r="G130" s="2" t="n">
        <v>630000</v>
      </c>
      <c r="H130" s="2" t="inlineStr">
        <is>
          <t>Servicios externos</t>
        </is>
      </c>
      <c r="I130" s="9" t="n">
        <v>1806.37</v>
      </c>
      <c r="J130" s="9" t="n">
        <v>1680.33</v>
      </c>
      <c r="K130" s="9" t="n">
        <v>1794.55</v>
      </c>
      <c r="L130" s="9" t="n">
        <v>1613.74</v>
      </c>
      <c r="M130" s="9" t="n">
        <v>1642.31</v>
      </c>
      <c r="N130" s="9" t="n">
        <v>1471.07</v>
      </c>
      <c r="O130" s="9" t="n">
        <v>1602.8</v>
      </c>
      <c r="P130" s="9" t="n">
        <v>1728.96</v>
      </c>
      <c r="Q130" s="9" t="n">
        <v>1676.64</v>
      </c>
      <c r="R130" s="9" t="n">
        <v>1685.22</v>
      </c>
      <c r="S130" s="9" t="n">
        <v>1590.95</v>
      </c>
      <c r="T130" s="9" t="n">
        <v>1775.9</v>
      </c>
      <c r="U130" s="10">
        <f>SUM(I130:T130)</f>
        <v/>
      </c>
    </row>
    <row r="131">
      <c r="A131" s="2" t="inlineStr">
        <is>
          <t>SN-1000-1200-1210-1210RD0002</t>
        </is>
      </c>
      <c r="B131" s="2" t="inlineStr">
        <is>
          <t>1210RD0002</t>
        </is>
      </c>
      <c r="C131" s="2" t="inlineStr">
        <is>
          <t>Puerta Taller Camiones</t>
        </is>
      </c>
      <c r="D131" s="2" t="n">
        <v>44</v>
      </c>
      <c r="E131" s="2" t="inlineStr">
        <is>
          <t>CC-1000</t>
        </is>
      </c>
      <c r="F131" s="2" t="inlineStr">
        <is>
          <t>P01</t>
        </is>
      </c>
      <c r="G131" s="2" t="n">
        <v>610000</v>
      </c>
      <c r="H131" s="2" t="inlineStr">
        <is>
          <t>Mano obra interna</t>
        </is>
      </c>
      <c r="I131" s="9" t="n">
        <v>2062.99</v>
      </c>
      <c r="J131" s="9" t="n">
        <v>2046.45</v>
      </c>
      <c r="K131" s="9" t="n">
        <v>2104.95</v>
      </c>
      <c r="L131" s="9" t="n">
        <v>1945.17</v>
      </c>
      <c r="M131" s="9" t="n">
        <v>1936.62</v>
      </c>
      <c r="N131" s="9" t="n">
        <v>2002.17</v>
      </c>
      <c r="O131" s="9" t="n">
        <v>2021.5</v>
      </c>
      <c r="P131" s="9" t="n">
        <v>1843.25</v>
      </c>
      <c r="Q131" s="9" t="n">
        <v>1942.61</v>
      </c>
      <c r="R131" s="9" t="n">
        <v>1999.69</v>
      </c>
      <c r="S131" s="9" t="n">
        <v>2015.48</v>
      </c>
      <c r="T131" s="9" t="n">
        <v>1936.18</v>
      </c>
      <c r="U131" s="10">
        <f>SUM(I131:T131)</f>
        <v/>
      </c>
    </row>
    <row r="132">
      <c r="A132" s="2" t="inlineStr">
        <is>
          <t>SN-1000-1200-1210-1210RD0002</t>
        </is>
      </c>
      <c r="B132" s="2" t="inlineStr">
        <is>
          <t>1210RD0002</t>
        </is>
      </c>
      <c r="C132" s="2" t="inlineStr">
        <is>
          <t>Puerta Taller Camiones</t>
        </is>
      </c>
      <c r="D132" s="2" t="n">
        <v>44</v>
      </c>
      <c r="E132" s="2" t="inlineStr">
        <is>
          <t>CC-1000</t>
        </is>
      </c>
      <c r="F132" s="2" t="inlineStr">
        <is>
          <t>P01</t>
        </is>
      </c>
      <c r="G132" s="2" t="n">
        <v>620000</v>
      </c>
      <c r="H132" s="2" t="inlineStr">
        <is>
          <t>Materiales</t>
        </is>
      </c>
      <c r="I132" s="9" t="n">
        <v>2394.69</v>
      </c>
      <c r="J132" s="9" t="n">
        <v>2294.78</v>
      </c>
      <c r="K132" s="9" t="n">
        <v>2333.36</v>
      </c>
      <c r="L132" s="9" t="n">
        <v>2373.07</v>
      </c>
      <c r="M132" s="9" t="n">
        <v>2514.56</v>
      </c>
      <c r="N132" s="9" t="n">
        <v>2473.09</v>
      </c>
      <c r="O132" s="9" t="n">
        <v>2346.99</v>
      </c>
      <c r="P132" s="9" t="n">
        <v>2374.94</v>
      </c>
      <c r="Q132" s="9" t="n">
        <v>2310.04</v>
      </c>
      <c r="R132" s="9" t="n">
        <v>2744.05</v>
      </c>
      <c r="S132" s="9" t="n">
        <v>2354.43</v>
      </c>
      <c r="T132" s="9" t="n">
        <v>2389.79</v>
      </c>
      <c r="U132" s="10">
        <f>SUM(I132:T132)</f>
        <v/>
      </c>
    </row>
    <row r="133">
      <c r="A133" s="2" t="inlineStr">
        <is>
          <t>SN-1000-1200-1210-1210RD0002</t>
        </is>
      </c>
      <c r="B133" s="2" t="inlineStr">
        <is>
          <t>1210RD0002</t>
        </is>
      </c>
      <c r="C133" s="2" t="inlineStr">
        <is>
          <t>Puerta Taller Camiones</t>
        </is>
      </c>
      <c r="D133" s="2" t="n">
        <v>44</v>
      </c>
      <c r="E133" s="2" t="inlineStr">
        <is>
          <t>CC-1000</t>
        </is>
      </c>
      <c r="F133" s="2" t="inlineStr">
        <is>
          <t>P01</t>
        </is>
      </c>
      <c r="G133" s="2" t="n">
        <v>630000</v>
      </c>
      <c r="H133" s="2" t="inlineStr">
        <is>
          <t>Servicios externos</t>
        </is>
      </c>
      <c r="I133" s="9" t="n">
        <v>2187.28</v>
      </c>
      <c r="J133" s="9" t="n">
        <v>1883.49</v>
      </c>
      <c r="K133" s="9" t="n">
        <v>2184.34</v>
      </c>
      <c r="L133" s="9" t="n">
        <v>2074.29</v>
      </c>
      <c r="M133" s="9" t="n">
        <v>2152.88</v>
      </c>
      <c r="N133" s="9" t="n">
        <v>1856.96</v>
      </c>
      <c r="O133" s="9" t="n">
        <v>2107.86</v>
      </c>
      <c r="P133" s="9" t="n">
        <v>2069.72</v>
      </c>
      <c r="Q133" s="9" t="n">
        <v>1978.02</v>
      </c>
      <c r="R133" s="9" t="n">
        <v>2084.53</v>
      </c>
      <c r="S133" s="9" t="n">
        <v>2036.98</v>
      </c>
      <c r="T133" s="9" t="n">
        <v>2129.18</v>
      </c>
      <c r="U133" s="10">
        <f>SUM(I133:T133)</f>
        <v/>
      </c>
    </row>
    <row r="134">
      <c r="A134" s="2" t="inlineStr">
        <is>
          <t>SN-1000-1200-1210-1210RD0003</t>
        </is>
      </c>
      <c r="B134" s="2" t="inlineStr">
        <is>
          <t>1210RD0003</t>
        </is>
      </c>
      <c r="C134" s="2" t="inlineStr">
        <is>
          <t>Puerta Taller Camiones</t>
        </is>
      </c>
      <c r="D134" s="2" t="n">
        <v>45</v>
      </c>
      <c r="E134" s="2" t="inlineStr">
        <is>
          <t>CC-1000</t>
        </is>
      </c>
      <c r="F134" s="2" t="inlineStr">
        <is>
          <t>P01</t>
        </is>
      </c>
      <c r="G134" s="2" t="n">
        <v>610000</v>
      </c>
      <c r="H134" s="2" t="inlineStr">
        <is>
          <t>Mano obra interna</t>
        </is>
      </c>
      <c r="I134" s="9" t="n">
        <v>2924.12</v>
      </c>
      <c r="J134" s="9" t="n">
        <v>2853.44</v>
      </c>
      <c r="K134" s="9" t="n">
        <v>3048.77</v>
      </c>
      <c r="L134" s="9" t="n">
        <v>2773.81</v>
      </c>
      <c r="M134" s="9" t="n">
        <v>2933.64</v>
      </c>
      <c r="N134" s="9" t="n">
        <v>2693.21</v>
      </c>
      <c r="O134" s="9" t="n">
        <v>2628.26</v>
      </c>
      <c r="P134" s="9" t="n">
        <v>2616.77</v>
      </c>
      <c r="Q134" s="9" t="n">
        <v>2553.42</v>
      </c>
      <c r="R134" s="9" t="n">
        <v>3177.25</v>
      </c>
      <c r="S134" s="9" t="n">
        <v>2818.41</v>
      </c>
      <c r="T134" s="9" t="n">
        <v>2991.64</v>
      </c>
      <c r="U134" s="10">
        <f>SUM(I134:T134)</f>
        <v/>
      </c>
    </row>
    <row r="135">
      <c r="A135" s="2" t="inlineStr">
        <is>
          <t>SN-1000-1200-1210-1210RD0003</t>
        </is>
      </c>
      <c r="B135" s="2" t="inlineStr">
        <is>
          <t>1210RD0003</t>
        </is>
      </c>
      <c r="C135" s="2" t="inlineStr">
        <is>
          <t>Puerta Taller Camiones</t>
        </is>
      </c>
      <c r="D135" s="2" t="n">
        <v>45</v>
      </c>
      <c r="E135" s="2" t="inlineStr">
        <is>
          <t>CC-1000</t>
        </is>
      </c>
      <c r="F135" s="2" t="inlineStr">
        <is>
          <t>P01</t>
        </is>
      </c>
      <c r="G135" s="2" t="n">
        <v>620000</v>
      </c>
      <c r="H135" s="2" t="inlineStr">
        <is>
          <t>Materiales</t>
        </is>
      </c>
      <c r="I135" s="9" t="n">
        <v>2746.78</v>
      </c>
      <c r="J135" s="9" t="n">
        <v>2524.63</v>
      </c>
      <c r="K135" s="9" t="n">
        <v>2725.61</v>
      </c>
      <c r="L135" s="9" t="n">
        <v>2747.27</v>
      </c>
      <c r="M135" s="9" t="n">
        <v>2511.62</v>
      </c>
      <c r="N135" s="9" t="n">
        <v>2481.23</v>
      </c>
      <c r="O135" s="9" t="n">
        <v>2760.63</v>
      </c>
      <c r="P135" s="9" t="n">
        <v>2817.02</v>
      </c>
      <c r="Q135" s="9" t="n">
        <v>2730.55</v>
      </c>
      <c r="R135" s="9" t="n">
        <v>3132.77</v>
      </c>
      <c r="S135" s="9" t="n">
        <v>2689.92</v>
      </c>
      <c r="T135" s="9" t="n">
        <v>2722.29</v>
      </c>
      <c r="U135" s="10">
        <f>SUM(I135:T135)</f>
        <v/>
      </c>
    </row>
    <row r="136">
      <c r="A136" s="2" t="inlineStr">
        <is>
          <t>SN-1000-1200-1210-1210RD0003</t>
        </is>
      </c>
      <c r="B136" s="2" t="inlineStr">
        <is>
          <t>1210RD0003</t>
        </is>
      </c>
      <c r="C136" s="2" t="inlineStr">
        <is>
          <t>Puerta Taller Camiones</t>
        </is>
      </c>
      <c r="D136" s="2" t="n">
        <v>45</v>
      </c>
      <c r="E136" s="2" t="inlineStr">
        <is>
          <t>CC-1000</t>
        </is>
      </c>
      <c r="F136" s="2" t="inlineStr">
        <is>
          <t>P01</t>
        </is>
      </c>
      <c r="G136" s="2" t="n">
        <v>630000</v>
      </c>
      <c r="H136" s="2" t="inlineStr">
        <is>
          <t>Servicios externos</t>
        </is>
      </c>
      <c r="I136" s="9" t="n">
        <v>3057.95</v>
      </c>
      <c r="J136" s="9" t="n">
        <v>2648.93</v>
      </c>
      <c r="K136" s="9" t="n">
        <v>2912.63</v>
      </c>
      <c r="L136" s="9" t="n">
        <v>3086.91</v>
      </c>
      <c r="M136" s="9" t="n">
        <v>2782.26</v>
      </c>
      <c r="N136" s="9" t="n">
        <v>2770.23</v>
      </c>
      <c r="O136" s="9" t="n">
        <v>2906.13</v>
      </c>
      <c r="P136" s="9" t="n">
        <v>2717.94</v>
      </c>
      <c r="Q136" s="9" t="n">
        <v>2607.8</v>
      </c>
      <c r="R136" s="9" t="n">
        <v>3007.44</v>
      </c>
      <c r="S136" s="9" t="n">
        <v>2562.88</v>
      </c>
      <c r="T136" s="9" t="n">
        <v>2685.8</v>
      </c>
      <c r="U136" s="10">
        <f>SUM(I136:T136)</f>
        <v/>
      </c>
    </row>
    <row r="137">
      <c r="A137" s="2" t="inlineStr">
        <is>
          <t>SN-1000-1200-1210-1210RD0004</t>
        </is>
      </c>
      <c r="B137" s="2" t="inlineStr">
        <is>
          <t>1210RD0004</t>
        </is>
      </c>
      <c r="C137" s="2" t="inlineStr">
        <is>
          <t>Puerta Taller Camiones</t>
        </is>
      </c>
      <c r="D137" s="2" t="n">
        <v>46</v>
      </c>
      <c r="E137" s="2" t="inlineStr">
        <is>
          <t>CC-1000</t>
        </is>
      </c>
      <c r="F137" s="2" t="inlineStr">
        <is>
          <t>P01</t>
        </is>
      </c>
      <c r="G137" s="2" t="n">
        <v>610000</v>
      </c>
      <c r="H137" s="2" t="inlineStr">
        <is>
          <t>Mano obra interna</t>
        </is>
      </c>
      <c r="I137" s="9" t="n">
        <v>304.96</v>
      </c>
      <c r="J137" s="9" t="n">
        <v>306.18</v>
      </c>
      <c r="K137" s="9" t="n">
        <v>309.5</v>
      </c>
      <c r="L137" s="9" t="n">
        <v>339.16</v>
      </c>
      <c r="M137" s="9" t="n">
        <v>294.97</v>
      </c>
      <c r="N137" s="9" t="n">
        <v>293.03</v>
      </c>
      <c r="O137" s="9" t="n">
        <v>328.62</v>
      </c>
      <c r="P137" s="9" t="n">
        <v>326.7</v>
      </c>
      <c r="Q137" s="9" t="n">
        <v>274.07</v>
      </c>
      <c r="R137" s="9" t="n">
        <v>350.49</v>
      </c>
      <c r="S137" s="9" t="n">
        <v>298.08</v>
      </c>
      <c r="T137" s="9" t="n">
        <v>313.73</v>
      </c>
      <c r="U137" s="10">
        <f>SUM(I137:T137)</f>
        <v/>
      </c>
    </row>
    <row r="138">
      <c r="A138" s="2" t="inlineStr">
        <is>
          <t>SN-1000-1200-1210-1210RD0004</t>
        </is>
      </c>
      <c r="B138" s="2" t="inlineStr">
        <is>
          <t>1210RD0004</t>
        </is>
      </c>
      <c r="C138" s="2" t="inlineStr">
        <is>
          <t>Puerta Taller Camiones</t>
        </is>
      </c>
      <c r="D138" s="2" t="n">
        <v>46</v>
      </c>
      <c r="E138" s="2" t="inlineStr">
        <is>
          <t>CC-1000</t>
        </is>
      </c>
      <c r="F138" s="2" t="inlineStr">
        <is>
          <t>P01</t>
        </is>
      </c>
      <c r="G138" s="2" t="n">
        <v>620000</v>
      </c>
      <c r="H138" s="2" t="inlineStr">
        <is>
          <t>Materiales</t>
        </is>
      </c>
      <c r="I138" s="9" t="n">
        <v>231.61</v>
      </c>
      <c r="J138" s="9" t="n">
        <v>248.25</v>
      </c>
      <c r="K138" s="9" t="n">
        <v>250.75</v>
      </c>
      <c r="L138" s="9" t="n">
        <v>246.05</v>
      </c>
      <c r="M138" s="9" t="n">
        <v>249.52</v>
      </c>
      <c r="N138" s="9" t="n">
        <v>242.39</v>
      </c>
      <c r="O138" s="9" t="n">
        <v>230.03</v>
      </c>
      <c r="P138" s="9" t="n">
        <v>247.3</v>
      </c>
      <c r="Q138" s="9" t="n">
        <v>213.18</v>
      </c>
      <c r="R138" s="9" t="n">
        <v>272.82</v>
      </c>
      <c r="S138" s="9" t="n">
        <v>241.34</v>
      </c>
      <c r="T138" s="9" t="n">
        <v>264.84</v>
      </c>
      <c r="U138" s="10">
        <f>SUM(I138:T138)</f>
        <v/>
      </c>
    </row>
    <row r="139">
      <c r="A139" s="2" t="inlineStr">
        <is>
          <t>SN-1000-1200-1210-1210RD0004</t>
        </is>
      </c>
      <c r="B139" s="2" t="inlineStr">
        <is>
          <t>1210RD0004</t>
        </is>
      </c>
      <c r="C139" s="2" t="inlineStr">
        <is>
          <t>Puerta Taller Camiones</t>
        </is>
      </c>
      <c r="D139" s="2" t="n">
        <v>46</v>
      </c>
      <c r="E139" s="2" t="inlineStr">
        <is>
          <t>CC-1000</t>
        </is>
      </c>
      <c r="F139" s="2" t="inlineStr">
        <is>
          <t>P01</t>
        </is>
      </c>
      <c r="G139" s="2" t="n">
        <v>630000</v>
      </c>
      <c r="H139" s="2" t="inlineStr">
        <is>
          <t>Servicios externos</t>
        </is>
      </c>
      <c r="I139" s="9" t="n">
        <v>230.8</v>
      </c>
      <c r="J139" s="9" t="n">
        <v>231.3</v>
      </c>
      <c r="K139" s="9" t="n">
        <v>241.46</v>
      </c>
      <c r="L139" s="9" t="n">
        <v>238.63</v>
      </c>
      <c r="M139" s="9" t="n">
        <v>256.47</v>
      </c>
      <c r="N139" s="9" t="n">
        <v>223.32</v>
      </c>
      <c r="O139" s="9" t="n">
        <v>234.56</v>
      </c>
      <c r="P139" s="9" t="n">
        <v>253.24</v>
      </c>
      <c r="Q139" s="9" t="n">
        <v>224.69</v>
      </c>
      <c r="R139" s="9" t="n">
        <v>274.04</v>
      </c>
      <c r="S139" s="9" t="n">
        <v>219.18</v>
      </c>
      <c r="T139" s="9" t="n">
        <v>246.46</v>
      </c>
      <c r="U139" s="10">
        <f>SUM(I139:T139)</f>
        <v/>
      </c>
    </row>
    <row r="140">
      <c r="A140" s="2" t="inlineStr">
        <is>
          <t>SN-1000-1200-1210-1210RD0005</t>
        </is>
      </c>
      <c r="B140" s="2" t="inlineStr">
        <is>
          <t>1210RD0005</t>
        </is>
      </c>
      <c r="C140" s="2" t="inlineStr">
        <is>
          <t>Puerta Taller Camiones</t>
        </is>
      </c>
      <c r="D140" s="2" t="n">
        <v>47</v>
      </c>
      <c r="E140" s="2" t="inlineStr">
        <is>
          <t>CC-1000</t>
        </is>
      </c>
      <c r="F140" s="2" t="inlineStr">
        <is>
          <t>P01</t>
        </is>
      </c>
      <c r="G140" s="2" t="n">
        <v>610000</v>
      </c>
      <c r="H140" s="2" t="inlineStr">
        <is>
          <t>Mano obra interna</t>
        </is>
      </c>
      <c r="I140" s="9" t="n">
        <v>733.61</v>
      </c>
      <c r="J140" s="9" t="n">
        <v>810.49</v>
      </c>
      <c r="K140" s="9" t="n">
        <v>751.14</v>
      </c>
      <c r="L140" s="9" t="n">
        <v>793.83</v>
      </c>
      <c r="M140" s="9" t="n">
        <v>753.83</v>
      </c>
      <c r="N140" s="9" t="n">
        <v>720.71</v>
      </c>
      <c r="O140" s="9" t="n">
        <v>822.5</v>
      </c>
      <c r="P140" s="9" t="n">
        <v>713.05</v>
      </c>
      <c r="Q140" s="9" t="n">
        <v>738.14</v>
      </c>
      <c r="R140" s="9" t="n">
        <v>895.08</v>
      </c>
      <c r="S140" s="9" t="n">
        <v>755.22</v>
      </c>
      <c r="T140" s="9" t="n">
        <v>838.98</v>
      </c>
      <c r="U140" s="10">
        <f>SUM(I140:T140)</f>
        <v/>
      </c>
    </row>
    <row r="141">
      <c r="A141" s="2" t="inlineStr">
        <is>
          <t>SN-1000-1200-1210-1210RD0005</t>
        </is>
      </c>
      <c r="B141" s="2" t="inlineStr">
        <is>
          <t>1210RD0005</t>
        </is>
      </c>
      <c r="C141" s="2" t="inlineStr">
        <is>
          <t>Puerta Taller Camiones</t>
        </is>
      </c>
      <c r="D141" s="2" t="n">
        <v>47</v>
      </c>
      <c r="E141" s="2" t="inlineStr">
        <is>
          <t>CC-1000</t>
        </is>
      </c>
      <c r="F141" s="2" t="inlineStr">
        <is>
          <t>P01</t>
        </is>
      </c>
      <c r="G141" s="2" t="n">
        <v>620000</v>
      </c>
      <c r="H141" s="2" t="inlineStr">
        <is>
          <t>Materiales</t>
        </is>
      </c>
      <c r="I141" s="9" t="n">
        <v>760.05</v>
      </c>
      <c r="J141" s="9" t="n">
        <v>714.4</v>
      </c>
      <c r="K141" s="9" t="n">
        <v>806.9400000000001</v>
      </c>
      <c r="L141" s="9" t="n">
        <v>830.33</v>
      </c>
      <c r="M141" s="9" t="n">
        <v>717.45</v>
      </c>
      <c r="N141" s="9" t="n">
        <v>738.98</v>
      </c>
      <c r="O141" s="9" t="n">
        <v>718.22</v>
      </c>
      <c r="P141" s="9" t="n">
        <v>761.65</v>
      </c>
      <c r="Q141" s="9" t="n">
        <v>698.14</v>
      </c>
      <c r="R141" s="9" t="n">
        <v>874.9299999999999</v>
      </c>
      <c r="S141" s="9" t="n">
        <v>742.92</v>
      </c>
      <c r="T141" s="9" t="n">
        <v>747.1</v>
      </c>
      <c r="U141" s="10">
        <f>SUM(I141:T141)</f>
        <v/>
      </c>
    </row>
    <row r="142">
      <c r="A142" s="2" t="inlineStr">
        <is>
          <t>SN-1000-1200-1210-1210RD0005</t>
        </is>
      </c>
      <c r="B142" s="2" t="inlineStr">
        <is>
          <t>1210RD0005</t>
        </is>
      </c>
      <c r="C142" s="2" t="inlineStr">
        <is>
          <t>Puerta Taller Camiones</t>
        </is>
      </c>
      <c r="D142" s="2" t="n">
        <v>47</v>
      </c>
      <c r="E142" s="2" t="inlineStr">
        <is>
          <t>CC-1000</t>
        </is>
      </c>
      <c r="F142" s="2" t="inlineStr">
        <is>
          <t>P01</t>
        </is>
      </c>
      <c r="G142" s="2" t="n">
        <v>630000</v>
      </c>
      <c r="H142" s="2" t="inlineStr">
        <is>
          <t>Servicios externos</t>
        </is>
      </c>
      <c r="I142" s="9" t="n">
        <v>752.53</v>
      </c>
      <c r="J142" s="9" t="n">
        <v>735.12</v>
      </c>
      <c r="K142" s="9" t="n">
        <v>773.34</v>
      </c>
      <c r="L142" s="9" t="n">
        <v>842.71</v>
      </c>
      <c r="M142" s="9" t="n">
        <v>780.23</v>
      </c>
      <c r="N142" s="9" t="n">
        <v>749.23</v>
      </c>
      <c r="O142" s="9" t="n">
        <v>732.9400000000001</v>
      </c>
      <c r="P142" s="9" t="n">
        <v>825.1</v>
      </c>
      <c r="Q142" s="9" t="n">
        <v>752.6799999999999</v>
      </c>
      <c r="R142" s="9" t="n">
        <v>783.72</v>
      </c>
      <c r="S142" s="9" t="n">
        <v>780.9299999999999</v>
      </c>
      <c r="T142" s="9" t="n">
        <v>797.84</v>
      </c>
      <c r="U142" s="10">
        <f>SUM(I142:T142)</f>
        <v/>
      </c>
    </row>
    <row r="143">
      <c r="A143" s="2" t="inlineStr">
        <is>
          <t>SN-1000-1200-1210-1210RD0006</t>
        </is>
      </c>
      <c r="B143" s="2" t="inlineStr">
        <is>
          <t>1210RD0006</t>
        </is>
      </c>
      <c r="C143" s="2" t="inlineStr">
        <is>
          <t>Puerta Taller Camiones</t>
        </is>
      </c>
      <c r="D143" s="2" t="n">
        <v>48</v>
      </c>
      <c r="E143" s="2" t="inlineStr">
        <is>
          <t>CC-1000</t>
        </is>
      </c>
      <c r="F143" s="2" t="inlineStr">
        <is>
          <t>P01</t>
        </is>
      </c>
      <c r="G143" s="2" t="n">
        <v>610000</v>
      </c>
      <c r="H143" s="2" t="inlineStr">
        <is>
          <t>Mano obra interna</t>
        </is>
      </c>
      <c r="I143" s="9" t="n">
        <v>401.43</v>
      </c>
      <c r="J143" s="9" t="n">
        <v>388.92</v>
      </c>
      <c r="K143" s="9" t="n">
        <v>386.56</v>
      </c>
      <c r="L143" s="9" t="n">
        <v>433.45</v>
      </c>
      <c r="M143" s="9" t="n">
        <v>413.72</v>
      </c>
      <c r="N143" s="9" t="n">
        <v>388.72</v>
      </c>
      <c r="O143" s="9" t="n">
        <v>393.66</v>
      </c>
      <c r="P143" s="9" t="n">
        <v>389.99</v>
      </c>
      <c r="Q143" s="9" t="n">
        <v>377.41</v>
      </c>
      <c r="R143" s="9" t="n">
        <v>430.02</v>
      </c>
      <c r="S143" s="9" t="n">
        <v>356.39</v>
      </c>
      <c r="T143" s="9" t="n">
        <v>402.55</v>
      </c>
      <c r="U143" s="10">
        <f>SUM(I143:T143)</f>
        <v/>
      </c>
    </row>
    <row r="144">
      <c r="A144" s="2" t="inlineStr">
        <is>
          <t>SN-1000-1200-1210-1210RD0006</t>
        </is>
      </c>
      <c r="B144" s="2" t="inlineStr">
        <is>
          <t>1210RD0006</t>
        </is>
      </c>
      <c r="C144" s="2" t="inlineStr">
        <is>
          <t>Puerta Taller Camiones</t>
        </is>
      </c>
      <c r="D144" s="2" t="n">
        <v>48</v>
      </c>
      <c r="E144" s="2" t="inlineStr">
        <is>
          <t>CC-1000</t>
        </is>
      </c>
      <c r="F144" s="2" t="inlineStr">
        <is>
          <t>P01</t>
        </is>
      </c>
      <c r="G144" s="2" t="n">
        <v>620000</v>
      </c>
      <c r="H144" s="2" t="inlineStr">
        <is>
          <t>Materiales</t>
        </is>
      </c>
      <c r="I144" s="9" t="n">
        <v>491.31</v>
      </c>
      <c r="J144" s="9" t="n">
        <v>442.9</v>
      </c>
      <c r="K144" s="9" t="n">
        <v>522.66</v>
      </c>
      <c r="L144" s="9" t="n">
        <v>471.46</v>
      </c>
      <c r="M144" s="9" t="n">
        <v>460.91</v>
      </c>
      <c r="N144" s="9" t="n">
        <v>438.31</v>
      </c>
      <c r="O144" s="9" t="n">
        <v>471.49</v>
      </c>
      <c r="P144" s="9" t="n">
        <v>503.96</v>
      </c>
      <c r="Q144" s="9" t="n">
        <v>452.35</v>
      </c>
      <c r="R144" s="9" t="n">
        <v>497.76</v>
      </c>
      <c r="S144" s="9" t="n">
        <v>497.32</v>
      </c>
      <c r="T144" s="9" t="n">
        <v>521.49</v>
      </c>
      <c r="U144" s="10">
        <f>SUM(I144:T144)</f>
        <v/>
      </c>
    </row>
    <row r="145">
      <c r="A145" s="2" t="inlineStr">
        <is>
          <t>SN-1000-1200-1210-1210RD0006</t>
        </is>
      </c>
      <c r="B145" s="2" t="inlineStr">
        <is>
          <t>1210RD0006</t>
        </is>
      </c>
      <c r="C145" s="2" t="inlineStr">
        <is>
          <t>Puerta Taller Camiones</t>
        </is>
      </c>
      <c r="D145" s="2" t="n">
        <v>48</v>
      </c>
      <c r="E145" s="2" t="inlineStr">
        <is>
          <t>CC-1000</t>
        </is>
      </c>
      <c r="F145" s="2" t="inlineStr">
        <is>
          <t>P01</t>
        </is>
      </c>
      <c r="G145" s="2" t="n">
        <v>630000</v>
      </c>
      <c r="H145" s="2" t="inlineStr">
        <is>
          <t>Servicios externos</t>
        </is>
      </c>
      <c r="I145" s="9" t="n">
        <v>480.43</v>
      </c>
      <c r="J145" s="9" t="n">
        <v>479.93</v>
      </c>
      <c r="K145" s="9" t="n">
        <v>546</v>
      </c>
      <c r="L145" s="9" t="n">
        <v>523.8200000000001</v>
      </c>
      <c r="M145" s="9" t="n">
        <v>449.29</v>
      </c>
      <c r="N145" s="9" t="n">
        <v>436.9</v>
      </c>
      <c r="O145" s="9" t="n">
        <v>488.53</v>
      </c>
      <c r="P145" s="9" t="n">
        <v>522.91</v>
      </c>
      <c r="Q145" s="9" t="n">
        <v>460.03</v>
      </c>
      <c r="R145" s="9" t="n">
        <v>529.48</v>
      </c>
      <c r="S145" s="9" t="n">
        <v>445.45</v>
      </c>
      <c r="T145" s="9" t="n">
        <v>510.94</v>
      </c>
      <c r="U145" s="10">
        <f>SUM(I145:T145)</f>
        <v/>
      </c>
    </row>
    <row r="146">
      <c r="A146" s="2" t="inlineStr">
        <is>
          <t>SN-1000-1200-1210-1210ST0008</t>
        </is>
      </c>
      <c r="B146" s="2" t="inlineStr">
        <is>
          <t>1210ST0008</t>
        </is>
      </c>
      <c r="C146" s="2" t="inlineStr">
        <is>
          <t>Compuerta agua lavado</t>
        </is>
      </c>
      <c r="D146" s="2" t="n">
        <v>49</v>
      </c>
      <c r="E146" s="2" t="inlineStr">
        <is>
          <t>CC-1000</t>
        </is>
      </c>
      <c r="F146" s="2" t="inlineStr">
        <is>
          <t>P01</t>
        </is>
      </c>
      <c r="G146" s="2" t="n">
        <v>610000</v>
      </c>
      <c r="H146" s="2" t="inlineStr">
        <is>
          <t>Mano obra interna</t>
        </is>
      </c>
      <c r="I146" s="9" t="n">
        <v>1592.77</v>
      </c>
      <c r="J146" s="9" t="n">
        <v>1635.68</v>
      </c>
      <c r="K146" s="9" t="n">
        <v>1762.97</v>
      </c>
      <c r="L146" s="9" t="n">
        <v>1548.69</v>
      </c>
      <c r="M146" s="9" t="n">
        <v>1580.1</v>
      </c>
      <c r="N146" s="9" t="n">
        <v>1469</v>
      </c>
      <c r="O146" s="9" t="n">
        <v>1665.97</v>
      </c>
      <c r="P146" s="9" t="n">
        <v>1609.23</v>
      </c>
      <c r="Q146" s="9" t="n">
        <v>1512.61</v>
      </c>
      <c r="R146" s="9" t="n">
        <v>1797.2</v>
      </c>
      <c r="S146" s="9" t="n">
        <v>1514.25</v>
      </c>
      <c r="T146" s="9" t="n">
        <v>1721.51</v>
      </c>
      <c r="U146" s="10">
        <f>SUM(I146:T146)</f>
        <v/>
      </c>
    </row>
    <row r="147">
      <c r="A147" s="2" t="inlineStr">
        <is>
          <t>SN-1000-1200-1210-1210ST0008</t>
        </is>
      </c>
      <c r="B147" s="2" t="inlineStr">
        <is>
          <t>1210ST0008</t>
        </is>
      </c>
      <c r="C147" s="2" t="inlineStr">
        <is>
          <t>Compuerta agua lavado</t>
        </is>
      </c>
      <c r="D147" s="2" t="n">
        <v>49</v>
      </c>
      <c r="E147" s="2" t="inlineStr">
        <is>
          <t>CC-1000</t>
        </is>
      </c>
      <c r="F147" s="2" t="inlineStr">
        <is>
          <t>P01</t>
        </is>
      </c>
      <c r="G147" s="2" t="n">
        <v>620000</v>
      </c>
      <c r="H147" s="2" t="inlineStr">
        <is>
          <t>Materiales</t>
        </is>
      </c>
      <c r="I147" s="9" t="n">
        <v>1388.1</v>
      </c>
      <c r="J147" s="9" t="n">
        <v>1461.1</v>
      </c>
      <c r="K147" s="9" t="n">
        <v>1553.62</v>
      </c>
      <c r="L147" s="9" t="n">
        <v>1427.08</v>
      </c>
      <c r="M147" s="9" t="n">
        <v>1504.95</v>
      </c>
      <c r="N147" s="9" t="n">
        <v>1464.65</v>
      </c>
      <c r="O147" s="9" t="n">
        <v>1387.76</v>
      </c>
      <c r="P147" s="9" t="n">
        <v>1548.6</v>
      </c>
      <c r="Q147" s="9" t="n">
        <v>1262.07</v>
      </c>
      <c r="R147" s="9" t="n">
        <v>1477.33</v>
      </c>
      <c r="S147" s="9" t="n">
        <v>1322.18</v>
      </c>
      <c r="T147" s="9" t="n">
        <v>1551.86</v>
      </c>
      <c r="U147" s="10">
        <f>SUM(I147:T147)</f>
        <v/>
      </c>
    </row>
    <row r="148">
      <c r="A148" s="2" t="inlineStr">
        <is>
          <t>SN-1000-1200-1210-1210ST0008</t>
        </is>
      </c>
      <c r="B148" s="2" t="inlineStr">
        <is>
          <t>1210ST0008</t>
        </is>
      </c>
      <c r="C148" s="2" t="inlineStr">
        <is>
          <t>Compuerta agua lavado</t>
        </is>
      </c>
      <c r="D148" s="2" t="n">
        <v>49</v>
      </c>
      <c r="E148" s="2" t="inlineStr">
        <is>
          <t>CC-1000</t>
        </is>
      </c>
      <c r="F148" s="2" t="inlineStr">
        <is>
          <t>P01</t>
        </is>
      </c>
      <c r="G148" s="2" t="n">
        <v>630000</v>
      </c>
      <c r="H148" s="2" t="inlineStr">
        <is>
          <t>Servicios externos</t>
        </is>
      </c>
      <c r="I148" s="9" t="n">
        <v>1422.23</v>
      </c>
      <c r="J148" s="9" t="n">
        <v>1439.1</v>
      </c>
      <c r="K148" s="9" t="n">
        <v>1550.07</v>
      </c>
      <c r="L148" s="9" t="n">
        <v>1407.34</v>
      </c>
      <c r="M148" s="9" t="n">
        <v>1549.38</v>
      </c>
      <c r="N148" s="9" t="n">
        <v>1479.01</v>
      </c>
      <c r="O148" s="9" t="n">
        <v>1477.2</v>
      </c>
      <c r="P148" s="9" t="n">
        <v>1584.39</v>
      </c>
      <c r="Q148" s="9" t="n">
        <v>1355.26</v>
      </c>
      <c r="R148" s="9" t="n">
        <v>1714.25</v>
      </c>
      <c r="S148" s="9" t="n">
        <v>1466.56</v>
      </c>
      <c r="T148" s="9" t="n">
        <v>1529.47</v>
      </c>
      <c r="U148" s="10">
        <f>SUM(I148:T148)</f>
        <v/>
      </c>
    </row>
    <row r="149">
      <c r="A149" s="2" t="inlineStr">
        <is>
          <t>SN-1000-1200-1210-1210SU0001</t>
        </is>
      </c>
      <c r="B149" s="2" t="inlineStr">
        <is>
          <t>1210SU0001</t>
        </is>
      </c>
      <c r="C149" s="2" t="inlineStr">
        <is>
          <t>Piscina agua lavado</t>
        </is>
      </c>
      <c r="D149" s="2" t="n">
        <v>50</v>
      </c>
      <c r="E149" s="2" t="inlineStr">
        <is>
          <t>CC-1000</t>
        </is>
      </c>
      <c r="F149" s="2" t="inlineStr">
        <is>
          <t>P01</t>
        </is>
      </c>
      <c r="G149" s="2" t="n">
        <v>610000</v>
      </c>
      <c r="H149" s="2" t="inlineStr">
        <is>
          <t>Mano obra interna</t>
        </is>
      </c>
      <c r="I149" s="9" t="n">
        <v>994.66</v>
      </c>
      <c r="J149" s="9" t="n">
        <v>893.84</v>
      </c>
      <c r="K149" s="9" t="n">
        <v>896.1</v>
      </c>
      <c r="L149" s="9" t="n">
        <v>865.29</v>
      </c>
      <c r="M149" s="9" t="n">
        <v>917.4299999999999</v>
      </c>
      <c r="N149" s="9" t="n">
        <v>881.75</v>
      </c>
      <c r="O149" s="9" t="n">
        <v>950.89</v>
      </c>
      <c r="P149" s="9" t="n">
        <v>974.84</v>
      </c>
      <c r="Q149" s="9" t="n">
        <v>797.24</v>
      </c>
      <c r="R149" s="9" t="n">
        <v>1026.93</v>
      </c>
      <c r="S149" s="9" t="n">
        <v>844.45</v>
      </c>
      <c r="T149" s="9" t="n">
        <v>985.27</v>
      </c>
      <c r="U149" s="10">
        <f>SUM(I149:T149)</f>
        <v/>
      </c>
    </row>
    <row r="150">
      <c r="A150" s="2" t="inlineStr">
        <is>
          <t>SN-1000-1200-1210-1210SU0001</t>
        </is>
      </c>
      <c r="B150" s="2" t="inlineStr">
        <is>
          <t>1210SU0001</t>
        </is>
      </c>
      <c r="C150" s="2" t="inlineStr">
        <is>
          <t>Piscina agua lavado</t>
        </is>
      </c>
      <c r="D150" s="2" t="n">
        <v>50</v>
      </c>
      <c r="E150" s="2" t="inlineStr">
        <is>
          <t>CC-1000</t>
        </is>
      </c>
      <c r="F150" s="2" t="inlineStr">
        <is>
          <t>P01</t>
        </is>
      </c>
      <c r="G150" s="2" t="n">
        <v>620000</v>
      </c>
      <c r="H150" s="2" t="inlineStr">
        <is>
          <t>Materiales</t>
        </is>
      </c>
      <c r="I150" s="9" t="n">
        <v>1113.66</v>
      </c>
      <c r="J150" s="9" t="n">
        <v>1103.34</v>
      </c>
      <c r="K150" s="9" t="n">
        <v>1084.93</v>
      </c>
      <c r="L150" s="9" t="n">
        <v>1102.63</v>
      </c>
      <c r="M150" s="9" t="n">
        <v>1127.84</v>
      </c>
      <c r="N150" s="9" t="n">
        <v>1029.48</v>
      </c>
      <c r="O150" s="9" t="n">
        <v>1059.67</v>
      </c>
      <c r="P150" s="9" t="n">
        <v>1082.03</v>
      </c>
      <c r="Q150" s="9" t="n">
        <v>1061.92</v>
      </c>
      <c r="R150" s="9" t="n">
        <v>1138.03</v>
      </c>
      <c r="S150" s="9" t="n">
        <v>994.47</v>
      </c>
      <c r="T150" s="9" t="n">
        <v>1137.25</v>
      </c>
      <c r="U150" s="10">
        <f>SUM(I150:T150)</f>
        <v/>
      </c>
    </row>
    <row r="151">
      <c r="A151" s="2" t="inlineStr">
        <is>
          <t>SN-1000-1200-1210-1210SU0001</t>
        </is>
      </c>
      <c r="B151" s="2" t="inlineStr">
        <is>
          <t>1210SU0001</t>
        </is>
      </c>
      <c r="C151" s="2" t="inlineStr">
        <is>
          <t>Piscina agua lavado</t>
        </is>
      </c>
      <c r="D151" s="2" t="n">
        <v>50</v>
      </c>
      <c r="E151" s="2" t="inlineStr">
        <is>
          <t>CC-1000</t>
        </is>
      </c>
      <c r="F151" s="2" t="inlineStr">
        <is>
          <t>P01</t>
        </is>
      </c>
      <c r="G151" s="2" t="n">
        <v>630000</v>
      </c>
      <c r="H151" s="2" t="inlineStr">
        <is>
          <t>Servicios externos</t>
        </is>
      </c>
      <c r="I151" s="9" t="n">
        <v>1040.81</v>
      </c>
      <c r="J151" s="9" t="n">
        <v>1028.02</v>
      </c>
      <c r="K151" s="9" t="n">
        <v>1059.25</v>
      </c>
      <c r="L151" s="9" t="n">
        <v>1086.08</v>
      </c>
      <c r="M151" s="9" t="n">
        <v>1069.33</v>
      </c>
      <c r="N151" s="9" t="n">
        <v>1082.76</v>
      </c>
      <c r="O151" s="9" t="n">
        <v>1116</v>
      </c>
      <c r="P151" s="9" t="n">
        <v>1109.4</v>
      </c>
      <c r="Q151" s="9" t="n">
        <v>989.92</v>
      </c>
      <c r="R151" s="9" t="n">
        <v>1238.74</v>
      </c>
      <c r="S151" s="9" t="n">
        <v>1049.53</v>
      </c>
      <c r="T151" s="9" t="n">
        <v>1190.06</v>
      </c>
      <c r="U151" s="10">
        <f>SUM(I151:T151)</f>
        <v/>
      </c>
    </row>
    <row r="152">
      <c r="A152" s="2" t="inlineStr">
        <is>
          <t>SN-1000-1200-1210-1210SU0002</t>
        </is>
      </c>
      <c r="B152" s="2" t="inlineStr">
        <is>
          <t>1210SU0002</t>
        </is>
      </c>
      <c r="C152" s="2" t="inlineStr">
        <is>
          <t>Sumidero agua-aceite</t>
        </is>
      </c>
      <c r="D152" s="2" t="n">
        <v>51</v>
      </c>
      <c r="E152" s="2" t="inlineStr">
        <is>
          <t>CC-1000</t>
        </is>
      </c>
      <c r="F152" s="2" t="inlineStr">
        <is>
          <t>P01</t>
        </is>
      </c>
      <c r="G152" s="2" t="n">
        <v>610000</v>
      </c>
      <c r="H152" s="2" t="inlineStr">
        <is>
          <t>Mano obra interna</t>
        </is>
      </c>
      <c r="I152" s="9" t="n">
        <v>1732.48</v>
      </c>
      <c r="J152" s="9" t="n">
        <v>1827.82</v>
      </c>
      <c r="K152" s="9" t="n">
        <v>1810.05</v>
      </c>
      <c r="L152" s="9" t="n">
        <v>1899.83</v>
      </c>
      <c r="M152" s="9" t="n">
        <v>1663.37</v>
      </c>
      <c r="N152" s="9" t="n">
        <v>1635.97</v>
      </c>
      <c r="O152" s="9" t="n">
        <v>1908.65</v>
      </c>
      <c r="P152" s="9" t="n">
        <v>1724.96</v>
      </c>
      <c r="Q152" s="9" t="n">
        <v>1770.88</v>
      </c>
      <c r="R152" s="9" t="n">
        <v>1877.86</v>
      </c>
      <c r="S152" s="9" t="n">
        <v>1787.34</v>
      </c>
      <c r="T152" s="9" t="n">
        <v>1888.75</v>
      </c>
      <c r="U152" s="10">
        <f>SUM(I152:T152)</f>
        <v/>
      </c>
    </row>
    <row r="153">
      <c r="A153" s="2" t="inlineStr">
        <is>
          <t>SN-1000-1200-1210-1210SU0002</t>
        </is>
      </c>
      <c r="B153" s="2" t="inlineStr">
        <is>
          <t>1210SU0002</t>
        </is>
      </c>
      <c r="C153" s="2" t="inlineStr">
        <is>
          <t>Sumidero agua-aceite</t>
        </is>
      </c>
      <c r="D153" s="2" t="n">
        <v>51</v>
      </c>
      <c r="E153" s="2" t="inlineStr">
        <is>
          <t>CC-1000</t>
        </is>
      </c>
      <c r="F153" s="2" t="inlineStr">
        <is>
          <t>P01</t>
        </is>
      </c>
      <c r="G153" s="2" t="n">
        <v>620000</v>
      </c>
      <c r="H153" s="2" t="inlineStr">
        <is>
          <t>Materiales</t>
        </is>
      </c>
      <c r="I153" s="9" t="n">
        <v>1647.47</v>
      </c>
      <c r="J153" s="9" t="n">
        <v>1565.07</v>
      </c>
      <c r="K153" s="9" t="n">
        <v>1590.08</v>
      </c>
      <c r="L153" s="9" t="n">
        <v>1649.04</v>
      </c>
      <c r="M153" s="9" t="n">
        <v>1688.89</v>
      </c>
      <c r="N153" s="9" t="n">
        <v>1704.22</v>
      </c>
      <c r="O153" s="9" t="n">
        <v>1765.45</v>
      </c>
      <c r="P153" s="9" t="n">
        <v>1735.33</v>
      </c>
      <c r="Q153" s="9" t="n">
        <v>1622.14</v>
      </c>
      <c r="R153" s="9" t="n">
        <v>1843.77</v>
      </c>
      <c r="S153" s="9" t="n">
        <v>1550.67</v>
      </c>
      <c r="T153" s="9" t="n">
        <v>1800.59</v>
      </c>
      <c r="U153" s="10">
        <f>SUM(I153:T153)</f>
        <v/>
      </c>
    </row>
    <row r="154">
      <c r="A154" s="2" t="inlineStr">
        <is>
          <t>SN-1000-1200-1210-1210SU0002</t>
        </is>
      </c>
      <c r="B154" s="2" t="inlineStr">
        <is>
          <t>1210SU0002</t>
        </is>
      </c>
      <c r="C154" s="2" t="inlineStr">
        <is>
          <t>Sumidero agua-aceite</t>
        </is>
      </c>
      <c r="D154" s="2" t="n">
        <v>51</v>
      </c>
      <c r="E154" s="2" t="inlineStr">
        <is>
          <t>CC-1000</t>
        </is>
      </c>
      <c r="F154" s="2" t="inlineStr">
        <is>
          <t>P01</t>
        </is>
      </c>
      <c r="G154" s="2" t="n">
        <v>630000</v>
      </c>
      <c r="H154" s="2" t="inlineStr">
        <is>
          <t>Servicios externos</t>
        </is>
      </c>
      <c r="I154" s="9" t="n">
        <v>1821.4</v>
      </c>
      <c r="J154" s="9" t="n">
        <v>1632.04</v>
      </c>
      <c r="K154" s="9" t="n">
        <v>1807.59</v>
      </c>
      <c r="L154" s="9" t="n">
        <v>1794.62</v>
      </c>
      <c r="M154" s="9" t="n">
        <v>1850.85</v>
      </c>
      <c r="N154" s="9" t="n">
        <v>1702.09</v>
      </c>
      <c r="O154" s="9" t="n">
        <v>1734.08</v>
      </c>
      <c r="P154" s="9" t="n">
        <v>1900.5</v>
      </c>
      <c r="Q154" s="9" t="n">
        <v>1542.51</v>
      </c>
      <c r="R154" s="9" t="n">
        <v>1882.09</v>
      </c>
      <c r="S154" s="9" t="n">
        <v>1585.33</v>
      </c>
      <c r="T154" s="9" t="n">
        <v>1862.19</v>
      </c>
      <c r="U154" s="10">
        <f>SUM(I154:T154)</f>
        <v/>
      </c>
    </row>
    <row r="155">
      <c r="A155" s="2" t="inlineStr">
        <is>
          <t>SN-1000-1200-1210-1210SY0001</t>
        </is>
      </c>
      <c r="B155" s="2" t="inlineStr">
        <is>
          <t>1210SY0001</t>
        </is>
      </c>
      <c r="C155" s="2" t="inlineStr">
        <is>
          <t>Ducha y lava ojos emergencia</t>
        </is>
      </c>
      <c r="D155" s="2" t="n">
        <v>52</v>
      </c>
      <c r="E155" s="2" t="inlineStr">
        <is>
          <t>CC-1000</t>
        </is>
      </c>
      <c r="F155" s="2" t="inlineStr">
        <is>
          <t>P01</t>
        </is>
      </c>
      <c r="G155" s="2" t="n">
        <v>610000</v>
      </c>
      <c r="H155" s="2" t="inlineStr">
        <is>
          <t>Mano obra interna</t>
        </is>
      </c>
      <c r="I155" s="9" t="n">
        <v>593.3</v>
      </c>
      <c r="J155" s="9" t="n">
        <v>627.27</v>
      </c>
      <c r="K155" s="9" t="n">
        <v>600.78</v>
      </c>
      <c r="L155" s="9" t="n">
        <v>656.12</v>
      </c>
      <c r="M155" s="9" t="n">
        <v>620.37</v>
      </c>
      <c r="N155" s="9" t="n">
        <v>604.01</v>
      </c>
      <c r="O155" s="9" t="n">
        <v>556.1799999999999</v>
      </c>
      <c r="P155" s="9" t="n">
        <v>646.5</v>
      </c>
      <c r="Q155" s="9" t="n">
        <v>581.08</v>
      </c>
      <c r="R155" s="9" t="n">
        <v>629.33</v>
      </c>
      <c r="S155" s="9" t="n">
        <v>613.88</v>
      </c>
      <c r="T155" s="9" t="n">
        <v>589.96</v>
      </c>
      <c r="U155" s="10">
        <f>SUM(I155:T155)</f>
        <v/>
      </c>
    </row>
    <row r="156">
      <c r="A156" s="2" t="inlineStr">
        <is>
          <t>SN-1000-1200-1210-1210SY0001</t>
        </is>
      </c>
      <c r="B156" s="2" t="inlineStr">
        <is>
          <t>1210SY0001</t>
        </is>
      </c>
      <c r="C156" s="2" t="inlineStr">
        <is>
          <t>Ducha y lava ojos emergencia</t>
        </is>
      </c>
      <c r="D156" s="2" t="n">
        <v>52</v>
      </c>
      <c r="E156" s="2" t="inlineStr">
        <is>
          <t>CC-1000</t>
        </is>
      </c>
      <c r="F156" s="2" t="inlineStr">
        <is>
          <t>P01</t>
        </is>
      </c>
      <c r="G156" s="2" t="n">
        <v>620000</v>
      </c>
      <c r="H156" s="2" t="inlineStr">
        <is>
          <t>Materiales</t>
        </is>
      </c>
      <c r="I156" s="9" t="n">
        <v>572.27</v>
      </c>
      <c r="J156" s="9" t="n">
        <v>607.77</v>
      </c>
      <c r="K156" s="9" t="n">
        <v>620.5599999999999</v>
      </c>
      <c r="L156" s="9" t="n">
        <v>571.38</v>
      </c>
      <c r="M156" s="9" t="n">
        <v>567.03</v>
      </c>
      <c r="N156" s="9" t="n">
        <v>526.8</v>
      </c>
      <c r="O156" s="9" t="n">
        <v>594.92</v>
      </c>
      <c r="P156" s="9" t="n">
        <v>578.2</v>
      </c>
      <c r="Q156" s="9" t="n">
        <v>565.08</v>
      </c>
      <c r="R156" s="9" t="n">
        <v>623.59</v>
      </c>
      <c r="S156" s="9" t="n">
        <v>560.03</v>
      </c>
      <c r="T156" s="9" t="n">
        <v>630.11</v>
      </c>
      <c r="U156" s="10">
        <f>SUM(I156:T156)</f>
        <v/>
      </c>
    </row>
    <row r="157">
      <c r="A157" s="2" t="inlineStr">
        <is>
          <t>SN-1000-1200-1210-1210SY0001</t>
        </is>
      </c>
      <c r="B157" s="2" t="inlineStr">
        <is>
          <t>1210SY0001</t>
        </is>
      </c>
      <c r="C157" s="2" t="inlineStr">
        <is>
          <t>Ducha y lava ojos emergencia</t>
        </is>
      </c>
      <c r="D157" s="2" t="n">
        <v>52</v>
      </c>
      <c r="E157" s="2" t="inlineStr">
        <is>
          <t>CC-1000</t>
        </is>
      </c>
      <c r="F157" s="2" t="inlineStr">
        <is>
          <t>P01</t>
        </is>
      </c>
      <c r="G157" s="2" t="n">
        <v>630000</v>
      </c>
      <c r="H157" s="2" t="inlineStr">
        <is>
          <t>Servicios externos</t>
        </is>
      </c>
      <c r="I157" s="9" t="n">
        <v>489.07</v>
      </c>
      <c r="J157" s="9" t="n">
        <v>468.24</v>
      </c>
      <c r="K157" s="9" t="n">
        <v>476.78</v>
      </c>
      <c r="L157" s="9" t="n">
        <v>466.85</v>
      </c>
      <c r="M157" s="9" t="n">
        <v>473.37</v>
      </c>
      <c r="N157" s="9" t="n">
        <v>408.63</v>
      </c>
      <c r="O157" s="9" t="n">
        <v>419.94</v>
      </c>
      <c r="P157" s="9" t="n">
        <v>430.99</v>
      </c>
      <c r="Q157" s="9" t="n">
        <v>438.71</v>
      </c>
      <c r="R157" s="9" t="n">
        <v>449.23</v>
      </c>
      <c r="S157" s="9" t="n">
        <v>441.47</v>
      </c>
      <c r="T157" s="9" t="n">
        <v>492.96</v>
      </c>
      <c r="U157" s="10">
        <f>SUM(I157:T157)</f>
        <v/>
      </c>
    </row>
    <row r="158">
      <c r="A158" s="2" t="inlineStr">
        <is>
          <t>SN-1000-1200-1210-1210SY0002</t>
        </is>
      </c>
      <c r="B158" s="2" t="inlineStr">
        <is>
          <t>1210SY0002</t>
        </is>
      </c>
      <c r="C158" s="2" t="inlineStr">
        <is>
          <t>Ducha y lava ojos emergencia</t>
        </is>
      </c>
      <c r="D158" s="2" t="n">
        <v>53</v>
      </c>
      <c r="E158" s="2" t="inlineStr">
        <is>
          <t>CC-1000</t>
        </is>
      </c>
      <c r="F158" s="2" t="inlineStr">
        <is>
          <t>P01</t>
        </is>
      </c>
      <c r="G158" s="2" t="n">
        <v>610000</v>
      </c>
      <c r="H158" s="2" t="inlineStr">
        <is>
          <t>Mano obra interna</t>
        </is>
      </c>
      <c r="I158" s="9" t="n">
        <v>1534.56</v>
      </c>
      <c r="J158" s="9" t="n">
        <v>1372.39</v>
      </c>
      <c r="K158" s="9" t="n">
        <v>1627.43</v>
      </c>
      <c r="L158" s="9" t="n">
        <v>1555.36</v>
      </c>
      <c r="M158" s="9" t="n">
        <v>1391.24</v>
      </c>
      <c r="N158" s="9" t="n">
        <v>1339.2</v>
      </c>
      <c r="O158" s="9" t="n">
        <v>1596.99</v>
      </c>
      <c r="P158" s="9" t="n">
        <v>1537.49</v>
      </c>
      <c r="Q158" s="9" t="n">
        <v>1468</v>
      </c>
      <c r="R158" s="9" t="n">
        <v>1713.53</v>
      </c>
      <c r="S158" s="9" t="n">
        <v>1466.89</v>
      </c>
      <c r="T158" s="9" t="n">
        <v>1524.57</v>
      </c>
      <c r="U158" s="10">
        <f>SUM(I158:T158)</f>
        <v/>
      </c>
    </row>
    <row r="159">
      <c r="A159" s="2" t="inlineStr">
        <is>
          <t>SN-1000-1200-1210-1210SY0002</t>
        </is>
      </c>
      <c r="B159" s="2" t="inlineStr">
        <is>
          <t>1210SY0002</t>
        </is>
      </c>
      <c r="C159" s="2" t="inlineStr">
        <is>
          <t>Ducha y lava ojos emergencia</t>
        </is>
      </c>
      <c r="D159" s="2" t="n">
        <v>53</v>
      </c>
      <c r="E159" s="2" t="inlineStr">
        <is>
          <t>CC-1000</t>
        </is>
      </c>
      <c r="F159" s="2" t="inlineStr">
        <is>
          <t>P01</t>
        </is>
      </c>
      <c r="G159" s="2" t="n">
        <v>620000</v>
      </c>
      <c r="H159" s="2" t="inlineStr">
        <is>
          <t>Materiales</t>
        </is>
      </c>
      <c r="I159" s="9" t="n">
        <v>1272.68</v>
      </c>
      <c r="J159" s="9" t="n">
        <v>1251.63</v>
      </c>
      <c r="K159" s="9" t="n">
        <v>1383.01</v>
      </c>
      <c r="L159" s="9" t="n">
        <v>1334.03</v>
      </c>
      <c r="M159" s="9" t="n">
        <v>1350.85</v>
      </c>
      <c r="N159" s="9" t="n">
        <v>1216.76</v>
      </c>
      <c r="O159" s="9" t="n">
        <v>1306.91</v>
      </c>
      <c r="P159" s="9" t="n">
        <v>1310.31</v>
      </c>
      <c r="Q159" s="9" t="n">
        <v>1213.07</v>
      </c>
      <c r="R159" s="9" t="n">
        <v>1429.94</v>
      </c>
      <c r="S159" s="9" t="n">
        <v>1191.06</v>
      </c>
      <c r="T159" s="9" t="n">
        <v>1305.96</v>
      </c>
      <c r="U159" s="10">
        <f>SUM(I159:T159)</f>
        <v/>
      </c>
    </row>
    <row r="160">
      <c r="A160" s="2" t="inlineStr">
        <is>
          <t>SN-1000-1200-1210-1210SY0002</t>
        </is>
      </c>
      <c r="B160" s="2" t="inlineStr">
        <is>
          <t>1210SY0002</t>
        </is>
      </c>
      <c r="C160" s="2" t="inlineStr">
        <is>
          <t>Ducha y lava ojos emergencia</t>
        </is>
      </c>
      <c r="D160" s="2" t="n">
        <v>53</v>
      </c>
      <c r="E160" s="2" t="inlineStr">
        <is>
          <t>CC-1000</t>
        </is>
      </c>
      <c r="F160" s="2" t="inlineStr">
        <is>
          <t>P01</t>
        </is>
      </c>
      <c r="G160" s="2" t="n">
        <v>630000</v>
      </c>
      <c r="H160" s="2" t="inlineStr">
        <is>
          <t>Servicios externos</t>
        </is>
      </c>
      <c r="I160" s="9" t="n">
        <v>1168.05</v>
      </c>
      <c r="J160" s="9" t="n">
        <v>1145.82</v>
      </c>
      <c r="K160" s="9" t="n">
        <v>1231.91</v>
      </c>
      <c r="L160" s="9" t="n">
        <v>1277.32</v>
      </c>
      <c r="M160" s="9" t="n">
        <v>1172.26</v>
      </c>
      <c r="N160" s="9" t="n">
        <v>1157.96</v>
      </c>
      <c r="O160" s="9" t="n">
        <v>1167.43</v>
      </c>
      <c r="P160" s="9" t="n">
        <v>1189.86</v>
      </c>
      <c r="Q160" s="9" t="n">
        <v>1010.66</v>
      </c>
      <c r="R160" s="9" t="n">
        <v>1207.75</v>
      </c>
      <c r="S160" s="9" t="n">
        <v>1103.56</v>
      </c>
      <c r="T160" s="9" t="n">
        <v>1177.84</v>
      </c>
      <c r="U160" s="10">
        <f>SUM(I160:T160)</f>
        <v/>
      </c>
    </row>
    <row r="161">
      <c r="A161" s="2" t="inlineStr">
        <is>
          <t>SN-1000-1200-1210-1210TK0001</t>
        </is>
      </c>
      <c r="B161" s="2" t="inlineStr">
        <is>
          <t>1210TK0001</t>
        </is>
      </c>
      <c r="C161" s="2" t="inlineStr">
        <is>
          <t>Estanque aceite motor 15W40</t>
        </is>
      </c>
      <c r="D161" s="2" t="n">
        <v>54</v>
      </c>
      <c r="E161" s="2" t="inlineStr">
        <is>
          <t>CC-1000</t>
        </is>
      </c>
      <c r="F161" s="2" t="inlineStr">
        <is>
          <t>P01</t>
        </is>
      </c>
      <c r="G161" s="2" t="n">
        <v>610000</v>
      </c>
      <c r="H161" s="2" t="inlineStr">
        <is>
          <t>Mano obra interna</t>
        </is>
      </c>
      <c r="I161" s="9" t="n">
        <v>1346.59</v>
      </c>
      <c r="J161" s="9" t="n">
        <v>1329.29</v>
      </c>
      <c r="K161" s="9" t="n">
        <v>1552.95</v>
      </c>
      <c r="L161" s="9" t="n">
        <v>1391.97</v>
      </c>
      <c r="M161" s="9" t="n">
        <v>1381.25</v>
      </c>
      <c r="N161" s="9" t="n">
        <v>1273.15</v>
      </c>
      <c r="O161" s="9" t="n">
        <v>1425.17</v>
      </c>
      <c r="P161" s="9" t="n">
        <v>1349.59</v>
      </c>
      <c r="Q161" s="9" t="n">
        <v>1241.88</v>
      </c>
      <c r="R161" s="9" t="n">
        <v>1513.49</v>
      </c>
      <c r="S161" s="9" t="n">
        <v>1247.8</v>
      </c>
      <c r="T161" s="9" t="n">
        <v>1308.6</v>
      </c>
      <c r="U161" s="10">
        <f>SUM(I161:T161)</f>
        <v/>
      </c>
    </row>
    <row r="162">
      <c r="A162" s="2" t="inlineStr">
        <is>
          <t>SN-1000-1200-1210-1210TK0001</t>
        </is>
      </c>
      <c r="B162" s="2" t="inlineStr">
        <is>
          <t>1210TK0001</t>
        </is>
      </c>
      <c r="C162" s="2" t="inlineStr">
        <is>
          <t>Estanque aceite motor 15W40</t>
        </is>
      </c>
      <c r="D162" s="2" t="n">
        <v>54</v>
      </c>
      <c r="E162" s="2" t="inlineStr">
        <is>
          <t>CC-1000</t>
        </is>
      </c>
      <c r="F162" s="2" t="inlineStr">
        <is>
          <t>P01</t>
        </is>
      </c>
      <c r="G162" s="2" t="n">
        <v>620000</v>
      </c>
      <c r="H162" s="2" t="inlineStr">
        <is>
          <t>Materiales</t>
        </is>
      </c>
      <c r="I162" s="9" t="n">
        <v>1348.57</v>
      </c>
      <c r="J162" s="9" t="n">
        <v>1317.06</v>
      </c>
      <c r="K162" s="9" t="n">
        <v>1433.99</v>
      </c>
      <c r="L162" s="9" t="n">
        <v>1528.85</v>
      </c>
      <c r="M162" s="9" t="n">
        <v>1428.31</v>
      </c>
      <c r="N162" s="9" t="n">
        <v>1366.88</v>
      </c>
      <c r="O162" s="9" t="n">
        <v>1380.27</v>
      </c>
      <c r="P162" s="9" t="n">
        <v>1524.22</v>
      </c>
      <c r="Q162" s="9" t="n">
        <v>1306.28</v>
      </c>
      <c r="R162" s="9" t="n">
        <v>1437.04</v>
      </c>
      <c r="S162" s="9" t="n">
        <v>1407.1</v>
      </c>
      <c r="T162" s="9" t="n">
        <v>1358.51</v>
      </c>
      <c r="U162" s="10">
        <f>SUM(I162:T162)</f>
        <v/>
      </c>
    </row>
    <row r="163">
      <c r="A163" s="2" t="inlineStr">
        <is>
          <t>SN-1000-1200-1210-1210TK0001</t>
        </is>
      </c>
      <c r="B163" s="2" t="inlineStr">
        <is>
          <t>1210TK0001</t>
        </is>
      </c>
      <c r="C163" s="2" t="inlineStr">
        <is>
          <t>Estanque aceite motor 15W40</t>
        </is>
      </c>
      <c r="D163" s="2" t="n">
        <v>54</v>
      </c>
      <c r="E163" s="2" t="inlineStr">
        <is>
          <t>CC-1000</t>
        </is>
      </c>
      <c r="F163" s="2" t="inlineStr">
        <is>
          <t>P01</t>
        </is>
      </c>
      <c r="G163" s="2" t="n">
        <v>630000</v>
      </c>
      <c r="H163" s="2" t="inlineStr">
        <is>
          <t>Servicios externos</t>
        </is>
      </c>
      <c r="I163" s="9" t="n">
        <v>1477.44</v>
      </c>
      <c r="J163" s="9" t="n">
        <v>1508.91</v>
      </c>
      <c r="K163" s="9" t="n">
        <v>1489.76</v>
      </c>
      <c r="L163" s="9" t="n">
        <v>1525.24</v>
      </c>
      <c r="M163" s="9" t="n">
        <v>1543.41</v>
      </c>
      <c r="N163" s="9" t="n">
        <v>1300.56</v>
      </c>
      <c r="O163" s="9" t="n">
        <v>1394.08</v>
      </c>
      <c r="P163" s="9" t="n">
        <v>1420.11</v>
      </c>
      <c r="Q163" s="9" t="n">
        <v>1328.8</v>
      </c>
      <c r="R163" s="9" t="n">
        <v>1536.73</v>
      </c>
      <c r="S163" s="9" t="n">
        <v>1490.66</v>
      </c>
      <c r="T163" s="9" t="n">
        <v>1517.26</v>
      </c>
      <c r="U163" s="10">
        <f>SUM(I163:T163)</f>
        <v/>
      </c>
    </row>
    <row r="164">
      <c r="A164" s="2" t="inlineStr">
        <is>
          <t>SN-1000-1200-1210-1210TK0002</t>
        </is>
      </c>
      <c r="B164" s="2" t="inlineStr">
        <is>
          <t>1210TK0002</t>
        </is>
      </c>
      <c r="C164" s="2" t="inlineStr">
        <is>
          <t>Estanque aceite usado</t>
        </is>
      </c>
      <c r="D164" s="2" t="n">
        <v>55</v>
      </c>
      <c r="E164" s="2" t="inlineStr">
        <is>
          <t>CC-1000</t>
        </is>
      </c>
      <c r="F164" s="2" t="inlineStr">
        <is>
          <t>P01</t>
        </is>
      </c>
      <c r="G164" s="2" t="n">
        <v>610000</v>
      </c>
      <c r="H164" s="2" t="inlineStr">
        <is>
          <t>Mano obra interna</t>
        </is>
      </c>
      <c r="I164" s="9" t="n">
        <v>2184.73</v>
      </c>
      <c r="J164" s="9" t="n">
        <v>2286.65</v>
      </c>
      <c r="K164" s="9" t="n">
        <v>2443.11</v>
      </c>
      <c r="L164" s="9" t="n">
        <v>2372.06</v>
      </c>
      <c r="M164" s="9" t="n">
        <v>2010.39</v>
      </c>
      <c r="N164" s="9" t="n">
        <v>2156.53</v>
      </c>
      <c r="O164" s="9" t="n">
        <v>2049.84</v>
      </c>
      <c r="P164" s="9" t="n">
        <v>2120.25</v>
      </c>
      <c r="Q164" s="9" t="n">
        <v>1910.05</v>
      </c>
      <c r="R164" s="9" t="n">
        <v>2420.11</v>
      </c>
      <c r="S164" s="9" t="n">
        <v>2200.75</v>
      </c>
      <c r="T164" s="9" t="n">
        <v>2102.04</v>
      </c>
      <c r="U164" s="10">
        <f>SUM(I164:T164)</f>
        <v/>
      </c>
    </row>
    <row r="165">
      <c r="A165" s="2" t="inlineStr">
        <is>
          <t>SN-1000-1200-1210-1210TK0002</t>
        </is>
      </c>
      <c r="B165" s="2" t="inlineStr">
        <is>
          <t>1210TK0002</t>
        </is>
      </c>
      <c r="C165" s="2" t="inlineStr">
        <is>
          <t>Estanque aceite usado</t>
        </is>
      </c>
      <c r="D165" s="2" t="n">
        <v>55</v>
      </c>
      <c r="E165" s="2" t="inlineStr">
        <is>
          <t>CC-1000</t>
        </is>
      </c>
      <c r="F165" s="2" t="inlineStr">
        <is>
          <t>P01</t>
        </is>
      </c>
      <c r="G165" s="2" t="n">
        <v>620000</v>
      </c>
      <c r="H165" s="2" t="inlineStr">
        <is>
          <t>Materiales</t>
        </is>
      </c>
      <c r="I165" s="9" t="n">
        <v>2033.4</v>
      </c>
      <c r="J165" s="9" t="n">
        <v>1934.16</v>
      </c>
      <c r="K165" s="9" t="n">
        <v>1943.91</v>
      </c>
      <c r="L165" s="9" t="n">
        <v>2023.56</v>
      </c>
      <c r="M165" s="9" t="n">
        <v>2064.95</v>
      </c>
      <c r="N165" s="9" t="n">
        <v>1786.16</v>
      </c>
      <c r="O165" s="9" t="n">
        <v>1872.03</v>
      </c>
      <c r="P165" s="9" t="n">
        <v>1957.85</v>
      </c>
      <c r="Q165" s="9" t="n">
        <v>1999.24</v>
      </c>
      <c r="R165" s="9" t="n">
        <v>2221.58</v>
      </c>
      <c r="S165" s="9" t="n">
        <v>1997.37</v>
      </c>
      <c r="T165" s="9" t="n">
        <v>1990.73</v>
      </c>
      <c r="U165" s="10">
        <f>SUM(I165:T165)</f>
        <v/>
      </c>
    </row>
    <row r="166">
      <c r="A166" s="2" t="inlineStr">
        <is>
          <t>SN-1000-1200-1210-1210TK0002</t>
        </is>
      </c>
      <c r="B166" s="2" t="inlineStr">
        <is>
          <t>1210TK0002</t>
        </is>
      </c>
      <c r="C166" s="2" t="inlineStr">
        <is>
          <t>Estanque aceite usado</t>
        </is>
      </c>
      <c r="D166" s="2" t="n">
        <v>55</v>
      </c>
      <c r="E166" s="2" t="inlineStr">
        <is>
          <t>CC-1000</t>
        </is>
      </c>
      <c r="F166" s="2" t="inlineStr">
        <is>
          <t>P01</t>
        </is>
      </c>
      <c r="G166" s="2" t="n">
        <v>630000</v>
      </c>
      <c r="H166" s="2" t="inlineStr">
        <is>
          <t>Servicios externos</t>
        </is>
      </c>
      <c r="I166" s="9" t="n">
        <v>2001.66</v>
      </c>
      <c r="J166" s="9" t="n">
        <v>2140.95</v>
      </c>
      <c r="K166" s="9" t="n">
        <v>2339.99</v>
      </c>
      <c r="L166" s="9" t="n">
        <v>2213.61</v>
      </c>
      <c r="M166" s="9" t="n">
        <v>2231.43</v>
      </c>
      <c r="N166" s="9" t="n">
        <v>2106.96</v>
      </c>
      <c r="O166" s="9" t="n">
        <v>1999.28</v>
      </c>
      <c r="P166" s="9" t="n">
        <v>2262.84</v>
      </c>
      <c r="Q166" s="9" t="n">
        <v>1843.09</v>
      </c>
      <c r="R166" s="9" t="n">
        <v>2306.86</v>
      </c>
      <c r="S166" s="9" t="n">
        <v>1941.67</v>
      </c>
      <c r="T166" s="9" t="n">
        <v>1990.44</v>
      </c>
      <c r="U166" s="10">
        <f>SUM(I166:T166)</f>
        <v/>
      </c>
    </row>
    <row r="167">
      <c r="A167" s="2" t="inlineStr">
        <is>
          <t>SN-1000-1200-1210-1210TK0003</t>
        </is>
      </c>
      <c r="B167" s="2" t="inlineStr">
        <is>
          <t>1210TK0003</t>
        </is>
      </c>
      <c r="C167" s="2" t="inlineStr">
        <is>
          <t>Estanque aceite hidráulico HD50</t>
        </is>
      </c>
      <c r="D167" s="2" t="n">
        <v>56</v>
      </c>
      <c r="E167" s="2" t="inlineStr">
        <is>
          <t>CC-1000</t>
        </is>
      </c>
      <c r="F167" s="2" t="inlineStr">
        <is>
          <t>P01</t>
        </is>
      </c>
      <c r="G167" s="2" t="n">
        <v>610000</v>
      </c>
      <c r="H167" s="2" t="inlineStr">
        <is>
          <t>Mano obra interna</t>
        </is>
      </c>
      <c r="I167" s="9" t="n">
        <v>2011.49</v>
      </c>
      <c r="J167" s="9" t="n">
        <v>2001.88</v>
      </c>
      <c r="K167" s="9" t="n">
        <v>2127.64</v>
      </c>
      <c r="L167" s="9" t="n">
        <v>1930.13</v>
      </c>
      <c r="M167" s="9" t="n">
        <v>1894.54</v>
      </c>
      <c r="N167" s="9" t="n">
        <v>1966</v>
      </c>
      <c r="O167" s="9" t="n">
        <v>1987</v>
      </c>
      <c r="P167" s="9" t="n">
        <v>2110.34</v>
      </c>
      <c r="Q167" s="9" t="n">
        <v>1942.61</v>
      </c>
      <c r="R167" s="9" t="n">
        <v>2318.48</v>
      </c>
      <c r="S167" s="9" t="n">
        <v>2032.9</v>
      </c>
      <c r="T167" s="9" t="n">
        <v>2044.29</v>
      </c>
      <c r="U167" s="10">
        <f>SUM(I167:T167)</f>
        <v/>
      </c>
    </row>
    <row r="168">
      <c r="A168" s="2" t="inlineStr">
        <is>
          <t>SN-1000-1200-1210-1210TK0003</t>
        </is>
      </c>
      <c r="B168" s="2" t="inlineStr">
        <is>
          <t>1210TK0003</t>
        </is>
      </c>
      <c r="C168" s="2" t="inlineStr">
        <is>
          <t>Estanque aceite hidráulico HD50</t>
        </is>
      </c>
      <c r="D168" s="2" t="n">
        <v>56</v>
      </c>
      <c r="E168" s="2" t="inlineStr">
        <is>
          <t>CC-1000</t>
        </is>
      </c>
      <c r="F168" s="2" t="inlineStr">
        <is>
          <t>P01</t>
        </is>
      </c>
      <c r="G168" s="2" t="n">
        <v>620000</v>
      </c>
      <c r="H168" s="2" t="inlineStr">
        <is>
          <t>Materiales</t>
        </is>
      </c>
      <c r="I168" s="9" t="n">
        <v>2065.17</v>
      </c>
      <c r="J168" s="9" t="n">
        <v>2002.6</v>
      </c>
      <c r="K168" s="9" t="n">
        <v>2264.91</v>
      </c>
      <c r="L168" s="9" t="n">
        <v>2126.29</v>
      </c>
      <c r="M168" s="9" t="n">
        <v>2175.86</v>
      </c>
      <c r="N168" s="9" t="n">
        <v>2109.73</v>
      </c>
      <c r="O168" s="9" t="n">
        <v>2219.47</v>
      </c>
      <c r="P168" s="9" t="n">
        <v>2236.63</v>
      </c>
      <c r="Q168" s="9" t="n">
        <v>1931.8</v>
      </c>
      <c r="R168" s="9" t="n">
        <v>2197.4</v>
      </c>
      <c r="S168" s="9" t="n">
        <v>2058.12</v>
      </c>
      <c r="T168" s="9" t="n">
        <v>2085.68</v>
      </c>
      <c r="U168" s="10">
        <f>SUM(I168:T168)</f>
        <v/>
      </c>
    </row>
    <row r="169">
      <c r="A169" s="2" t="inlineStr">
        <is>
          <t>SN-1000-1200-1210-1210TK0003</t>
        </is>
      </c>
      <c r="B169" s="2" t="inlineStr">
        <is>
          <t>1210TK0003</t>
        </is>
      </c>
      <c r="C169" s="2" t="inlineStr">
        <is>
          <t>Estanque aceite hidráulico HD50</t>
        </is>
      </c>
      <c r="D169" s="2" t="n">
        <v>56</v>
      </c>
      <c r="E169" s="2" t="inlineStr">
        <is>
          <t>CC-1000</t>
        </is>
      </c>
      <c r="F169" s="2" t="inlineStr">
        <is>
          <t>P01</t>
        </is>
      </c>
      <c r="G169" s="2" t="n">
        <v>630000</v>
      </c>
      <c r="H169" s="2" t="inlineStr">
        <is>
          <t>Servicios externos</t>
        </is>
      </c>
      <c r="I169" s="9" t="n">
        <v>2216.7</v>
      </c>
      <c r="J169" s="9" t="n">
        <v>2132.86</v>
      </c>
      <c r="K169" s="9" t="n">
        <v>2125.27</v>
      </c>
      <c r="L169" s="9" t="n">
        <v>2034.1</v>
      </c>
      <c r="M169" s="9" t="n">
        <v>2057.41</v>
      </c>
      <c r="N169" s="9" t="n">
        <v>1894.98</v>
      </c>
      <c r="O169" s="9" t="n">
        <v>2234.51</v>
      </c>
      <c r="P169" s="9" t="n">
        <v>2048.91</v>
      </c>
      <c r="Q169" s="9" t="n">
        <v>1848.77</v>
      </c>
      <c r="R169" s="9" t="n">
        <v>2095.01</v>
      </c>
      <c r="S169" s="9" t="n">
        <v>2082.62</v>
      </c>
      <c r="T169" s="9" t="n">
        <v>2180.23</v>
      </c>
      <c r="U169" s="10">
        <f>SUM(I169:T169)</f>
        <v/>
      </c>
    </row>
    <row r="170">
      <c r="A170" s="2" t="inlineStr">
        <is>
          <t>SN-1000-1200-1210-1210TK0006</t>
        </is>
      </c>
      <c r="B170" s="2" t="inlineStr">
        <is>
          <t>1210TK0006</t>
        </is>
      </c>
      <c r="C170" s="2" t="inlineStr">
        <is>
          <t>Estanque aceite hidráulico HD50</t>
        </is>
      </c>
      <c r="D170" s="2" t="n">
        <v>57</v>
      </c>
      <c r="E170" s="2" t="inlineStr">
        <is>
          <t>CC-1000</t>
        </is>
      </c>
      <c r="F170" s="2" t="inlineStr">
        <is>
          <t>P01</t>
        </is>
      </c>
      <c r="G170" s="2" t="n">
        <v>610000</v>
      </c>
      <c r="H170" s="2" t="inlineStr">
        <is>
          <t>Mano obra interna</t>
        </is>
      </c>
      <c r="I170" s="9" t="n">
        <v>1334.31</v>
      </c>
      <c r="J170" s="9" t="n">
        <v>1361.99</v>
      </c>
      <c r="K170" s="9" t="n">
        <v>1403.9</v>
      </c>
      <c r="L170" s="9" t="n">
        <v>1474.8</v>
      </c>
      <c r="M170" s="9" t="n">
        <v>1412.21</v>
      </c>
      <c r="N170" s="9" t="n">
        <v>1312.51</v>
      </c>
      <c r="O170" s="9" t="n">
        <v>1340.49</v>
      </c>
      <c r="P170" s="9" t="n">
        <v>1511.67</v>
      </c>
      <c r="Q170" s="9" t="n">
        <v>1296.62</v>
      </c>
      <c r="R170" s="9" t="n">
        <v>1558.86</v>
      </c>
      <c r="S170" s="9" t="n">
        <v>1280.29</v>
      </c>
      <c r="T170" s="9" t="n">
        <v>1420.78</v>
      </c>
      <c r="U170" s="10">
        <f>SUM(I170:T170)</f>
        <v/>
      </c>
    </row>
    <row r="171">
      <c r="A171" s="2" t="inlineStr">
        <is>
          <t>SN-1000-1200-1210-1210TK0006</t>
        </is>
      </c>
      <c r="B171" s="2" t="inlineStr">
        <is>
          <t>1210TK0006</t>
        </is>
      </c>
      <c r="C171" s="2" t="inlineStr">
        <is>
          <t>Estanque aceite hidráulico HD50</t>
        </is>
      </c>
      <c r="D171" s="2" t="n">
        <v>57</v>
      </c>
      <c r="E171" s="2" t="inlineStr">
        <is>
          <t>CC-1000</t>
        </is>
      </c>
      <c r="F171" s="2" t="inlineStr">
        <is>
          <t>P01</t>
        </is>
      </c>
      <c r="G171" s="2" t="n">
        <v>620000</v>
      </c>
      <c r="H171" s="2" t="inlineStr">
        <is>
          <t>Materiales</t>
        </is>
      </c>
      <c r="I171" s="9" t="n">
        <v>1263.78</v>
      </c>
      <c r="J171" s="9" t="n">
        <v>1308.61</v>
      </c>
      <c r="K171" s="9" t="n">
        <v>1252.39</v>
      </c>
      <c r="L171" s="9" t="n">
        <v>1170.92</v>
      </c>
      <c r="M171" s="9" t="n">
        <v>1132.24</v>
      </c>
      <c r="N171" s="9" t="n">
        <v>1161.36</v>
      </c>
      <c r="O171" s="9" t="n">
        <v>1170.14</v>
      </c>
      <c r="P171" s="9" t="n">
        <v>1141.71</v>
      </c>
      <c r="Q171" s="9" t="n">
        <v>1198.6</v>
      </c>
      <c r="R171" s="9" t="n">
        <v>1325.05</v>
      </c>
      <c r="S171" s="9" t="n">
        <v>1157.02</v>
      </c>
      <c r="T171" s="9" t="n">
        <v>1335.61</v>
      </c>
      <c r="U171" s="10">
        <f>SUM(I171:T171)</f>
        <v/>
      </c>
    </row>
    <row r="172">
      <c r="A172" s="2" t="inlineStr">
        <is>
          <t>SN-1000-1200-1210-1210TK0006</t>
        </is>
      </c>
      <c r="B172" s="2" t="inlineStr">
        <is>
          <t>1210TK0006</t>
        </is>
      </c>
      <c r="C172" s="2" t="inlineStr">
        <is>
          <t>Estanque aceite hidráulico HD50</t>
        </is>
      </c>
      <c r="D172" s="2" t="n">
        <v>57</v>
      </c>
      <c r="E172" s="2" t="inlineStr">
        <is>
          <t>CC-1000</t>
        </is>
      </c>
      <c r="F172" s="2" t="inlineStr">
        <is>
          <t>P01</t>
        </is>
      </c>
      <c r="G172" s="2" t="n">
        <v>630000</v>
      </c>
      <c r="H172" s="2" t="inlineStr">
        <is>
          <t>Servicios externos</t>
        </is>
      </c>
      <c r="I172" s="9" t="n">
        <v>1349.17</v>
      </c>
      <c r="J172" s="9" t="n">
        <v>1177.01</v>
      </c>
      <c r="K172" s="9" t="n">
        <v>1349.71</v>
      </c>
      <c r="L172" s="9" t="n">
        <v>1279.66</v>
      </c>
      <c r="M172" s="9" t="n">
        <v>1282.75</v>
      </c>
      <c r="N172" s="9" t="n">
        <v>1268.85</v>
      </c>
      <c r="O172" s="9" t="n">
        <v>1190.61</v>
      </c>
      <c r="P172" s="9" t="n">
        <v>1321.66</v>
      </c>
      <c r="Q172" s="9" t="n">
        <v>1126.35</v>
      </c>
      <c r="R172" s="9" t="n">
        <v>1304.04</v>
      </c>
      <c r="S172" s="9" t="n">
        <v>1161.98</v>
      </c>
      <c r="T172" s="9" t="n">
        <v>1258.34</v>
      </c>
      <c r="U172" s="10">
        <f>SUM(I172:T172)</f>
        <v/>
      </c>
    </row>
    <row r="173">
      <c r="A173" s="2" t="inlineStr">
        <is>
          <t>SN-1000-1200-1210-1210TK0007</t>
        </is>
      </c>
      <c r="B173" s="2" t="inlineStr">
        <is>
          <t>1210TK0007</t>
        </is>
      </c>
      <c r="C173" s="2" t="inlineStr">
        <is>
          <t>Estanque diario aceite hidráulico HD60</t>
        </is>
      </c>
      <c r="D173" s="2" t="n">
        <v>58</v>
      </c>
      <c r="E173" s="2" t="inlineStr">
        <is>
          <t>CC-1000</t>
        </is>
      </c>
      <c r="F173" s="2" t="inlineStr">
        <is>
          <t>P01</t>
        </is>
      </c>
      <c r="G173" s="2" t="n">
        <v>610000</v>
      </c>
      <c r="H173" s="2" t="inlineStr">
        <is>
          <t>Mano obra interna</t>
        </is>
      </c>
      <c r="I173" s="9" t="n">
        <v>1292.44</v>
      </c>
      <c r="J173" s="9" t="n">
        <v>1244.5</v>
      </c>
      <c r="K173" s="9" t="n">
        <v>1349.24</v>
      </c>
      <c r="L173" s="9" t="n">
        <v>1351.42</v>
      </c>
      <c r="M173" s="9" t="n">
        <v>1230.44</v>
      </c>
      <c r="N173" s="9" t="n">
        <v>1162.16</v>
      </c>
      <c r="O173" s="9" t="n">
        <v>1207.47</v>
      </c>
      <c r="P173" s="9" t="n">
        <v>1193.04</v>
      </c>
      <c r="Q173" s="9" t="n">
        <v>1085.79</v>
      </c>
      <c r="R173" s="9" t="n">
        <v>1319.58</v>
      </c>
      <c r="S173" s="9" t="n">
        <v>1170.5</v>
      </c>
      <c r="T173" s="9" t="n">
        <v>1368.96</v>
      </c>
      <c r="U173" s="10">
        <f>SUM(I173:T173)</f>
        <v/>
      </c>
    </row>
    <row r="174">
      <c r="A174" s="2" t="inlineStr">
        <is>
          <t>SN-1000-1200-1210-1210TK0007</t>
        </is>
      </c>
      <c r="B174" s="2" t="inlineStr">
        <is>
          <t>1210TK0007</t>
        </is>
      </c>
      <c r="C174" s="2" t="inlineStr">
        <is>
          <t>Estanque diario aceite hidráulico HD60</t>
        </is>
      </c>
      <c r="D174" s="2" t="n">
        <v>58</v>
      </c>
      <c r="E174" s="2" t="inlineStr">
        <is>
          <t>CC-1000</t>
        </is>
      </c>
      <c r="F174" s="2" t="inlineStr">
        <is>
          <t>P01</t>
        </is>
      </c>
      <c r="G174" s="2" t="n">
        <v>620000</v>
      </c>
      <c r="H174" s="2" t="inlineStr">
        <is>
          <t>Materiales</t>
        </is>
      </c>
      <c r="I174" s="9" t="n">
        <v>1357.27</v>
      </c>
      <c r="J174" s="9" t="n">
        <v>1359.5</v>
      </c>
      <c r="K174" s="9" t="n">
        <v>1324.81</v>
      </c>
      <c r="L174" s="9" t="n">
        <v>1380.43</v>
      </c>
      <c r="M174" s="9" t="n">
        <v>1376</v>
      </c>
      <c r="N174" s="9" t="n">
        <v>1300.67</v>
      </c>
      <c r="O174" s="9" t="n">
        <v>1342.05</v>
      </c>
      <c r="P174" s="9" t="n">
        <v>1469.45</v>
      </c>
      <c r="Q174" s="9" t="n">
        <v>1345.85</v>
      </c>
      <c r="R174" s="9" t="n">
        <v>1498.76</v>
      </c>
      <c r="S174" s="9" t="n">
        <v>1333.98</v>
      </c>
      <c r="T174" s="9" t="n">
        <v>1409.79</v>
      </c>
      <c r="U174" s="10">
        <f>SUM(I174:T174)</f>
        <v/>
      </c>
    </row>
    <row r="175">
      <c r="A175" s="2" t="inlineStr">
        <is>
          <t>SN-1000-1200-1210-1210TK0007</t>
        </is>
      </c>
      <c r="B175" s="2" t="inlineStr">
        <is>
          <t>1210TK0007</t>
        </is>
      </c>
      <c r="C175" s="2" t="inlineStr">
        <is>
          <t>Estanque diario aceite hidráulico HD60</t>
        </is>
      </c>
      <c r="D175" s="2" t="n">
        <v>58</v>
      </c>
      <c r="E175" s="2" t="inlineStr">
        <is>
          <t>CC-1000</t>
        </is>
      </c>
      <c r="F175" s="2" t="inlineStr">
        <is>
          <t>P01</t>
        </is>
      </c>
      <c r="G175" s="2" t="n">
        <v>630000</v>
      </c>
      <c r="H175" s="2" t="inlineStr">
        <is>
          <t>Servicios externos</t>
        </is>
      </c>
      <c r="I175" s="9" t="n">
        <v>1224.95</v>
      </c>
      <c r="J175" s="9" t="n">
        <v>1113.36</v>
      </c>
      <c r="K175" s="9" t="n">
        <v>1254.1</v>
      </c>
      <c r="L175" s="9" t="n">
        <v>1255.9</v>
      </c>
      <c r="M175" s="9" t="n">
        <v>1155.18</v>
      </c>
      <c r="N175" s="9" t="n">
        <v>1253.42</v>
      </c>
      <c r="O175" s="9" t="n">
        <v>1300.95</v>
      </c>
      <c r="P175" s="9" t="n">
        <v>1262.84</v>
      </c>
      <c r="Q175" s="9" t="n">
        <v>1142.12</v>
      </c>
      <c r="R175" s="9" t="n">
        <v>1394.03</v>
      </c>
      <c r="S175" s="9" t="n">
        <v>1111.62</v>
      </c>
      <c r="T175" s="9" t="n">
        <v>1296.1</v>
      </c>
      <c r="U175" s="10">
        <f>SUM(I175:T175)</f>
        <v/>
      </c>
    </row>
    <row r="176">
      <c r="A176" s="2" t="inlineStr">
        <is>
          <t>SN-1000-1200-1210-1210TK0056</t>
        </is>
      </c>
      <c r="B176" s="2" t="inlineStr">
        <is>
          <t>1210TK0056</t>
        </is>
      </c>
      <c r="C176" s="2" t="inlineStr">
        <is>
          <t>Estanque diario aceite hidráulico HD10W</t>
        </is>
      </c>
      <c r="D176" s="2" t="n">
        <v>59</v>
      </c>
      <c r="E176" s="2" t="inlineStr">
        <is>
          <t>CC-1000</t>
        </is>
      </c>
      <c r="F176" s="2" t="inlineStr">
        <is>
          <t>P01</t>
        </is>
      </c>
      <c r="G176" s="2" t="n">
        <v>610000</v>
      </c>
      <c r="H176" s="2" t="inlineStr">
        <is>
          <t>Mano obra interna</t>
        </is>
      </c>
      <c r="I176" s="9" t="n">
        <v>958.55</v>
      </c>
      <c r="J176" s="9" t="n">
        <v>851.5</v>
      </c>
      <c r="K176" s="9" t="n">
        <v>980.96</v>
      </c>
      <c r="L176" s="9" t="n">
        <v>981.65</v>
      </c>
      <c r="M176" s="9" t="n">
        <v>837.62</v>
      </c>
      <c r="N176" s="9" t="n">
        <v>852.25</v>
      </c>
      <c r="O176" s="9" t="n">
        <v>966.22</v>
      </c>
      <c r="P176" s="9" t="n">
        <v>893.72</v>
      </c>
      <c r="Q176" s="9" t="n">
        <v>883.34</v>
      </c>
      <c r="R176" s="9" t="n">
        <v>980.83</v>
      </c>
      <c r="S176" s="9" t="n">
        <v>850.8099999999999</v>
      </c>
      <c r="T176" s="9" t="n">
        <v>878.89</v>
      </c>
      <c r="U176" s="10">
        <f>SUM(I176:T176)</f>
        <v/>
      </c>
    </row>
    <row r="177">
      <c r="A177" s="2" t="inlineStr">
        <is>
          <t>SN-1000-1200-1210-1210TK0056</t>
        </is>
      </c>
      <c r="B177" s="2" t="inlineStr">
        <is>
          <t>1210TK0056</t>
        </is>
      </c>
      <c r="C177" s="2" t="inlineStr">
        <is>
          <t>Estanque diario aceite hidráulico HD10W</t>
        </is>
      </c>
      <c r="D177" s="2" t="n">
        <v>59</v>
      </c>
      <c r="E177" s="2" t="inlineStr">
        <is>
          <t>CC-1000</t>
        </is>
      </c>
      <c r="F177" s="2" t="inlineStr">
        <is>
          <t>P01</t>
        </is>
      </c>
      <c r="G177" s="2" t="n">
        <v>620000</v>
      </c>
      <c r="H177" s="2" t="inlineStr">
        <is>
          <t>Materiales</t>
        </is>
      </c>
      <c r="I177" s="9" t="n">
        <v>937.98</v>
      </c>
      <c r="J177" s="9" t="n">
        <v>852.77</v>
      </c>
      <c r="K177" s="9" t="n">
        <v>911.4299999999999</v>
      </c>
      <c r="L177" s="9" t="n">
        <v>900.22</v>
      </c>
      <c r="M177" s="9" t="n">
        <v>883.5599999999999</v>
      </c>
      <c r="N177" s="9" t="n">
        <v>892.46</v>
      </c>
      <c r="O177" s="9" t="n">
        <v>950.15</v>
      </c>
      <c r="P177" s="9" t="n">
        <v>868.2</v>
      </c>
      <c r="Q177" s="9" t="n">
        <v>863.95</v>
      </c>
      <c r="R177" s="9" t="n">
        <v>991.3</v>
      </c>
      <c r="S177" s="9" t="n">
        <v>863.77</v>
      </c>
      <c r="T177" s="9" t="n">
        <v>960.29</v>
      </c>
      <c r="U177" s="10">
        <f>SUM(I177:T177)</f>
        <v/>
      </c>
    </row>
    <row r="178">
      <c r="A178" s="2" t="inlineStr">
        <is>
          <t>SN-1000-1200-1210-1210TK0056</t>
        </is>
      </c>
      <c r="B178" s="2" t="inlineStr">
        <is>
          <t>1210TK0056</t>
        </is>
      </c>
      <c r="C178" s="2" t="inlineStr">
        <is>
          <t>Estanque diario aceite hidráulico HD10W</t>
        </is>
      </c>
      <c r="D178" s="2" t="n">
        <v>59</v>
      </c>
      <c r="E178" s="2" t="inlineStr">
        <is>
          <t>CC-1000</t>
        </is>
      </c>
      <c r="F178" s="2" t="inlineStr">
        <is>
          <t>P01</t>
        </is>
      </c>
      <c r="G178" s="2" t="n">
        <v>630000</v>
      </c>
      <c r="H178" s="2" t="inlineStr">
        <is>
          <t>Servicios externos</t>
        </is>
      </c>
      <c r="I178" s="9" t="n">
        <v>859.76</v>
      </c>
      <c r="J178" s="9" t="n">
        <v>934.88</v>
      </c>
      <c r="K178" s="9" t="n">
        <v>917.77</v>
      </c>
      <c r="L178" s="9" t="n">
        <v>969.15</v>
      </c>
      <c r="M178" s="9" t="n">
        <v>945</v>
      </c>
      <c r="N178" s="9" t="n">
        <v>798.78</v>
      </c>
      <c r="O178" s="9" t="n">
        <v>953.92</v>
      </c>
      <c r="P178" s="9" t="n">
        <v>890.28</v>
      </c>
      <c r="Q178" s="9" t="n">
        <v>837.67</v>
      </c>
      <c r="R178" s="9" t="n">
        <v>988.45</v>
      </c>
      <c r="S178" s="9" t="n">
        <v>929.01</v>
      </c>
      <c r="T178" s="9" t="n">
        <v>841.5599999999999</v>
      </c>
      <c r="U178" s="10">
        <f>SUM(I178:T178)</f>
        <v/>
      </c>
    </row>
    <row r="179">
      <c r="A179" s="2" t="inlineStr">
        <is>
          <t>SN-1000-1200-1210-1210TK0057</t>
        </is>
      </c>
      <c r="B179" s="2" t="inlineStr">
        <is>
          <t>1210TK0057</t>
        </is>
      </c>
      <c r="C179" s="2" t="inlineStr">
        <is>
          <t>Estanque aceite hidráulico HD 10W</t>
        </is>
      </c>
      <c r="D179" s="2" t="n">
        <v>60</v>
      </c>
      <c r="E179" s="2" t="inlineStr">
        <is>
          <t>CC-1000</t>
        </is>
      </c>
      <c r="F179" s="2" t="inlineStr">
        <is>
          <t>P01</t>
        </is>
      </c>
      <c r="G179" s="2" t="n">
        <v>610000</v>
      </c>
      <c r="H179" s="2" t="inlineStr">
        <is>
          <t>Mano obra interna</t>
        </is>
      </c>
      <c r="I179" s="9" t="n">
        <v>1082.08</v>
      </c>
      <c r="J179" s="9" t="n">
        <v>1049.61</v>
      </c>
      <c r="K179" s="9" t="n">
        <v>1094.35</v>
      </c>
      <c r="L179" s="9" t="n">
        <v>990.25</v>
      </c>
      <c r="M179" s="9" t="n">
        <v>985.75</v>
      </c>
      <c r="N179" s="9" t="n">
        <v>961.63</v>
      </c>
      <c r="O179" s="9" t="n">
        <v>1079.69</v>
      </c>
      <c r="P179" s="9" t="n">
        <v>991.91</v>
      </c>
      <c r="Q179" s="9" t="n">
        <v>913.61</v>
      </c>
      <c r="R179" s="9" t="n">
        <v>1191.01</v>
      </c>
      <c r="S179" s="9" t="n">
        <v>917.9299999999999</v>
      </c>
      <c r="T179" s="9" t="n">
        <v>1127.54</v>
      </c>
      <c r="U179" s="10">
        <f>SUM(I179:T179)</f>
        <v/>
      </c>
    </row>
    <row r="180">
      <c r="A180" s="2" t="inlineStr">
        <is>
          <t>SN-1000-1200-1210-1210TK0057</t>
        </is>
      </c>
      <c r="B180" s="2" t="inlineStr">
        <is>
          <t>1210TK0057</t>
        </is>
      </c>
      <c r="C180" s="2" t="inlineStr">
        <is>
          <t>Estanque aceite hidráulico HD 10W</t>
        </is>
      </c>
      <c r="D180" s="2" t="n">
        <v>60</v>
      </c>
      <c r="E180" s="2" t="inlineStr">
        <is>
          <t>CC-1000</t>
        </is>
      </c>
      <c r="F180" s="2" t="inlineStr">
        <is>
          <t>P01</t>
        </is>
      </c>
      <c r="G180" s="2" t="n">
        <v>620000</v>
      </c>
      <c r="H180" s="2" t="inlineStr">
        <is>
          <t>Materiales</t>
        </is>
      </c>
      <c r="I180" s="9" t="n">
        <v>1121.33</v>
      </c>
      <c r="J180" s="9" t="n">
        <v>994.01</v>
      </c>
      <c r="K180" s="9" t="n">
        <v>992.95</v>
      </c>
      <c r="L180" s="9" t="n">
        <v>1107.19</v>
      </c>
      <c r="M180" s="9" t="n">
        <v>1088.01</v>
      </c>
      <c r="N180" s="9" t="n">
        <v>1036.13</v>
      </c>
      <c r="O180" s="9" t="n">
        <v>984.4</v>
      </c>
      <c r="P180" s="9" t="n">
        <v>1085.09</v>
      </c>
      <c r="Q180" s="9" t="n">
        <v>1013.25</v>
      </c>
      <c r="R180" s="9" t="n">
        <v>1153.98</v>
      </c>
      <c r="S180" s="9" t="n">
        <v>1053.28</v>
      </c>
      <c r="T180" s="9" t="n">
        <v>1117.7</v>
      </c>
      <c r="U180" s="10">
        <f>SUM(I180:T180)</f>
        <v/>
      </c>
    </row>
    <row r="181">
      <c r="A181" s="2" t="inlineStr">
        <is>
          <t>SN-1000-1200-1210-1210TK0057</t>
        </is>
      </c>
      <c r="B181" s="2" t="inlineStr">
        <is>
          <t>1210TK0057</t>
        </is>
      </c>
      <c r="C181" s="2" t="inlineStr">
        <is>
          <t>Estanque aceite hidráulico HD 10W</t>
        </is>
      </c>
      <c r="D181" s="2" t="n">
        <v>60</v>
      </c>
      <c r="E181" s="2" t="inlineStr">
        <is>
          <t>CC-1000</t>
        </is>
      </c>
      <c r="F181" s="2" t="inlineStr">
        <is>
          <t>P01</t>
        </is>
      </c>
      <c r="G181" s="2" t="n">
        <v>630000</v>
      </c>
      <c r="H181" s="2" t="inlineStr">
        <is>
          <t>Servicios externos</t>
        </is>
      </c>
      <c r="I181" s="9" t="n">
        <v>1011.11</v>
      </c>
      <c r="J181" s="9" t="n">
        <v>1042.13</v>
      </c>
      <c r="K181" s="9" t="n">
        <v>1019.89</v>
      </c>
      <c r="L181" s="9" t="n">
        <v>1067.6</v>
      </c>
      <c r="M181" s="9" t="n">
        <v>1033.69</v>
      </c>
      <c r="N181" s="9" t="n">
        <v>943.29</v>
      </c>
      <c r="O181" s="9" t="n">
        <v>1035.07</v>
      </c>
      <c r="P181" s="9" t="n">
        <v>993.52</v>
      </c>
      <c r="Q181" s="9" t="n">
        <v>1035.64</v>
      </c>
      <c r="R181" s="9" t="n">
        <v>1225.31</v>
      </c>
      <c r="S181" s="9" t="n">
        <v>956.16</v>
      </c>
      <c r="T181" s="9" t="n">
        <v>1154.35</v>
      </c>
      <c r="U181" s="10">
        <f>SUM(I181:T181)</f>
        <v/>
      </c>
    </row>
    <row r="182">
      <c r="A182" s="2" t="inlineStr">
        <is>
          <t>SN-1000-1200-1210-1210TK0058</t>
        </is>
      </c>
      <c r="B182" s="2" t="inlineStr">
        <is>
          <t>1210TK0058</t>
        </is>
      </c>
      <c r="C182" s="2" t="inlineStr">
        <is>
          <t>Estanque aceite transmisión HD30</t>
        </is>
      </c>
      <c r="D182" s="2" t="n">
        <v>61</v>
      </c>
      <c r="E182" s="2" t="inlineStr">
        <is>
          <t>CC-1000</t>
        </is>
      </c>
      <c r="F182" s="2" t="inlineStr">
        <is>
          <t>P01</t>
        </is>
      </c>
      <c r="G182" s="2" t="n">
        <v>610000</v>
      </c>
      <c r="H182" s="2" t="inlineStr">
        <is>
          <t>Mano obra interna</t>
        </is>
      </c>
      <c r="I182" s="9" t="n">
        <v>2415.76</v>
      </c>
      <c r="J182" s="9" t="n">
        <v>2244.8</v>
      </c>
      <c r="K182" s="9" t="n">
        <v>2522.45</v>
      </c>
      <c r="L182" s="9" t="n">
        <v>2616.48</v>
      </c>
      <c r="M182" s="9" t="n">
        <v>2499.72</v>
      </c>
      <c r="N182" s="9" t="n">
        <v>2169.22</v>
      </c>
      <c r="O182" s="9" t="n">
        <v>2278.8</v>
      </c>
      <c r="P182" s="9" t="n">
        <v>2405.05</v>
      </c>
      <c r="Q182" s="9" t="n">
        <v>2201.3</v>
      </c>
      <c r="R182" s="9" t="n">
        <v>2523.68</v>
      </c>
      <c r="S182" s="9" t="n">
        <v>2283.83</v>
      </c>
      <c r="T182" s="9" t="n">
        <v>2601.62</v>
      </c>
      <c r="U182" s="10">
        <f>SUM(I182:T182)</f>
        <v/>
      </c>
    </row>
    <row r="183">
      <c r="A183" s="2" t="inlineStr">
        <is>
          <t>SN-1000-1200-1210-1210TK0058</t>
        </is>
      </c>
      <c r="B183" s="2" t="inlineStr">
        <is>
          <t>1210TK0058</t>
        </is>
      </c>
      <c r="C183" s="2" t="inlineStr">
        <is>
          <t>Estanque aceite transmisión HD30</t>
        </is>
      </c>
      <c r="D183" s="2" t="n">
        <v>61</v>
      </c>
      <c r="E183" s="2" t="inlineStr">
        <is>
          <t>CC-1000</t>
        </is>
      </c>
      <c r="F183" s="2" t="inlineStr">
        <is>
          <t>P01</t>
        </is>
      </c>
      <c r="G183" s="2" t="n">
        <v>620000</v>
      </c>
      <c r="H183" s="2" t="inlineStr">
        <is>
          <t>Materiales</t>
        </is>
      </c>
      <c r="I183" s="9" t="n">
        <v>2602.17</v>
      </c>
      <c r="J183" s="9" t="n">
        <v>2714.78</v>
      </c>
      <c r="K183" s="9" t="n">
        <v>2593.97</v>
      </c>
      <c r="L183" s="9" t="n">
        <v>2635.42</v>
      </c>
      <c r="M183" s="9" t="n">
        <v>2449.27</v>
      </c>
      <c r="N183" s="9" t="n">
        <v>2530.24</v>
      </c>
      <c r="O183" s="9" t="n">
        <v>2787.95</v>
      </c>
      <c r="P183" s="9" t="n">
        <v>2629.22</v>
      </c>
      <c r="Q183" s="9" t="n">
        <v>2354.6</v>
      </c>
      <c r="R183" s="9" t="n">
        <v>2857.34</v>
      </c>
      <c r="S183" s="9" t="n">
        <v>2354.5</v>
      </c>
      <c r="T183" s="9" t="n">
        <v>2790.11</v>
      </c>
      <c r="U183" s="10">
        <f>SUM(I183:T183)</f>
        <v/>
      </c>
    </row>
    <row r="184">
      <c r="A184" s="2" t="inlineStr">
        <is>
          <t>SN-1000-1200-1210-1210TK0058</t>
        </is>
      </c>
      <c r="B184" s="2" t="inlineStr">
        <is>
          <t>1210TK0058</t>
        </is>
      </c>
      <c r="C184" s="2" t="inlineStr">
        <is>
          <t>Estanque aceite transmisión HD30</t>
        </is>
      </c>
      <c r="D184" s="2" t="n">
        <v>61</v>
      </c>
      <c r="E184" s="2" t="inlineStr">
        <is>
          <t>CC-1000</t>
        </is>
      </c>
      <c r="F184" s="2" t="inlineStr">
        <is>
          <t>P01</t>
        </is>
      </c>
      <c r="G184" s="2" t="n">
        <v>630000</v>
      </c>
      <c r="H184" s="2" t="inlineStr">
        <is>
          <t>Servicios externos</t>
        </is>
      </c>
      <c r="I184" s="9" t="n">
        <v>2336.59</v>
      </c>
      <c r="J184" s="9" t="n">
        <v>2303.86</v>
      </c>
      <c r="K184" s="9" t="n">
        <v>2428.12</v>
      </c>
      <c r="L184" s="9" t="n">
        <v>2196.86</v>
      </c>
      <c r="M184" s="9" t="n">
        <v>2350.44</v>
      </c>
      <c r="N184" s="9" t="n">
        <v>2115.11</v>
      </c>
      <c r="O184" s="9" t="n">
        <v>2387.65</v>
      </c>
      <c r="P184" s="9" t="n">
        <v>2424.85</v>
      </c>
      <c r="Q184" s="9" t="n">
        <v>2252.54</v>
      </c>
      <c r="R184" s="9" t="n">
        <v>2509.46</v>
      </c>
      <c r="S184" s="9" t="n">
        <v>2241.09</v>
      </c>
      <c r="T184" s="9" t="n">
        <v>2208.03</v>
      </c>
      <c r="U184" s="10">
        <f>SUM(I184:T184)</f>
        <v/>
      </c>
    </row>
    <row r="185">
      <c r="A185" s="2" t="inlineStr">
        <is>
          <t>SN-1000-1200-1210-1210TK0059</t>
        </is>
      </c>
      <c r="B185" s="2" t="inlineStr">
        <is>
          <t>1210TK0059</t>
        </is>
      </c>
      <c r="C185" s="2" t="inlineStr">
        <is>
          <t>Estanque agua lavado</t>
        </is>
      </c>
      <c r="D185" s="2" t="n">
        <v>62</v>
      </c>
      <c r="E185" s="2" t="inlineStr">
        <is>
          <t>CC-1000</t>
        </is>
      </c>
      <c r="F185" s="2" t="inlineStr">
        <is>
          <t>P01</t>
        </is>
      </c>
      <c r="G185" s="2" t="n">
        <v>610000</v>
      </c>
      <c r="H185" s="2" t="inlineStr">
        <is>
          <t>Mano obra interna</t>
        </is>
      </c>
      <c r="I185" s="9" t="n">
        <v>2072.25</v>
      </c>
      <c r="J185" s="9" t="n">
        <v>2073.99</v>
      </c>
      <c r="K185" s="9" t="n">
        <v>2098.64</v>
      </c>
      <c r="L185" s="9" t="n">
        <v>2027.28</v>
      </c>
      <c r="M185" s="9" t="n">
        <v>2128.42</v>
      </c>
      <c r="N185" s="9" t="n">
        <v>1870.79</v>
      </c>
      <c r="O185" s="9" t="n">
        <v>2191.81</v>
      </c>
      <c r="P185" s="9" t="n">
        <v>2043.97</v>
      </c>
      <c r="Q185" s="9" t="n">
        <v>1804.49</v>
      </c>
      <c r="R185" s="9" t="n">
        <v>2276.28</v>
      </c>
      <c r="S185" s="9" t="n">
        <v>1891.82</v>
      </c>
      <c r="T185" s="9" t="n">
        <v>2061.7</v>
      </c>
      <c r="U185" s="10">
        <f>SUM(I185:T185)</f>
        <v/>
      </c>
    </row>
    <row r="186">
      <c r="A186" s="2" t="inlineStr">
        <is>
          <t>SN-1000-1200-1210-1210TK0059</t>
        </is>
      </c>
      <c r="B186" s="2" t="inlineStr">
        <is>
          <t>1210TK0059</t>
        </is>
      </c>
      <c r="C186" s="2" t="inlineStr">
        <is>
          <t>Estanque agua lavado</t>
        </is>
      </c>
      <c r="D186" s="2" t="n">
        <v>62</v>
      </c>
      <c r="E186" s="2" t="inlineStr">
        <is>
          <t>CC-1000</t>
        </is>
      </c>
      <c r="F186" s="2" t="inlineStr">
        <is>
          <t>P01</t>
        </is>
      </c>
      <c r="G186" s="2" t="n">
        <v>620000</v>
      </c>
      <c r="H186" s="2" t="inlineStr">
        <is>
          <t>Materiales</t>
        </is>
      </c>
      <c r="I186" s="9" t="n">
        <v>1876.59</v>
      </c>
      <c r="J186" s="9" t="n">
        <v>2052.33</v>
      </c>
      <c r="K186" s="9" t="n">
        <v>1877.23</v>
      </c>
      <c r="L186" s="9" t="n">
        <v>1938.31</v>
      </c>
      <c r="M186" s="9" t="n">
        <v>2031.52</v>
      </c>
      <c r="N186" s="9" t="n">
        <v>1834.18</v>
      </c>
      <c r="O186" s="9" t="n">
        <v>1851.5</v>
      </c>
      <c r="P186" s="9" t="n">
        <v>1930.92</v>
      </c>
      <c r="Q186" s="9" t="n">
        <v>1772.35</v>
      </c>
      <c r="R186" s="9" t="n">
        <v>2248.46</v>
      </c>
      <c r="S186" s="9" t="n">
        <v>1856.3</v>
      </c>
      <c r="T186" s="9" t="n">
        <v>2098.65</v>
      </c>
      <c r="U186" s="10">
        <f>SUM(I186:T186)</f>
        <v/>
      </c>
    </row>
    <row r="187">
      <c r="A187" s="2" t="inlineStr">
        <is>
          <t>SN-1000-1200-1210-1210TK0059</t>
        </is>
      </c>
      <c r="B187" s="2" t="inlineStr">
        <is>
          <t>1210TK0059</t>
        </is>
      </c>
      <c r="C187" s="2" t="inlineStr">
        <is>
          <t>Estanque agua lavado</t>
        </is>
      </c>
      <c r="D187" s="2" t="n">
        <v>62</v>
      </c>
      <c r="E187" s="2" t="inlineStr">
        <is>
          <t>CC-1000</t>
        </is>
      </c>
      <c r="F187" s="2" t="inlineStr">
        <is>
          <t>P01</t>
        </is>
      </c>
      <c r="G187" s="2" t="n">
        <v>630000</v>
      </c>
      <c r="H187" s="2" t="inlineStr">
        <is>
          <t>Servicios externos</t>
        </is>
      </c>
      <c r="I187" s="9" t="n">
        <v>2073.92</v>
      </c>
      <c r="J187" s="9" t="n">
        <v>2154.86</v>
      </c>
      <c r="K187" s="9" t="n">
        <v>2076.7</v>
      </c>
      <c r="L187" s="9" t="n">
        <v>2254.4</v>
      </c>
      <c r="M187" s="9" t="n">
        <v>1898.54</v>
      </c>
      <c r="N187" s="9" t="n">
        <v>2021.85</v>
      </c>
      <c r="O187" s="9" t="n">
        <v>2052.21</v>
      </c>
      <c r="P187" s="9" t="n">
        <v>2014.89</v>
      </c>
      <c r="Q187" s="9" t="n">
        <v>1951.97</v>
      </c>
      <c r="R187" s="9" t="n">
        <v>2286.57</v>
      </c>
      <c r="S187" s="9" t="n">
        <v>1830.11</v>
      </c>
      <c r="T187" s="9" t="n">
        <v>1972.76</v>
      </c>
      <c r="U187" s="10">
        <f>SUM(I187:T187)</f>
        <v/>
      </c>
    </row>
    <row r="188">
      <c r="A188" s="2" t="inlineStr">
        <is>
          <t>SN-1000-1200-1210-1210TK0060</t>
        </is>
      </c>
      <c r="B188" s="2" t="inlineStr">
        <is>
          <t>1210TK0060</t>
        </is>
      </c>
      <c r="C188" s="2" t="inlineStr">
        <is>
          <t>Estanque diario aceite transmisión HD30</t>
        </is>
      </c>
      <c r="D188" s="2" t="n">
        <v>63</v>
      </c>
      <c r="E188" s="2" t="inlineStr">
        <is>
          <t>CC-1000</t>
        </is>
      </c>
      <c r="F188" s="2" t="inlineStr">
        <is>
          <t>P01</t>
        </is>
      </c>
      <c r="G188" s="2" t="n">
        <v>610000</v>
      </c>
      <c r="H188" s="2" t="inlineStr">
        <is>
          <t>Mano obra interna</t>
        </is>
      </c>
      <c r="I188" s="9" t="n">
        <v>2613.48</v>
      </c>
      <c r="J188" s="9" t="n">
        <v>2639.1</v>
      </c>
      <c r="K188" s="9" t="n">
        <v>2680.08</v>
      </c>
      <c r="L188" s="9" t="n">
        <v>2732.52</v>
      </c>
      <c r="M188" s="9" t="n">
        <v>2547.91</v>
      </c>
      <c r="N188" s="9" t="n">
        <v>2307.13</v>
      </c>
      <c r="O188" s="9" t="n">
        <v>2337.32</v>
      </c>
      <c r="P188" s="9" t="n">
        <v>2604.22</v>
      </c>
      <c r="Q188" s="9" t="n">
        <v>2374.89</v>
      </c>
      <c r="R188" s="9" t="n">
        <v>2494.88</v>
      </c>
      <c r="S188" s="9" t="n">
        <v>2360.03</v>
      </c>
      <c r="T188" s="9" t="n">
        <v>2715.72</v>
      </c>
      <c r="U188" s="10">
        <f>SUM(I188:T188)</f>
        <v/>
      </c>
    </row>
    <row r="189">
      <c r="A189" s="2" t="inlineStr">
        <is>
          <t>SN-1000-1200-1210-1210TK0060</t>
        </is>
      </c>
      <c r="B189" s="2" t="inlineStr">
        <is>
          <t>1210TK0060</t>
        </is>
      </c>
      <c r="C189" s="2" t="inlineStr">
        <is>
          <t>Estanque diario aceite transmisión HD30</t>
        </is>
      </c>
      <c r="D189" s="2" t="n">
        <v>63</v>
      </c>
      <c r="E189" s="2" t="inlineStr">
        <is>
          <t>CC-1000</t>
        </is>
      </c>
      <c r="F189" s="2" t="inlineStr">
        <is>
          <t>P01</t>
        </is>
      </c>
      <c r="G189" s="2" t="n">
        <v>620000</v>
      </c>
      <c r="H189" s="2" t="inlineStr">
        <is>
          <t>Materiales</t>
        </is>
      </c>
      <c r="I189" s="9" t="n">
        <v>2346.54</v>
      </c>
      <c r="J189" s="9" t="n">
        <v>2272.96</v>
      </c>
      <c r="K189" s="9" t="n">
        <v>2285.5</v>
      </c>
      <c r="L189" s="9" t="n">
        <v>2324.97</v>
      </c>
      <c r="M189" s="9" t="n">
        <v>2251.7</v>
      </c>
      <c r="N189" s="9" t="n">
        <v>2062.44</v>
      </c>
      <c r="O189" s="9" t="n">
        <v>2424.21</v>
      </c>
      <c r="P189" s="9" t="n">
        <v>2290.88</v>
      </c>
      <c r="Q189" s="9" t="n">
        <v>2274.52</v>
      </c>
      <c r="R189" s="9" t="n">
        <v>2646.33</v>
      </c>
      <c r="S189" s="9" t="n">
        <v>2145.77</v>
      </c>
      <c r="T189" s="9" t="n">
        <v>2417.5</v>
      </c>
      <c r="U189" s="10">
        <f>SUM(I189:T189)</f>
        <v/>
      </c>
    </row>
    <row r="190">
      <c r="A190" s="2" t="inlineStr">
        <is>
          <t>SN-1000-1200-1210-1210TK0060</t>
        </is>
      </c>
      <c r="B190" s="2" t="inlineStr">
        <is>
          <t>1210TK0060</t>
        </is>
      </c>
      <c r="C190" s="2" t="inlineStr">
        <is>
          <t>Estanque diario aceite transmisión HD30</t>
        </is>
      </c>
      <c r="D190" s="2" t="n">
        <v>63</v>
      </c>
      <c r="E190" s="2" t="inlineStr">
        <is>
          <t>CC-1000</t>
        </is>
      </c>
      <c r="F190" s="2" t="inlineStr">
        <is>
          <t>P01</t>
        </is>
      </c>
      <c r="G190" s="2" t="n">
        <v>630000</v>
      </c>
      <c r="H190" s="2" t="inlineStr">
        <is>
          <t>Servicios externos</t>
        </is>
      </c>
      <c r="I190" s="9" t="n">
        <v>2471.94</v>
      </c>
      <c r="J190" s="9" t="n">
        <v>2145.81</v>
      </c>
      <c r="K190" s="9" t="n">
        <v>2421.84</v>
      </c>
      <c r="L190" s="9" t="n">
        <v>2373.16</v>
      </c>
      <c r="M190" s="9" t="n">
        <v>2185.02</v>
      </c>
      <c r="N190" s="9" t="n">
        <v>2055.45</v>
      </c>
      <c r="O190" s="9" t="n">
        <v>2339.06</v>
      </c>
      <c r="P190" s="9" t="n">
        <v>2367.99</v>
      </c>
      <c r="Q190" s="9" t="n">
        <v>2062.16</v>
      </c>
      <c r="R190" s="9" t="n">
        <v>2518.68</v>
      </c>
      <c r="S190" s="9" t="n">
        <v>2172.65</v>
      </c>
      <c r="T190" s="9" t="n">
        <v>2395.54</v>
      </c>
      <c r="U190" s="10">
        <f>SUM(I190:T190)</f>
        <v/>
      </c>
    </row>
    <row r="191">
      <c r="A191" s="2" t="inlineStr">
        <is>
          <t>SN-1000-1200-1210-1210TK0080</t>
        </is>
      </c>
      <c r="B191" s="2" t="inlineStr">
        <is>
          <t>1210TK0080</t>
        </is>
      </c>
      <c r="C191" s="2" t="inlineStr">
        <is>
          <t>Estanque agua potable</t>
        </is>
      </c>
      <c r="D191" s="2" t="n">
        <v>64</v>
      </c>
      <c r="E191" s="2" t="inlineStr">
        <is>
          <t>CC-1000</t>
        </is>
      </c>
      <c r="F191" s="2" t="inlineStr">
        <is>
          <t>P01</t>
        </is>
      </c>
      <c r="G191" s="2" t="n">
        <v>610000</v>
      </c>
      <c r="H191" s="2" t="inlineStr">
        <is>
          <t>Mano obra interna</t>
        </is>
      </c>
      <c r="I191" s="9" t="n">
        <v>2427.24</v>
      </c>
      <c r="J191" s="9" t="n">
        <v>2129.09</v>
      </c>
      <c r="K191" s="9" t="n">
        <v>2259.92</v>
      </c>
      <c r="L191" s="9" t="n">
        <v>2125.56</v>
      </c>
      <c r="M191" s="9" t="n">
        <v>2077.13</v>
      </c>
      <c r="N191" s="9" t="n">
        <v>2145.06</v>
      </c>
      <c r="O191" s="9" t="n">
        <v>2155.7</v>
      </c>
      <c r="P191" s="9" t="n">
        <v>2356.31</v>
      </c>
      <c r="Q191" s="9" t="n">
        <v>1921.49</v>
      </c>
      <c r="R191" s="9" t="n">
        <v>2366.77</v>
      </c>
      <c r="S191" s="9" t="n">
        <v>2110.09</v>
      </c>
      <c r="T191" s="9" t="n">
        <v>2096.51</v>
      </c>
      <c r="U191" s="10">
        <f>SUM(I191:T191)</f>
        <v/>
      </c>
    </row>
    <row r="192">
      <c r="A192" s="2" t="inlineStr">
        <is>
          <t>SN-1000-1200-1210-1210TK0080</t>
        </is>
      </c>
      <c r="B192" s="2" t="inlineStr">
        <is>
          <t>1210TK0080</t>
        </is>
      </c>
      <c r="C192" s="2" t="inlineStr">
        <is>
          <t>Estanque agua potable</t>
        </is>
      </c>
      <c r="D192" s="2" t="n">
        <v>64</v>
      </c>
      <c r="E192" s="2" t="inlineStr">
        <is>
          <t>CC-1000</t>
        </is>
      </c>
      <c r="F192" s="2" t="inlineStr">
        <is>
          <t>P01</t>
        </is>
      </c>
      <c r="G192" s="2" t="n">
        <v>620000</v>
      </c>
      <c r="H192" s="2" t="inlineStr">
        <is>
          <t>Materiales</t>
        </is>
      </c>
      <c r="I192" s="9" t="n">
        <v>2073.54</v>
      </c>
      <c r="J192" s="9" t="n">
        <v>2026.15</v>
      </c>
      <c r="K192" s="9" t="n">
        <v>2092.29</v>
      </c>
      <c r="L192" s="9" t="n">
        <v>2115.48</v>
      </c>
      <c r="M192" s="9" t="n">
        <v>2069.38</v>
      </c>
      <c r="N192" s="9" t="n">
        <v>1814.76</v>
      </c>
      <c r="O192" s="9" t="n">
        <v>2048.75</v>
      </c>
      <c r="P192" s="9" t="n">
        <v>2210.75</v>
      </c>
      <c r="Q192" s="9" t="n">
        <v>1923.12</v>
      </c>
      <c r="R192" s="9" t="n">
        <v>2284.28</v>
      </c>
      <c r="S192" s="9" t="n">
        <v>1933.86</v>
      </c>
      <c r="T192" s="9" t="n">
        <v>2181.87</v>
      </c>
      <c r="U192" s="10">
        <f>SUM(I192:T192)</f>
        <v/>
      </c>
    </row>
    <row r="193">
      <c r="A193" s="2" t="inlineStr">
        <is>
          <t>SN-1000-1200-1210-1210TK0080</t>
        </is>
      </c>
      <c r="B193" s="2" t="inlineStr">
        <is>
          <t>1210TK0080</t>
        </is>
      </c>
      <c r="C193" s="2" t="inlineStr">
        <is>
          <t>Estanque agua potable</t>
        </is>
      </c>
      <c r="D193" s="2" t="n">
        <v>64</v>
      </c>
      <c r="E193" s="2" t="inlineStr">
        <is>
          <t>CC-1000</t>
        </is>
      </c>
      <c r="F193" s="2" t="inlineStr">
        <is>
          <t>P01</t>
        </is>
      </c>
      <c r="G193" s="2" t="n">
        <v>630000</v>
      </c>
      <c r="H193" s="2" t="inlineStr">
        <is>
          <t>Servicios externos</t>
        </is>
      </c>
      <c r="I193" s="9" t="n">
        <v>2608.02</v>
      </c>
      <c r="J193" s="9" t="n">
        <v>2698.52</v>
      </c>
      <c r="K193" s="9" t="n">
        <v>2469.29</v>
      </c>
      <c r="L193" s="9" t="n">
        <v>2401.1</v>
      </c>
      <c r="M193" s="9" t="n">
        <v>2628.67</v>
      </c>
      <c r="N193" s="9" t="n">
        <v>2553.87</v>
      </c>
      <c r="O193" s="9" t="n">
        <v>2392.46</v>
      </c>
      <c r="P193" s="9" t="n">
        <v>2448.76</v>
      </c>
      <c r="Q193" s="9" t="n">
        <v>2187.15</v>
      </c>
      <c r="R193" s="9" t="n">
        <v>2654.97</v>
      </c>
      <c r="S193" s="9" t="n">
        <v>2572.5</v>
      </c>
      <c r="T193" s="9" t="n">
        <v>2591.32</v>
      </c>
      <c r="U193" s="10">
        <f>SUM(I193:T193)</f>
        <v/>
      </c>
    </row>
    <row r="194">
      <c r="A194" s="2" t="inlineStr">
        <is>
          <t>SN-1000-1200-1210-1210TK0090</t>
        </is>
      </c>
      <c r="B194" s="2" t="inlineStr">
        <is>
          <t>1210TK0090</t>
        </is>
      </c>
      <c r="C194" s="2" t="inlineStr">
        <is>
          <t>Estanque refrigerante</t>
        </is>
      </c>
      <c r="D194" s="2" t="n">
        <v>65</v>
      </c>
      <c r="E194" s="2" t="inlineStr">
        <is>
          <t>CC-1000</t>
        </is>
      </c>
      <c r="F194" s="2" t="inlineStr">
        <is>
          <t>P01</t>
        </is>
      </c>
      <c r="G194" s="2" t="n">
        <v>610000</v>
      </c>
      <c r="H194" s="2" t="inlineStr">
        <is>
          <t>Mano obra interna</t>
        </is>
      </c>
      <c r="I194" s="9" t="n">
        <v>1604.18</v>
      </c>
      <c r="J194" s="9" t="n">
        <v>1454</v>
      </c>
      <c r="K194" s="9" t="n">
        <v>1602.1</v>
      </c>
      <c r="L194" s="9" t="n">
        <v>1678.14</v>
      </c>
      <c r="M194" s="9" t="n">
        <v>1708.22</v>
      </c>
      <c r="N194" s="9" t="n">
        <v>1619.04</v>
      </c>
      <c r="O194" s="9" t="n">
        <v>1482.73</v>
      </c>
      <c r="P194" s="9" t="n">
        <v>1705.38</v>
      </c>
      <c r="Q194" s="9" t="n">
        <v>1561.12</v>
      </c>
      <c r="R194" s="9" t="n">
        <v>1807.79</v>
      </c>
      <c r="S194" s="9" t="n">
        <v>1542.68</v>
      </c>
      <c r="T194" s="9" t="n">
        <v>1601.6</v>
      </c>
      <c r="U194" s="10">
        <f>SUM(I194:T194)</f>
        <v/>
      </c>
    </row>
    <row r="195">
      <c r="A195" s="2" t="inlineStr">
        <is>
          <t>SN-1000-1200-1210-1210TK0090</t>
        </is>
      </c>
      <c r="B195" s="2" t="inlineStr">
        <is>
          <t>1210TK0090</t>
        </is>
      </c>
      <c r="C195" s="2" t="inlineStr">
        <is>
          <t>Estanque refrigerante</t>
        </is>
      </c>
      <c r="D195" s="2" t="n">
        <v>65</v>
      </c>
      <c r="E195" s="2" t="inlineStr">
        <is>
          <t>CC-1000</t>
        </is>
      </c>
      <c r="F195" s="2" t="inlineStr">
        <is>
          <t>P01</t>
        </is>
      </c>
      <c r="G195" s="2" t="n">
        <v>620000</v>
      </c>
      <c r="H195" s="2" t="inlineStr">
        <is>
          <t>Materiales</t>
        </is>
      </c>
      <c r="I195" s="9" t="n">
        <v>1457.75</v>
      </c>
      <c r="J195" s="9" t="n">
        <v>1445.67</v>
      </c>
      <c r="K195" s="9" t="n">
        <v>1518.99</v>
      </c>
      <c r="L195" s="9" t="n">
        <v>1564.46</v>
      </c>
      <c r="M195" s="9" t="n">
        <v>1578.88</v>
      </c>
      <c r="N195" s="9" t="n">
        <v>1461.06</v>
      </c>
      <c r="O195" s="9" t="n">
        <v>1426.7</v>
      </c>
      <c r="P195" s="9" t="n">
        <v>1645.8</v>
      </c>
      <c r="Q195" s="9" t="n">
        <v>1529.74</v>
      </c>
      <c r="R195" s="9" t="n">
        <v>1730.49</v>
      </c>
      <c r="S195" s="9" t="n">
        <v>1602.4</v>
      </c>
      <c r="T195" s="9" t="n">
        <v>1568.49</v>
      </c>
      <c r="U195" s="10">
        <f>SUM(I195:T195)</f>
        <v/>
      </c>
    </row>
    <row r="196">
      <c r="A196" s="2" t="inlineStr">
        <is>
          <t>SN-1000-1200-1210-1210TK0090</t>
        </is>
      </c>
      <c r="B196" s="2" t="inlineStr">
        <is>
          <t>1210TK0090</t>
        </is>
      </c>
      <c r="C196" s="2" t="inlineStr">
        <is>
          <t>Estanque refrigerante</t>
        </is>
      </c>
      <c r="D196" s="2" t="n">
        <v>65</v>
      </c>
      <c r="E196" s="2" t="inlineStr">
        <is>
          <t>CC-1000</t>
        </is>
      </c>
      <c r="F196" s="2" t="inlineStr">
        <is>
          <t>P01</t>
        </is>
      </c>
      <c r="G196" s="2" t="n">
        <v>630000</v>
      </c>
      <c r="H196" s="2" t="inlineStr">
        <is>
          <t>Servicios externos</t>
        </is>
      </c>
      <c r="I196" s="9" t="n">
        <v>1803.31</v>
      </c>
      <c r="J196" s="9" t="n">
        <v>1826.36</v>
      </c>
      <c r="K196" s="9" t="n">
        <v>1869.23</v>
      </c>
      <c r="L196" s="9" t="n">
        <v>1842.69</v>
      </c>
      <c r="M196" s="9" t="n">
        <v>1767.78</v>
      </c>
      <c r="N196" s="9" t="n">
        <v>1847.4</v>
      </c>
      <c r="O196" s="9" t="n">
        <v>1981.37</v>
      </c>
      <c r="P196" s="9" t="n">
        <v>1917.48</v>
      </c>
      <c r="Q196" s="9" t="n">
        <v>1664.52</v>
      </c>
      <c r="R196" s="9" t="n">
        <v>2145.54</v>
      </c>
      <c r="S196" s="9" t="n">
        <v>1874.56</v>
      </c>
      <c r="T196" s="9" t="n">
        <v>1888.9</v>
      </c>
      <c r="U196" s="10">
        <f>SUM(I196:T196)</f>
        <v/>
      </c>
    </row>
    <row r="197">
      <c r="A197" s="2" t="inlineStr">
        <is>
          <t>SN-1000-1200-1210-1210US0001</t>
        </is>
      </c>
      <c r="B197" s="2" t="inlineStr">
        <is>
          <t>1210US0001</t>
        </is>
      </c>
      <c r="C197" s="2" t="inlineStr">
        <is>
          <t>Subestación unitaria</t>
        </is>
      </c>
      <c r="D197" s="2" t="n">
        <v>66</v>
      </c>
      <c r="E197" s="2" t="inlineStr">
        <is>
          <t>CC-1000</t>
        </is>
      </c>
      <c r="F197" s="2" t="inlineStr">
        <is>
          <t>P01</t>
        </is>
      </c>
      <c r="G197" s="2" t="n">
        <v>610000</v>
      </c>
      <c r="H197" s="2" t="inlineStr">
        <is>
          <t>Mano obra interna</t>
        </is>
      </c>
      <c r="I197" s="9" t="n">
        <v>2735.65</v>
      </c>
      <c r="J197" s="9" t="n">
        <v>2676.67</v>
      </c>
      <c r="K197" s="9" t="n">
        <v>3067.07</v>
      </c>
      <c r="L197" s="9" t="n">
        <v>2752.81</v>
      </c>
      <c r="M197" s="9" t="n">
        <v>2744.78</v>
      </c>
      <c r="N197" s="9" t="n">
        <v>2830.74</v>
      </c>
      <c r="O197" s="9" t="n">
        <v>2880.77</v>
      </c>
      <c r="P197" s="9" t="n">
        <v>2589.7</v>
      </c>
      <c r="Q197" s="9" t="n">
        <v>2447.82</v>
      </c>
      <c r="R197" s="9" t="n">
        <v>2768.75</v>
      </c>
      <c r="S197" s="9" t="n">
        <v>2754.36</v>
      </c>
      <c r="T197" s="9" t="n">
        <v>2804.55</v>
      </c>
      <c r="U197" s="10">
        <f>SUM(I197:T197)</f>
        <v/>
      </c>
    </row>
    <row r="198">
      <c r="A198" s="2" t="inlineStr">
        <is>
          <t>SN-1000-1200-1210-1210US0001</t>
        </is>
      </c>
      <c r="B198" s="2" t="inlineStr">
        <is>
          <t>1210US0001</t>
        </is>
      </c>
      <c r="C198" s="2" t="inlineStr">
        <is>
          <t>Subestación unitaria</t>
        </is>
      </c>
      <c r="D198" s="2" t="n">
        <v>66</v>
      </c>
      <c r="E198" s="2" t="inlineStr">
        <is>
          <t>CC-1000</t>
        </is>
      </c>
      <c r="F198" s="2" t="inlineStr">
        <is>
          <t>P01</t>
        </is>
      </c>
      <c r="G198" s="2" t="n">
        <v>620000</v>
      </c>
      <c r="H198" s="2" t="inlineStr">
        <is>
          <t>Materiales</t>
        </is>
      </c>
      <c r="I198" s="9" t="n">
        <v>2493.23</v>
      </c>
      <c r="J198" s="9" t="n">
        <v>2251.76</v>
      </c>
      <c r="K198" s="9" t="n">
        <v>2250.64</v>
      </c>
      <c r="L198" s="9" t="n">
        <v>2325.98</v>
      </c>
      <c r="M198" s="9" t="n">
        <v>2316.77</v>
      </c>
      <c r="N198" s="9" t="n">
        <v>2028.1</v>
      </c>
      <c r="O198" s="9" t="n">
        <v>2194.55</v>
      </c>
      <c r="P198" s="9" t="n">
        <v>2385.57</v>
      </c>
      <c r="Q198" s="9" t="n">
        <v>2104.62</v>
      </c>
      <c r="R198" s="9" t="n">
        <v>2472.34</v>
      </c>
      <c r="S198" s="9" t="n">
        <v>2179.23</v>
      </c>
      <c r="T198" s="9" t="n">
        <v>2140.84</v>
      </c>
      <c r="U198" s="10">
        <f>SUM(I198:T198)</f>
        <v/>
      </c>
    </row>
    <row r="199">
      <c r="A199" s="2" t="inlineStr">
        <is>
          <t>SN-1000-1200-1210-1210US0001</t>
        </is>
      </c>
      <c r="B199" s="2" t="inlineStr">
        <is>
          <t>1210US0001</t>
        </is>
      </c>
      <c r="C199" s="2" t="inlineStr">
        <is>
          <t>Subestación unitaria</t>
        </is>
      </c>
      <c r="D199" s="2" t="n">
        <v>66</v>
      </c>
      <c r="E199" s="2" t="inlineStr">
        <is>
          <t>CC-1000</t>
        </is>
      </c>
      <c r="F199" s="2" t="inlineStr">
        <is>
          <t>P01</t>
        </is>
      </c>
      <c r="G199" s="2" t="n">
        <v>630000</v>
      </c>
      <c r="H199" s="2" t="inlineStr">
        <is>
          <t>Servicios externos</t>
        </is>
      </c>
      <c r="I199" s="9" t="n">
        <v>2270.29</v>
      </c>
      <c r="J199" s="9" t="n">
        <v>2106.7</v>
      </c>
      <c r="K199" s="9" t="n">
        <v>2147.82</v>
      </c>
      <c r="L199" s="9" t="n">
        <v>2419.01</v>
      </c>
      <c r="M199" s="9" t="n">
        <v>2391.21</v>
      </c>
      <c r="N199" s="9" t="n">
        <v>2245.52</v>
      </c>
      <c r="O199" s="9" t="n">
        <v>2371.55</v>
      </c>
      <c r="P199" s="9" t="n">
        <v>2149.25</v>
      </c>
      <c r="Q199" s="9" t="n">
        <v>2242.32</v>
      </c>
      <c r="R199" s="9" t="n">
        <v>2302.1</v>
      </c>
      <c r="S199" s="9" t="n">
        <v>2328.7</v>
      </c>
      <c r="T199" s="9" t="n">
        <v>2457.05</v>
      </c>
      <c r="U199" s="10">
        <f>SUM(I199:T199)</f>
        <v/>
      </c>
    </row>
    <row r="200">
      <c r="A200" s="2" t="inlineStr">
        <is>
          <t>SN-1000-1200-1210-1210WT0002</t>
        </is>
      </c>
      <c r="B200" s="2" t="inlineStr">
        <is>
          <t>1210WT0002</t>
        </is>
      </c>
      <c r="C200" s="2" t="inlineStr">
        <is>
          <t>Planta limpieza agua lavado</t>
        </is>
      </c>
      <c r="D200" s="2" t="n">
        <v>67</v>
      </c>
      <c r="E200" s="2" t="inlineStr">
        <is>
          <t>CC-1000</t>
        </is>
      </c>
      <c r="F200" s="2" t="inlineStr">
        <is>
          <t>P01</t>
        </is>
      </c>
      <c r="G200" s="2" t="n">
        <v>610000</v>
      </c>
      <c r="H200" s="2" t="inlineStr">
        <is>
          <t>Mano obra interna</t>
        </is>
      </c>
      <c r="I200" s="9" t="n">
        <v>192.69</v>
      </c>
      <c r="J200" s="9" t="n">
        <v>174.53</v>
      </c>
      <c r="K200" s="9" t="n">
        <v>173.85</v>
      </c>
      <c r="L200" s="9" t="n">
        <v>177.32</v>
      </c>
      <c r="M200" s="9" t="n">
        <v>176.05</v>
      </c>
      <c r="N200" s="9" t="n">
        <v>156.12</v>
      </c>
      <c r="O200" s="9" t="n">
        <v>178.78</v>
      </c>
      <c r="P200" s="9" t="n">
        <v>188.62</v>
      </c>
      <c r="Q200" s="9" t="n">
        <v>155.06</v>
      </c>
      <c r="R200" s="9" t="n">
        <v>197.86</v>
      </c>
      <c r="S200" s="9" t="n">
        <v>180.74</v>
      </c>
      <c r="T200" s="9" t="n">
        <v>190.49</v>
      </c>
      <c r="U200" s="10">
        <f>SUM(I200:T200)</f>
        <v/>
      </c>
    </row>
    <row r="201">
      <c r="A201" s="2" t="inlineStr">
        <is>
          <t>SN-1000-1200-1210-1210WT0002</t>
        </is>
      </c>
      <c r="B201" s="2" t="inlineStr">
        <is>
          <t>1210WT0002</t>
        </is>
      </c>
      <c r="C201" s="2" t="inlineStr">
        <is>
          <t>Planta limpieza agua lavado</t>
        </is>
      </c>
      <c r="D201" s="2" t="n">
        <v>67</v>
      </c>
      <c r="E201" s="2" t="inlineStr">
        <is>
          <t>CC-1000</t>
        </is>
      </c>
      <c r="F201" s="2" t="inlineStr">
        <is>
          <t>P01</t>
        </is>
      </c>
      <c r="G201" s="2" t="n">
        <v>620000</v>
      </c>
      <c r="H201" s="2" t="inlineStr">
        <is>
          <t>Materiales</t>
        </is>
      </c>
      <c r="I201" s="9" t="n">
        <v>188.42</v>
      </c>
      <c r="J201" s="9" t="n">
        <v>194.99</v>
      </c>
      <c r="K201" s="9" t="n">
        <v>197.57</v>
      </c>
      <c r="L201" s="9" t="n">
        <v>177.82</v>
      </c>
      <c r="M201" s="9" t="n">
        <v>181.36</v>
      </c>
      <c r="N201" s="9" t="n">
        <v>182</v>
      </c>
      <c r="O201" s="9" t="n">
        <v>176.58</v>
      </c>
      <c r="P201" s="9" t="n">
        <v>187.93</v>
      </c>
      <c r="Q201" s="9" t="n">
        <v>175.79</v>
      </c>
      <c r="R201" s="9" t="n">
        <v>187.66</v>
      </c>
      <c r="S201" s="9" t="n">
        <v>179.92</v>
      </c>
      <c r="T201" s="9" t="n">
        <v>194.78</v>
      </c>
      <c r="U201" s="10">
        <f>SUM(I201:T201)</f>
        <v/>
      </c>
    </row>
    <row r="202">
      <c r="A202" s="2" t="inlineStr">
        <is>
          <t>SN-1000-1200-1210-1210WT0002</t>
        </is>
      </c>
      <c r="B202" s="2" t="inlineStr">
        <is>
          <t>1210WT0002</t>
        </is>
      </c>
      <c r="C202" s="2" t="inlineStr">
        <is>
          <t>Planta limpieza agua lavado</t>
        </is>
      </c>
      <c r="D202" s="2" t="n">
        <v>67</v>
      </c>
      <c r="E202" s="2" t="inlineStr">
        <is>
          <t>CC-1000</t>
        </is>
      </c>
      <c r="F202" s="2" t="inlineStr">
        <is>
          <t>P01</t>
        </is>
      </c>
      <c r="G202" s="2" t="n">
        <v>630000</v>
      </c>
      <c r="H202" s="2" t="inlineStr">
        <is>
          <t>Servicios externos</t>
        </is>
      </c>
      <c r="I202" s="9" t="n">
        <v>155.77</v>
      </c>
      <c r="J202" s="9" t="n">
        <v>150.2</v>
      </c>
      <c r="K202" s="9" t="n">
        <v>166.84</v>
      </c>
      <c r="L202" s="9" t="n">
        <v>180.69</v>
      </c>
      <c r="M202" s="9" t="n">
        <v>156.69</v>
      </c>
      <c r="N202" s="9" t="n">
        <v>161.64</v>
      </c>
      <c r="O202" s="9" t="n">
        <v>158.22</v>
      </c>
      <c r="P202" s="9" t="n">
        <v>160.67</v>
      </c>
      <c r="Q202" s="9" t="n">
        <v>162.65</v>
      </c>
      <c r="R202" s="9" t="n">
        <v>185.03</v>
      </c>
      <c r="S202" s="9" t="n">
        <v>149.85</v>
      </c>
      <c r="T202" s="9" t="n">
        <v>166.05</v>
      </c>
      <c r="U202" s="10">
        <f>SUM(I202:T202)</f>
        <v/>
      </c>
    </row>
    <row r="203">
      <c r="A203" s="2" t="inlineStr">
        <is>
          <t>SN-1000-1200-1210-1210XP0003</t>
        </is>
      </c>
      <c r="B203" s="2" t="inlineStr">
        <is>
          <t>1210XP0003</t>
        </is>
      </c>
      <c r="C203" s="2" t="inlineStr">
        <is>
          <t>Estación modular lubricación</t>
        </is>
      </c>
      <c r="D203" s="2" t="n">
        <v>68</v>
      </c>
      <c r="E203" s="2" t="inlineStr">
        <is>
          <t>CC-1000</t>
        </is>
      </c>
      <c r="F203" s="2" t="inlineStr">
        <is>
          <t>P01</t>
        </is>
      </c>
      <c r="G203" s="2" t="n">
        <v>610000</v>
      </c>
      <c r="H203" s="2" t="inlineStr">
        <is>
          <t>Mano obra interna</t>
        </is>
      </c>
      <c r="I203" s="9" t="n">
        <v>1205.44</v>
      </c>
      <c r="J203" s="9" t="n">
        <v>1196.82</v>
      </c>
      <c r="K203" s="9" t="n">
        <v>1147.34</v>
      </c>
      <c r="L203" s="9" t="n">
        <v>1169.66</v>
      </c>
      <c r="M203" s="9" t="n">
        <v>1153.03</v>
      </c>
      <c r="N203" s="9" t="n">
        <v>1208.42</v>
      </c>
      <c r="O203" s="9" t="n">
        <v>1278.5</v>
      </c>
      <c r="P203" s="9" t="n">
        <v>1097.38</v>
      </c>
      <c r="Q203" s="9" t="n">
        <v>1148.61</v>
      </c>
      <c r="R203" s="9" t="n">
        <v>1251.12</v>
      </c>
      <c r="S203" s="9" t="n">
        <v>1126.89</v>
      </c>
      <c r="T203" s="9" t="n">
        <v>1250.93</v>
      </c>
      <c r="U203" s="10">
        <f>SUM(I203:T203)</f>
        <v/>
      </c>
    </row>
    <row r="204">
      <c r="A204" s="2" t="inlineStr">
        <is>
          <t>SN-1000-1200-1210-1210XP0003</t>
        </is>
      </c>
      <c r="B204" s="2" t="inlineStr">
        <is>
          <t>1210XP0003</t>
        </is>
      </c>
      <c r="C204" s="2" t="inlineStr">
        <is>
          <t>Estación modular lubricación</t>
        </is>
      </c>
      <c r="D204" s="2" t="n">
        <v>68</v>
      </c>
      <c r="E204" s="2" t="inlineStr">
        <is>
          <t>CC-1000</t>
        </is>
      </c>
      <c r="F204" s="2" t="inlineStr">
        <is>
          <t>P01</t>
        </is>
      </c>
      <c r="G204" s="2" t="n">
        <v>620000</v>
      </c>
      <c r="H204" s="2" t="inlineStr">
        <is>
          <t>Materiales</t>
        </is>
      </c>
      <c r="I204" s="9" t="n">
        <v>1653.29</v>
      </c>
      <c r="J204" s="9" t="n">
        <v>1506.03</v>
      </c>
      <c r="K204" s="9" t="n">
        <v>1522.72</v>
      </c>
      <c r="L204" s="9" t="n">
        <v>1614.87</v>
      </c>
      <c r="M204" s="9" t="n">
        <v>1435.36</v>
      </c>
      <c r="N204" s="9" t="n">
        <v>1458.99</v>
      </c>
      <c r="O204" s="9" t="n">
        <v>1477.03</v>
      </c>
      <c r="P204" s="9" t="n">
        <v>1547.24</v>
      </c>
      <c r="Q204" s="9" t="n">
        <v>1347.73</v>
      </c>
      <c r="R204" s="9" t="n">
        <v>1548.63</v>
      </c>
      <c r="S204" s="9" t="n">
        <v>1560.16</v>
      </c>
      <c r="T204" s="9" t="n">
        <v>1435.31</v>
      </c>
      <c r="U204" s="10">
        <f>SUM(I204:T204)</f>
        <v/>
      </c>
    </row>
    <row r="205">
      <c r="A205" s="2" t="inlineStr">
        <is>
          <t>SN-1000-1200-1210-1210XP0003</t>
        </is>
      </c>
      <c r="B205" s="2" t="inlineStr">
        <is>
          <t>1210XP0003</t>
        </is>
      </c>
      <c r="C205" s="2" t="inlineStr">
        <is>
          <t>Estación modular lubricación</t>
        </is>
      </c>
      <c r="D205" s="2" t="n">
        <v>68</v>
      </c>
      <c r="E205" s="2" t="inlineStr">
        <is>
          <t>CC-1000</t>
        </is>
      </c>
      <c r="F205" s="2" t="inlineStr">
        <is>
          <t>P01</t>
        </is>
      </c>
      <c r="G205" s="2" t="n">
        <v>630000</v>
      </c>
      <c r="H205" s="2" t="inlineStr">
        <is>
          <t>Servicios externos</t>
        </is>
      </c>
      <c r="I205" s="9" t="n">
        <v>1319.93</v>
      </c>
      <c r="J205" s="9" t="n">
        <v>1234.6</v>
      </c>
      <c r="K205" s="9" t="n">
        <v>1292.6</v>
      </c>
      <c r="L205" s="9" t="n">
        <v>1311.38</v>
      </c>
      <c r="M205" s="9" t="n">
        <v>1418.03</v>
      </c>
      <c r="N205" s="9" t="n">
        <v>1248.93</v>
      </c>
      <c r="O205" s="9" t="n">
        <v>1451.63</v>
      </c>
      <c r="P205" s="9" t="n">
        <v>1370.08</v>
      </c>
      <c r="Q205" s="9" t="n">
        <v>1247.1</v>
      </c>
      <c r="R205" s="9" t="n">
        <v>1478.27</v>
      </c>
      <c r="S205" s="9" t="n">
        <v>1313.7</v>
      </c>
      <c r="T205" s="9" t="n">
        <v>1430.39</v>
      </c>
      <c r="U205" s="10">
        <f>SUM(I205:T205)</f>
        <v/>
      </c>
    </row>
    <row r="206">
      <c r="A206" s="2" t="inlineStr">
        <is>
          <t>SN-1000-1200-1210-1210XP0004</t>
        </is>
      </c>
      <c r="B206" s="2" t="inlineStr">
        <is>
          <t>1210XP0004</t>
        </is>
      </c>
      <c r="C206" s="2" t="inlineStr">
        <is>
          <t>Estación modular lubricación</t>
        </is>
      </c>
      <c r="D206" s="2" t="n">
        <v>69</v>
      </c>
      <c r="E206" s="2" t="inlineStr">
        <is>
          <t>CC-1000</t>
        </is>
      </c>
      <c r="F206" s="2" t="inlineStr">
        <is>
          <t>P01</t>
        </is>
      </c>
      <c r="G206" s="2" t="n">
        <v>610000</v>
      </c>
      <c r="H206" s="2" t="inlineStr">
        <is>
          <t>Mano obra interna</t>
        </is>
      </c>
      <c r="I206" s="9" t="n">
        <v>317.98</v>
      </c>
      <c r="J206" s="9" t="n">
        <v>333.96</v>
      </c>
      <c r="K206" s="9" t="n">
        <v>352.58</v>
      </c>
      <c r="L206" s="9" t="n">
        <v>346.49</v>
      </c>
      <c r="M206" s="9" t="n">
        <v>311.61</v>
      </c>
      <c r="N206" s="9" t="n">
        <v>318.65</v>
      </c>
      <c r="O206" s="9" t="n">
        <v>317.92</v>
      </c>
      <c r="P206" s="9" t="n">
        <v>318.62</v>
      </c>
      <c r="Q206" s="9" t="n">
        <v>282.9</v>
      </c>
      <c r="R206" s="9" t="n">
        <v>349.01</v>
      </c>
      <c r="S206" s="9" t="n">
        <v>293.29</v>
      </c>
      <c r="T206" s="9" t="n">
        <v>314.99</v>
      </c>
      <c r="U206" s="10">
        <f>SUM(I206:T206)</f>
        <v/>
      </c>
    </row>
    <row r="207">
      <c r="A207" s="2" t="inlineStr">
        <is>
          <t>SN-1000-1200-1210-1210XP0004</t>
        </is>
      </c>
      <c r="B207" s="2" t="inlineStr">
        <is>
          <t>1210XP0004</t>
        </is>
      </c>
      <c r="C207" s="2" t="inlineStr">
        <is>
          <t>Estación modular lubricación</t>
        </is>
      </c>
      <c r="D207" s="2" t="n">
        <v>69</v>
      </c>
      <c r="E207" s="2" t="inlineStr">
        <is>
          <t>CC-1000</t>
        </is>
      </c>
      <c r="F207" s="2" t="inlineStr">
        <is>
          <t>P01</t>
        </is>
      </c>
      <c r="G207" s="2" t="n">
        <v>620000</v>
      </c>
      <c r="H207" s="2" t="inlineStr">
        <is>
          <t>Materiales</t>
        </is>
      </c>
      <c r="I207" s="9" t="n">
        <v>357.96</v>
      </c>
      <c r="J207" s="9" t="n">
        <v>337.46</v>
      </c>
      <c r="K207" s="9" t="n">
        <v>353.36</v>
      </c>
      <c r="L207" s="9" t="n">
        <v>402.52</v>
      </c>
      <c r="M207" s="9" t="n">
        <v>364.49</v>
      </c>
      <c r="N207" s="9" t="n">
        <v>346.63</v>
      </c>
      <c r="O207" s="9" t="n">
        <v>386.36</v>
      </c>
      <c r="P207" s="9" t="n">
        <v>387.37</v>
      </c>
      <c r="Q207" s="9" t="n">
        <v>333.26</v>
      </c>
      <c r="R207" s="9" t="n">
        <v>409.03</v>
      </c>
      <c r="S207" s="9" t="n">
        <v>371.59</v>
      </c>
      <c r="T207" s="9" t="n">
        <v>382.59</v>
      </c>
      <c r="U207" s="10">
        <f>SUM(I207:T207)</f>
        <v/>
      </c>
    </row>
    <row r="208">
      <c r="A208" s="2" t="inlineStr">
        <is>
          <t>SN-1000-1200-1210-1210XP0004</t>
        </is>
      </c>
      <c r="B208" s="2" t="inlineStr">
        <is>
          <t>1210XP0004</t>
        </is>
      </c>
      <c r="C208" s="2" t="inlineStr">
        <is>
          <t>Estación modular lubricación</t>
        </is>
      </c>
      <c r="D208" s="2" t="n">
        <v>69</v>
      </c>
      <c r="E208" s="2" t="inlineStr">
        <is>
          <t>CC-1000</t>
        </is>
      </c>
      <c r="F208" s="2" t="inlineStr">
        <is>
          <t>P01</t>
        </is>
      </c>
      <c r="G208" s="2" t="n">
        <v>630000</v>
      </c>
      <c r="H208" s="2" t="inlineStr">
        <is>
          <t>Servicios externos</t>
        </is>
      </c>
      <c r="I208" s="9" t="n">
        <v>327.67</v>
      </c>
      <c r="J208" s="9" t="n">
        <v>300.05</v>
      </c>
      <c r="K208" s="9" t="n">
        <v>301.48</v>
      </c>
      <c r="L208" s="9" t="n">
        <v>305.74</v>
      </c>
      <c r="M208" s="9" t="n">
        <v>277.47</v>
      </c>
      <c r="N208" s="9" t="n">
        <v>272.23</v>
      </c>
      <c r="O208" s="9" t="n">
        <v>315.77</v>
      </c>
      <c r="P208" s="9" t="n">
        <v>278.34</v>
      </c>
      <c r="Q208" s="9" t="n">
        <v>278.08</v>
      </c>
      <c r="R208" s="9" t="n">
        <v>327.69</v>
      </c>
      <c r="S208" s="9" t="n">
        <v>272.21</v>
      </c>
      <c r="T208" s="9" t="n">
        <v>330.52</v>
      </c>
      <c r="U208" s="10">
        <f>SUM(I208:T208)</f>
        <v/>
      </c>
    </row>
    <row r="209">
      <c r="A209" s="2" t="inlineStr">
        <is>
          <t>SN-1000-1200-1210-1210XP0005</t>
        </is>
      </c>
      <c r="B209" s="2" t="inlineStr">
        <is>
          <t>1210XP0005</t>
        </is>
      </c>
      <c r="C209" s="2" t="inlineStr">
        <is>
          <t>Estación modular lubricación</t>
        </is>
      </c>
      <c r="D209" s="2" t="n">
        <v>70</v>
      </c>
      <c r="E209" s="2" t="inlineStr">
        <is>
          <t>CC-1000</t>
        </is>
      </c>
      <c r="F209" s="2" t="inlineStr">
        <is>
          <t>P01</t>
        </is>
      </c>
      <c r="G209" s="2" t="n">
        <v>610000</v>
      </c>
      <c r="H209" s="2" t="inlineStr">
        <is>
          <t>Mano obra interna</t>
        </is>
      </c>
      <c r="I209" s="9" t="n">
        <v>1370.58</v>
      </c>
      <c r="J209" s="9" t="n">
        <v>1322.21</v>
      </c>
      <c r="K209" s="9" t="n">
        <v>1368.2</v>
      </c>
      <c r="L209" s="9" t="n">
        <v>1303.58</v>
      </c>
      <c r="M209" s="9" t="n">
        <v>1422.01</v>
      </c>
      <c r="N209" s="9" t="n">
        <v>1424.11</v>
      </c>
      <c r="O209" s="9" t="n">
        <v>1325.48</v>
      </c>
      <c r="P209" s="9" t="n">
        <v>1421.11</v>
      </c>
      <c r="Q209" s="9" t="n">
        <v>1340.15</v>
      </c>
      <c r="R209" s="9" t="n">
        <v>1578.04</v>
      </c>
      <c r="S209" s="9" t="n">
        <v>1325.14</v>
      </c>
      <c r="T209" s="9" t="n">
        <v>1362.24</v>
      </c>
      <c r="U209" s="10">
        <f>SUM(I209:T209)</f>
        <v/>
      </c>
    </row>
    <row r="210">
      <c r="A210" s="2" t="inlineStr">
        <is>
          <t>SN-1000-1200-1210-1210XP0005</t>
        </is>
      </c>
      <c r="B210" s="2" t="inlineStr">
        <is>
          <t>1210XP0005</t>
        </is>
      </c>
      <c r="C210" s="2" t="inlineStr">
        <is>
          <t>Estación modular lubricación</t>
        </is>
      </c>
      <c r="D210" s="2" t="n">
        <v>70</v>
      </c>
      <c r="E210" s="2" t="inlineStr">
        <is>
          <t>CC-1000</t>
        </is>
      </c>
      <c r="F210" s="2" t="inlineStr">
        <is>
          <t>P01</t>
        </is>
      </c>
      <c r="G210" s="2" t="n">
        <v>620000</v>
      </c>
      <c r="H210" s="2" t="inlineStr">
        <is>
          <t>Materiales</t>
        </is>
      </c>
      <c r="I210" s="9" t="n">
        <v>1436.81</v>
      </c>
      <c r="J210" s="9" t="n">
        <v>1408.5</v>
      </c>
      <c r="K210" s="9" t="n">
        <v>1332.7</v>
      </c>
      <c r="L210" s="9" t="n">
        <v>1362.45</v>
      </c>
      <c r="M210" s="9" t="n">
        <v>1433.72</v>
      </c>
      <c r="N210" s="9" t="n">
        <v>1365.23</v>
      </c>
      <c r="O210" s="9" t="n">
        <v>1467.43</v>
      </c>
      <c r="P210" s="9" t="n">
        <v>1415.48</v>
      </c>
      <c r="Q210" s="9" t="n">
        <v>1245.43</v>
      </c>
      <c r="R210" s="9" t="n">
        <v>1489.2</v>
      </c>
      <c r="S210" s="9" t="n">
        <v>1351.64</v>
      </c>
      <c r="T210" s="9" t="n">
        <v>1288.21</v>
      </c>
      <c r="U210" s="10">
        <f>SUM(I210:T210)</f>
        <v/>
      </c>
    </row>
    <row r="211">
      <c r="A211" s="2" t="inlineStr">
        <is>
          <t>SN-1000-1200-1210-1210XP0005</t>
        </is>
      </c>
      <c r="B211" s="2" t="inlineStr">
        <is>
          <t>1210XP0005</t>
        </is>
      </c>
      <c r="C211" s="2" t="inlineStr">
        <is>
          <t>Estación modular lubricación</t>
        </is>
      </c>
      <c r="D211" s="2" t="n">
        <v>70</v>
      </c>
      <c r="E211" s="2" t="inlineStr">
        <is>
          <t>CC-1000</t>
        </is>
      </c>
      <c r="F211" s="2" t="inlineStr">
        <is>
          <t>P01</t>
        </is>
      </c>
      <c r="G211" s="2" t="n">
        <v>630000</v>
      </c>
      <c r="H211" s="2" t="inlineStr">
        <is>
          <t>Servicios externos</t>
        </is>
      </c>
      <c r="I211" s="9" t="n">
        <v>1560.27</v>
      </c>
      <c r="J211" s="9" t="n">
        <v>1378.96</v>
      </c>
      <c r="K211" s="9" t="n">
        <v>1594.18</v>
      </c>
      <c r="L211" s="9" t="n">
        <v>1531.74</v>
      </c>
      <c r="M211" s="9" t="n">
        <v>1569.48</v>
      </c>
      <c r="N211" s="9" t="n">
        <v>1310.39</v>
      </c>
      <c r="O211" s="9" t="n">
        <v>1423.99</v>
      </c>
      <c r="P211" s="9" t="n">
        <v>1501.79</v>
      </c>
      <c r="Q211" s="9" t="n">
        <v>1331.84</v>
      </c>
      <c r="R211" s="9" t="n">
        <v>1649.58</v>
      </c>
      <c r="S211" s="9" t="n">
        <v>1490.98</v>
      </c>
      <c r="T211" s="9" t="n">
        <v>1405.39</v>
      </c>
      <c r="U211" s="10">
        <f>SUM(I211:T211)</f>
        <v/>
      </c>
    </row>
    <row r="212">
      <c r="A212" s="2" t="inlineStr">
        <is>
          <t>SN-1000-1200-1210-1210XP0016</t>
        </is>
      </c>
      <c r="B212" s="2" t="inlineStr">
        <is>
          <t>1210XP0016</t>
        </is>
      </c>
      <c r="C212" s="2" t="inlineStr">
        <is>
          <t>Unidad re-potabilizadora agua</t>
        </is>
      </c>
      <c r="D212" s="2" t="n">
        <v>71</v>
      </c>
      <c r="E212" s="2" t="inlineStr">
        <is>
          <t>CC-1000</t>
        </is>
      </c>
      <c r="F212" s="2" t="inlineStr">
        <is>
          <t>P01</t>
        </is>
      </c>
      <c r="G212" s="2" t="n">
        <v>610000</v>
      </c>
      <c r="H212" s="2" t="inlineStr">
        <is>
          <t>Mano obra interna</t>
        </is>
      </c>
      <c r="I212" s="9" t="n">
        <v>2641.18</v>
      </c>
      <c r="J212" s="9" t="n">
        <v>2491.24</v>
      </c>
      <c r="K212" s="9" t="n">
        <v>2849.95</v>
      </c>
      <c r="L212" s="9" t="n">
        <v>2778.9</v>
      </c>
      <c r="M212" s="9" t="n">
        <v>2637.53</v>
      </c>
      <c r="N212" s="9" t="n">
        <v>2554.78</v>
      </c>
      <c r="O212" s="9" t="n">
        <v>2568.91</v>
      </c>
      <c r="P212" s="9" t="n">
        <v>2755.54</v>
      </c>
      <c r="Q212" s="9" t="n">
        <v>2479.87</v>
      </c>
      <c r="R212" s="9" t="n">
        <v>2888.27</v>
      </c>
      <c r="S212" s="9" t="n">
        <v>2645.8</v>
      </c>
      <c r="T212" s="9" t="n">
        <v>2527.16</v>
      </c>
      <c r="U212" s="10">
        <f>SUM(I212:T212)</f>
        <v/>
      </c>
    </row>
    <row r="213">
      <c r="A213" s="2" t="inlineStr">
        <is>
          <t>SN-1000-1200-1210-1210XP0016</t>
        </is>
      </c>
      <c r="B213" s="2" t="inlineStr">
        <is>
          <t>1210XP0016</t>
        </is>
      </c>
      <c r="C213" s="2" t="inlineStr">
        <is>
          <t>Unidad re-potabilizadora agua</t>
        </is>
      </c>
      <c r="D213" s="2" t="n">
        <v>71</v>
      </c>
      <c r="E213" s="2" t="inlineStr">
        <is>
          <t>CC-1000</t>
        </is>
      </c>
      <c r="F213" s="2" t="inlineStr">
        <is>
          <t>P01</t>
        </is>
      </c>
      <c r="G213" s="2" t="n">
        <v>620000</v>
      </c>
      <c r="H213" s="2" t="inlineStr">
        <is>
          <t>Materiales</t>
        </is>
      </c>
      <c r="I213" s="9" t="n">
        <v>2695.56</v>
      </c>
      <c r="J213" s="9" t="n">
        <v>2666.19</v>
      </c>
      <c r="K213" s="9" t="n">
        <v>2788.38</v>
      </c>
      <c r="L213" s="9" t="n">
        <v>3054.28</v>
      </c>
      <c r="M213" s="9" t="n">
        <v>2903.87</v>
      </c>
      <c r="N213" s="9" t="n">
        <v>2739.34</v>
      </c>
      <c r="O213" s="9" t="n">
        <v>2878.02</v>
      </c>
      <c r="P213" s="9" t="n">
        <v>2801.35</v>
      </c>
      <c r="Q213" s="9" t="n">
        <v>2768.84</v>
      </c>
      <c r="R213" s="9" t="n">
        <v>2991.78</v>
      </c>
      <c r="S213" s="9" t="n">
        <v>2635.85</v>
      </c>
      <c r="T213" s="9" t="n">
        <v>2665.2</v>
      </c>
      <c r="U213" s="10">
        <f>SUM(I213:T213)</f>
        <v/>
      </c>
    </row>
    <row r="214">
      <c r="A214" s="2" t="inlineStr">
        <is>
          <t>SN-1000-1200-1210-1210XP0016</t>
        </is>
      </c>
      <c r="B214" s="2" t="inlineStr">
        <is>
          <t>1210XP0016</t>
        </is>
      </c>
      <c r="C214" s="2" t="inlineStr">
        <is>
          <t>Unidad re-potabilizadora agua</t>
        </is>
      </c>
      <c r="D214" s="2" t="n">
        <v>71</v>
      </c>
      <c r="E214" s="2" t="inlineStr">
        <is>
          <t>CC-1000</t>
        </is>
      </c>
      <c r="F214" s="2" t="inlineStr">
        <is>
          <t>P01</t>
        </is>
      </c>
      <c r="G214" s="2" t="n">
        <v>630000</v>
      </c>
      <c r="H214" s="2" t="inlineStr">
        <is>
          <t>Servicios externos</t>
        </is>
      </c>
      <c r="I214" s="9" t="n">
        <v>2931.52</v>
      </c>
      <c r="J214" s="9" t="n">
        <v>2675.48</v>
      </c>
      <c r="K214" s="9" t="n">
        <v>2638.49</v>
      </c>
      <c r="L214" s="9" t="n">
        <v>2982.29</v>
      </c>
      <c r="M214" s="9" t="n">
        <v>2525.07</v>
      </c>
      <c r="N214" s="9" t="n">
        <v>2732.48</v>
      </c>
      <c r="O214" s="9" t="n">
        <v>2977.44</v>
      </c>
      <c r="P214" s="9" t="n">
        <v>2738.18</v>
      </c>
      <c r="Q214" s="9" t="n">
        <v>2467.26</v>
      </c>
      <c r="R214" s="9" t="n">
        <v>3082.75</v>
      </c>
      <c r="S214" s="9" t="n">
        <v>2815.4</v>
      </c>
      <c r="T214" s="9" t="n">
        <v>2829.8</v>
      </c>
      <c r="U214" s="10">
        <f>SUM(I214:T214)</f>
        <v/>
      </c>
    </row>
    <row r="215">
      <c r="A215" s="2" t="inlineStr">
        <is>
          <t>SN-1000-1200-1210-1210XP0017</t>
        </is>
      </c>
      <c r="B215" s="2" t="inlineStr">
        <is>
          <t>1210XP0017</t>
        </is>
      </c>
      <c r="C215" s="2" t="inlineStr">
        <is>
          <t>Hidro pack agua potable</t>
        </is>
      </c>
      <c r="D215" s="2" t="n">
        <v>72</v>
      </c>
      <c r="E215" s="2" t="inlineStr">
        <is>
          <t>CC-1000</t>
        </is>
      </c>
      <c r="F215" s="2" t="inlineStr">
        <is>
          <t>P01</t>
        </is>
      </c>
      <c r="G215" s="2" t="n">
        <v>610000</v>
      </c>
      <c r="H215" s="2" t="inlineStr">
        <is>
          <t>Mano obra interna</t>
        </is>
      </c>
      <c r="I215" s="9" t="n">
        <v>2634.3</v>
      </c>
      <c r="J215" s="9" t="n">
        <v>2739.93</v>
      </c>
      <c r="K215" s="9" t="n">
        <v>2968.12</v>
      </c>
      <c r="L215" s="9" t="n">
        <v>3006.06</v>
      </c>
      <c r="M215" s="9" t="n">
        <v>2609.98</v>
      </c>
      <c r="N215" s="9" t="n">
        <v>2785.37</v>
      </c>
      <c r="O215" s="9" t="n">
        <v>2804.63</v>
      </c>
      <c r="P215" s="9" t="n">
        <v>2731.87</v>
      </c>
      <c r="Q215" s="9" t="n">
        <v>2435.28</v>
      </c>
      <c r="R215" s="9" t="n">
        <v>3173.16</v>
      </c>
      <c r="S215" s="9" t="n">
        <v>2543.57</v>
      </c>
      <c r="T215" s="9" t="n">
        <v>2735.33</v>
      </c>
      <c r="U215" s="10">
        <f>SUM(I215:T215)</f>
        <v/>
      </c>
    </row>
    <row r="216">
      <c r="A216" s="2" t="inlineStr">
        <is>
          <t>SN-1000-1200-1210-1210XP0017</t>
        </is>
      </c>
      <c r="B216" s="2" t="inlineStr">
        <is>
          <t>1210XP0017</t>
        </is>
      </c>
      <c r="C216" s="2" t="inlineStr">
        <is>
          <t>Hidro pack agua potable</t>
        </is>
      </c>
      <c r="D216" s="2" t="n">
        <v>72</v>
      </c>
      <c r="E216" s="2" t="inlineStr">
        <is>
          <t>CC-1000</t>
        </is>
      </c>
      <c r="F216" s="2" t="inlineStr">
        <is>
          <t>P01</t>
        </is>
      </c>
      <c r="G216" s="2" t="n">
        <v>620000</v>
      </c>
      <c r="H216" s="2" t="inlineStr">
        <is>
          <t>Materiales</t>
        </is>
      </c>
      <c r="I216" s="9" t="n">
        <v>2357.41</v>
      </c>
      <c r="J216" s="9" t="n">
        <v>2206.05</v>
      </c>
      <c r="K216" s="9" t="n">
        <v>2355.45</v>
      </c>
      <c r="L216" s="9" t="n">
        <v>2138.84</v>
      </c>
      <c r="M216" s="9" t="n">
        <v>2200.29</v>
      </c>
      <c r="N216" s="9" t="n">
        <v>2107.9</v>
      </c>
      <c r="O216" s="9" t="n">
        <v>2296.85</v>
      </c>
      <c r="P216" s="9" t="n">
        <v>2319.63</v>
      </c>
      <c r="Q216" s="9" t="n">
        <v>1870.69</v>
      </c>
      <c r="R216" s="9" t="n">
        <v>2416.13</v>
      </c>
      <c r="S216" s="9" t="n">
        <v>1958.81</v>
      </c>
      <c r="T216" s="9" t="n">
        <v>2229.39</v>
      </c>
      <c r="U216" s="10">
        <f>SUM(I216:T216)</f>
        <v/>
      </c>
    </row>
    <row r="217">
      <c r="A217" s="2" t="inlineStr">
        <is>
          <t>SN-1000-1200-1210-1210XP0017</t>
        </is>
      </c>
      <c r="B217" s="2" t="inlineStr">
        <is>
          <t>1210XP0017</t>
        </is>
      </c>
      <c r="C217" s="2" t="inlineStr">
        <is>
          <t>Hidro pack agua potable</t>
        </is>
      </c>
      <c r="D217" s="2" t="n">
        <v>72</v>
      </c>
      <c r="E217" s="2" t="inlineStr">
        <is>
          <t>CC-1000</t>
        </is>
      </c>
      <c r="F217" s="2" t="inlineStr">
        <is>
          <t>P01</t>
        </is>
      </c>
      <c r="G217" s="2" t="n">
        <v>630000</v>
      </c>
      <c r="H217" s="2" t="inlineStr">
        <is>
          <t>Servicios externos</t>
        </is>
      </c>
      <c r="I217" s="9" t="n">
        <v>2199.33</v>
      </c>
      <c r="J217" s="9" t="n">
        <v>2137.97</v>
      </c>
      <c r="K217" s="9" t="n">
        <v>2338</v>
      </c>
      <c r="L217" s="9" t="n">
        <v>2211.82</v>
      </c>
      <c r="M217" s="9" t="n">
        <v>2282.07</v>
      </c>
      <c r="N217" s="9" t="n">
        <v>2093.01</v>
      </c>
      <c r="O217" s="9" t="n">
        <v>2070.54</v>
      </c>
      <c r="P217" s="9" t="n">
        <v>2322.34</v>
      </c>
      <c r="Q217" s="9" t="n">
        <v>1998.54</v>
      </c>
      <c r="R217" s="9" t="n">
        <v>2371.71</v>
      </c>
      <c r="S217" s="9" t="n">
        <v>2216</v>
      </c>
      <c r="T217" s="9" t="n">
        <v>2195.67</v>
      </c>
      <c r="U217" s="10">
        <f>SUM(I217:T217)</f>
        <v/>
      </c>
    </row>
    <row r="218">
      <c r="A218" s="2" t="inlineStr">
        <is>
          <t>SN-1000-1200-1210-1210XP0018</t>
        </is>
      </c>
      <c r="B218" s="2" t="inlineStr">
        <is>
          <t>1210XP0018</t>
        </is>
      </c>
      <c r="C218" s="2" t="inlineStr">
        <is>
          <t>Monitor lavado camiones</t>
        </is>
      </c>
      <c r="D218" s="2" t="n">
        <v>73</v>
      </c>
      <c r="E218" s="2" t="inlineStr">
        <is>
          <t>CC-1000</t>
        </is>
      </c>
      <c r="F218" s="2" t="inlineStr">
        <is>
          <t>P01</t>
        </is>
      </c>
      <c r="G218" s="2" t="n">
        <v>610000</v>
      </c>
      <c r="H218" s="2" t="inlineStr">
        <is>
          <t>Mano obra interna</t>
        </is>
      </c>
      <c r="I218" s="9" t="n">
        <v>807.96</v>
      </c>
      <c r="J218" s="9" t="n">
        <v>852.1</v>
      </c>
      <c r="K218" s="9" t="n">
        <v>852.22</v>
      </c>
      <c r="L218" s="9" t="n">
        <v>848.22</v>
      </c>
      <c r="M218" s="9" t="n">
        <v>816.3200000000001</v>
      </c>
      <c r="N218" s="9" t="n">
        <v>735.08</v>
      </c>
      <c r="O218" s="9" t="n">
        <v>797.5700000000001</v>
      </c>
      <c r="P218" s="9" t="n">
        <v>839.5599999999999</v>
      </c>
      <c r="Q218" s="9" t="n">
        <v>703.97</v>
      </c>
      <c r="R218" s="9" t="n">
        <v>840.15</v>
      </c>
      <c r="S218" s="9" t="n">
        <v>753.98</v>
      </c>
      <c r="T218" s="9" t="n">
        <v>810.84</v>
      </c>
      <c r="U218" s="10">
        <f>SUM(I218:T218)</f>
        <v/>
      </c>
    </row>
    <row r="219">
      <c r="A219" s="2" t="inlineStr">
        <is>
          <t>SN-1000-1200-1210-1210XP0018</t>
        </is>
      </c>
      <c r="B219" s="2" t="inlineStr">
        <is>
          <t>1210XP0018</t>
        </is>
      </c>
      <c r="C219" s="2" t="inlineStr">
        <is>
          <t>Monitor lavado camiones</t>
        </is>
      </c>
      <c r="D219" s="2" t="n">
        <v>73</v>
      </c>
      <c r="E219" s="2" t="inlineStr">
        <is>
          <t>CC-1000</t>
        </is>
      </c>
      <c r="F219" s="2" t="inlineStr">
        <is>
          <t>P01</t>
        </is>
      </c>
      <c r="G219" s="2" t="n">
        <v>620000</v>
      </c>
      <c r="H219" s="2" t="inlineStr">
        <is>
          <t>Materiales</t>
        </is>
      </c>
      <c r="I219" s="9" t="n">
        <v>991.42</v>
      </c>
      <c r="J219" s="9" t="n">
        <v>1030.65</v>
      </c>
      <c r="K219" s="9" t="n">
        <v>1021.17</v>
      </c>
      <c r="L219" s="9" t="n">
        <v>1146.69</v>
      </c>
      <c r="M219" s="9" t="n">
        <v>968.7</v>
      </c>
      <c r="N219" s="9" t="n">
        <v>982.15</v>
      </c>
      <c r="O219" s="9" t="n">
        <v>1083.58</v>
      </c>
      <c r="P219" s="9" t="n">
        <v>1076.72</v>
      </c>
      <c r="Q219" s="9" t="n">
        <v>959.25</v>
      </c>
      <c r="R219" s="9" t="n">
        <v>1097.57</v>
      </c>
      <c r="S219" s="9" t="n">
        <v>993.51</v>
      </c>
      <c r="T219" s="9" t="n">
        <v>1018.93</v>
      </c>
      <c r="U219" s="10">
        <f>SUM(I219:T219)</f>
        <v/>
      </c>
    </row>
    <row r="220">
      <c r="A220" s="2" t="inlineStr">
        <is>
          <t>SN-1000-1200-1210-1210XP0018</t>
        </is>
      </c>
      <c r="B220" s="2" t="inlineStr">
        <is>
          <t>1210XP0018</t>
        </is>
      </c>
      <c r="C220" s="2" t="inlineStr">
        <is>
          <t>Monitor lavado camiones</t>
        </is>
      </c>
      <c r="D220" s="2" t="n">
        <v>73</v>
      </c>
      <c r="E220" s="2" t="inlineStr">
        <is>
          <t>CC-1000</t>
        </is>
      </c>
      <c r="F220" s="2" t="inlineStr">
        <is>
          <t>P01</t>
        </is>
      </c>
      <c r="G220" s="2" t="n">
        <v>630000</v>
      </c>
      <c r="H220" s="2" t="inlineStr">
        <is>
          <t>Servicios externos</t>
        </is>
      </c>
      <c r="I220" s="9" t="n">
        <v>844.09</v>
      </c>
      <c r="J220" s="9" t="n">
        <v>786.3099999999999</v>
      </c>
      <c r="K220" s="9" t="n">
        <v>826.25</v>
      </c>
      <c r="L220" s="9" t="n">
        <v>868.64</v>
      </c>
      <c r="M220" s="9" t="n">
        <v>882.04</v>
      </c>
      <c r="N220" s="9" t="n">
        <v>805.83</v>
      </c>
      <c r="O220" s="9" t="n">
        <v>773.34</v>
      </c>
      <c r="P220" s="9" t="n">
        <v>772.23</v>
      </c>
      <c r="Q220" s="9" t="n">
        <v>827.54</v>
      </c>
      <c r="R220" s="9" t="n">
        <v>865.13</v>
      </c>
      <c r="S220" s="9" t="n">
        <v>750.24</v>
      </c>
      <c r="T220" s="9" t="n">
        <v>854.75</v>
      </c>
      <c r="U220" s="10">
        <f>SUM(I220:T220)</f>
        <v/>
      </c>
    </row>
    <row r="221">
      <c r="A221" s="2" t="inlineStr">
        <is>
          <t>SN-1000-1200-1210-1210XP0019</t>
        </is>
      </c>
      <c r="B221" s="2" t="inlineStr">
        <is>
          <t>1210XP0019</t>
        </is>
      </c>
      <c r="C221" s="2" t="inlineStr">
        <is>
          <t>Monitor lavado camiones</t>
        </is>
      </c>
      <c r="D221" s="2" t="n">
        <v>74</v>
      </c>
      <c r="E221" s="2" t="inlineStr">
        <is>
          <t>CC-1000</t>
        </is>
      </c>
      <c r="F221" s="2" t="inlineStr">
        <is>
          <t>P01</t>
        </is>
      </c>
      <c r="G221" s="2" t="n">
        <v>610000</v>
      </c>
      <c r="H221" s="2" t="inlineStr">
        <is>
          <t>Mano obra interna</t>
        </is>
      </c>
      <c r="I221" s="9" t="n">
        <v>159.78</v>
      </c>
      <c r="J221" s="9" t="n">
        <v>144.96</v>
      </c>
      <c r="K221" s="9" t="n">
        <v>145.48</v>
      </c>
      <c r="L221" s="9" t="n">
        <v>167.88</v>
      </c>
      <c r="M221" s="9" t="n">
        <v>145.27</v>
      </c>
      <c r="N221" s="9" t="n">
        <v>150.28</v>
      </c>
      <c r="O221" s="9" t="n">
        <v>158.01</v>
      </c>
      <c r="P221" s="9" t="n">
        <v>155.46</v>
      </c>
      <c r="Q221" s="9" t="n">
        <v>138.05</v>
      </c>
      <c r="R221" s="9" t="n">
        <v>158.83</v>
      </c>
      <c r="S221" s="9" t="n">
        <v>150.31</v>
      </c>
      <c r="T221" s="9" t="n">
        <v>164.24</v>
      </c>
      <c r="U221" s="10">
        <f>SUM(I221:T221)</f>
        <v/>
      </c>
    </row>
    <row r="222">
      <c r="A222" s="2" t="inlineStr">
        <is>
          <t>SN-1000-1200-1210-1210XP0019</t>
        </is>
      </c>
      <c r="B222" s="2" t="inlineStr">
        <is>
          <t>1210XP0019</t>
        </is>
      </c>
      <c r="C222" s="2" t="inlineStr">
        <is>
          <t>Monitor lavado camiones</t>
        </is>
      </c>
      <c r="D222" s="2" t="n">
        <v>74</v>
      </c>
      <c r="E222" s="2" t="inlineStr">
        <is>
          <t>CC-1000</t>
        </is>
      </c>
      <c r="F222" s="2" t="inlineStr">
        <is>
          <t>P01</t>
        </is>
      </c>
      <c r="G222" s="2" t="n">
        <v>620000</v>
      </c>
      <c r="H222" s="2" t="inlineStr">
        <is>
          <t>Materiales</t>
        </is>
      </c>
      <c r="I222" s="9" t="n">
        <v>155.51</v>
      </c>
      <c r="J222" s="9" t="n">
        <v>151.28</v>
      </c>
      <c r="K222" s="9" t="n">
        <v>179.67</v>
      </c>
      <c r="L222" s="9" t="n">
        <v>172.46</v>
      </c>
      <c r="M222" s="9" t="n">
        <v>170.77</v>
      </c>
      <c r="N222" s="9" t="n">
        <v>148.05</v>
      </c>
      <c r="O222" s="9" t="n">
        <v>164.94</v>
      </c>
      <c r="P222" s="9" t="n">
        <v>167.7</v>
      </c>
      <c r="Q222" s="9" t="n">
        <v>155.71</v>
      </c>
      <c r="R222" s="9" t="n">
        <v>172.76</v>
      </c>
      <c r="S222" s="9" t="n">
        <v>145.19</v>
      </c>
      <c r="T222" s="9" t="n">
        <v>167.19</v>
      </c>
      <c r="U222" s="10">
        <f>SUM(I222:T222)</f>
        <v/>
      </c>
    </row>
    <row r="223">
      <c r="A223" s="2" t="inlineStr">
        <is>
          <t>SN-1000-1200-1210-1210XP0019</t>
        </is>
      </c>
      <c r="B223" s="2" t="inlineStr">
        <is>
          <t>1210XP0019</t>
        </is>
      </c>
      <c r="C223" s="2" t="inlineStr">
        <is>
          <t>Monitor lavado camiones</t>
        </is>
      </c>
      <c r="D223" s="2" t="n">
        <v>74</v>
      </c>
      <c r="E223" s="2" t="inlineStr">
        <is>
          <t>CC-1000</t>
        </is>
      </c>
      <c r="F223" s="2" t="inlineStr">
        <is>
          <t>P01</t>
        </is>
      </c>
      <c r="G223" s="2" t="n">
        <v>630000</v>
      </c>
      <c r="H223" s="2" t="inlineStr">
        <is>
          <t>Servicios externos</t>
        </is>
      </c>
      <c r="I223" s="9" t="n">
        <v>134.66</v>
      </c>
      <c r="J223" s="9" t="n">
        <v>140.54</v>
      </c>
      <c r="K223" s="9" t="n">
        <v>134.96</v>
      </c>
      <c r="L223" s="9" t="n">
        <v>143.28</v>
      </c>
      <c r="M223" s="9" t="n">
        <v>125.03</v>
      </c>
      <c r="N223" s="9" t="n">
        <v>130.63</v>
      </c>
      <c r="O223" s="9" t="n">
        <v>143.18</v>
      </c>
      <c r="P223" s="9" t="n">
        <v>124.4</v>
      </c>
      <c r="Q223" s="9" t="n">
        <v>114.04</v>
      </c>
      <c r="R223" s="9" t="n">
        <v>141.87</v>
      </c>
      <c r="S223" s="9" t="n">
        <v>120.33</v>
      </c>
      <c r="T223" s="9" t="n">
        <v>140.3</v>
      </c>
      <c r="U223" s="10">
        <f>SUM(I223:T223)</f>
        <v/>
      </c>
    </row>
    <row r="224">
      <c r="A224" s="2" t="inlineStr">
        <is>
          <t>SN-1000-1200-1210-1210XP0020</t>
        </is>
      </c>
      <c r="B224" s="2" t="inlineStr">
        <is>
          <t>1210XP0020</t>
        </is>
      </c>
      <c r="C224" s="2" t="inlineStr">
        <is>
          <t>Monitor lavado camiones</t>
        </is>
      </c>
      <c r="D224" s="2" t="n">
        <v>75</v>
      </c>
      <c r="E224" s="2" t="inlineStr">
        <is>
          <t>CC-1000</t>
        </is>
      </c>
      <c r="F224" s="2" t="inlineStr">
        <is>
          <t>P01</t>
        </is>
      </c>
      <c r="G224" s="2" t="n">
        <v>610000</v>
      </c>
      <c r="H224" s="2" t="inlineStr">
        <is>
          <t>Mano obra interna</t>
        </is>
      </c>
      <c r="I224" s="9" t="n">
        <v>3123.79</v>
      </c>
      <c r="J224" s="9" t="n">
        <v>2928.24</v>
      </c>
      <c r="K224" s="9" t="n">
        <v>3157.02</v>
      </c>
      <c r="L224" s="9" t="n">
        <v>3273.84</v>
      </c>
      <c r="M224" s="9" t="n">
        <v>2820.24</v>
      </c>
      <c r="N224" s="9" t="n">
        <v>2999.11</v>
      </c>
      <c r="O224" s="9" t="n">
        <v>3150.14</v>
      </c>
      <c r="P224" s="9" t="n">
        <v>3158.42</v>
      </c>
      <c r="Q224" s="9" t="n">
        <v>2760.05</v>
      </c>
      <c r="R224" s="9" t="n">
        <v>3449.42</v>
      </c>
      <c r="S224" s="9" t="n">
        <v>2798.15</v>
      </c>
      <c r="T224" s="9" t="n">
        <v>2987.55</v>
      </c>
      <c r="U224" s="10">
        <f>SUM(I224:T224)</f>
        <v/>
      </c>
    </row>
    <row r="225">
      <c r="A225" s="2" t="inlineStr">
        <is>
          <t>SN-1000-1200-1210-1210XP0020</t>
        </is>
      </c>
      <c r="B225" s="2" t="inlineStr">
        <is>
          <t>1210XP0020</t>
        </is>
      </c>
      <c r="C225" s="2" t="inlineStr">
        <is>
          <t>Monitor lavado camiones</t>
        </is>
      </c>
      <c r="D225" s="2" t="n">
        <v>75</v>
      </c>
      <c r="E225" s="2" t="inlineStr">
        <is>
          <t>CC-1000</t>
        </is>
      </c>
      <c r="F225" s="2" t="inlineStr">
        <is>
          <t>P01</t>
        </is>
      </c>
      <c r="G225" s="2" t="n">
        <v>620000</v>
      </c>
      <c r="H225" s="2" t="inlineStr">
        <is>
          <t>Materiales</t>
        </is>
      </c>
      <c r="I225" s="9" t="n">
        <v>3178</v>
      </c>
      <c r="J225" s="9" t="n">
        <v>2723.41</v>
      </c>
      <c r="K225" s="9" t="n">
        <v>2968.91</v>
      </c>
      <c r="L225" s="9" t="n">
        <v>2924.64</v>
      </c>
      <c r="M225" s="9" t="n">
        <v>2858.74</v>
      </c>
      <c r="N225" s="9" t="n">
        <v>2751.05</v>
      </c>
      <c r="O225" s="9" t="n">
        <v>2789.95</v>
      </c>
      <c r="P225" s="9" t="n">
        <v>2976.65</v>
      </c>
      <c r="Q225" s="9" t="n">
        <v>2895.25</v>
      </c>
      <c r="R225" s="9" t="n">
        <v>3288.96</v>
      </c>
      <c r="S225" s="9" t="n">
        <v>2983.1</v>
      </c>
      <c r="T225" s="9" t="n">
        <v>2839.16</v>
      </c>
      <c r="U225" s="10">
        <f>SUM(I225:T225)</f>
        <v/>
      </c>
    </row>
    <row r="226">
      <c r="A226" s="2" t="inlineStr">
        <is>
          <t>SN-1000-1200-1210-1210XP0020</t>
        </is>
      </c>
      <c r="B226" s="2" t="inlineStr">
        <is>
          <t>1210XP0020</t>
        </is>
      </c>
      <c r="C226" s="2" t="inlineStr">
        <is>
          <t>Monitor lavado camiones</t>
        </is>
      </c>
      <c r="D226" s="2" t="n">
        <v>75</v>
      </c>
      <c r="E226" s="2" t="inlineStr">
        <is>
          <t>CC-1000</t>
        </is>
      </c>
      <c r="F226" s="2" t="inlineStr">
        <is>
          <t>P01</t>
        </is>
      </c>
      <c r="G226" s="2" t="n">
        <v>630000</v>
      </c>
      <c r="H226" s="2" t="inlineStr">
        <is>
          <t>Servicios externos</t>
        </is>
      </c>
      <c r="I226" s="9" t="n">
        <v>3166.27</v>
      </c>
      <c r="J226" s="9" t="n">
        <v>3039.17</v>
      </c>
      <c r="K226" s="9" t="n">
        <v>3192.22</v>
      </c>
      <c r="L226" s="9" t="n">
        <v>3215.32</v>
      </c>
      <c r="M226" s="9" t="n">
        <v>2932.45</v>
      </c>
      <c r="N226" s="9" t="n">
        <v>2678.11</v>
      </c>
      <c r="O226" s="9" t="n">
        <v>2998.6</v>
      </c>
      <c r="P226" s="9" t="n">
        <v>3054.32</v>
      </c>
      <c r="Q226" s="9" t="n">
        <v>2843.15</v>
      </c>
      <c r="R226" s="9" t="n">
        <v>3183.9</v>
      </c>
      <c r="S226" s="9" t="n">
        <v>2651.64</v>
      </c>
      <c r="T226" s="9" t="n">
        <v>2924.38</v>
      </c>
      <c r="U226" s="10">
        <f>SUM(I226:T226)</f>
        <v/>
      </c>
    </row>
    <row r="227">
      <c r="A227" s="2" t="inlineStr">
        <is>
          <t>SN-1000-1200-1210-1210XP0021</t>
        </is>
      </c>
      <c r="B227" s="2" t="inlineStr">
        <is>
          <t>1210XP0021</t>
        </is>
      </c>
      <c r="C227" s="2" t="inlineStr">
        <is>
          <t>Monitor lavado camiones</t>
        </is>
      </c>
      <c r="D227" s="2" t="n">
        <v>76</v>
      </c>
      <c r="E227" s="2" t="inlineStr">
        <is>
          <t>CC-1000</t>
        </is>
      </c>
      <c r="F227" s="2" t="inlineStr">
        <is>
          <t>P01</t>
        </is>
      </c>
      <c r="G227" s="2" t="n">
        <v>610000</v>
      </c>
      <c r="H227" s="2" t="inlineStr">
        <is>
          <t>Mano obra interna</t>
        </is>
      </c>
      <c r="I227" s="9" t="n">
        <v>1423.07</v>
      </c>
      <c r="J227" s="9" t="n">
        <v>1362.9</v>
      </c>
      <c r="K227" s="9" t="n">
        <v>1366.47</v>
      </c>
      <c r="L227" s="9" t="n">
        <v>1376.16</v>
      </c>
      <c r="M227" s="9" t="n">
        <v>1447.3</v>
      </c>
      <c r="N227" s="9" t="n">
        <v>1350.02</v>
      </c>
      <c r="O227" s="9" t="n">
        <v>1439.32</v>
      </c>
      <c r="P227" s="9" t="n">
        <v>1364.36</v>
      </c>
      <c r="Q227" s="9" t="n">
        <v>1307.03</v>
      </c>
      <c r="R227" s="9" t="n">
        <v>1423.58</v>
      </c>
      <c r="S227" s="9" t="n">
        <v>1375.27</v>
      </c>
      <c r="T227" s="9" t="n">
        <v>1379.68</v>
      </c>
      <c r="U227" s="10">
        <f>SUM(I227:T227)</f>
        <v/>
      </c>
    </row>
    <row r="228">
      <c r="A228" s="2" t="inlineStr">
        <is>
          <t>SN-1000-1200-1210-1210XP0021</t>
        </is>
      </c>
      <c r="B228" s="2" t="inlineStr">
        <is>
          <t>1210XP0021</t>
        </is>
      </c>
      <c r="C228" s="2" t="inlineStr">
        <is>
          <t>Monitor lavado camiones</t>
        </is>
      </c>
      <c r="D228" s="2" t="n">
        <v>76</v>
      </c>
      <c r="E228" s="2" t="inlineStr">
        <is>
          <t>CC-1000</t>
        </is>
      </c>
      <c r="F228" s="2" t="inlineStr">
        <is>
          <t>P01</t>
        </is>
      </c>
      <c r="G228" s="2" t="n">
        <v>620000</v>
      </c>
      <c r="H228" s="2" t="inlineStr">
        <is>
          <t>Materiales</t>
        </is>
      </c>
      <c r="I228" s="9" t="n">
        <v>1234.65</v>
      </c>
      <c r="J228" s="9" t="n">
        <v>1244.53</v>
      </c>
      <c r="K228" s="9" t="n">
        <v>1133.58</v>
      </c>
      <c r="L228" s="9" t="n">
        <v>1269.98</v>
      </c>
      <c r="M228" s="9" t="n">
        <v>1130.16</v>
      </c>
      <c r="N228" s="9" t="n">
        <v>1119.19</v>
      </c>
      <c r="O228" s="9" t="n">
        <v>1091.35</v>
      </c>
      <c r="P228" s="9" t="n">
        <v>1142.76</v>
      </c>
      <c r="Q228" s="9" t="n">
        <v>1100.03</v>
      </c>
      <c r="R228" s="9" t="n">
        <v>1183.39</v>
      </c>
      <c r="S228" s="9" t="n">
        <v>1141.86</v>
      </c>
      <c r="T228" s="9" t="n">
        <v>1280.67</v>
      </c>
      <c r="U228" s="10">
        <f>SUM(I228:T228)</f>
        <v/>
      </c>
    </row>
    <row r="229">
      <c r="A229" s="2" t="inlineStr">
        <is>
          <t>SN-1000-1200-1210-1210XP0021</t>
        </is>
      </c>
      <c r="B229" s="2" t="inlineStr">
        <is>
          <t>1210XP0021</t>
        </is>
      </c>
      <c r="C229" s="2" t="inlineStr">
        <is>
          <t>Monitor lavado camiones</t>
        </is>
      </c>
      <c r="D229" s="2" t="n">
        <v>76</v>
      </c>
      <c r="E229" s="2" t="inlineStr">
        <is>
          <t>CC-1000</t>
        </is>
      </c>
      <c r="F229" s="2" t="inlineStr">
        <is>
          <t>P01</t>
        </is>
      </c>
      <c r="G229" s="2" t="n">
        <v>630000</v>
      </c>
      <c r="H229" s="2" t="inlineStr">
        <is>
          <t>Servicios externos</t>
        </is>
      </c>
      <c r="I229" s="9" t="n">
        <v>1123.42</v>
      </c>
      <c r="J229" s="9" t="n">
        <v>1024.8</v>
      </c>
      <c r="K229" s="9" t="n">
        <v>1116.26</v>
      </c>
      <c r="L229" s="9" t="n">
        <v>1037.69</v>
      </c>
      <c r="M229" s="9" t="n">
        <v>987.96</v>
      </c>
      <c r="N229" s="9" t="n">
        <v>954.59</v>
      </c>
      <c r="O229" s="9" t="n">
        <v>983.7</v>
      </c>
      <c r="P229" s="9" t="n">
        <v>1001.96</v>
      </c>
      <c r="Q229" s="9" t="n">
        <v>1008.65</v>
      </c>
      <c r="R229" s="9" t="n">
        <v>1208.15</v>
      </c>
      <c r="S229" s="9" t="n">
        <v>1073.46</v>
      </c>
      <c r="T229" s="9" t="n">
        <v>1103.23</v>
      </c>
      <c r="U229" s="10">
        <f>SUM(I229:T229)</f>
        <v/>
      </c>
    </row>
    <row r="230">
      <c r="A230" s="2" t="inlineStr">
        <is>
          <t>SN-1000-1200-1210-1210XP0022</t>
        </is>
      </c>
      <c r="B230" s="2" t="inlineStr">
        <is>
          <t>1210XP0022</t>
        </is>
      </c>
      <c r="C230" s="2" t="inlineStr">
        <is>
          <t>Monitor lavado camiones</t>
        </is>
      </c>
      <c r="D230" s="2" t="n">
        <v>77</v>
      </c>
      <c r="E230" s="2" t="inlineStr">
        <is>
          <t>CC-1000</t>
        </is>
      </c>
      <c r="F230" s="2" t="inlineStr">
        <is>
          <t>P01</t>
        </is>
      </c>
      <c r="G230" s="2" t="n">
        <v>610000</v>
      </c>
      <c r="H230" s="2" t="inlineStr">
        <is>
          <t>Mano obra interna</t>
        </is>
      </c>
      <c r="I230" s="9" t="n">
        <v>2013.03</v>
      </c>
      <c r="J230" s="9" t="n">
        <v>1948.7</v>
      </c>
      <c r="K230" s="9" t="n">
        <v>2021.11</v>
      </c>
      <c r="L230" s="9" t="n">
        <v>2090.76</v>
      </c>
      <c r="M230" s="9" t="n">
        <v>2031.14</v>
      </c>
      <c r="N230" s="9" t="n">
        <v>1906.43</v>
      </c>
      <c r="O230" s="9" t="n">
        <v>1993.92</v>
      </c>
      <c r="P230" s="9" t="n">
        <v>2146.44</v>
      </c>
      <c r="Q230" s="9" t="n">
        <v>1987.63</v>
      </c>
      <c r="R230" s="9" t="n">
        <v>2133.13</v>
      </c>
      <c r="S230" s="9" t="n">
        <v>2106.38</v>
      </c>
      <c r="T230" s="9" t="n">
        <v>2221.11</v>
      </c>
      <c r="U230" s="10">
        <f>SUM(I230:T230)</f>
        <v/>
      </c>
    </row>
    <row r="231">
      <c r="A231" s="2" t="inlineStr">
        <is>
          <t>SN-1000-1200-1210-1210XP0022</t>
        </is>
      </c>
      <c r="B231" s="2" t="inlineStr">
        <is>
          <t>1210XP0022</t>
        </is>
      </c>
      <c r="C231" s="2" t="inlineStr">
        <is>
          <t>Monitor lavado camiones</t>
        </is>
      </c>
      <c r="D231" s="2" t="n">
        <v>77</v>
      </c>
      <c r="E231" s="2" t="inlineStr">
        <is>
          <t>CC-1000</t>
        </is>
      </c>
      <c r="F231" s="2" t="inlineStr">
        <is>
          <t>P01</t>
        </is>
      </c>
      <c r="G231" s="2" t="n">
        <v>620000</v>
      </c>
      <c r="H231" s="2" t="inlineStr">
        <is>
          <t>Materiales</t>
        </is>
      </c>
      <c r="I231" s="9" t="n">
        <v>2105.63</v>
      </c>
      <c r="J231" s="9" t="n">
        <v>2081.72</v>
      </c>
      <c r="K231" s="9" t="n">
        <v>2332.41</v>
      </c>
      <c r="L231" s="9" t="n">
        <v>2288.33</v>
      </c>
      <c r="M231" s="9" t="n">
        <v>1957.07</v>
      </c>
      <c r="N231" s="9" t="n">
        <v>1984.39</v>
      </c>
      <c r="O231" s="9" t="n">
        <v>2130.81</v>
      </c>
      <c r="P231" s="9" t="n">
        <v>2111.3</v>
      </c>
      <c r="Q231" s="9" t="n">
        <v>1869.55</v>
      </c>
      <c r="R231" s="9" t="n">
        <v>2408.19</v>
      </c>
      <c r="S231" s="9" t="n">
        <v>2102.25</v>
      </c>
      <c r="T231" s="9" t="n">
        <v>2259.04</v>
      </c>
      <c r="U231" s="10">
        <f>SUM(I231:T231)</f>
        <v/>
      </c>
    </row>
    <row r="232">
      <c r="A232" s="2" t="inlineStr">
        <is>
          <t>SN-1000-1200-1210-1210XP0022</t>
        </is>
      </c>
      <c r="B232" s="2" t="inlineStr">
        <is>
          <t>1210XP0022</t>
        </is>
      </c>
      <c r="C232" s="2" t="inlineStr">
        <is>
          <t>Monitor lavado camiones</t>
        </is>
      </c>
      <c r="D232" s="2" t="n">
        <v>77</v>
      </c>
      <c r="E232" s="2" t="inlineStr">
        <is>
          <t>CC-1000</t>
        </is>
      </c>
      <c r="F232" s="2" t="inlineStr">
        <is>
          <t>P01</t>
        </is>
      </c>
      <c r="G232" s="2" t="n">
        <v>630000</v>
      </c>
      <c r="H232" s="2" t="inlineStr">
        <is>
          <t>Servicios externos</t>
        </is>
      </c>
      <c r="I232" s="9" t="n">
        <v>2693.48</v>
      </c>
      <c r="J232" s="9" t="n">
        <v>2474.91</v>
      </c>
      <c r="K232" s="9" t="n">
        <v>2664.24</v>
      </c>
      <c r="L232" s="9" t="n">
        <v>2452.65</v>
      </c>
      <c r="M232" s="9" t="n">
        <v>2581.17</v>
      </c>
      <c r="N232" s="9" t="n">
        <v>2301.65</v>
      </c>
      <c r="O232" s="9" t="n">
        <v>2617.57</v>
      </c>
      <c r="P232" s="9" t="n">
        <v>2426.04</v>
      </c>
      <c r="Q232" s="9" t="n">
        <v>2217.68</v>
      </c>
      <c r="R232" s="9" t="n">
        <v>2590.1</v>
      </c>
      <c r="S232" s="9" t="n">
        <v>2260.85</v>
      </c>
      <c r="T232" s="9" t="n">
        <v>2665.45</v>
      </c>
      <c r="U232" s="10">
        <f>SUM(I232:T232)</f>
        <v/>
      </c>
    </row>
    <row r="233">
      <c r="A233" s="2" t="inlineStr">
        <is>
          <t>SN-1000-1200-1210-1210XP0023</t>
        </is>
      </c>
      <c r="B233" s="2" t="inlineStr">
        <is>
          <t>1210XP0023</t>
        </is>
      </c>
      <c r="C233" s="2" t="inlineStr">
        <is>
          <t>Monitor lavado camiones</t>
        </is>
      </c>
      <c r="D233" s="2" t="n">
        <v>78</v>
      </c>
      <c r="E233" s="2" t="inlineStr">
        <is>
          <t>CC-1000</t>
        </is>
      </c>
      <c r="F233" s="2" t="inlineStr">
        <is>
          <t>P01</t>
        </is>
      </c>
      <c r="G233" s="2" t="n">
        <v>610000</v>
      </c>
      <c r="H233" s="2" t="inlineStr">
        <is>
          <t>Mano obra interna</t>
        </is>
      </c>
      <c r="I233" s="9" t="n">
        <v>301.34</v>
      </c>
      <c r="J233" s="9" t="n">
        <v>274.31</v>
      </c>
      <c r="K233" s="9" t="n">
        <v>283.56</v>
      </c>
      <c r="L233" s="9" t="n">
        <v>277.82</v>
      </c>
      <c r="M233" s="9" t="n">
        <v>275.85</v>
      </c>
      <c r="N233" s="9" t="n">
        <v>299.15</v>
      </c>
      <c r="O233" s="9" t="n">
        <v>282.43</v>
      </c>
      <c r="P233" s="9" t="n">
        <v>287.4</v>
      </c>
      <c r="Q233" s="9" t="n">
        <v>256.82</v>
      </c>
      <c r="R233" s="9" t="n">
        <v>303.47</v>
      </c>
      <c r="S233" s="9" t="n">
        <v>285.96</v>
      </c>
      <c r="T233" s="9" t="n">
        <v>304.01</v>
      </c>
      <c r="U233" s="10">
        <f>SUM(I233:T233)</f>
        <v/>
      </c>
    </row>
    <row r="234">
      <c r="A234" s="2" t="inlineStr">
        <is>
          <t>SN-1000-1200-1210-1210XP0023</t>
        </is>
      </c>
      <c r="B234" s="2" t="inlineStr">
        <is>
          <t>1210XP0023</t>
        </is>
      </c>
      <c r="C234" s="2" t="inlineStr">
        <is>
          <t>Monitor lavado camiones</t>
        </is>
      </c>
      <c r="D234" s="2" t="n">
        <v>78</v>
      </c>
      <c r="E234" s="2" t="inlineStr">
        <is>
          <t>CC-1000</t>
        </is>
      </c>
      <c r="F234" s="2" t="inlineStr">
        <is>
          <t>P01</t>
        </is>
      </c>
      <c r="G234" s="2" t="n">
        <v>620000</v>
      </c>
      <c r="H234" s="2" t="inlineStr">
        <is>
          <t>Materiales</t>
        </is>
      </c>
      <c r="I234" s="9" t="n">
        <v>228.05</v>
      </c>
      <c r="J234" s="9" t="n">
        <v>232.64</v>
      </c>
      <c r="K234" s="9" t="n">
        <v>237.46</v>
      </c>
      <c r="L234" s="9" t="n">
        <v>234.68</v>
      </c>
      <c r="M234" s="9" t="n">
        <v>255.42</v>
      </c>
      <c r="N234" s="9" t="n">
        <v>234.12</v>
      </c>
      <c r="O234" s="9" t="n">
        <v>242.7</v>
      </c>
      <c r="P234" s="9" t="n">
        <v>236.99</v>
      </c>
      <c r="Q234" s="9" t="n">
        <v>221.24</v>
      </c>
      <c r="R234" s="9" t="n">
        <v>260.95</v>
      </c>
      <c r="S234" s="9" t="n">
        <v>240.04</v>
      </c>
      <c r="T234" s="9" t="n">
        <v>251.86</v>
      </c>
      <c r="U234" s="10">
        <f>SUM(I234:T234)</f>
        <v/>
      </c>
    </row>
    <row r="235">
      <c r="A235" s="2" t="inlineStr">
        <is>
          <t>SN-1000-1200-1210-1210XP0023</t>
        </is>
      </c>
      <c r="B235" s="2" t="inlineStr">
        <is>
          <t>1210XP0023</t>
        </is>
      </c>
      <c r="C235" s="2" t="inlineStr">
        <is>
          <t>Monitor lavado camiones</t>
        </is>
      </c>
      <c r="D235" s="2" t="n">
        <v>78</v>
      </c>
      <c r="E235" s="2" t="inlineStr">
        <is>
          <t>CC-1000</t>
        </is>
      </c>
      <c r="F235" s="2" t="inlineStr">
        <is>
          <t>P01</t>
        </is>
      </c>
      <c r="G235" s="2" t="n">
        <v>630000</v>
      </c>
      <c r="H235" s="2" t="inlineStr">
        <is>
          <t>Servicios externos</t>
        </is>
      </c>
      <c r="I235" s="9" t="n">
        <v>241.56</v>
      </c>
      <c r="J235" s="9" t="n">
        <v>229.76</v>
      </c>
      <c r="K235" s="9" t="n">
        <v>258.59</v>
      </c>
      <c r="L235" s="9" t="n">
        <v>246.93</v>
      </c>
      <c r="M235" s="9" t="n">
        <v>235.4</v>
      </c>
      <c r="N235" s="9" t="n">
        <v>212.31</v>
      </c>
      <c r="O235" s="9" t="n">
        <v>240.74</v>
      </c>
      <c r="P235" s="9" t="n">
        <v>221.97</v>
      </c>
      <c r="Q235" s="9" t="n">
        <v>214.53</v>
      </c>
      <c r="R235" s="9" t="n">
        <v>240.6</v>
      </c>
      <c r="S235" s="9" t="n">
        <v>236.11</v>
      </c>
      <c r="T235" s="9" t="n">
        <v>228.85</v>
      </c>
      <c r="U235" s="10">
        <f>SUM(I235:T235)</f>
        <v/>
      </c>
    </row>
    <row r="236">
      <c r="A236" s="2" t="inlineStr">
        <is>
          <t>SN-1000-1200-12ER-1210AC0001</t>
        </is>
      </c>
      <c r="B236" s="2" t="inlineStr">
        <is>
          <t>1210AC0001</t>
        </is>
      </c>
      <c r="C236" s="2" t="inlineStr">
        <is>
          <t>Unidad aire acondicionado</t>
        </is>
      </c>
      <c r="D236" s="2" t="n">
        <v>79</v>
      </c>
      <c r="E236" s="2" t="inlineStr">
        <is>
          <t>CC-1000</t>
        </is>
      </c>
      <c r="F236" s="2" t="inlineStr">
        <is>
          <t>P01</t>
        </is>
      </c>
      <c r="G236" s="2" t="n">
        <v>610000</v>
      </c>
      <c r="H236" s="2" t="inlineStr">
        <is>
          <t>Mano obra interna</t>
        </is>
      </c>
      <c r="I236" s="9" t="n">
        <v>825.4</v>
      </c>
      <c r="J236" s="9" t="n">
        <v>713.47</v>
      </c>
      <c r="K236" s="9" t="n">
        <v>785.45</v>
      </c>
      <c r="L236" s="9" t="n">
        <v>767.13</v>
      </c>
      <c r="M236" s="9" t="n">
        <v>694.52</v>
      </c>
      <c r="N236" s="9" t="n">
        <v>761.0599999999999</v>
      </c>
      <c r="O236" s="9" t="n">
        <v>708.3</v>
      </c>
      <c r="P236" s="9" t="n">
        <v>756.71</v>
      </c>
      <c r="Q236" s="9" t="n">
        <v>714.72</v>
      </c>
      <c r="R236" s="9" t="n">
        <v>836.89</v>
      </c>
      <c r="S236" s="9" t="n">
        <v>758.34</v>
      </c>
      <c r="T236" s="9" t="n">
        <v>741.24</v>
      </c>
      <c r="U236" s="10">
        <f>SUM(I236:T236)</f>
        <v/>
      </c>
    </row>
    <row r="237">
      <c r="A237" s="2" t="inlineStr">
        <is>
          <t>SN-1000-1200-12ER-1210AC0001</t>
        </is>
      </c>
      <c r="B237" s="2" t="inlineStr">
        <is>
          <t>1210AC0001</t>
        </is>
      </c>
      <c r="C237" s="2" t="inlineStr">
        <is>
          <t>Unidad aire acondicionado</t>
        </is>
      </c>
      <c r="D237" s="2" t="n">
        <v>79</v>
      </c>
      <c r="E237" s="2" t="inlineStr">
        <is>
          <t>CC-1000</t>
        </is>
      </c>
      <c r="F237" s="2" t="inlineStr">
        <is>
          <t>P01</t>
        </is>
      </c>
      <c r="G237" s="2" t="n">
        <v>620000</v>
      </c>
      <c r="H237" s="2" t="inlineStr">
        <is>
          <t>Materiales</t>
        </is>
      </c>
      <c r="I237" s="9" t="n">
        <v>668.04</v>
      </c>
      <c r="J237" s="9" t="n">
        <v>625.79</v>
      </c>
      <c r="K237" s="9" t="n">
        <v>686.85</v>
      </c>
      <c r="L237" s="9" t="n">
        <v>678.9400000000001</v>
      </c>
      <c r="M237" s="9" t="n">
        <v>659.62</v>
      </c>
      <c r="N237" s="9" t="n">
        <v>602.61</v>
      </c>
      <c r="O237" s="9" t="n">
        <v>615.27</v>
      </c>
      <c r="P237" s="9" t="n">
        <v>660.79</v>
      </c>
      <c r="Q237" s="9" t="n">
        <v>583.55</v>
      </c>
      <c r="R237" s="9" t="n">
        <v>646.85</v>
      </c>
      <c r="S237" s="9" t="n">
        <v>646.37</v>
      </c>
      <c r="T237" s="9" t="n">
        <v>680.4299999999999</v>
      </c>
      <c r="U237" s="10">
        <f>SUM(I237:T237)</f>
        <v/>
      </c>
    </row>
    <row r="238">
      <c r="A238" s="2" t="inlineStr">
        <is>
          <t>SN-1000-1200-12ER-1210AC0001</t>
        </is>
      </c>
      <c r="B238" s="2" t="inlineStr">
        <is>
          <t>1210AC0001</t>
        </is>
      </c>
      <c r="C238" s="2" t="inlineStr">
        <is>
          <t>Unidad aire acondicionado</t>
        </is>
      </c>
      <c r="D238" s="2" t="n">
        <v>79</v>
      </c>
      <c r="E238" s="2" t="inlineStr">
        <is>
          <t>CC-1000</t>
        </is>
      </c>
      <c r="F238" s="2" t="inlineStr">
        <is>
          <t>P01</t>
        </is>
      </c>
      <c r="G238" s="2" t="n">
        <v>630000</v>
      </c>
      <c r="H238" s="2" t="inlineStr">
        <is>
          <t>Servicios externos</t>
        </is>
      </c>
      <c r="I238" s="9" t="n">
        <v>713.6799999999999</v>
      </c>
      <c r="J238" s="9" t="n">
        <v>725.41</v>
      </c>
      <c r="K238" s="9" t="n">
        <v>811.33</v>
      </c>
      <c r="L238" s="9" t="n">
        <v>815.83</v>
      </c>
      <c r="M238" s="9" t="n">
        <v>707.05</v>
      </c>
      <c r="N238" s="9" t="n">
        <v>667.39</v>
      </c>
      <c r="O238" s="9" t="n">
        <v>795.66</v>
      </c>
      <c r="P238" s="9" t="n">
        <v>736.2</v>
      </c>
      <c r="Q238" s="9" t="n">
        <v>702.84</v>
      </c>
      <c r="R238" s="9" t="n">
        <v>869.41</v>
      </c>
      <c r="S238" s="9" t="n">
        <v>675.71</v>
      </c>
      <c r="T238" s="9" t="n">
        <v>779.22</v>
      </c>
      <c r="U238" s="10">
        <f>SUM(I238:T238)</f>
        <v/>
      </c>
    </row>
    <row r="239">
      <c r="A239" s="2" t="inlineStr">
        <is>
          <t>SN-1000-1200-12ER-1210CC0001</t>
        </is>
      </c>
      <c r="B239" s="2" t="inlineStr">
        <is>
          <t>1210CC0001</t>
        </is>
      </c>
      <c r="C239" s="2" t="inlineStr">
        <is>
          <t>Tablero de comunicación</t>
        </is>
      </c>
      <c r="D239" s="2" t="n">
        <v>80</v>
      </c>
      <c r="E239" s="2" t="inlineStr">
        <is>
          <t>CC-1000</t>
        </is>
      </c>
      <c r="F239" s="2" t="inlineStr">
        <is>
          <t>P01</t>
        </is>
      </c>
      <c r="G239" s="2" t="n">
        <v>610000</v>
      </c>
      <c r="H239" s="2" t="inlineStr">
        <is>
          <t>Mano obra interna</t>
        </is>
      </c>
      <c r="I239" s="9" t="n">
        <v>795.25</v>
      </c>
      <c r="J239" s="9" t="n">
        <v>820.87</v>
      </c>
      <c r="K239" s="9" t="n">
        <v>811.27</v>
      </c>
      <c r="L239" s="9" t="n">
        <v>877</v>
      </c>
      <c r="M239" s="9" t="n">
        <v>794.0599999999999</v>
      </c>
      <c r="N239" s="9" t="n">
        <v>738.1900000000001</v>
      </c>
      <c r="O239" s="9" t="n">
        <v>759.6</v>
      </c>
      <c r="P239" s="9" t="n">
        <v>775.26</v>
      </c>
      <c r="Q239" s="9" t="n">
        <v>724.8200000000001</v>
      </c>
      <c r="R239" s="9" t="n">
        <v>798.03</v>
      </c>
      <c r="S239" s="9" t="n">
        <v>753.41</v>
      </c>
      <c r="T239" s="9" t="n">
        <v>802.04</v>
      </c>
      <c r="U239" s="10">
        <f>SUM(I239:T239)</f>
        <v/>
      </c>
    </row>
    <row r="240">
      <c r="A240" s="2" t="inlineStr">
        <is>
          <t>SN-1000-1200-12ER-1210CC0001</t>
        </is>
      </c>
      <c r="B240" s="2" t="inlineStr">
        <is>
          <t>1210CC0001</t>
        </is>
      </c>
      <c r="C240" s="2" t="inlineStr">
        <is>
          <t>Tablero de comunicación</t>
        </is>
      </c>
      <c r="D240" s="2" t="n">
        <v>80</v>
      </c>
      <c r="E240" s="2" t="inlineStr">
        <is>
          <t>CC-1000</t>
        </is>
      </c>
      <c r="F240" s="2" t="inlineStr">
        <is>
          <t>P01</t>
        </is>
      </c>
      <c r="G240" s="2" t="n">
        <v>620000</v>
      </c>
      <c r="H240" s="2" t="inlineStr">
        <is>
          <t>Materiales</t>
        </is>
      </c>
      <c r="I240" s="9" t="n">
        <v>982.6799999999999</v>
      </c>
      <c r="J240" s="9" t="n">
        <v>955.74</v>
      </c>
      <c r="K240" s="9" t="n">
        <v>892.5700000000001</v>
      </c>
      <c r="L240" s="9" t="n">
        <v>916.41</v>
      </c>
      <c r="M240" s="9" t="n">
        <v>953.39</v>
      </c>
      <c r="N240" s="9" t="n">
        <v>895.51</v>
      </c>
      <c r="O240" s="9" t="n">
        <v>865.13</v>
      </c>
      <c r="P240" s="9" t="n">
        <v>984.08</v>
      </c>
      <c r="Q240" s="9" t="n">
        <v>912.3099999999999</v>
      </c>
      <c r="R240" s="9" t="n">
        <v>1020.56</v>
      </c>
      <c r="S240" s="9" t="n">
        <v>846.02</v>
      </c>
      <c r="T240" s="9" t="n">
        <v>993.65</v>
      </c>
      <c r="U240" s="10">
        <f>SUM(I240:T240)</f>
        <v/>
      </c>
    </row>
    <row r="241">
      <c r="A241" s="2" t="inlineStr">
        <is>
          <t>SN-1000-1200-12ER-1210CC0001</t>
        </is>
      </c>
      <c r="B241" s="2" t="inlineStr">
        <is>
          <t>1210CC0001</t>
        </is>
      </c>
      <c r="C241" s="2" t="inlineStr">
        <is>
          <t>Tablero de comunicación</t>
        </is>
      </c>
      <c r="D241" s="2" t="n">
        <v>80</v>
      </c>
      <c r="E241" s="2" t="inlineStr">
        <is>
          <t>CC-1000</t>
        </is>
      </c>
      <c r="F241" s="2" t="inlineStr">
        <is>
          <t>P01</t>
        </is>
      </c>
      <c r="G241" s="2" t="n">
        <v>630000</v>
      </c>
      <c r="H241" s="2" t="inlineStr">
        <is>
          <t>Servicios externos</t>
        </is>
      </c>
      <c r="I241" s="9" t="n">
        <v>945.6</v>
      </c>
      <c r="J241" s="9" t="n">
        <v>908.05</v>
      </c>
      <c r="K241" s="9" t="n">
        <v>958.6799999999999</v>
      </c>
      <c r="L241" s="9" t="n">
        <v>908.46</v>
      </c>
      <c r="M241" s="9" t="n">
        <v>826.66</v>
      </c>
      <c r="N241" s="9" t="n">
        <v>870.58</v>
      </c>
      <c r="O241" s="9" t="n">
        <v>903.8</v>
      </c>
      <c r="P241" s="9" t="n">
        <v>919.97</v>
      </c>
      <c r="Q241" s="9" t="n">
        <v>781.46</v>
      </c>
      <c r="R241" s="9" t="n">
        <v>909.17</v>
      </c>
      <c r="S241" s="9" t="n">
        <v>911.6</v>
      </c>
      <c r="T241" s="9" t="n">
        <v>935.4400000000001</v>
      </c>
      <c r="U241" s="10">
        <f>SUM(I241:T241)</f>
        <v/>
      </c>
    </row>
    <row r="242">
      <c r="A242" s="2" t="inlineStr">
        <is>
          <t>SN-1000-1200-12ER-1210DP0001</t>
        </is>
      </c>
      <c r="B242" s="2" t="inlineStr">
        <is>
          <t>1210DP0001</t>
        </is>
      </c>
      <c r="C242" s="2" t="inlineStr">
        <is>
          <t>Tablero distribución potencia</t>
        </is>
      </c>
      <c r="D242" s="2" t="n">
        <v>81</v>
      </c>
      <c r="E242" s="2" t="inlineStr">
        <is>
          <t>CC-1000</t>
        </is>
      </c>
      <c r="F242" s="2" t="inlineStr">
        <is>
          <t>P01</t>
        </is>
      </c>
      <c r="G242" s="2" t="n">
        <v>610000</v>
      </c>
      <c r="H242" s="2" t="inlineStr">
        <is>
          <t>Mano obra interna</t>
        </is>
      </c>
      <c r="I242" s="9" t="n">
        <v>959.1</v>
      </c>
      <c r="J242" s="9" t="n">
        <v>902.3200000000001</v>
      </c>
      <c r="K242" s="9" t="n">
        <v>953.67</v>
      </c>
      <c r="L242" s="9" t="n">
        <v>979.46</v>
      </c>
      <c r="M242" s="9" t="n">
        <v>904.09</v>
      </c>
      <c r="N242" s="9" t="n">
        <v>880.8</v>
      </c>
      <c r="O242" s="9" t="n">
        <v>852.97</v>
      </c>
      <c r="P242" s="9" t="n">
        <v>897.73</v>
      </c>
      <c r="Q242" s="9" t="n">
        <v>868.88</v>
      </c>
      <c r="R242" s="9" t="n">
        <v>937.26</v>
      </c>
      <c r="S242" s="9" t="n">
        <v>831.75</v>
      </c>
      <c r="T242" s="9" t="n">
        <v>888.29</v>
      </c>
      <c r="U242" s="10">
        <f>SUM(I242:T242)</f>
        <v/>
      </c>
    </row>
    <row r="243">
      <c r="A243" s="2" t="inlineStr">
        <is>
          <t>SN-1000-1200-12ER-1210DP0001</t>
        </is>
      </c>
      <c r="B243" s="2" t="inlineStr">
        <is>
          <t>1210DP0001</t>
        </is>
      </c>
      <c r="C243" s="2" t="inlineStr">
        <is>
          <t>Tablero distribución potencia</t>
        </is>
      </c>
      <c r="D243" s="2" t="n">
        <v>81</v>
      </c>
      <c r="E243" s="2" t="inlineStr">
        <is>
          <t>CC-1000</t>
        </is>
      </c>
      <c r="F243" s="2" t="inlineStr">
        <is>
          <t>P01</t>
        </is>
      </c>
      <c r="G243" s="2" t="n">
        <v>620000</v>
      </c>
      <c r="H243" s="2" t="inlineStr">
        <is>
          <t>Materiales</t>
        </is>
      </c>
      <c r="I243" s="9" t="n">
        <v>703.65</v>
      </c>
      <c r="J243" s="9" t="n">
        <v>702.73</v>
      </c>
      <c r="K243" s="9" t="n">
        <v>793.6900000000001</v>
      </c>
      <c r="L243" s="9" t="n">
        <v>738.98</v>
      </c>
      <c r="M243" s="9" t="n">
        <v>679.0599999999999</v>
      </c>
      <c r="N243" s="9" t="n">
        <v>643.76</v>
      </c>
      <c r="O243" s="9" t="n">
        <v>745.22</v>
      </c>
      <c r="P243" s="9" t="n">
        <v>708.15</v>
      </c>
      <c r="Q243" s="9" t="n">
        <v>706.92</v>
      </c>
      <c r="R243" s="9" t="n">
        <v>798.74</v>
      </c>
      <c r="S243" s="9" t="n">
        <v>732.29</v>
      </c>
      <c r="T243" s="9" t="n">
        <v>706.2</v>
      </c>
      <c r="U243" s="10">
        <f>SUM(I243:T243)</f>
        <v/>
      </c>
    </row>
    <row r="244">
      <c r="A244" s="2" t="inlineStr">
        <is>
          <t>SN-1000-1200-12ER-1210DP0001</t>
        </is>
      </c>
      <c r="B244" s="2" t="inlineStr">
        <is>
          <t>1210DP0001</t>
        </is>
      </c>
      <c r="C244" s="2" t="inlineStr">
        <is>
          <t>Tablero distribución potencia</t>
        </is>
      </c>
      <c r="D244" s="2" t="n">
        <v>81</v>
      </c>
      <c r="E244" s="2" t="inlineStr">
        <is>
          <t>CC-1000</t>
        </is>
      </c>
      <c r="F244" s="2" t="inlineStr">
        <is>
          <t>P01</t>
        </is>
      </c>
      <c r="G244" s="2" t="n">
        <v>630000</v>
      </c>
      <c r="H244" s="2" t="inlineStr">
        <is>
          <t>Servicios externos</t>
        </is>
      </c>
      <c r="I244" s="9" t="n">
        <v>814.5700000000001</v>
      </c>
      <c r="J244" s="9" t="n">
        <v>874.0599999999999</v>
      </c>
      <c r="K244" s="9" t="n">
        <v>874.15</v>
      </c>
      <c r="L244" s="9" t="n">
        <v>823.72</v>
      </c>
      <c r="M244" s="9" t="n">
        <v>790.4</v>
      </c>
      <c r="N244" s="9" t="n">
        <v>753.6</v>
      </c>
      <c r="O244" s="9" t="n">
        <v>855.45</v>
      </c>
      <c r="P244" s="9" t="n">
        <v>791.33</v>
      </c>
      <c r="Q244" s="9" t="n">
        <v>783.6900000000001</v>
      </c>
      <c r="R244" s="9" t="n">
        <v>860.6</v>
      </c>
      <c r="S244" s="9" t="n">
        <v>823.5599999999999</v>
      </c>
      <c r="T244" s="9" t="n">
        <v>883.96</v>
      </c>
      <c r="U244" s="10">
        <f>SUM(I244:T244)</f>
        <v/>
      </c>
    </row>
    <row r="245">
      <c r="A245" s="2" t="inlineStr">
        <is>
          <t>SN-1000-1200-12ER-1210DP0002</t>
        </is>
      </c>
      <c r="B245" s="2" t="inlineStr">
        <is>
          <t>1210DP0002</t>
        </is>
      </c>
      <c r="C245" s="2" t="inlineStr">
        <is>
          <t>Tablero distribución alumbrado</t>
        </is>
      </c>
      <c r="D245" s="2" t="n">
        <v>82</v>
      </c>
      <c r="E245" s="2" t="inlineStr">
        <is>
          <t>CC-1000</t>
        </is>
      </c>
      <c r="F245" s="2" t="inlineStr">
        <is>
          <t>P01</t>
        </is>
      </c>
      <c r="G245" s="2" t="n">
        <v>610000</v>
      </c>
      <c r="H245" s="2" t="inlineStr">
        <is>
          <t>Mano obra interna</t>
        </is>
      </c>
      <c r="I245" s="9" t="n">
        <v>3287.03</v>
      </c>
      <c r="J245" s="9" t="n">
        <v>2892.01</v>
      </c>
      <c r="K245" s="9" t="n">
        <v>2978.71</v>
      </c>
      <c r="L245" s="9" t="n">
        <v>3259.61</v>
      </c>
      <c r="M245" s="9" t="n">
        <v>2994.5</v>
      </c>
      <c r="N245" s="9" t="n">
        <v>2923.13</v>
      </c>
      <c r="O245" s="9" t="n">
        <v>2860.34</v>
      </c>
      <c r="P245" s="9" t="n">
        <v>2969.79</v>
      </c>
      <c r="Q245" s="9" t="n">
        <v>2662.58</v>
      </c>
      <c r="R245" s="9" t="n">
        <v>3535.55</v>
      </c>
      <c r="S245" s="9" t="n">
        <v>2869.35</v>
      </c>
      <c r="T245" s="9" t="n">
        <v>3165.58</v>
      </c>
      <c r="U245" s="10">
        <f>SUM(I245:T245)</f>
        <v/>
      </c>
    </row>
    <row r="246">
      <c r="A246" s="2" t="inlineStr">
        <is>
          <t>SN-1000-1200-12ER-1210DP0002</t>
        </is>
      </c>
      <c r="B246" s="2" t="inlineStr">
        <is>
          <t>1210DP0002</t>
        </is>
      </c>
      <c r="C246" s="2" t="inlineStr">
        <is>
          <t>Tablero distribución alumbrado</t>
        </is>
      </c>
      <c r="D246" s="2" t="n">
        <v>82</v>
      </c>
      <c r="E246" s="2" t="inlineStr">
        <is>
          <t>CC-1000</t>
        </is>
      </c>
      <c r="F246" s="2" t="inlineStr">
        <is>
          <t>P01</t>
        </is>
      </c>
      <c r="G246" s="2" t="n">
        <v>620000</v>
      </c>
      <c r="H246" s="2" t="inlineStr">
        <is>
          <t>Materiales</t>
        </is>
      </c>
      <c r="I246" s="9" t="n">
        <v>2405.94</v>
      </c>
      <c r="J246" s="9" t="n">
        <v>2196.75</v>
      </c>
      <c r="K246" s="9" t="n">
        <v>2518.93</v>
      </c>
      <c r="L246" s="9" t="n">
        <v>2491.82</v>
      </c>
      <c r="M246" s="9" t="n">
        <v>2208.28</v>
      </c>
      <c r="N246" s="9" t="n">
        <v>2335.48</v>
      </c>
      <c r="O246" s="9" t="n">
        <v>2478.88</v>
      </c>
      <c r="P246" s="9" t="n">
        <v>2413.24</v>
      </c>
      <c r="Q246" s="9" t="n">
        <v>2254.76</v>
      </c>
      <c r="R246" s="9" t="n">
        <v>2376.14</v>
      </c>
      <c r="S246" s="9" t="n">
        <v>2249.49</v>
      </c>
      <c r="T246" s="9" t="n">
        <v>2168.31</v>
      </c>
      <c r="U246" s="10">
        <f>SUM(I246:T246)</f>
        <v/>
      </c>
    </row>
    <row r="247">
      <c r="A247" s="2" t="inlineStr">
        <is>
          <t>SN-1000-1200-12ER-1210DP0002</t>
        </is>
      </c>
      <c r="B247" s="2" t="inlineStr">
        <is>
          <t>1210DP0002</t>
        </is>
      </c>
      <c r="C247" s="2" t="inlineStr">
        <is>
          <t>Tablero distribución alumbrado</t>
        </is>
      </c>
      <c r="D247" s="2" t="n">
        <v>82</v>
      </c>
      <c r="E247" s="2" t="inlineStr">
        <is>
          <t>CC-1000</t>
        </is>
      </c>
      <c r="F247" s="2" t="inlineStr">
        <is>
          <t>P01</t>
        </is>
      </c>
      <c r="G247" s="2" t="n">
        <v>630000</v>
      </c>
      <c r="H247" s="2" t="inlineStr">
        <is>
          <t>Servicios externos</t>
        </is>
      </c>
      <c r="I247" s="9" t="n">
        <v>2634.33</v>
      </c>
      <c r="J247" s="9" t="n">
        <v>2288.31</v>
      </c>
      <c r="K247" s="9" t="n">
        <v>2563.29</v>
      </c>
      <c r="L247" s="9" t="n">
        <v>2562.3</v>
      </c>
      <c r="M247" s="9" t="n">
        <v>2500.54</v>
      </c>
      <c r="N247" s="9" t="n">
        <v>2466.71</v>
      </c>
      <c r="O247" s="9" t="n">
        <v>2291.97</v>
      </c>
      <c r="P247" s="9" t="n">
        <v>2212.37</v>
      </c>
      <c r="Q247" s="9" t="n">
        <v>2192.98</v>
      </c>
      <c r="R247" s="9" t="n">
        <v>2424.66</v>
      </c>
      <c r="S247" s="9" t="n">
        <v>2136.68</v>
      </c>
      <c r="T247" s="9" t="n">
        <v>2371.1</v>
      </c>
      <c r="U247" s="10">
        <f>SUM(I247:T247)</f>
        <v/>
      </c>
    </row>
    <row r="248">
      <c r="A248" s="2" t="inlineStr">
        <is>
          <t>SN-1000-1200-12ER-1210DX0001</t>
        </is>
      </c>
      <c r="B248" s="2" t="inlineStr">
        <is>
          <t>1210DX0001</t>
        </is>
      </c>
      <c r="C248" s="2" t="inlineStr">
        <is>
          <t>Transformador distribución potencia</t>
        </is>
      </c>
      <c r="D248" s="2" t="n">
        <v>83</v>
      </c>
      <c r="E248" s="2" t="inlineStr">
        <is>
          <t>CC-1000</t>
        </is>
      </c>
      <c r="F248" s="2" t="inlineStr">
        <is>
          <t>P01</t>
        </is>
      </c>
      <c r="G248" s="2" t="n">
        <v>610000</v>
      </c>
      <c r="H248" s="2" t="inlineStr">
        <is>
          <t>Mano obra interna</t>
        </is>
      </c>
      <c r="I248" s="9" t="n">
        <v>1957.88</v>
      </c>
      <c r="J248" s="9" t="n">
        <v>1813.08</v>
      </c>
      <c r="K248" s="9" t="n">
        <v>2006.2</v>
      </c>
      <c r="L248" s="9" t="n">
        <v>1856.47</v>
      </c>
      <c r="M248" s="9" t="n">
        <v>1732.24</v>
      </c>
      <c r="N248" s="9" t="n">
        <v>1891.17</v>
      </c>
      <c r="O248" s="9" t="n">
        <v>1936.25</v>
      </c>
      <c r="P248" s="9" t="n">
        <v>1975.97</v>
      </c>
      <c r="Q248" s="9" t="n">
        <v>1636.3</v>
      </c>
      <c r="R248" s="9" t="n">
        <v>2157.03</v>
      </c>
      <c r="S248" s="9" t="n">
        <v>1872.33</v>
      </c>
      <c r="T248" s="9" t="n">
        <v>1945.51</v>
      </c>
      <c r="U248" s="10">
        <f>SUM(I248:T248)</f>
        <v/>
      </c>
    </row>
    <row r="249">
      <c r="A249" s="2" t="inlineStr">
        <is>
          <t>SN-1000-1200-12ER-1210DX0001</t>
        </is>
      </c>
      <c r="B249" s="2" t="inlineStr">
        <is>
          <t>1210DX0001</t>
        </is>
      </c>
      <c r="C249" s="2" t="inlineStr">
        <is>
          <t>Transformador distribución potencia</t>
        </is>
      </c>
      <c r="D249" s="2" t="n">
        <v>83</v>
      </c>
      <c r="E249" s="2" t="inlineStr">
        <is>
          <t>CC-1000</t>
        </is>
      </c>
      <c r="F249" s="2" t="inlineStr">
        <is>
          <t>P01</t>
        </is>
      </c>
      <c r="G249" s="2" t="n">
        <v>620000</v>
      </c>
      <c r="H249" s="2" t="inlineStr">
        <is>
          <t>Materiales</t>
        </is>
      </c>
      <c r="I249" s="9" t="n">
        <v>1853.09</v>
      </c>
      <c r="J249" s="9" t="n">
        <v>1712.76</v>
      </c>
      <c r="K249" s="9" t="n">
        <v>1792.43</v>
      </c>
      <c r="L249" s="9" t="n">
        <v>1890.68</v>
      </c>
      <c r="M249" s="9" t="n">
        <v>1767.22</v>
      </c>
      <c r="N249" s="9" t="n">
        <v>1624.74</v>
      </c>
      <c r="O249" s="9" t="n">
        <v>1772.96</v>
      </c>
      <c r="P249" s="9" t="n">
        <v>1683.58</v>
      </c>
      <c r="Q249" s="9" t="n">
        <v>1527.41</v>
      </c>
      <c r="R249" s="9" t="n">
        <v>1878.42</v>
      </c>
      <c r="S249" s="9" t="n">
        <v>1774.21</v>
      </c>
      <c r="T249" s="9" t="n">
        <v>1860.22</v>
      </c>
      <c r="U249" s="10">
        <f>SUM(I249:T249)</f>
        <v/>
      </c>
    </row>
    <row r="250">
      <c r="A250" s="2" t="inlineStr">
        <is>
          <t>SN-1000-1200-12ER-1210DX0001</t>
        </is>
      </c>
      <c r="B250" s="2" t="inlineStr">
        <is>
          <t>1210DX0001</t>
        </is>
      </c>
      <c r="C250" s="2" t="inlineStr">
        <is>
          <t>Transformador distribución potencia</t>
        </is>
      </c>
      <c r="D250" s="2" t="n">
        <v>83</v>
      </c>
      <c r="E250" s="2" t="inlineStr">
        <is>
          <t>CC-1000</t>
        </is>
      </c>
      <c r="F250" s="2" t="inlineStr">
        <is>
          <t>P01</t>
        </is>
      </c>
      <c r="G250" s="2" t="n">
        <v>630000</v>
      </c>
      <c r="H250" s="2" t="inlineStr">
        <is>
          <t>Servicios externos</t>
        </is>
      </c>
      <c r="I250" s="9" t="n">
        <v>1628.94</v>
      </c>
      <c r="J250" s="9" t="n">
        <v>1492.4</v>
      </c>
      <c r="K250" s="9" t="n">
        <v>1768.87</v>
      </c>
      <c r="L250" s="9" t="n">
        <v>1748.65</v>
      </c>
      <c r="M250" s="9" t="n">
        <v>1609.82</v>
      </c>
      <c r="N250" s="9" t="n">
        <v>1592.82</v>
      </c>
      <c r="O250" s="9" t="n">
        <v>1644.06</v>
      </c>
      <c r="P250" s="9" t="n">
        <v>1611.11</v>
      </c>
      <c r="Q250" s="9" t="n">
        <v>1373.14</v>
      </c>
      <c r="R250" s="9" t="n">
        <v>1700.83</v>
      </c>
      <c r="S250" s="9" t="n">
        <v>1580.91</v>
      </c>
      <c r="T250" s="9" t="n">
        <v>1658.02</v>
      </c>
      <c r="U250" s="10">
        <f>SUM(I250:T250)</f>
        <v/>
      </c>
    </row>
    <row r="251">
      <c r="A251" s="2" t="inlineStr">
        <is>
          <t>SN-1000-1200-12ER-1210FD0001</t>
        </is>
      </c>
      <c r="B251" s="2" t="inlineStr">
        <is>
          <t>1210FD0001</t>
        </is>
      </c>
      <c r="C251" s="2" t="inlineStr">
        <is>
          <t>Sistema detección fuego y humo</t>
        </is>
      </c>
      <c r="D251" s="2" t="n">
        <v>84</v>
      </c>
      <c r="E251" s="2" t="inlineStr">
        <is>
          <t>CC-1000</t>
        </is>
      </c>
      <c r="F251" s="2" t="inlineStr">
        <is>
          <t>P01</t>
        </is>
      </c>
      <c r="G251" s="2" t="n">
        <v>610000</v>
      </c>
      <c r="H251" s="2" t="inlineStr">
        <is>
          <t>Mano obra interna</t>
        </is>
      </c>
      <c r="I251" s="9" t="n">
        <v>235.07</v>
      </c>
      <c r="J251" s="9" t="n">
        <v>200.54</v>
      </c>
      <c r="K251" s="9" t="n">
        <v>221.88</v>
      </c>
      <c r="L251" s="9" t="n">
        <v>226.52</v>
      </c>
      <c r="M251" s="9" t="n">
        <v>219.56</v>
      </c>
      <c r="N251" s="9" t="n">
        <v>210.51</v>
      </c>
      <c r="O251" s="9" t="n">
        <v>207.43</v>
      </c>
      <c r="P251" s="9" t="n">
        <v>203.08</v>
      </c>
      <c r="Q251" s="9" t="n">
        <v>204.56</v>
      </c>
      <c r="R251" s="9" t="n">
        <v>235.62</v>
      </c>
      <c r="S251" s="9" t="n">
        <v>197.52</v>
      </c>
      <c r="T251" s="9" t="n">
        <v>225.42</v>
      </c>
      <c r="U251" s="10">
        <f>SUM(I251:T251)</f>
        <v/>
      </c>
    </row>
    <row r="252">
      <c r="A252" s="2" t="inlineStr">
        <is>
          <t>SN-1000-1200-12ER-1210FD0001</t>
        </is>
      </c>
      <c r="B252" s="2" t="inlineStr">
        <is>
          <t>1210FD0001</t>
        </is>
      </c>
      <c r="C252" s="2" t="inlineStr">
        <is>
          <t>Sistema detección fuego y humo</t>
        </is>
      </c>
      <c r="D252" s="2" t="n">
        <v>84</v>
      </c>
      <c r="E252" s="2" t="inlineStr">
        <is>
          <t>CC-1000</t>
        </is>
      </c>
      <c r="F252" s="2" t="inlineStr">
        <is>
          <t>P01</t>
        </is>
      </c>
      <c r="G252" s="2" t="n">
        <v>620000</v>
      </c>
      <c r="H252" s="2" t="inlineStr">
        <is>
          <t>Materiales</t>
        </is>
      </c>
      <c r="I252" s="9" t="n">
        <v>220.96</v>
      </c>
      <c r="J252" s="9" t="n">
        <v>218.81</v>
      </c>
      <c r="K252" s="9" t="n">
        <v>205.97</v>
      </c>
      <c r="L252" s="9" t="n">
        <v>198.87</v>
      </c>
      <c r="M252" s="9" t="n">
        <v>217.93</v>
      </c>
      <c r="N252" s="9" t="n">
        <v>205.07</v>
      </c>
      <c r="O252" s="9" t="n">
        <v>217.63</v>
      </c>
      <c r="P252" s="9" t="n">
        <v>222.03</v>
      </c>
      <c r="Q252" s="9" t="n">
        <v>205.73</v>
      </c>
      <c r="R252" s="9" t="n">
        <v>244.09</v>
      </c>
      <c r="S252" s="9" t="n">
        <v>205.24</v>
      </c>
      <c r="T252" s="9" t="n">
        <v>213.53</v>
      </c>
      <c r="U252" s="10">
        <f>SUM(I252:T252)</f>
        <v/>
      </c>
    </row>
    <row r="253">
      <c r="A253" s="2" t="inlineStr">
        <is>
          <t>SN-1000-1200-12ER-1210FD0001</t>
        </is>
      </c>
      <c r="B253" s="2" t="inlineStr">
        <is>
          <t>1210FD0001</t>
        </is>
      </c>
      <c r="C253" s="2" t="inlineStr">
        <is>
          <t>Sistema detección fuego y humo</t>
        </is>
      </c>
      <c r="D253" s="2" t="n">
        <v>84</v>
      </c>
      <c r="E253" s="2" t="inlineStr">
        <is>
          <t>CC-1000</t>
        </is>
      </c>
      <c r="F253" s="2" t="inlineStr">
        <is>
          <t>P01</t>
        </is>
      </c>
      <c r="G253" s="2" t="n">
        <v>630000</v>
      </c>
      <c r="H253" s="2" t="inlineStr">
        <is>
          <t>Servicios externos</t>
        </is>
      </c>
      <c r="I253" s="9" t="n">
        <v>207.32</v>
      </c>
      <c r="J253" s="9" t="n">
        <v>214.21</v>
      </c>
      <c r="K253" s="9" t="n">
        <v>213.89</v>
      </c>
      <c r="L253" s="9" t="n">
        <v>234.55</v>
      </c>
      <c r="M253" s="9" t="n">
        <v>215.61</v>
      </c>
      <c r="N253" s="9" t="n">
        <v>208.61</v>
      </c>
      <c r="O253" s="9" t="n">
        <v>210.11</v>
      </c>
      <c r="P253" s="9" t="n">
        <v>199.44</v>
      </c>
      <c r="Q253" s="9" t="n">
        <v>185.14</v>
      </c>
      <c r="R253" s="9" t="n">
        <v>229.02</v>
      </c>
      <c r="S253" s="9" t="n">
        <v>194.3</v>
      </c>
      <c r="T253" s="9" t="n">
        <v>221.92</v>
      </c>
      <c r="U253" s="10">
        <f>SUM(I253:T253)</f>
        <v/>
      </c>
    </row>
    <row r="254">
      <c r="A254" s="2" t="inlineStr">
        <is>
          <t>SN-1000-1200-12ER-1210FS0001</t>
        </is>
      </c>
      <c r="B254" s="2" t="inlineStr">
        <is>
          <t>1210FS0001</t>
        </is>
      </c>
      <c r="C254" s="2" t="inlineStr">
        <is>
          <t>Sistema supresión fuego</t>
        </is>
      </c>
      <c r="D254" s="2" t="n">
        <v>85</v>
      </c>
      <c r="E254" s="2" t="inlineStr">
        <is>
          <t>CC-1000</t>
        </is>
      </c>
      <c r="F254" s="2" t="inlineStr">
        <is>
          <t>P01</t>
        </is>
      </c>
      <c r="G254" s="2" t="n">
        <v>610000</v>
      </c>
      <c r="H254" s="2" t="inlineStr">
        <is>
          <t>Mano obra interna</t>
        </is>
      </c>
      <c r="I254" s="9" t="n">
        <v>2886.97</v>
      </c>
      <c r="J254" s="9" t="n">
        <v>2691.2</v>
      </c>
      <c r="K254" s="9" t="n">
        <v>2622.06</v>
      </c>
      <c r="L254" s="9" t="n">
        <v>2881.69</v>
      </c>
      <c r="M254" s="9" t="n">
        <v>2800.11</v>
      </c>
      <c r="N254" s="9" t="n">
        <v>2424.04</v>
      </c>
      <c r="O254" s="9" t="n">
        <v>2767.24</v>
      </c>
      <c r="P254" s="9" t="n">
        <v>2571.82</v>
      </c>
      <c r="Q254" s="9" t="n">
        <v>2600.68</v>
      </c>
      <c r="R254" s="9" t="n">
        <v>3102.38</v>
      </c>
      <c r="S254" s="9" t="n">
        <v>2385.68</v>
      </c>
      <c r="T254" s="9" t="n">
        <v>2876.26</v>
      </c>
      <c r="U254" s="10">
        <f>SUM(I254:T254)</f>
        <v/>
      </c>
    </row>
    <row r="255">
      <c r="A255" s="2" t="inlineStr">
        <is>
          <t>SN-1000-1200-12ER-1210FS0001</t>
        </is>
      </c>
      <c r="B255" s="2" t="inlineStr">
        <is>
          <t>1210FS0001</t>
        </is>
      </c>
      <c r="C255" s="2" t="inlineStr">
        <is>
          <t>Sistema supresión fuego</t>
        </is>
      </c>
      <c r="D255" s="2" t="n">
        <v>85</v>
      </c>
      <c r="E255" s="2" t="inlineStr">
        <is>
          <t>CC-1000</t>
        </is>
      </c>
      <c r="F255" s="2" t="inlineStr">
        <is>
          <t>P01</t>
        </is>
      </c>
      <c r="G255" s="2" t="n">
        <v>620000</v>
      </c>
      <c r="H255" s="2" t="inlineStr">
        <is>
          <t>Materiales</t>
        </is>
      </c>
      <c r="I255" s="9" t="n">
        <v>2665.21</v>
      </c>
      <c r="J255" s="9" t="n">
        <v>2376.84</v>
      </c>
      <c r="K255" s="9" t="n">
        <v>2642.93</v>
      </c>
      <c r="L255" s="9" t="n">
        <v>2306.8</v>
      </c>
      <c r="M255" s="9" t="n">
        <v>2338.56</v>
      </c>
      <c r="N255" s="9" t="n">
        <v>2159.6</v>
      </c>
      <c r="O255" s="9" t="n">
        <v>2612.73</v>
      </c>
      <c r="P255" s="9" t="n">
        <v>2548.15</v>
      </c>
      <c r="Q255" s="9" t="n">
        <v>2386.64</v>
      </c>
      <c r="R255" s="9" t="n">
        <v>2800.71</v>
      </c>
      <c r="S255" s="9" t="n">
        <v>2193.49</v>
      </c>
      <c r="T255" s="9" t="n">
        <v>2417.92</v>
      </c>
      <c r="U255" s="10">
        <f>SUM(I255:T255)</f>
        <v/>
      </c>
    </row>
    <row r="256">
      <c r="A256" s="2" t="inlineStr">
        <is>
          <t>SN-1000-1200-12ER-1210FS0001</t>
        </is>
      </c>
      <c r="B256" s="2" t="inlineStr">
        <is>
          <t>1210FS0001</t>
        </is>
      </c>
      <c r="C256" s="2" t="inlineStr">
        <is>
          <t>Sistema supresión fuego</t>
        </is>
      </c>
      <c r="D256" s="2" t="n">
        <v>85</v>
      </c>
      <c r="E256" s="2" t="inlineStr">
        <is>
          <t>CC-1000</t>
        </is>
      </c>
      <c r="F256" s="2" t="inlineStr">
        <is>
          <t>P01</t>
        </is>
      </c>
      <c r="G256" s="2" t="n">
        <v>630000</v>
      </c>
      <c r="H256" s="2" t="inlineStr">
        <is>
          <t>Servicios externos</t>
        </is>
      </c>
      <c r="I256" s="9" t="n">
        <v>2034.56</v>
      </c>
      <c r="J256" s="9" t="n">
        <v>1968.96</v>
      </c>
      <c r="K256" s="9" t="n">
        <v>2145.18</v>
      </c>
      <c r="L256" s="9" t="n">
        <v>2056.7</v>
      </c>
      <c r="M256" s="9" t="n">
        <v>1936.07</v>
      </c>
      <c r="N256" s="9" t="n">
        <v>1891.62</v>
      </c>
      <c r="O256" s="9" t="n">
        <v>1972.67</v>
      </c>
      <c r="P256" s="9" t="n">
        <v>2246.21</v>
      </c>
      <c r="Q256" s="9" t="n">
        <v>2025.97</v>
      </c>
      <c r="R256" s="9" t="n">
        <v>2422.27</v>
      </c>
      <c r="S256" s="9" t="n">
        <v>2003.47</v>
      </c>
      <c r="T256" s="9" t="n">
        <v>2045.54</v>
      </c>
      <c r="U256" s="10">
        <f>SUM(I256:T256)</f>
        <v/>
      </c>
    </row>
    <row r="257">
      <c r="A257" s="2" t="inlineStr">
        <is>
          <t>SN-1000-1200-12ER-1210JP0001</t>
        </is>
      </c>
      <c r="B257" s="2" t="inlineStr">
        <is>
          <t>1210JP0001</t>
        </is>
      </c>
      <c r="C257" s="2" t="inlineStr">
        <is>
          <t>Tablero distribución instrumentación</t>
        </is>
      </c>
      <c r="D257" s="2" t="n">
        <v>86</v>
      </c>
      <c r="E257" s="2" t="inlineStr">
        <is>
          <t>CC-1000</t>
        </is>
      </c>
      <c r="F257" s="2" t="inlineStr">
        <is>
          <t>P01</t>
        </is>
      </c>
      <c r="G257" s="2" t="n">
        <v>610000</v>
      </c>
      <c r="H257" s="2" t="inlineStr">
        <is>
          <t>Mano obra interna</t>
        </is>
      </c>
      <c r="I257" s="9" t="n">
        <v>311.33</v>
      </c>
      <c r="J257" s="9" t="n">
        <v>299.03</v>
      </c>
      <c r="K257" s="9" t="n">
        <v>309.77</v>
      </c>
      <c r="L257" s="9" t="n">
        <v>301.61</v>
      </c>
      <c r="M257" s="9" t="n">
        <v>298.35</v>
      </c>
      <c r="N257" s="9" t="n">
        <v>292.97</v>
      </c>
      <c r="O257" s="9" t="n">
        <v>322.57</v>
      </c>
      <c r="P257" s="9" t="n">
        <v>291.52</v>
      </c>
      <c r="Q257" s="9" t="n">
        <v>278.49</v>
      </c>
      <c r="R257" s="9" t="n">
        <v>355.02</v>
      </c>
      <c r="S257" s="9" t="n">
        <v>286.52</v>
      </c>
      <c r="T257" s="9" t="n">
        <v>310.34</v>
      </c>
      <c r="U257" s="10">
        <f>SUM(I257:T257)</f>
        <v/>
      </c>
    </row>
    <row r="258">
      <c r="A258" s="2" t="inlineStr">
        <is>
          <t>SN-1000-1200-12ER-1210JP0001</t>
        </is>
      </c>
      <c r="B258" s="2" t="inlineStr">
        <is>
          <t>1210JP0001</t>
        </is>
      </c>
      <c r="C258" s="2" t="inlineStr">
        <is>
          <t>Tablero distribución instrumentación</t>
        </is>
      </c>
      <c r="D258" s="2" t="n">
        <v>86</v>
      </c>
      <c r="E258" s="2" t="inlineStr">
        <is>
          <t>CC-1000</t>
        </is>
      </c>
      <c r="F258" s="2" t="inlineStr">
        <is>
          <t>P01</t>
        </is>
      </c>
      <c r="G258" s="2" t="n">
        <v>620000</v>
      </c>
      <c r="H258" s="2" t="inlineStr">
        <is>
          <t>Materiales</t>
        </is>
      </c>
      <c r="I258" s="9" t="n">
        <v>296.13</v>
      </c>
      <c r="J258" s="9" t="n">
        <v>282.2</v>
      </c>
      <c r="K258" s="9" t="n">
        <v>315.97</v>
      </c>
      <c r="L258" s="9" t="n">
        <v>303.89</v>
      </c>
      <c r="M258" s="9" t="n">
        <v>306.94</v>
      </c>
      <c r="N258" s="9" t="n">
        <v>307.82</v>
      </c>
      <c r="O258" s="9" t="n">
        <v>289.34</v>
      </c>
      <c r="P258" s="9" t="n">
        <v>310.77</v>
      </c>
      <c r="Q258" s="9" t="n">
        <v>286.07</v>
      </c>
      <c r="R258" s="9" t="n">
        <v>312.26</v>
      </c>
      <c r="S258" s="9" t="n">
        <v>303.13</v>
      </c>
      <c r="T258" s="9" t="n">
        <v>300.31</v>
      </c>
      <c r="U258" s="10">
        <f>SUM(I258:T258)</f>
        <v/>
      </c>
    </row>
    <row r="259">
      <c r="A259" s="2" t="inlineStr">
        <is>
          <t>SN-1000-1200-12ER-1210JP0001</t>
        </is>
      </c>
      <c r="B259" s="2" t="inlineStr">
        <is>
          <t>1210JP0001</t>
        </is>
      </c>
      <c r="C259" s="2" t="inlineStr">
        <is>
          <t>Tablero distribución instrumentación</t>
        </is>
      </c>
      <c r="D259" s="2" t="n">
        <v>86</v>
      </c>
      <c r="E259" s="2" t="inlineStr">
        <is>
          <t>CC-1000</t>
        </is>
      </c>
      <c r="F259" s="2" t="inlineStr">
        <is>
          <t>P01</t>
        </is>
      </c>
      <c r="G259" s="2" t="n">
        <v>630000</v>
      </c>
      <c r="H259" s="2" t="inlineStr">
        <is>
          <t>Servicios externos</t>
        </is>
      </c>
      <c r="I259" s="9" t="n">
        <v>257.04</v>
      </c>
      <c r="J259" s="9" t="n">
        <v>264.03</v>
      </c>
      <c r="K259" s="9" t="n">
        <v>269.75</v>
      </c>
      <c r="L259" s="9" t="n">
        <v>290</v>
      </c>
      <c r="M259" s="9" t="n">
        <v>248.11</v>
      </c>
      <c r="N259" s="9" t="n">
        <v>254.62</v>
      </c>
      <c r="O259" s="9" t="n">
        <v>268.16</v>
      </c>
      <c r="P259" s="9" t="n">
        <v>279.34</v>
      </c>
      <c r="Q259" s="9" t="n">
        <v>254.16</v>
      </c>
      <c r="R259" s="9" t="n">
        <v>298.78</v>
      </c>
      <c r="S259" s="9" t="n">
        <v>272.79</v>
      </c>
      <c r="T259" s="9" t="n">
        <v>289.71</v>
      </c>
      <c r="U259" s="10">
        <f>SUM(I259:T259)</f>
        <v/>
      </c>
    </row>
    <row r="260">
      <c r="A260" s="2" t="inlineStr">
        <is>
          <t>SN-1000-1200-12ER-1210JX0001</t>
        </is>
      </c>
      <c r="B260" s="2" t="inlineStr">
        <is>
          <t>1210JX0001</t>
        </is>
      </c>
      <c r="C260" s="2" t="inlineStr">
        <is>
          <t>Transformador distribución instrumentos</t>
        </is>
      </c>
      <c r="D260" s="2" t="n">
        <v>87</v>
      </c>
      <c r="E260" s="2" t="inlineStr">
        <is>
          <t>CC-1000</t>
        </is>
      </c>
      <c r="F260" s="2" t="inlineStr">
        <is>
          <t>P01</t>
        </is>
      </c>
      <c r="G260" s="2" t="n">
        <v>610000</v>
      </c>
      <c r="H260" s="2" t="inlineStr">
        <is>
          <t>Mano obra interna</t>
        </is>
      </c>
      <c r="I260" s="9" t="n">
        <v>767.4400000000001</v>
      </c>
      <c r="J260" s="9" t="n">
        <v>775.95</v>
      </c>
      <c r="K260" s="9" t="n">
        <v>831.23</v>
      </c>
      <c r="L260" s="9" t="n">
        <v>811.29</v>
      </c>
      <c r="M260" s="9" t="n">
        <v>724.28</v>
      </c>
      <c r="N260" s="9" t="n">
        <v>679.55</v>
      </c>
      <c r="O260" s="9" t="n">
        <v>746.29</v>
      </c>
      <c r="P260" s="9" t="n">
        <v>775.53</v>
      </c>
      <c r="Q260" s="9" t="n">
        <v>694.74</v>
      </c>
      <c r="R260" s="9" t="n">
        <v>803.65</v>
      </c>
      <c r="S260" s="9" t="n">
        <v>762.5</v>
      </c>
      <c r="T260" s="9" t="n">
        <v>741.5</v>
      </c>
      <c r="U260" s="10">
        <f>SUM(I260:T260)</f>
        <v/>
      </c>
    </row>
    <row r="261">
      <c r="A261" s="2" t="inlineStr">
        <is>
          <t>SN-1000-1200-12ER-1210JX0001</t>
        </is>
      </c>
      <c r="B261" s="2" t="inlineStr">
        <is>
          <t>1210JX0001</t>
        </is>
      </c>
      <c r="C261" s="2" t="inlineStr">
        <is>
          <t>Transformador distribución instrumentos</t>
        </is>
      </c>
      <c r="D261" s="2" t="n">
        <v>87</v>
      </c>
      <c r="E261" s="2" t="inlineStr">
        <is>
          <t>CC-1000</t>
        </is>
      </c>
      <c r="F261" s="2" t="inlineStr">
        <is>
          <t>P01</t>
        </is>
      </c>
      <c r="G261" s="2" t="n">
        <v>620000</v>
      </c>
      <c r="H261" s="2" t="inlineStr">
        <is>
          <t>Materiales</t>
        </is>
      </c>
      <c r="I261" s="9" t="n">
        <v>873.5</v>
      </c>
      <c r="J261" s="9" t="n">
        <v>831.95</v>
      </c>
      <c r="K261" s="9" t="n">
        <v>889.5</v>
      </c>
      <c r="L261" s="9" t="n">
        <v>925.04</v>
      </c>
      <c r="M261" s="9" t="n">
        <v>808.1900000000001</v>
      </c>
      <c r="N261" s="9" t="n">
        <v>790.12</v>
      </c>
      <c r="O261" s="9" t="n">
        <v>931.78</v>
      </c>
      <c r="P261" s="9" t="n">
        <v>822.9</v>
      </c>
      <c r="Q261" s="9" t="n">
        <v>817.33</v>
      </c>
      <c r="R261" s="9" t="n">
        <v>948.62</v>
      </c>
      <c r="S261" s="9" t="n">
        <v>839.48</v>
      </c>
      <c r="T261" s="9" t="n">
        <v>901.9299999999999</v>
      </c>
      <c r="U261" s="10">
        <f>SUM(I261:T261)</f>
        <v/>
      </c>
    </row>
    <row r="262">
      <c r="A262" s="2" t="inlineStr">
        <is>
          <t>SN-1000-1200-12ER-1210JX0001</t>
        </is>
      </c>
      <c r="B262" s="2" t="inlineStr">
        <is>
          <t>1210JX0001</t>
        </is>
      </c>
      <c r="C262" s="2" t="inlineStr">
        <is>
          <t>Transformador distribución instrumentos</t>
        </is>
      </c>
      <c r="D262" s="2" t="n">
        <v>87</v>
      </c>
      <c r="E262" s="2" t="inlineStr">
        <is>
          <t>CC-1000</t>
        </is>
      </c>
      <c r="F262" s="2" t="inlineStr">
        <is>
          <t>P01</t>
        </is>
      </c>
      <c r="G262" s="2" t="n">
        <v>630000</v>
      </c>
      <c r="H262" s="2" t="inlineStr">
        <is>
          <t>Servicios externos</t>
        </is>
      </c>
      <c r="I262" s="9" t="n">
        <v>745.98</v>
      </c>
      <c r="J262" s="9" t="n">
        <v>699.0700000000001</v>
      </c>
      <c r="K262" s="9" t="n">
        <v>766.91</v>
      </c>
      <c r="L262" s="9" t="n">
        <v>698.1</v>
      </c>
      <c r="M262" s="9" t="n">
        <v>725.28</v>
      </c>
      <c r="N262" s="9" t="n">
        <v>657.92</v>
      </c>
      <c r="O262" s="9" t="n">
        <v>699.29</v>
      </c>
      <c r="P262" s="9" t="n">
        <v>691.51</v>
      </c>
      <c r="Q262" s="9" t="n">
        <v>640.3200000000001</v>
      </c>
      <c r="R262" s="9" t="n">
        <v>822.2</v>
      </c>
      <c r="S262" s="9" t="n">
        <v>677.45</v>
      </c>
      <c r="T262" s="9" t="n">
        <v>785.66</v>
      </c>
      <c r="U262" s="10">
        <f>SUM(I262:T262)</f>
        <v/>
      </c>
    </row>
    <row r="263">
      <c r="A263" s="2" t="inlineStr">
        <is>
          <t>SN-1000-1200-12ER-1210LP0001</t>
        </is>
      </c>
      <c r="B263" s="2" t="inlineStr">
        <is>
          <t>1210LP0001</t>
        </is>
      </c>
      <c r="C263" s="2" t="inlineStr">
        <is>
          <t>Tablero distribución alumbrado interior</t>
        </is>
      </c>
      <c r="D263" s="2" t="n">
        <v>88</v>
      </c>
      <c r="E263" s="2" t="inlineStr">
        <is>
          <t>CC-1000</t>
        </is>
      </c>
      <c r="F263" s="2" t="inlineStr">
        <is>
          <t>P01</t>
        </is>
      </c>
      <c r="G263" s="2" t="n">
        <v>610000</v>
      </c>
      <c r="H263" s="2" t="inlineStr">
        <is>
          <t>Mano obra interna</t>
        </is>
      </c>
      <c r="I263" s="9" t="n">
        <v>332.5</v>
      </c>
      <c r="J263" s="9" t="n">
        <v>299.05</v>
      </c>
      <c r="K263" s="9" t="n">
        <v>325.56</v>
      </c>
      <c r="L263" s="9" t="n">
        <v>344.82</v>
      </c>
      <c r="M263" s="9" t="n">
        <v>311.95</v>
      </c>
      <c r="N263" s="9" t="n">
        <v>287.55</v>
      </c>
      <c r="O263" s="9" t="n">
        <v>325.11</v>
      </c>
      <c r="P263" s="9" t="n">
        <v>339.57</v>
      </c>
      <c r="Q263" s="9" t="n">
        <v>313.98</v>
      </c>
      <c r="R263" s="9" t="n">
        <v>329.25</v>
      </c>
      <c r="S263" s="9" t="n">
        <v>320.37</v>
      </c>
      <c r="T263" s="9" t="n">
        <v>312.21</v>
      </c>
      <c r="U263" s="10">
        <f>SUM(I263:T263)</f>
        <v/>
      </c>
    </row>
    <row r="264">
      <c r="A264" s="2" t="inlineStr">
        <is>
          <t>SN-1000-1200-12ER-1210LP0001</t>
        </is>
      </c>
      <c r="B264" s="2" t="inlineStr">
        <is>
          <t>1210LP0001</t>
        </is>
      </c>
      <c r="C264" s="2" t="inlineStr">
        <is>
          <t>Tablero distribución alumbrado interior</t>
        </is>
      </c>
      <c r="D264" s="2" t="n">
        <v>88</v>
      </c>
      <c r="E264" s="2" t="inlineStr">
        <is>
          <t>CC-1000</t>
        </is>
      </c>
      <c r="F264" s="2" t="inlineStr">
        <is>
          <t>P01</t>
        </is>
      </c>
      <c r="G264" s="2" t="n">
        <v>620000</v>
      </c>
      <c r="H264" s="2" t="inlineStr">
        <is>
          <t>Materiales</t>
        </is>
      </c>
      <c r="I264" s="9" t="n">
        <v>271.71</v>
      </c>
      <c r="J264" s="9" t="n">
        <v>237.42</v>
      </c>
      <c r="K264" s="9" t="n">
        <v>249.26</v>
      </c>
      <c r="L264" s="9" t="n">
        <v>236.16</v>
      </c>
      <c r="M264" s="9" t="n">
        <v>263.27</v>
      </c>
      <c r="N264" s="9" t="n">
        <v>251.34</v>
      </c>
      <c r="O264" s="9" t="n">
        <v>256.36</v>
      </c>
      <c r="P264" s="9" t="n">
        <v>260.99</v>
      </c>
      <c r="Q264" s="9" t="n">
        <v>220.76</v>
      </c>
      <c r="R264" s="9" t="n">
        <v>269.02</v>
      </c>
      <c r="S264" s="9" t="n">
        <v>237.32</v>
      </c>
      <c r="T264" s="9" t="n">
        <v>238.29</v>
      </c>
      <c r="U264" s="10">
        <f>SUM(I264:T264)</f>
        <v/>
      </c>
    </row>
    <row r="265">
      <c r="A265" s="2" t="inlineStr">
        <is>
          <t>SN-1000-1200-12ER-1210LP0001</t>
        </is>
      </c>
      <c r="B265" s="2" t="inlineStr">
        <is>
          <t>1210LP0001</t>
        </is>
      </c>
      <c r="C265" s="2" t="inlineStr">
        <is>
          <t>Tablero distribución alumbrado interior</t>
        </is>
      </c>
      <c r="D265" s="2" t="n">
        <v>88</v>
      </c>
      <c r="E265" s="2" t="inlineStr">
        <is>
          <t>CC-1000</t>
        </is>
      </c>
      <c r="F265" s="2" t="inlineStr">
        <is>
          <t>P01</t>
        </is>
      </c>
      <c r="G265" s="2" t="n">
        <v>630000</v>
      </c>
      <c r="H265" s="2" t="inlineStr">
        <is>
          <t>Servicios externos</t>
        </is>
      </c>
      <c r="I265" s="9" t="n">
        <v>298.31</v>
      </c>
      <c r="J265" s="9" t="n">
        <v>249.8</v>
      </c>
      <c r="K265" s="9" t="n">
        <v>273.02</v>
      </c>
      <c r="L265" s="9" t="n">
        <v>266.73</v>
      </c>
      <c r="M265" s="9" t="n">
        <v>259.6</v>
      </c>
      <c r="N265" s="9" t="n">
        <v>278.86</v>
      </c>
      <c r="O265" s="9" t="n">
        <v>272.51</v>
      </c>
      <c r="P265" s="9" t="n">
        <v>272.1</v>
      </c>
      <c r="Q265" s="9" t="n">
        <v>265.49</v>
      </c>
      <c r="R265" s="9" t="n">
        <v>278.93</v>
      </c>
      <c r="S265" s="9" t="n">
        <v>264.5</v>
      </c>
      <c r="T265" s="9" t="n">
        <v>274.74</v>
      </c>
      <c r="U265" s="10">
        <f>SUM(I265:T265)</f>
        <v/>
      </c>
    </row>
    <row r="266">
      <c r="A266" s="2" t="inlineStr">
        <is>
          <t>SN-1000-1200-12ER-1210LX0001</t>
        </is>
      </c>
      <c r="B266" s="2" t="inlineStr">
        <is>
          <t>1210LX0001</t>
        </is>
      </c>
      <c r="C266" s="2" t="inlineStr">
        <is>
          <t>Transformador distribución alumbrado</t>
        </is>
      </c>
      <c r="D266" s="2" t="n">
        <v>89</v>
      </c>
      <c r="E266" s="2" t="inlineStr">
        <is>
          <t>CC-1000</t>
        </is>
      </c>
      <c r="F266" s="2" t="inlineStr">
        <is>
          <t>P01</t>
        </is>
      </c>
      <c r="G266" s="2" t="n">
        <v>610000</v>
      </c>
      <c r="H266" s="2" t="inlineStr">
        <is>
          <t>Mano obra interna</t>
        </is>
      </c>
      <c r="I266" s="9" t="n">
        <v>2371.52</v>
      </c>
      <c r="J266" s="9" t="n">
        <v>2209.92</v>
      </c>
      <c r="K266" s="9" t="n">
        <v>2182.96</v>
      </c>
      <c r="L266" s="9" t="n">
        <v>2313.8</v>
      </c>
      <c r="M266" s="9" t="n">
        <v>2016.74</v>
      </c>
      <c r="N266" s="9" t="n">
        <v>1902.14</v>
      </c>
      <c r="O266" s="9" t="n">
        <v>2050.36</v>
      </c>
      <c r="P266" s="9" t="n">
        <v>2094.66</v>
      </c>
      <c r="Q266" s="9" t="n">
        <v>2005.85</v>
      </c>
      <c r="R266" s="9" t="n">
        <v>2362.59</v>
      </c>
      <c r="S266" s="9" t="n">
        <v>2219.27</v>
      </c>
      <c r="T266" s="9" t="n">
        <v>2186.54</v>
      </c>
      <c r="U266" s="10">
        <f>SUM(I266:T266)</f>
        <v/>
      </c>
    </row>
    <row r="267">
      <c r="A267" s="2" t="inlineStr">
        <is>
          <t>SN-1000-1200-12ER-1210LX0001</t>
        </is>
      </c>
      <c r="B267" s="2" t="inlineStr">
        <is>
          <t>1210LX0001</t>
        </is>
      </c>
      <c r="C267" s="2" t="inlineStr">
        <is>
          <t>Transformador distribución alumbrado</t>
        </is>
      </c>
      <c r="D267" s="2" t="n">
        <v>89</v>
      </c>
      <c r="E267" s="2" t="inlineStr">
        <is>
          <t>CC-1000</t>
        </is>
      </c>
      <c r="F267" s="2" t="inlineStr">
        <is>
          <t>P01</t>
        </is>
      </c>
      <c r="G267" s="2" t="n">
        <v>620000</v>
      </c>
      <c r="H267" s="2" t="inlineStr">
        <is>
          <t>Materiales</t>
        </is>
      </c>
      <c r="I267" s="9" t="n">
        <v>1993.45</v>
      </c>
      <c r="J267" s="9" t="n">
        <v>1918.1</v>
      </c>
      <c r="K267" s="9" t="n">
        <v>2188.51</v>
      </c>
      <c r="L267" s="9" t="n">
        <v>2129.28</v>
      </c>
      <c r="M267" s="9" t="n">
        <v>2195.41</v>
      </c>
      <c r="N267" s="9" t="n">
        <v>1902.51</v>
      </c>
      <c r="O267" s="9" t="n">
        <v>1945.12</v>
      </c>
      <c r="P267" s="9" t="n">
        <v>2085.45</v>
      </c>
      <c r="Q267" s="9" t="n">
        <v>1876.45</v>
      </c>
      <c r="R267" s="9" t="n">
        <v>2105.66</v>
      </c>
      <c r="S267" s="9" t="n">
        <v>2110.17</v>
      </c>
      <c r="T267" s="9" t="n">
        <v>2002.7</v>
      </c>
      <c r="U267" s="10">
        <f>SUM(I267:T267)</f>
        <v/>
      </c>
    </row>
    <row r="268">
      <c r="A268" s="2" t="inlineStr">
        <is>
          <t>SN-1000-1200-12ER-1210LX0001</t>
        </is>
      </c>
      <c r="B268" s="2" t="inlineStr">
        <is>
          <t>1210LX0001</t>
        </is>
      </c>
      <c r="C268" s="2" t="inlineStr">
        <is>
          <t>Transformador distribución alumbrado</t>
        </is>
      </c>
      <c r="D268" s="2" t="n">
        <v>89</v>
      </c>
      <c r="E268" s="2" t="inlineStr">
        <is>
          <t>CC-1000</t>
        </is>
      </c>
      <c r="F268" s="2" t="inlineStr">
        <is>
          <t>P01</t>
        </is>
      </c>
      <c r="G268" s="2" t="n">
        <v>630000</v>
      </c>
      <c r="H268" s="2" t="inlineStr">
        <is>
          <t>Servicios externos</t>
        </is>
      </c>
      <c r="I268" s="9" t="n">
        <v>2069.1</v>
      </c>
      <c r="J268" s="9" t="n">
        <v>1960.56</v>
      </c>
      <c r="K268" s="9" t="n">
        <v>2125.2</v>
      </c>
      <c r="L268" s="9" t="n">
        <v>2250.28</v>
      </c>
      <c r="M268" s="9" t="n">
        <v>2042.82</v>
      </c>
      <c r="N268" s="9" t="n">
        <v>2088.73</v>
      </c>
      <c r="O268" s="9" t="n">
        <v>1975.46</v>
      </c>
      <c r="P268" s="9" t="n">
        <v>2190.47</v>
      </c>
      <c r="Q268" s="9" t="n">
        <v>1872.95</v>
      </c>
      <c r="R268" s="9" t="n">
        <v>2329.45</v>
      </c>
      <c r="S268" s="9" t="n">
        <v>2054.75</v>
      </c>
      <c r="T268" s="9" t="n">
        <v>2277.98</v>
      </c>
      <c r="U268" s="10">
        <f>SUM(I268:T268)</f>
        <v/>
      </c>
    </row>
    <row r="269">
      <c r="A269" s="2" t="inlineStr">
        <is>
          <t>SN-1000-1200-12ER-1210MC0011</t>
        </is>
      </c>
      <c r="B269" s="2" t="inlineStr">
        <is>
          <t>1210MC0011</t>
        </is>
      </c>
      <c r="C269" s="2" t="inlineStr">
        <is>
          <t>Centro control motores 1200A/400V/65kA</t>
        </is>
      </c>
      <c r="D269" s="2" t="n">
        <v>90</v>
      </c>
      <c r="E269" s="2" t="inlineStr">
        <is>
          <t>CC-1000</t>
        </is>
      </c>
      <c r="F269" s="2" t="inlineStr">
        <is>
          <t>P01</t>
        </is>
      </c>
      <c r="G269" s="2" t="n">
        <v>610000</v>
      </c>
      <c r="H269" s="2" t="inlineStr">
        <is>
          <t>Mano obra interna</t>
        </is>
      </c>
      <c r="I269" s="9" t="n">
        <v>1987.62</v>
      </c>
      <c r="J269" s="9" t="n">
        <v>1902.06</v>
      </c>
      <c r="K269" s="9" t="n">
        <v>2271.35</v>
      </c>
      <c r="L269" s="9" t="n">
        <v>2146.86</v>
      </c>
      <c r="M269" s="9" t="n">
        <v>2161.81</v>
      </c>
      <c r="N269" s="9" t="n">
        <v>1915.35</v>
      </c>
      <c r="O269" s="9" t="n">
        <v>2041.33</v>
      </c>
      <c r="P269" s="9" t="n">
        <v>1933.52</v>
      </c>
      <c r="Q269" s="9" t="n">
        <v>2091.46</v>
      </c>
      <c r="R269" s="9" t="n">
        <v>2316.96</v>
      </c>
      <c r="S269" s="9" t="n">
        <v>2165.84</v>
      </c>
      <c r="T269" s="9" t="n">
        <v>2043.66</v>
      </c>
      <c r="U269" s="10">
        <f>SUM(I269:T269)</f>
        <v/>
      </c>
    </row>
    <row r="270">
      <c r="A270" s="2" t="inlineStr">
        <is>
          <t>SN-1000-1200-12ER-1210MC0011</t>
        </is>
      </c>
      <c r="B270" s="2" t="inlineStr">
        <is>
          <t>1210MC0011</t>
        </is>
      </c>
      <c r="C270" s="2" t="inlineStr">
        <is>
          <t>Centro control motores 1200A/400V/65kA</t>
        </is>
      </c>
      <c r="D270" s="2" t="n">
        <v>90</v>
      </c>
      <c r="E270" s="2" t="inlineStr">
        <is>
          <t>CC-1000</t>
        </is>
      </c>
      <c r="F270" s="2" t="inlineStr">
        <is>
          <t>P01</t>
        </is>
      </c>
      <c r="G270" s="2" t="n">
        <v>620000</v>
      </c>
      <c r="H270" s="2" t="inlineStr">
        <is>
          <t>Materiales</t>
        </is>
      </c>
      <c r="I270" s="9" t="n">
        <v>2230.53</v>
      </c>
      <c r="J270" s="9" t="n">
        <v>2031.08</v>
      </c>
      <c r="K270" s="9" t="n">
        <v>2313.6</v>
      </c>
      <c r="L270" s="9" t="n">
        <v>2326.48</v>
      </c>
      <c r="M270" s="9" t="n">
        <v>2231.8</v>
      </c>
      <c r="N270" s="9" t="n">
        <v>2108.68</v>
      </c>
      <c r="O270" s="9" t="n">
        <v>2049.61</v>
      </c>
      <c r="P270" s="9" t="n">
        <v>2048.56</v>
      </c>
      <c r="Q270" s="9" t="n">
        <v>2124.08</v>
      </c>
      <c r="R270" s="9" t="n">
        <v>2111.41</v>
      </c>
      <c r="S270" s="9" t="n">
        <v>2127.56</v>
      </c>
      <c r="T270" s="9" t="n">
        <v>2227</v>
      </c>
      <c r="U270" s="10">
        <f>SUM(I270:T270)</f>
        <v/>
      </c>
    </row>
    <row r="271">
      <c r="A271" s="2" t="inlineStr">
        <is>
          <t>SN-1000-1200-12ER-1210MC0011</t>
        </is>
      </c>
      <c r="B271" s="2" t="inlineStr">
        <is>
          <t>1210MC0011</t>
        </is>
      </c>
      <c r="C271" s="2" t="inlineStr">
        <is>
          <t>Centro control motores 1200A/400V/65kA</t>
        </is>
      </c>
      <c r="D271" s="2" t="n">
        <v>90</v>
      </c>
      <c r="E271" s="2" t="inlineStr">
        <is>
          <t>CC-1000</t>
        </is>
      </c>
      <c r="F271" s="2" t="inlineStr">
        <is>
          <t>P01</t>
        </is>
      </c>
      <c r="G271" s="2" t="n">
        <v>630000</v>
      </c>
      <c r="H271" s="2" t="inlineStr">
        <is>
          <t>Servicios externos</t>
        </is>
      </c>
      <c r="I271" s="9" t="n">
        <v>2387.54</v>
      </c>
      <c r="J271" s="9" t="n">
        <v>2071.6</v>
      </c>
      <c r="K271" s="9" t="n">
        <v>2180.06</v>
      </c>
      <c r="L271" s="9" t="n">
        <v>2067.21</v>
      </c>
      <c r="M271" s="9" t="n">
        <v>2126.65</v>
      </c>
      <c r="N271" s="9" t="n">
        <v>1994.18</v>
      </c>
      <c r="O271" s="9" t="n">
        <v>2115.34</v>
      </c>
      <c r="P271" s="9" t="n">
        <v>2283.11</v>
      </c>
      <c r="Q271" s="9" t="n">
        <v>2159.48</v>
      </c>
      <c r="R271" s="9" t="n">
        <v>2221.21</v>
      </c>
      <c r="S271" s="9" t="n">
        <v>2056.64</v>
      </c>
      <c r="T271" s="9" t="n">
        <v>2351.87</v>
      </c>
      <c r="U271" s="10">
        <f>SUM(I271:T271)</f>
        <v/>
      </c>
    </row>
    <row r="272">
      <c r="A272" s="2" t="inlineStr">
        <is>
          <t>SN-1000-1200-12ER-1210SC0001</t>
        </is>
      </c>
      <c r="B272" s="2" t="inlineStr">
        <is>
          <t>1210SC0001</t>
        </is>
      </c>
      <c r="C272" s="2" t="inlineStr">
        <is>
          <t>Panel sistema Scada</t>
        </is>
      </c>
      <c r="D272" s="2" t="n">
        <v>91</v>
      </c>
      <c r="E272" s="2" t="inlineStr">
        <is>
          <t>CC-1000</t>
        </is>
      </c>
      <c r="F272" s="2" t="inlineStr">
        <is>
          <t>P01</t>
        </is>
      </c>
      <c r="G272" s="2" t="n">
        <v>610000</v>
      </c>
      <c r="H272" s="2" t="inlineStr">
        <is>
          <t>Mano obra interna</t>
        </is>
      </c>
      <c r="I272" s="9" t="n">
        <v>1218.65</v>
      </c>
      <c r="J272" s="9" t="n">
        <v>1189.87</v>
      </c>
      <c r="K272" s="9" t="n">
        <v>1337.54</v>
      </c>
      <c r="L272" s="9" t="n">
        <v>1232.22</v>
      </c>
      <c r="M272" s="9" t="n">
        <v>1358.51</v>
      </c>
      <c r="N272" s="9" t="n">
        <v>1210.55</v>
      </c>
      <c r="O272" s="9" t="n">
        <v>1277.95</v>
      </c>
      <c r="P272" s="9" t="n">
        <v>1224.38</v>
      </c>
      <c r="Q272" s="9" t="n">
        <v>1183.26</v>
      </c>
      <c r="R272" s="9" t="n">
        <v>1412.9</v>
      </c>
      <c r="S272" s="9" t="n">
        <v>1285.96</v>
      </c>
      <c r="T272" s="9" t="n">
        <v>1348.67</v>
      </c>
      <c r="U272" s="10">
        <f>SUM(I272:T272)</f>
        <v/>
      </c>
    </row>
    <row r="273">
      <c r="A273" s="2" t="inlineStr">
        <is>
          <t>SN-1000-1200-12ER-1210SC0001</t>
        </is>
      </c>
      <c r="B273" s="2" t="inlineStr">
        <is>
          <t>1210SC0001</t>
        </is>
      </c>
      <c r="C273" s="2" t="inlineStr">
        <is>
          <t>Panel sistema Scada</t>
        </is>
      </c>
      <c r="D273" s="2" t="n">
        <v>91</v>
      </c>
      <c r="E273" s="2" t="inlineStr">
        <is>
          <t>CC-1000</t>
        </is>
      </c>
      <c r="F273" s="2" t="inlineStr">
        <is>
          <t>P01</t>
        </is>
      </c>
      <c r="G273" s="2" t="n">
        <v>620000</v>
      </c>
      <c r="H273" s="2" t="inlineStr">
        <is>
          <t>Materiales</t>
        </is>
      </c>
      <c r="I273" s="9" t="n">
        <v>1562.93</v>
      </c>
      <c r="J273" s="9" t="n">
        <v>1488.13</v>
      </c>
      <c r="K273" s="9" t="n">
        <v>1544.5</v>
      </c>
      <c r="L273" s="9" t="n">
        <v>1365.18</v>
      </c>
      <c r="M273" s="9" t="n">
        <v>1310.83</v>
      </c>
      <c r="N273" s="9" t="n">
        <v>1311.56</v>
      </c>
      <c r="O273" s="9" t="n">
        <v>1476.27</v>
      </c>
      <c r="P273" s="9" t="n">
        <v>1416.49</v>
      </c>
      <c r="Q273" s="9" t="n">
        <v>1317.68</v>
      </c>
      <c r="R273" s="9" t="n">
        <v>1646.18</v>
      </c>
      <c r="S273" s="9" t="n">
        <v>1480.16</v>
      </c>
      <c r="T273" s="9" t="n">
        <v>1554.87</v>
      </c>
      <c r="U273" s="10">
        <f>SUM(I273:T273)</f>
        <v/>
      </c>
    </row>
    <row r="274">
      <c r="A274" s="2" t="inlineStr">
        <is>
          <t>SN-1000-1200-12ER-1210SC0001</t>
        </is>
      </c>
      <c r="B274" s="2" t="inlineStr">
        <is>
          <t>1210SC0001</t>
        </is>
      </c>
      <c r="C274" s="2" t="inlineStr">
        <is>
          <t>Panel sistema Scada</t>
        </is>
      </c>
      <c r="D274" s="2" t="n">
        <v>91</v>
      </c>
      <c r="E274" s="2" t="inlineStr">
        <is>
          <t>CC-1000</t>
        </is>
      </c>
      <c r="F274" s="2" t="inlineStr">
        <is>
          <t>P01</t>
        </is>
      </c>
      <c r="G274" s="2" t="n">
        <v>630000</v>
      </c>
      <c r="H274" s="2" t="inlineStr">
        <is>
          <t>Servicios externos</t>
        </is>
      </c>
      <c r="I274" s="9" t="n">
        <v>1431.05</v>
      </c>
      <c r="J274" s="9" t="n">
        <v>1290.7</v>
      </c>
      <c r="K274" s="9" t="n">
        <v>1333.82</v>
      </c>
      <c r="L274" s="9" t="n">
        <v>1320.08</v>
      </c>
      <c r="M274" s="9" t="n">
        <v>1312.17</v>
      </c>
      <c r="N274" s="9" t="n">
        <v>1285.91</v>
      </c>
      <c r="O274" s="9" t="n">
        <v>1432.92</v>
      </c>
      <c r="P274" s="9" t="n">
        <v>1276.56</v>
      </c>
      <c r="Q274" s="9" t="n">
        <v>1313.82</v>
      </c>
      <c r="R274" s="9" t="n">
        <v>1474.31</v>
      </c>
      <c r="S274" s="9" t="n">
        <v>1272.13</v>
      </c>
      <c r="T274" s="9" t="n">
        <v>1378.86</v>
      </c>
      <c r="U274" s="10">
        <f>SUM(I274:T274)</f>
        <v/>
      </c>
    </row>
    <row r="275">
      <c r="A275" s="2" t="inlineStr">
        <is>
          <t>SN-1000-1200-12ER-1210UP0001</t>
        </is>
      </c>
      <c r="B275" s="2" t="inlineStr">
        <is>
          <t>1210UP0001</t>
        </is>
      </c>
      <c r="C275" s="2" t="inlineStr">
        <is>
          <t>UPS</t>
        </is>
      </c>
      <c r="D275" s="2" t="n">
        <v>92</v>
      </c>
      <c r="E275" s="2" t="inlineStr">
        <is>
          <t>CC-1000</t>
        </is>
      </c>
      <c r="F275" s="2" t="inlineStr">
        <is>
          <t>P01</t>
        </is>
      </c>
      <c r="G275" s="2" t="n">
        <v>610000</v>
      </c>
      <c r="H275" s="2" t="inlineStr">
        <is>
          <t>Mano obra interna</t>
        </is>
      </c>
      <c r="I275" s="9" t="n">
        <v>2707.72</v>
      </c>
      <c r="J275" s="9" t="n">
        <v>2545.48</v>
      </c>
      <c r="K275" s="9" t="n">
        <v>2550.22</v>
      </c>
      <c r="L275" s="9" t="n">
        <v>2506.07</v>
      </c>
      <c r="M275" s="9" t="n">
        <v>2604.57</v>
      </c>
      <c r="N275" s="9" t="n">
        <v>2658.31</v>
      </c>
      <c r="O275" s="9" t="n">
        <v>2548.2</v>
      </c>
      <c r="P275" s="9" t="n">
        <v>2707.63</v>
      </c>
      <c r="Q275" s="9" t="n">
        <v>2493.43</v>
      </c>
      <c r="R275" s="9" t="n">
        <v>3011.66</v>
      </c>
      <c r="S275" s="9" t="n">
        <v>2658.72</v>
      </c>
      <c r="T275" s="9" t="n">
        <v>2679.31</v>
      </c>
      <c r="U275" s="10">
        <f>SUM(I275:T275)</f>
        <v/>
      </c>
    </row>
    <row r="276">
      <c r="A276" s="2" t="inlineStr">
        <is>
          <t>SN-1000-1200-12ER-1210UP0001</t>
        </is>
      </c>
      <c r="B276" s="2" t="inlineStr">
        <is>
          <t>1210UP0001</t>
        </is>
      </c>
      <c r="C276" s="2" t="inlineStr">
        <is>
          <t>UPS</t>
        </is>
      </c>
      <c r="D276" s="2" t="n">
        <v>92</v>
      </c>
      <c r="E276" s="2" t="inlineStr">
        <is>
          <t>CC-1000</t>
        </is>
      </c>
      <c r="F276" s="2" t="inlineStr">
        <is>
          <t>P01</t>
        </is>
      </c>
      <c r="G276" s="2" t="n">
        <v>620000</v>
      </c>
      <c r="H276" s="2" t="inlineStr">
        <is>
          <t>Materiales</t>
        </is>
      </c>
      <c r="I276" s="9" t="n">
        <v>3113.98</v>
      </c>
      <c r="J276" s="9" t="n">
        <v>2778.78</v>
      </c>
      <c r="K276" s="9" t="n">
        <v>2876.36</v>
      </c>
      <c r="L276" s="9" t="n">
        <v>2701.43</v>
      </c>
      <c r="M276" s="9" t="n">
        <v>2986.22</v>
      </c>
      <c r="N276" s="9" t="n">
        <v>2873.66</v>
      </c>
      <c r="O276" s="9" t="n">
        <v>2687.34</v>
      </c>
      <c r="P276" s="9" t="n">
        <v>2900.7</v>
      </c>
      <c r="Q276" s="9" t="n">
        <v>2654.01</v>
      </c>
      <c r="R276" s="9" t="n">
        <v>2903.84</v>
      </c>
      <c r="S276" s="9" t="n">
        <v>2989.48</v>
      </c>
      <c r="T276" s="9" t="n">
        <v>2777.34</v>
      </c>
      <c r="U276" s="10">
        <f>SUM(I276:T276)</f>
        <v/>
      </c>
    </row>
    <row r="277">
      <c r="A277" s="2" t="inlineStr">
        <is>
          <t>SN-1000-1200-12ER-1210UP0001</t>
        </is>
      </c>
      <c r="B277" s="2" t="inlineStr">
        <is>
          <t>1210UP0001</t>
        </is>
      </c>
      <c r="C277" s="2" t="inlineStr">
        <is>
          <t>UPS</t>
        </is>
      </c>
      <c r="D277" s="2" t="n">
        <v>92</v>
      </c>
      <c r="E277" s="2" t="inlineStr">
        <is>
          <t>CC-1000</t>
        </is>
      </c>
      <c r="F277" s="2" t="inlineStr">
        <is>
          <t>P01</t>
        </is>
      </c>
      <c r="G277" s="2" t="n">
        <v>630000</v>
      </c>
      <c r="H277" s="2" t="inlineStr">
        <is>
          <t>Servicios externos</t>
        </is>
      </c>
      <c r="I277" s="9" t="n">
        <v>2442.3</v>
      </c>
      <c r="J277" s="9" t="n">
        <v>2409.69</v>
      </c>
      <c r="K277" s="9" t="n">
        <v>2249.36</v>
      </c>
      <c r="L277" s="9" t="n">
        <v>2469.79</v>
      </c>
      <c r="M277" s="9" t="n">
        <v>2344.34</v>
      </c>
      <c r="N277" s="9" t="n">
        <v>2110.11</v>
      </c>
      <c r="O277" s="9" t="n">
        <v>2234.2</v>
      </c>
      <c r="P277" s="9" t="n">
        <v>2380.52</v>
      </c>
      <c r="Q277" s="9" t="n">
        <v>2122.29</v>
      </c>
      <c r="R277" s="9" t="n">
        <v>2719.73</v>
      </c>
      <c r="S277" s="9" t="n">
        <v>2397.75</v>
      </c>
      <c r="T277" s="9" t="n">
        <v>2576.7</v>
      </c>
      <c r="U277" s="10">
        <f>SUM(I277:T277)</f>
        <v/>
      </c>
    </row>
    <row r="278">
      <c r="A278" s="2" t="inlineStr">
        <is>
          <t>SN-1000-1200-12ER-1210ZM0001</t>
        </is>
      </c>
      <c r="B278" s="2" t="inlineStr">
        <is>
          <t>1210ZM0001</t>
        </is>
      </c>
      <c r="C278" s="2" t="inlineStr">
        <is>
          <t>Unidad presurización</t>
        </is>
      </c>
      <c r="D278" s="2" t="n">
        <v>93</v>
      </c>
      <c r="E278" s="2" t="inlineStr">
        <is>
          <t>CC-1000</t>
        </is>
      </c>
      <c r="F278" s="2" t="inlineStr">
        <is>
          <t>P01</t>
        </is>
      </c>
      <c r="G278" s="2" t="n">
        <v>610000</v>
      </c>
      <c r="H278" s="2" t="inlineStr">
        <is>
          <t>Mano obra interna</t>
        </is>
      </c>
      <c r="I278" s="9" t="n">
        <v>677.99</v>
      </c>
      <c r="J278" s="9" t="n">
        <v>601.67</v>
      </c>
      <c r="K278" s="9" t="n">
        <v>621.72</v>
      </c>
      <c r="L278" s="9" t="n">
        <v>585.91</v>
      </c>
      <c r="M278" s="9" t="n">
        <v>567.58</v>
      </c>
      <c r="N278" s="9" t="n">
        <v>608.72</v>
      </c>
      <c r="O278" s="9" t="n">
        <v>613.84</v>
      </c>
      <c r="P278" s="9" t="n">
        <v>590.25</v>
      </c>
      <c r="Q278" s="9" t="n">
        <v>585.5</v>
      </c>
      <c r="R278" s="9" t="n">
        <v>639.8200000000001</v>
      </c>
      <c r="S278" s="9" t="n">
        <v>605.42</v>
      </c>
      <c r="T278" s="9" t="n">
        <v>612.77</v>
      </c>
      <c r="U278" s="10">
        <f>SUM(I278:T278)</f>
        <v/>
      </c>
    </row>
    <row r="279">
      <c r="A279" s="2" t="inlineStr">
        <is>
          <t>SN-1000-1200-12ER-1210ZM0001</t>
        </is>
      </c>
      <c r="B279" s="2" t="inlineStr">
        <is>
          <t>1210ZM0001</t>
        </is>
      </c>
      <c r="C279" s="2" t="inlineStr">
        <is>
          <t>Unidad presurización</t>
        </is>
      </c>
      <c r="D279" s="2" t="n">
        <v>93</v>
      </c>
      <c r="E279" s="2" t="inlineStr">
        <is>
          <t>CC-1000</t>
        </is>
      </c>
      <c r="F279" s="2" t="inlineStr">
        <is>
          <t>P01</t>
        </is>
      </c>
      <c r="G279" s="2" t="n">
        <v>620000</v>
      </c>
      <c r="H279" s="2" t="inlineStr">
        <is>
          <t>Materiales</t>
        </is>
      </c>
      <c r="I279" s="9" t="n">
        <v>756.1900000000001</v>
      </c>
      <c r="J279" s="9" t="n">
        <v>691.41</v>
      </c>
      <c r="K279" s="9" t="n">
        <v>709.54</v>
      </c>
      <c r="L279" s="9" t="n">
        <v>704.29</v>
      </c>
      <c r="M279" s="9" t="n">
        <v>731.41</v>
      </c>
      <c r="N279" s="9" t="n">
        <v>655.12</v>
      </c>
      <c r="O279" s="9" t="n">
        <v>672.1</v>
      </c>
      <c r="P279" s="9" t="n">
        <v>657.28</v>
      </c>
      <c r="Q279" s="9" t="n">
        <v>652.39</v>
      </c>
      <c r="R279" s="9" t="n">
        <v>757.6799999999999</v>
      </c>
      <c r="S279" s="9" t="n">
        <v>719.29</v>
      </c>
      <c r="T279" s="9" t="n">
        <v>683.16</v>
      </c>
      <c r="U279" s="10">
        <f>SUM(I279:T279)</f>
        <v/>
      </c>
    </row>
    <row r="280">
      <c r="A280" s="2" t="inlineStr">
        <is>
          <t>SN-1000-1200-12ER-1210ZM0001</t>
        </is>
      </c>
      <c r="B280" s="2" t="inlineStr">
        <is>
          <t>1210ZM0001</t>
        </is>
      </c>
      <c r="C280" s="2" t="inlineStr">
        <is>
          <t>Unidad presurización</t>
        </is>
      </c>
      <c r="D280" s="2" t="n">
        <v>93</v>
      </c>
      <c r="E280" s="2" t="inlineStr">
        <is>
          <t>CC-1000</t>
        </is>
      </c>
      <c r="F280" s="2" t="inlineStr">
        <is>
          <t>P01</t>
        </is>
      </c>
      <c r="G280" s="2" t="n">
        <v>630000</v>
      </c>
      <c r="H280" s="2" t="inlineStr">
        <is>
          <t>Servicios externos</t>
        </is>
      </c>
      <c r="I280" s="9" t="n">
        <v>654.36</v>
      </c>
      <c r="J280" s="9" t="n">
        <v>632.75</v>
      </c>
      <c r="K280" s="9" t="n">
        <v>618.55</v>
      </c>
      <c r="L280" s="9" t="n">
        <v>620.24</v>
      </c>
      <c r="M280" s="9" t="n">
        <v>585.51</v>
      </c>
      <c r="N280" s="9" t="n">
        <v>624.4400000000001</v>
      </c>
      <c r="O280" s="9" t="n">
        <v>573.84</v>
      </c>
      <c r="P280" s="9" t="n">
        <v>652.76</v>
      </c>
      <c r="Q280" s="9" t="n">
        <v>585.36</v>
      </c>
      <c r="R280" s="9" t="n">
        <v>662.09</v>
      </c>
      <c r="S280" s="9" t="n">
        <v>547.13</v>
      </c>
      <c r="T280" s="9" t="n">
        <v>617.5</v>
      </c>
      <c r="U280" s="10">
        <f>SUM(I280:T280)</f>
        <v/>
      </c>
    </row>
    <row r="281">
      <c r="A281" s="2" t="inlineStr">
        <is>
          <t>SN-2000-2100-2100-2100US0001</t>
        </is>
      </c>
      <c r="B281" s="2" t="inlineStr">
        <is>
          <t>2100US0001</t>
        </is>
      </c>
      <c r="C281" s="2" t="inlineStr">
        <is>
          <t>Subestación unitaria</t>
        </is>
      </c>
      <c r="D281" s="2" t="n">
        <v>94</v>
      </c>
      <c r="E281" s="2" t="inlineStr">
        <is>
          <t>CC-2000</t>
        </is>
      </c>
      <c r="F281" s="2" t="inlineStr">
        <is>
          <t>P01</t>
        </is>
      </c>
      <c r="G281" s="2" t="n">
        <v>610000</v>
      </c>
      <c r="H281" s="2" t="inlineStr">
        <is>
          <t>Mano obra interna</t>
        </is>
      </c>
      <c r="I281" s="9" t="n">
        <v>1007.22</v>
      </c>
      <c r="J281" s="9" t="n">
        <v>1053.12</v>
      </c>
      <c r="K281" s="9" t="n">
        <v>1157.34</v>
      </c>
      <c r="L281" s="9" t="n">
        <v>1076.81</v>
      </c>
      <c r="M281" s="9" t="n">
        <v>1067.88</v>
      </c>
      <c r="N281" s="9" t="n">
        <v>928.5</v>
      </c>
      <c r="O281" s="9" t="n">
        <v>1029.92</v>
      </c>
      <c r="P281" s="9" t="n">
        <v>978.4400000000001</v>
      </c>
      <c r="Q281" s="9" t="n">
        <v>988.62</v>
      </c>
      <c r="R281" s="9" t="n">
        <v>1203.94</v>
      </c>
      <c r="S281" s="9" t="n">
        <v>1036.03</v>
      </c>
      <c r="T281" s="9" t="n">
        <v>987</v>
      </c>
      <c r="U281" s="10">
        <f>SUM(I281:T281)</f>
        <v/>
      </c>
    </row>
    <row r="282">
      <c r="A282" s="2" t="inlineStr">
        <is>
          <t>SN-2000-2100-2100-2100US0001</t>
        </is>
      </c>
      <c r="B282" s="2" t="inlineStr">
        <is>
          <t>2100US0001</t>
        </is>
      </c>
      <c r="C282" s="2" t="inlineStr">
        <is>
          <t>Subestación unitaria</t>
        </is>
      </c>
      <c r="D282" s="2" t="n">
        <v>94</v>
      </c>
      <c r="E282" s="2" t="inlineStr">
        <is>
          <t>CC-2000</t>
        </is>
      </c>
      <c r="F282" s="2" t="inlineStr">
        <is>
          <t>P01</t>
        </is>
      </c>
      <c r="G282" s="2" t="n">
        <v>620000</v>
      </c>
      <c r="H282" s="2" t="inlineStr">
        <is>
          <t>Materiales</t>
        </is>
      </c>
      <c r="I282" s="9" t="n">
        <v>1023.87</v>
      </c>
      <c r="J282" s="9" t="n">
        <v>964.66</v>
      </c>
      <c r="K282" s="9" t="n">
        <v>1081.17</v>
      </c>
      <c r="L282" s="9" t="n">
        <v>1068.02</v>
      </c>
      <c r="M282" s="9" t="n">
        <v>1002.22</v>
      </c>
      <c r="N282" s="9" t="n">
        <v>931.9299999999999</v>
      </c>
      <c r="O282" s="9" t="n">
        <v>956.38</v>
      </c>
      <c r="P282" s="9" t="n">
        <v>931.46</v>
      </c>
      <c r="Q282" s="9" t="n">
        <v>904.63</v>
      </c>
      <c r="R282" s="9" t="n">
        <v>1058.02</v>
      </c>
      <c r="S282" s="9" t="n">
        <v>990.22</v>
      </c>
      <c r="T282" s="9" t="n">
        <v>1035.22</v>
      </c>
      <c r="U282" s="10">
        <f>SUM(I282:T282)</f>
        <v/>
      </c>
    </row>
    <row r="283">
      <c r="A283" s="2" t="inlineStr">
        <is>
          <t>SN-2000-2100-2100-2100US0001</t>
        </is>
      </c>
      <c r="B283" s="2" t="inlineStr">
        <is>
          <t>2100US0001</t>
        </is>
      </c>
      <c r="C283" s="2" t="inlineStr">
        <is>
          <t>Subestación unitaria</t>
        </is>
      </c>
      <c r="D283" s="2" t="n">
        <v>94</v>
      </c>
      <c r="E283" s="2" t="inlineStr">
        <is>
          <t>CC-2000</t>
        </is>
      </c>
      <c r="F283" s="2" t="inlineStr">
        <is>
          <t>P01</t>
        </is>
      </c>
      <c r="G283" s="2" t="n">
        <v>630000</v>
      </c>
      <c r="H283" s="2" t="inlineStr">
        <is>
          <t>Servicios externos</t>
        </is>
      </c>
      <c r="I283" s="9" t="n">
        <v>921.74</v>
      </c>
      <c r="J283" s="9" t="n">
        <v>858.35</v>
      </c>
      <c r="K283" s="9" t="n">
        <v>895.34</v>
      </c>
      <c r="L283" s="9" t="n">
        <v>987.7</v>
      </c>
      <c r="M283" s="9" t="n">
        <v>842.2</v>
      </c>
      <c r="N283" s="9" t="n">
        <v>866.61</v>
      </c>
      <c r="O283" s="9" t="n">
        <v>869.95</v>
      </c>
      <c r="P283" s="9" t="n">
        <v>973.3099999999999</v>
      </c>
      <c r="Q283" s="9" t="n">
        <v>862.63</v>
      </c>
      <c r="R283" s="9" t="n">
        <v>947.76</v>
      </c>
      <c r="S283" s="9" t="n">
        <v>889.3200000000001</v>
      </c>
      <c r="T283" s="9" t="n">
        <v>966.46</v>
      </c>
      <c r="U283" s="10">
        <f>SUM(I283:T283)</f>
        <v/>
      </c>
    </row>
    <row r="284">
      <c r="A284" s="2" t="inlineStr">
        <is>
          <t>SN-2000-2100-2110-2110AR0003</t>
        </is>
      </c>
      <c r="B284" s="2" t="inlineStr">
        <is>
          <t>2110AR0003</t>
        </is>
      </c>
      <c r="C284" s="2" t="inlineStr">
        <is>
          <t>Acumulador de aire chancado</t>
        </is>
      </c>
      <c r="D284" s="2" t="n">
        <v>95</v>
      </c>
      <c r="E284" s="2" t="inlineStr">
        <is>
          <t>CC-2000</t>
        </is>
      </c>
      <c r="F284" s="2" t="inlineStr">
        <is>
          <t>P01</t>
        </is>
      </c>
      <c r="G284" s="2" t="n">
        <v>610000</v>
      </c>
      <c r="H284" s="2" t="inlineStr">
        <is>
          <t>Mano obra interna</t>
        </is>
      </c>
      <c r="I284" s="9" t="n">
        <v>506.67</v>
      </c>
      <c r="J284" s="9" t="n">
        <v>543.3099999999999</v>
      </c>
      <c r="K284" s="9" t="n">
        <v>573.25</v>
      </c>
      <c r="L284" s="9" t="n">
        <v>566.4</v>
      </c>
      <c r="M284" s="9" t="n">
        <v>525.33</v>
      </c>
      <c r="N284" s="9" t="n">
        <v>507.06</v>
      </c>
      <c r="O284" s="9" t="n">
        <v>511.75</v>
      </c>
      <c r="P284" s="9" t="n">
        <v>540.14</v>
      </c>
      <c r="Q284" s="9" t="n">
        <v>486.07</v>
      </c>
      <c r="R284" s="9" t="n">
        <v>576.22</v>
      </c>
      <c r="S284" s="9" t="n">
        <v>497.21</v>
      </c>
      <c r="T284" s="9" t="n">
        <v>546.8099999999999</v>
      </c>
      <c r="U284" s="10">
        <f>SUM(I284:T284)</f>
        <v/>
      </c>
    </row>
    <row r="285">
      <c r="A285" s="2" t="inlineStr">
        <is>
          <t>SN-2000-2100-2110-2110AR0003</t>
        </is>
      </c>
      <c r="B285" s="2" t="inlineStr">
        <is>
          <t>2110AR0003</t>
        </is>
      </c>
      <c r="C285" s="2" t="inlineStr">
        <is>
          <t>Acumulador de aire chancado</t>
        </is>
      </c>
      <c r="D285" s="2" t="n">
        <v>95</v>
      </c>
      <c r="E285" s="2" t="inlineStr">
        <is>
          <t>CC-2000</t>
        </is>
      </c>
      <c r="F285" s="2" t="inlineStr">
        <is>
          <t>P01</t>
        </is>
      </c>
      <c r="G285" s="2" t="n">
        <v>620000</v>
      </c>
      <c r="H285" s="2" t="inlineStr">
        <is>
          <t>Materiales</t>
        </is>
      </c>
      <c r="I285" s="9" t="n">
        <v>476.64</v>
      </c>
      <c r="J285" s="9" t="n">
        <v>513.37</v>
      </c>
      <c r="K285" s="9" t="n">
        <v>513.86</v>
      </c>
      <c r="L285" s="9" t="n">
        <v>533.71</v>
      </c>
      <c r="M285" s="9" t="n">
        <v>484.4</v>
      </c>
      <c r="N285" s="9" t="n">
        <v>464</v>
      </c>
      <c r="O285" s="9" t="n">
        <v>528.01</v>
      </c>
      <c r="P285" s="9" t="n">
        <v>474.85</v>
      </c>
      <c r="Q285" s="9" t="n">
        <v>486.07</v>
      </c>
      <c r="R285" s="9" t="n">
        <v>532.35</v>
      </c>
      <c r="S285" s="9" t="n">
        <v>480.18</v>
      </c>
      <c r="T285" s="9" t="n">
        <v>486.86</v>
      </c>
      <c r="U285" s="10">
        <f>SUM(I285:T285)</f>
        <v/>
      </c>
    </row>
    <row r="286">
      <c r="A286" s="2" t="inlineStr">
        <is>
          <t>SN-2000-2100-2110-2110AR0003</t>
        </is>
      </c>
      <c r="B286" s="2" t="inlineStr">
        <is>
          <t>2110AR0003</t>
        </is>
      </c>
      <c r="C286" s="2" t="inlineStr">
        <is>
          <t>Acumulador de aire chancado</t>
        </is>
      </c>
      <c r="D286" s="2" t="n">
        <v>95</v>
      </c>
      <c r="E286" s="2" t="inlineStr">
        <is>
          <t>CC-2000</t>
        </is>
      </c>
      <c r="F286" s="2" t="inlineStr">
        <is>
          <t>P01</t>
        </is>
      </c>
      <c r="G286" s="2" t="n">
        <v>630000</v>
      </c>
      <c r="H286" s="2" t="inlineStr">
        <is>
          <t>Servicios externos</t>
        </is>
      </c>
      <c r="I286" s="9" t="n">
        <v>457.37</v>
      </c>
      <c r="J286" s="9" t="n">
        <v>420.48</v>
      </c>
      <c r="K286" s="9" t="n">
        <v>458.16</v>
      </c>
      <c r="L286" s="9" t="n">
        <v>433.88</v>
      </c>
      <c r="M286" s="9" t="n">
        <v>491.07</v>
      </c>
      <c r="N286" s="9" t="n">
        <v>473.51</v>
      </c>
      <c r="O286" s="9" t="n">
        <v>453.4</v>
      </c>
      <c r="P286" s="9" t="n">
        <v>477.41</v>
      </c>
      <c r="Q286" s="9" t="n">
        <v>418.48</v>
      </c>
      <c r="R286" s="9" t="n">
        <v>510.68</v>
      </c>
      <c r="S286" s="9" t="n">
        <v>468.01</v>
      </c>
      <c r="T286" s="9" t="n">
        <v>501.2</v>
      </c>
      <c r="U286" s="10">
        <f>SUM(I286:T286)</f>
        <v/>
      </c>
    </row>
    <row r="287">
      <c r="A287" s="2" t="inlineStr">
        <is>
          <t>SN-2000-2100-2110-2110BN0001</t>
        </is>
      </c>
      <c r="B287" s="2" t="inlineStr">
        <is>
          <t>2110BN0001</t>
        </is>
      </c>
      <c r="C287" s="2" t="inlineStr">
        <is>
          <t>Tolva room</t>
        </is>
      </c>
      <c r="D287" s="2" t="n">
        <v>96</v>
      </c>
      <c r="E287" s="2" t="inlineStr">
        <is>
          <t>CC-2000</t>
        </is>
      </c>
      <c r="F287" s="2" t="inlineStr">
        <is>
          <t>P01</t>
        </is>
      </c>
      <c r="G287" s="2" t="n">
        <v>610000</v>
      </c>
      <c r="H287" s="2" t="inlineStr">
        <is>
          <t>Mano obra interna</t>
        </is>
      </c>
      <c r="I287" s="9" t="n">
        <v>2162.09</v>
      </c>
      <c r="J287" s="9" t="n">
        <v>1920.69</v>
      </c>
      <c r="K287" s="9" t="n">
        <v>2254.19</v>
      </c>
      <c r="L287" s="9" t="n">
        <v>1913.64</v>
      </c>
      <c r="M287" s="9" t="n">
        <v>2038.35</v>
      </c>
      <c r="N287" s="9" t="n">
        <v>1986.52</v>
      </c>
      <c r="O287" s="9" t="n">
        <v>2088</v>
      </c>
      <c r="P287" s="9" t="n">
        <v>1901.62</v>
      </c>
      <c r="Q287" s="9" t="n">
        <v>2018.38</v>
      </c>
      <c r="R287" s="9" t="n">
        <v>2073.54</v>
      </c>
      <c r="S287" s="9" t="n">
        <v>1999.91</v>
      </c>
      <c r="T287" s="9" t="n">
        <v>1964.94</v>
      </c>
      <c r="U287" s="10">
        <f>SUM(I287:T287)</f>
        <v/>
      </c>
    </row>
    <row r="288">
      <c r="A288" s="2" t="inlineStr">
        <is>
          <t>SN-2000-2100-2110-2110BN0001</t>
        </is>
      </c>
      <c r="B288" s="2" t="inlineStr">
        <is>
          <t>2110BN0001</t>
        </is>
      </c>
      <c r="C288" s="2" t="inlineStr">
        <is>
          <t>Tolva room</t>
        </is>
      </c>
      <c r="D288" s="2" t="n">
        <v>96</v>
      </c>
      <c r="E288" s="2" t="inlineStr">
        <is>
          <t>CC-2000</t>
        </is>
      </c>
      <c r="F288" s="2" t="inlineStr">
        <is>
          <t>P01</t>
        </is>
      </c>
      <c r="G288" s="2" t="n">
        <v>620000</v>
      </c>
      <c r="H288" s="2" t="inlineStr">
        <is>
          <t>Materiales</t>
        </is>
      </c>
      <c r="I288" s="9" t="n">
        <v>2003.06</v>
      </c>
      <c r="J288" s="9" t="n">
        <v>1892.77</v>
      </c>
      <c r="K288" s="9" t="n">
        <v>1900.07</v>
      </c>
      <c r="L288" s="9" t="n">
        <v>1885.81</v>
      </c>
      <c r="M288" s="9" t="n">
        <v>1902.29</v>
      </c>
      <c r="N288" s="9" t="n">
        <v>1938.77</v>
      </c>
      <c r="O288" s="9" t="n">
        <v>2072.63</v>
      </c>
      <c r="P288" s="9" t="n">
        <v>1816.72</v>
      </c>
      <c r="Q288" s="9" t="n">
        <v>1782.04</v>
      </c>
      <c r="R288" s="9" t="n">
        <v>1966.08</v>
      </c>
      <c r="S288" s="9" t="n">
        <v>1739.64</v>
      </c>
      <c r="T288" s="9" t="n">
        <v>2027.74</v>
      </c>
      <c r="U288" s="10">
        <f>SUM(I288:T288)</f>
        <v/>
      </c>
    </row>
    <row r="289">
      <c r="A289" s="2" t="inlineStr">
        <is>
          <t>SN-2000-2100-2110-2110BN0001</t>
        </is>
      </c>
      <c r="B289" s="2" t="inlineStr">
        <is>
          <t>2110BN0001</t>
        </is>
      </c>
      <c r="C289" s="2" t="inlineStr">
        <is>
          <t>Tolva room</t>
        </is>
      </c>
      <c r="D289" s="2" t="n">
        <v>96</v>
      </c>
      <c r="E289" s="2" t="inlineStr">
        <is>
          <t>CC-2000</t>
        </is>
      </c>
      <c r="F289" s="2" t="inlineStr">
        <is>
          <t>P01</t>
        </is>
      </c>
      <c r="G289" s="2" t="n">
        <v>630000</v>
      </c>
      <c r="H289" s="2" t="inlineStr">
        <is>
          <t>Servicios externos</t>
        </is>
      </c>
      <c r="I289" s="9" t="n">
        <v>2050.07</v>
      </c>
      <c r="J289" s="9" t="n">
        <v>2001.48</v>
      </c>
      <c r="K289" s="9" t="n">
        <v>2022.94</v>
      </c>
      <c r="L289" s="9" t="n">
        <v>2285.72</v>
      </c>
      <c r="M289" s="9" t="n">
        <v>2260.25</v>
      </c>
      <c r="N289" s="9" t="n">
        <v>1911.04</v>
      </c>
      <c r="O289" s="9" t="n">
        <v>2032.38</v>
      </c>
      <c r="P289" s="9" t="n">
        <v>2246.1</v>
      </c>
      <c r="Q289" s="9" t="n">
        <v>2110.76</v>
      </c>
      <c r="R289" s="9" t="n">
        <v>2259.69</v>
      </c>
      <c r="S289" s="9" t="n">
        <v>1907.12</v>
      </c>
      <c r="T289" s="9" t="n">
        <v>1995.42</v>
      </c>
      <c r="U289" s="10">
        <f>SUM(I289:T289)</f>
        <v/>
      </c>
    </row>
    <row r="290">
      <c r="A290" s="2" t="inlineStr">
        <is>
          <t>SN-2000-2100-2110-2110BN0004</t>
        </is>
      </c>
      <c r="B290" s="2" t="inlineStr">
        <is>
          <t>2110BN0004</t>
        </is>
      </c>
      <c r="C290" s="2" t="inlineStr">
        <is>
          <t>Tolva receptor finos alimentador</t>
        </is>
      </c>
      <c r="D290" s="2" t="n">
        <v>97</v>
      </c>
      <c r="E290" s="2" t="inlineStr">
        <is>
          <t>CC-2000</t>
        </is>
      </c>
      <c r="F290" s="2" t="inlineStr">
        <is>
          <t>P01</t>
        </is>
      </c>
      <c r="G290" s="2" t="n">
        <v>610000</v>
      </c>
      <c r="H290" s="2" t="inlineStr">
        <is>
          <t>Mano obra interna</t>
        </is>
      </c>
      <c r="I290" s="9" t="n">
        <v>2017.88</v>
      </c>
      <c r="J290" s="9" t="n">
        <v>1831.32</v>
      </c>
      <c r="K290" s="9" t="n">
        <v>2102.42</v>
      </c>
      <c r="L290" s="9" t="n">
        <v>1894.76</v>
      </c>
      <c r="M290" s="9" t="n">
        <v>2081.86</v>
      </c>
      <c r="N290" s="9" t="n">
        <v>1863.24</v>
      </c>
      <c r="O290" s="9" t="n">
        <v>1864.05</v>
      </c>
      <c r="P290" s="9" t="n">
        <v>2038.05</v>
      </c>
      <c r="Q290" s="9" t="n">
        <v>1841.48</v>
      </c>
      <c r="R290" s="9" t="n">
        <v>2333.29</v>
      </c>
      <c r="S290" s="9" t="n">
        <v>1960.68</v>
      </c>
      <c r="T290" s="9" t="n">
        <v>1967.61</v>
      </c>
      <c r="U290" s="10">
        <f>SUM(I290:T290)</f>
        <v/>
      </c>
    </row>
    <row r="291">
      <c r="A291" s="2" t="inlineStr">
        <is>
          <t>SN-2000-2100-2110-2110BN0004</t>
        </is>
      </c>
      <c r="B291" s="2" t="inlineStr">
        <is>
          <t>2110BN0004</t>
        </is>
      </c>
      <c r="C291" s="2" t="inlineStr">
        <is>
          <t>Tolva receptor finos alimentador</t>
        </is>
      </c>
      <c r="D291" s="2" t="n">
        <v>97</v>
      </c>
      <c r="E291" s="2" t="inlineStr">
        <is>
          <t>CC-2000</t>
        </is>
      </c>
      <c r="F291" s="2" t="inlineStr">
        <is>
          <t>P01</t>
        </is>
      </c>
      <c r="G291" s="2" t="n">
        <v>620000</v>
      </c>
      <c r="H291" s="2" t="inlineStr">
        <is>
          <t>Materiales</t>
        </is>
      </c>
      <c r="I291" s="9" t="n">
        <v>1958.3</v>
      </c>
      <c r="J291" s="9" t="n">
        <v>2087.79</v>
      </c>
      <c r="K291" s="9" t="n">
        <v>2012.94</v>
      </c>
      <c r="L291" s="9" t="n">
        <v>2051.24</v>
      </c>
      <c r="M291" s="9" t="n">
        <v>1828.82</v>
      </c>
      <c r="N291" s="9" t="n">
        <v>1881.13</v>
      </c>
      <c r="O291" s="9" t="n">
        <v>2097.94</v>
      </c>
      <c r="P291" s="9" t="n">
        <v>2086.92</v>
      </c>
      <c r="Q291" s="9" t="n">
        <v>1771.72</v>
      </c>
      <c r="R291" s="9" t="n">
        <v>2053.15</v>
      </c>
      <c r="S291" s="9" t="n">
        <v>2025.38</v>
      </c>
      <c r="T291" s="9" t="n">
        <v>2159.82</v>
      </c>
      <c r="U291" s="10">
        <f>SUM(I291:T291)</f>
        <v/>
      </c>
    </row>
    <row r="292">
      <c r="A292" s="2" t="inlineStr">
        <is>
          <t>SN-2000-2100-2110-2110BN0004</t>
        </is>
      </c>
      <c r="B292" s="2" t="inlineStr">
        <is>
          <t>2110BN0004</t>
        </is>
      </c>
      <c r="C292" s="2" t="inlineStr">
        <is>
          <t>Tolva receptor finos alimentador</t>
        </is>
      </c>
      <c r="D292" s="2" t="n">
        <v>97</v>
      </c>
      <c r="E292" s="2" t="inlineStr">
        <is>
          <t>CC-2000</t>
        </is>
      </c>
      <c r="F292" s="2" t="inlineStr">
        <is>
          <t>P01</t>
        </is>
      </c>
      <c r="G292" s="2" t="n">
        <v>630000</v>
      </c>
      <c r="H292" s="2" t="inlineStr">
        <is>
          <t>Servicios externos</t>
        </is>
      </c>
      <c r="I292" s="9" t="n">
        <v>1699.8</v>
      </c>
      <c r="J292" s="9" t="n">
        <v>1610.09</v>
      </c>
      <c r="K292" s="9" t="n">
        <v>1834.31</v>
      </c>
      <c r="L292" s="9" t="n">
        <v>1601.19</v>
      </c>
      <c r="M292" s="9" t="n">
        <v>1584.36</v>
      </c>
      <c r="N292" s="9" t="n">
        <v>1669.59</v>
      </c>
      <c r="O292" s="9" t="n">
        <v>1558.7</v>
      </c>
      <c r="P292" s="9" t="n">
        <v>1675.24</v>
      </c>
      <c r="Q292" s="9" t="n">
        <v>1548.01</v>
      </c>
      <c r="R292" s="9" t="n">
        <v>1762.18</v>
      </c>
      <c r="S292" s="9" t="n">
        <v>1597.49</v>
      </c>
      <c r="T292" s="9" t="n">
        <v>1711.58</v>
      </c>
      <c r="U292" s="10">
        <f>SUM(I292:T292)</f>
        <v/>
      </c>
    </row>
    <row r="293">
      <c r="A293" s="2" t="inlineStr">
        <is>
          <t>SN-2000-2100-2110-2110CN0003</t>
        </is>
      </c>
      <c r="B293" s="2" t="inlineStr">
        <is>
          <t>2110CN0003</t>
        </is>
      </c>
      <c r="C293" s="2" t="inlineStr">
        <is>
          <t>Puente grúa chancador</t>
        </is>
      </c>
      <c r="D293" s="2" t="n">
        <v>98</v>
      </c>
      <c r="E293" s="2" t="inlineStr">
        <is>
          <t>CC-2000</t>
        </is>
      </c>
      <c r="F293" s="2" t="inlineStr">
        <is>
          <t>P01</t>
        </is>
      </c>
      <c r="G293" s="2" t="n">
        <v>610000</v>
      </c>
      <c r="H293" s="2" t="inlineStr">
        <is>
          <t>Mano obra interna</t>
        </is>
      </c>
      <c r="I293" s="9" t="n">
        <v>2373.3</v>
      </c>
      <c r="J293" s="9" t="n">
        <v>2374.18</v>
      </c>
      <c r="K293" s="9" t="n">
        <v>2469.78</v>
      </c>
      <c r="L293" s="9" t="n">
        <v>2218.95</v>
      </c>
      <c r="M293" s="9" t="n">
        <v>2146.94</v>
      </c>
      <c r="N293" s="9" t="n">
        <v>2115.88</v>
      </c>
      <c r="O293" s="9" t="n">
        <v>2248.29</v>
      </c>
      <c r="P293" s="9" t="n">
        <v>2263</v>
      </c>
      <c r="Q293" s="9" t="n">
        <v>2201</v>
      </c>
      <c r="R293" s="9" t="n">
        <v>2302.8</v>
      </c>
      <c r="S293" s="9" t="n">
        <v>2059.31</v>
      </c>
      <c r="T293" s="9" t="n">
        <v>2292.15</v>
      </c>
      <c r="U293" s="10">
        <f>SUM(I293:T293)</f>
        <v/>
      </c>
    </row>
    <row r="294">
      <c r="A294" s="2" t="inlineStr">
        <is>
          <t>SN-2000-2100-2110-2110CN0003</t>
        </is>
      </c>
      <c r="B294" s="2" t="inlineStr">
        <is>
          <t>2110CN0003</t>
        </is>
      </c>
      <c r="C294" s="2" t="inlineStr">
        <is>
          <t>Puente grúa chancador</t>
        </is>
      </c>
      <c r="D294" s="2" t="n">
        <v>98</v>
      </c>
      <c r="E294" s="2" t="inlineStr">
        <is>
          <t>CC-2000</t>
        </is>
      </c>
      <c r="F294" s="2" t="inlineStr">
        <is>
          <t>P01</t>
        </is>
      </c>
      <c r="G294" s="2" t="n">
        <v>620000</v>
      </c>
      <c r="H294" s="2" t="inlineStr">
        <is>
          <t>Materiales</t>
        </is>
      </c>
      <c r="I294" s="9" t="n">
        <v>2497.72</v>
      </c>
      <c r="J294" s="9" t="n">
        <v>2591.34</v>
      </c>
      <c r="K294" s="9" t="n">
        <v>2552.34</v>
      </c>
      <c r="L294" s="9" t="n">
        <v>2792.09</v>
      </c>
      <c r="M294" s="9" t="n">
        <v>2707.52</v>
      </c>
      <c r="N294" s="9" t="n">
        <v>2380.11</v>
      </c>
      <c r="O294" s="9" t="n">
        <v>2462.89</v>
      </c>
      <c r="P294" s="9" t="n">
        <v>2534.52</v>
      </c>
      <c r="Q294" s="9" t="n">
        <v>2295.64</v>
      </c>
      <c r="R294" s="9" t="n">
        <v>2851.24</v>
      </c>
      <c r="S294" s="9" t="n">
        <v>2620.7</v>
      </c>
      <c r="T294" s="9" t="n">
        <v>2683.44</v>
      </c>
      <c r="U294" s="10">
        <f>SUM(I294:T294)</f>
        <v/>
      </c>
    </row>
    <row r="295">
      <c r="A295" s="2" t="inlineStr">
        <is>
          <t>SN-2000-2100-2110-2110CN0003</t>
        </is>
      </c>
      <c r="B295" s="2" t="inlineStr">
        <is>
          <t>2110CN0003</t>
        </is>
      </c>
      <c r="C295" s="2" t="inlineStr">
        <is>
          <t>Puente grúa chancador</t>
        </is>
      </c>
      <c r="D295" s="2" t="n">
        <v>98</v>
      </c>
      <c r="E295" s="2" t="inlineStr">
        <is>
          <t>CC-2000</t>
        </is>
      </c>
      <c r="F295" s="2" t="inlineStr">
        <is>
          <t>P01</t>
        </is>
      </c>
      <c r="G295" s="2" t="n">
        <v>630000</v>
      </c>
      <c r="H295" s="2" t="inlineStr">
        <is>
          <t>Servicios externos</t>
        </is>
      </c>
      <c r="I295" s="9" t="n">
        <v>2662.12</v>
      </c>
      <c r="J295" s="9" t="n">
        <v>2467.71</v>
      </c>
      <c r="K295" s="9" t="n">
        <v>2839.49</v>
      </c>
      <c r="L295" s="9" t="n">
        <v>2649.41</v>
      </c>
      <c r="M295" s="9" t="n">
        <v>2695.94</v>
      </c>
      <c r="N295" s="9" t="n">
        <v>2441.95</v>
      </c>
      <c r="O295" s="9" t="n">
        <v>2474.92</v>
      </c>
      <c r="P295" s="9" t="n">
        <v>2858.29</v>
      </c>
      <c r="Q295" s="9" t="n">
        <v>2332.41</v>
      </c>
      <c r="R295" s="9" t="n">
        <v>3082.85</v>
      </c>
      <c r="S295" s="9" t="n">
        <v>2762.79</v>
      </c>
      <c r="T295" s="9" t="n">
        <v>2817.32</v>
      </c>
      <c r="U295" s="10">
        <f>SUM(I295:T295)</f>
        <v/>
      </c>
    </row>
    <row r="296">
      <c r="A296" s="2" t="inlineStr">
        <is>
          <t>SN-2000-2100-2110-2110CN0022</t>
        </is>
      </c>
      <c r="B296" s="2" t="inlineStr">
        <is>
          <t>2110CN0022</t>
        </is>
      </c>
      <c r="C296" s="2" t="inlineStr">
        <is>
          <t>Puente grúa tolva ROM</t>
        </is>
      </c>
      <c r="D296" s="2" t="n">
        <v>99</v>
      </c>
      <c r="E296" s="2" t="inlineStr">
        <is>
          <t>CC-2000</t>
        </is>
      </c>
      <c r="F296" s="2" t="inlineStr">
        <is>
          <t>P01</t>
        </is>
      </c>
      <c r="G296" s="2" t="n">
        <v>610000</v>
      </c>
      <c r="H296" s="2" t="inlineStr">
        <is>
          <t>Mano obra interna</t>
        </is>
      </c>
      <c r="I296" s="9" t="n">
        <v>1621.03</v>
      </c>
      <c r="J296" s="9" t="n">
        <v>1635.14</v>
      </c>
      <c r="K296" s="9" t="n">
        <v>1563.52</v>
      </c>
      <c r="L296" s="9" t="n">
        <v>1594.69</v>
      </c>
      <c r="M296" s="9" t="n">
        <v>1581.83</v>
      </c>
      <c r="N296" s="9" t="n">
        <v>1478.19</v>
      </c>
      <c r="O296" s="9" t="n">
        <v>1550.91</v>
      </c>
      <c r="P296" s="9" t="n">
        <v>1524.68</v>
      </c>
      <c r="Q296" s="9" t="n">
        <v>1475</v>
      </c>
      <c r="R296" s="9" t="n">
        <v>1786.28</v>
      </c>
      <c r="S296" s="9" t="n">
        <v>1445.81</v>
      </c>
      <c r="T296" s="9" t="n">
        <v>1702.33</v>
      </c>
      <c r="U296" s="10">
        <f>SUM(I296:T296)</f>
        <v/>
      </c>
    </row>
    <row r="297">
      <c r="A297" s="2" t="inlineStr">
        <is>
          <t>SN-2000-2100-2110-2110CN0022</t>
        </is>
      </c>
      <c r="B297" s="2" t="inlineStr">
        <is>
          <t>2110CN0022</t>
        </is>
      </c>
      <c r="C297" s="2" t="inlineStr">
        <is>
          <t>Puente grúa tolva ROM</t>
        </is>
      </c>
      <c r="D297" s="2" t="n">
        <v>99</v>
      </c>
      <c r="E297" s="2" t="inlineStr">
        <is>
          <t>CC-2000</t>
        </is>
      </c>
      <c r="F297" s="2" t="inlineStr">
        <is>
          <t>P01</t>
        </is>
      </c>
      <c r="G297" s="2" t="n">
        <v>620000</v>
      </c>
      <c r="H297" s="2" t="inlineStr">
        <is>
          <t>Materiales</t>
        </is>
      </c>
      <c r="I297" s="9" t="n">
        <v>1651.16</v>
      </c>
      <c r="J297" s="9" t="n">
        <v>1528.22</v>
      </c>
      <c r="K297" s="9" t="n">
        <v>1657.51</v>
      </c>
      <c r="L297" s="9" t="n">
        <v>1450.13</v>
      </c>
      <c r="M297" s="9" t="n">
        <v>1599.52</v>
      </c>
      <c r="N297" s="9" t="n">
        <v>1362.15</v>
      </c>
      <c r="O297" s="9" t="n">
        <v>1634.58</v>
      </c>
      <c r="P297" s="9" t="n">
        <v>1657.71</v>
      </c>
      <c r="Q297" s="9" t="n">
        <v>1384.42</v>
      </c>
      <c r="R297" s="9" t="n">
        <v>1581.63</v>
      </c>
      <c r="S297" s="9" t="n">
        <v>1551.99</v>
      </c>
      <c r="T297" s="9" t="n">
        <v>1499.05</v>
      </c>
      <c r="U297" s="10">
        <f>SUM(I297:T297)</f>
        <v/>
      </c>
    </row>
    <row r="298">
      <c r="A298" s="2" t="inlineStr">
        <is>
          <t>SN-2000-2100-2110-2110CN0022</t>
        </is>
      </c>
      <c r="B298" s="2" t="inlineStr">
        <is>
          <t>2110CN0022</t>
        </is>
      </c>
      <c r="C298" s="2" t="inlineStr">
        <is>
          <t>Puente grúa tolva ROM</t>
        </is>
      </c>
      <c r="D298" s="2" t="n">
        <v>99</v>
      </c>
      <c r="E298" s="2" t="inlineStr">
        <is>
          <t>CC-2000</t>
        </is>
      </c>
      <c r="F298" s="2" t="inlineStr">
        <is>
          <t>P01</t>
        </is>
      </c>
      <c r="G298" s="2" t="n">
        <v>630000</v>
      </c>
      <c r="H298" s="2" t="inlineStr">
        <is>
          <t>Servicios externos</t>
        </is>
      </c>
      <c r="I298" s="9" t="n">
        <v>1539.77</v>
      </c>
      <c r="J298" s="9" t="n">
        <v>1491.36</v>
      </c>
      <c r="K298" s="9" t="n">
        <v>1789.03</v>
      </c>
      <c r="L298" s="9" t="n">
        <v>1691.98</v>
      </c>
      <c r="M298" s="9" t="n">
        <v>1682.49</v>
      </c>
      <c r="N298" s="9" t="n">
        <v>1496.64</v>
      </c>
      <c r="O298" s="9" t="n">
        <v>1656.91</v>
      </c>
      <c r="P298" s="9" t="n">
        <v>1633.75</v>
      </c>
      <c r="Q298" s="9" t="n">
        <v>1524.09</v>
      </c>
      <c r="R298" s="9" t="n">
        <v>1787.73</v>
      </c>
      <c r="S298" s="9" t="n">
        <v>1578.04</v>
      </c>
      <c r="T298" s="9" t="n">
        <v>1616.04</v>
      </c>
      <c r="U298" s="10">
        <f>SUM(I298:T298)</f>
        <v/>
      </c>
    </row>
    <row r="299">
      <c r="A299" s="2" t="inlineStr">
        <is>
          <t>SN-2000-2100-2110-2110CP0001</t>
        </is>
      </c>
      <c r="B299" s="2" t="inlineStr">
        <is>
          <t>2110CP0001</t>
        </is>
      </c>
      <c r="C299" s="2" t="inlineStr">
        <is>
          <t>Caja HMI</t>
        </is>
      </c>
      <c r="D299" s="2" t="n">
        <v>100</v>
      </c>
      <c r="E299" s="2" t="inlineStr">
        <is>
          <t>CC-2000</t>
        </is>
      </c>
      <c r="F299" s="2" t="inlineStr">
        <is>
          <t>P01</t>
        </is>
      </c>
      <c r="G299" s="2" t="n">
        <v>610000</v>
      </c>
      <c r="H299" s="2" t="inlineStr">
        <is>
          <t>Mano obra interna</t>
        </is>
      </c>
      <c r="I299" s="9" t="n">
        <v>1930.33</v>
      </c>
      <c r="J299" s="9" t="n">
        <v>1707.35</v>
      </c>
      <c r="K299" s="9" t="n">
        <v>1927.93</v>
      </c>
      <c r="L299" s="9" t="n">
        <v>1773.91</v>
      </c>
      <c r="M299" s="9" t="n">
        <v>1830.23</v>
      </c>
      <c r="N299" s="9" t="n">
        <v>1801.88</v>
      </c>
      <c r="O299" s="9" t="n">
        <v>1732.19</v>
      </c>
      <c r="P299" s="9" t="n">
        <v>1684.09</v>
      </c>
      <c r="Q299" s="9" t="n">
        <v>1588.03</v>
      </c>
      <c r="R299" s="9" t="n">
        <v>1988.35</v>
      </c>
      <c r="S299" s="9" t="n">
        <v>1853.23</v>
      </c>
      <c r="T299" s="9" t="n">
        <v>1705.97</v>
      </c>
      <c r="U299" s="10">
        <f>SUM(I299:T299)</f>
        <v/>
      </c>
    </row>
    <row r="300">
      <c r="A300" s="2" t="inlineStr">
        <is>
          <t>SN-2000-2100-2110-2110CP0001</t>
        </is>
      </c>
      <c r="B300" s="2" t="inlineStr">
        <is>
          <t>2110CP0001</t>
        </is>
      </c>
      <c r="C300" s="2" t="inlineStr">
        <is>
          <t>Caja HMI</t>
        </is>
      </c>
      <c r="D300" s="2" t="n">
        <v>100</v>
      </c>
      <c r="E300" s="2" t="inlineStr">
        <is>
          <t>CC-2000</t>
        </is>
      </c>
      <c r="F300" s="2" t="inlineStr">
        <is>
          <t>P01</t>
        </is>
      </c>
      <c r="G300" s="2" t="n">
        <v>620000</v>
      </c>
      <c r="H300" s="2" t="inlineStr">
        <is>
          <t>Materiales</t>
        </is>
      </c>
      <c r="I300" s="9" t="n">
        <v>2025.38</v>
      </c>
      <c r="J300" s="9" t="n">
        <v>1998</v>
      </c>
      <c r="K300" s="9" t="n">
        <v>2244.23</v>
      </c>
      <c r="L300" s="9" t="n">
        <v>2024.65</v>
      </c>
      <c r="M300" s="9" t="n">
        <v>2003.48</v>
      </c>
      <c r="N300" s="9" t="n">
        <v>1794.84</v>
      </c>
      <c r="O300" s="9" t="n">
        <v>1900.29</v>
      </c>
      <c r="P300" s="9" t="n">
        <v>1955.62</v>
      </c>
      <c r="Q300" s="9" t="n">
        <v>1751.84</v>
      </c>
      <c r="R300" s="9" t="n">
        <v>2241.51</v>
      </c>
      <c r="S300" s="9" t="n">
        <v>1947.49</v>
      </c>
      <c r="T300" s="9" t="n">
        <v>2081.85</v>
      </c>
      <c r="U300" s="10">
        <f>SUM(I300:T300)</f>
        <v/>
      </c>
    </row>
    <row r="301">
      <c r="A301" s="2" t="inlineStr">
        <is>
          <t>SN-2000-2100-2110-2110CP0001</t>
        </is>
      </c>
      <c r="B301" s="2" t="inlineStr">
        <is>
          <t>2110CP0001</t>
        </is>
      </c>
      <c r="C301" s="2" t="inlineStr">
        <is>
          <t>Caja HMI</t>
        </is>
      </c>
      <c r="D301" s="2" t="n">
        <v>100</v>
      </c>
      <c r="E301" s="2" t="inlineStr">
        <is>
          <t>CC-2000</t>
        </is>
      </c>
      <c r="F301" s="2" t="inlineStr">
        <is>
          <t>P01</t>
        </is>
      </c>
      <c r="G301" s="2" t="n">
        <v>630000</v>
      </c>
      <c r="H301" s="2" t="inlineStr">
        <is>
          <t>Servicios externos</t>
        </is>
      </c>
      <c r="I301" s="9" t="n">
        <v>1672.68</v>
      </c>
      <c r="J301" s="9" t="n">
        <v>1711.91</v>
      </c>
      <c r="K301" s="9" t="n">
        <v>1877.52</v>
      </c>
      <c r="L301" s="9" t="n">
        <v>1606.64</v>
      </c>
      <c r="M301" s="9" t="n">
        <v>1781.01</v>
      </c>
      <c r="N301" s="9" t="n">
        <v>1639.33</v>
      </c>
      <c r="O301" s="9" t="n">
        <v>1711.92</v>
      </c>
      <c r="P301" s="9" t="n">
        <v>1692.64</v>
      </c>
      <c r="Q301" s="9" t="n">
        <v>1468.11</v>
      </c>
      <c r="R301" s="9" t="n">
        <v>1706.8</v>
      </c>
      <c r="S301" s="9" t="n">
        <v>1666.21</v>
      </c>
      <c r="T301" s="9" t="n">
        <v>1675.23</v>
      </c>
      <c r="U301" s="10">
        <f>SUM(I301:T301)</f>
        <v/>
      </c>
    </row>
    <row r="302">
      <c r="A302" s="2" t="inlineStr">
        <is>
          <t>SN-2000-2100-2110-2110CP0003</t>
        </is>
      </c>
      <c r="B302" s="2" t="inlineStr">
        <is>
          <t>2110CP0003</t>
        </is>
      </c>
      <c r="C302" s="2" t="inlineStr">
        <is>
          <t>Compresor de aire Chancado</t>
        </is>
      </c>
      <c r="D302" s="2" t="n">
        <v>101</v>
      </c>
      <c r="E302" s="2" t="inlineStr">
        <is>
          <t>CC-2000</t>
        </is>
      </c>
      <c r="F302" s="2" t="inlineStr">
        <is>
          <t>P01</t>
        </is>
      </c>
      <c r="G302" s="2" t="n">
        <v>610000</v>
      </c>
      <c r="H302" s="2" t="inlineStr">
        <is>
          <t>Mano obra interna</t>
        </is>
      </c>
      <c r="I302" s="9" t="n">
        <v>442.53</v>
      </c>
      <c r="J302" s="9" t="n">
        <v>408.67</v>
      </c>
      <c r="K302" s="9" t="n">
        <v>469.59</v>
      </c>
      <c r="L302" s="9" t="n">
        <v>434.9</v>
      </c>
      <c r="M302" s="9" t="n">
        <v>437.29</v>
      </c>
      <c r="N302" s="9" t="n">
        <v>434.05</v>
      </c>
      <c r="O302" s="9" t="n">
        <v>468.46</v>
      </c>
      <c r="P302" s="9" t="n">
        <v>460.3</v>
      </c>
      <c r="Q302" s="9" t="n">
        <v>421.21</v>
      </c>
      <c r="R302" s="9" t="n">
        <v>488.22</v>
      </c>
      <c r="S302" s="9" t="n">
        <v>456.41</v>
      </c>
      <c r="T302" s="9" t="n">
        <v>432.01</v>
      </c>
      <c r="U302" s="10">
        <f>SUM(I302:T302)</f>
        <v/>
      </c>
    </row>
    <row r="303">
      <c r="A303" s="2" t="inlineStr">
        <is>
          <t>SN-2000-2100-2110-2110CP0003</t>
        </is>
      </c>
      <c r="B303" s="2" t="inlineStr">
        <is>
          <t>2110CP0003</t>
        </is>
      </c>
      <c r="C303" s="2" t="inlineStr">
        <is>
          <t>Compresor de aire Chancado</t>
        </is>
      </c>
      <c r="D303" s="2" t="n">
        <v>101</v>
      </c>
      <c r="E303" s="2" t="inlineStr">
        <is>
          <t>CC-2000</t>
        </is>
      </c>
      <c r="F303" s="2" t="inlineStr">
        <is>
          <t>P01</t>
        </is>
      </c>
      <c r="G303" s="2" t="n">
        <v>620000</v>
      </c>
      <c r="H303" s="2" t="inlineStr">
        <is>
          <t>Materiales</t>
        </is>
      </c>
      <c r="I303" s="9" t="n">
        <v>325.57</v>
      </c>
      <c r="J303" s="9" t="n">
        <v>311.27</v>
      </c>
      <c r="K303" s="9" t="n">
        <v>350.32</v>
      </c>
      <c r="L303" s="9" t="n">
        <v>345.54</v>
      </c>
      <c r="M303" s="9" t="n">
        <v>332.48</v>
      </c>
      <c r="N303" s="9" t="n">
        <v>291.97</v>
      </c>
      <c r="O303" s="9" t="n">
        <v>343.27</v>
      </c>
      <c r="P303" s="9" t="n">
        <v>321.41</v>
      </c>
      <c r="Q303" s="9" t="n">
        <v>316.26</v>
      </c>
      <c r="R303" s="9" t="n">
        <v>360.19</v>
      </c>
      <c r="S303" s="9" t="n">
        <v>312.37</v>
      </c>
      <c r="T303" s="9" t="n">
        <v>316.28</v>
      </c>
      <c r="U303" s="10">
        <f>SUM(I303:T303)</f>
        <v/>
      </c>
    </row>
    <row r="304">
      <c r="A304" s="2" t="inlineStr">
        <is>
          <t>SN-2000-2100-2110-2110CP0003</t>
        </is>
      </c>
      <c r="B304" s="2" t="inlineStr">
        <is>
          <t>2110CP0003</t>
        </is>
      </c>
      <c r="C304" s="2" t="inlineStr">
        <is>
          <t>Compresor de aire Chancado</t>
        </is>
      </c>
      <c r="D304" s="2" t="n">
        <v>101</v>
      </c>
      <c r="E304" s="2" t="inlineStr">
        <is>
          <t>CC-2000</t>
        </is>
      </c>
      <c r="F304" s="2" t="inlineStr">
        <is>
          <t>P01</t>
        </is>
      </c>
      <c r="G304" s="2" t="n">
        <v>630000</v>
      </c>
      <c r="H304" s="2" t="inlineStr">
        <is>
          <t>Servicios externos</t>
        </is>
      </c>
      <c r="I304" s="9" t="n">
        <v>363.96</v>
      </c>
      <c r="J304" s="9" t="n">
        <v>355.77</v>
      </c>
      <c r="K304" s="9" t="n">
        <v>357.66</v>
      </c>
      <c r="L304" s="9" t="n">
        <v>324.08</v>
      </c>
      <c r="M304" s="9" t="n">
        <v>329.82</v>
      </c>
      <c r="N304" s="9" t="n">
        <v>335.55</v>
      </c>
      <c r="O304" s="9" t="n">
        <v>353.89</v>
      </c>
      <c r="P304" s="9" t="n">
        <v>317.65</v>
      </c>
      <c r="Q304" s="9" t="n">
        <v>289.96</v>
      </c>
      <c r="R304" s="9" t="n">
        <v>377.52</v>
      </c>
      <c r="S304" s="9" t="n">
        <v>320.24</v>
      </c>
      <c r="T304" s="9" t="n">
        <v>330.1</v>
      </c>
      <c r="U304" s="10">
        <f>SUM(I304:T304)</f>
        <v/>
      </c>
    </row>
    <row r="305">
      <c r="A305" s="2" t="inlineStr">
        <is>
          <t>SN-2000-2100-2110-2110CP1001</t>
        </is>
      </c>
      <c r="B305" s="2" t="inlineStr">
        <is>
          <t>2110CP1001</t>
        </is>
      </c>
      <c r="C305" s="2" t="inlineStr">
        <is>
          <t>Caja HMI</t>
        </is>
      </c>
      <c r="D305" s="2" t="n">
        <v>102</v>
      </c>
      <c r="E305" s="2" t="inlineStr">
        <is>
          <t>CC-2000</t>
        </is>
      </c>
      <c r="F305" s="2" t="inlineStr">
        <is>
          <t>P01</t>
        </is>
      </c>
      <c r="G305" s="2" t="n">
        <v>610000</v>
      </c>
      <c r="H305" s="2" t="inlineStr">
        <is>
          <t>Mano obra interna</t>
        </is>
      </c>
      <c r="I305" s="9" t="n">
        <v>1930.15</v>
      </c>
      <c r="J305" s="9" t="n">
        <v>1954.12</v>
      </c>
      <c r="K305" s="9" t="n">
        <v>2079.97</v>
      </c>
      <c r="L305" s="9" t="n">
        <v>1940.23</v>
      </c>
      <c r="M305" s="9" t="n">
        <v>1863.49</v>
      </c>
      <c r="N305" s="9" t="n">
        <v>1676.84</v>
      </c>
      <c r="O305" s="9" t="n">
        <v>1894.17</v>
      </c>
      <c r="P305" s="9" t="n">
        <v>1841.17</v>
      </c>
      <c r="Q305" s="9" t="n">
        <v>1778.74</v>
      </c>
      <c r="R305" s="9" t="n">
        <v>1989.88</v>
      </c>
      <c r="S305" s="9" t="n">
        <v>1743.06</v>
      </c>
      <c r="T305" s="9" t="n">
        <v>1782.96</v>
      </c>
      <c r="U305" s="10">
        <f>SUM(I305:T305)</f>
        <v/>
      </c>
    </row>
    <row r="306">
      <c r="A306" s="2" t="inlineStr">
        <is>
          <t>SN-2000-2100-2110-2110CP1001</t>
        </is>
      </c>
      <c r="B306" s="2" t="inlineStr">
        <is>
          <t>2110CP1001</t>
        </is>
      </c>
      <c r="C306" s="2" t="inlineStr">
        <is>
          <t>Caja HMI</t>
        </is>
      </c>
      <c r="D306" s="2" t="n">
        <v>102</v>
      </c>
      <c r="E306" s="2" t="inlineStr">
        <is>
          <t>CC-2000</t>
        </is>
      </c>
      <c r="F306" s="2" t="inlineStr">
        <is>
          <t>P01</t>
        </is>
      </c>
      <c r="G306" s="2" t="n">
        <v>620000</v>
      </c>
      <c r="H306" s="2" t="inlineStr">
        <is>
          <t>Materiales</t>
        </is>
      </c>
      <c r="I306" s="9" t="n">
        <v>1907.9</v>
      </c>
      <c r="J306" s="9" t="n">
        <v>1865.9</v>
      </c>
      <c r="K306" s="9" t="n">
        <v>2221.8</v>
      </c>
      <c r="L306" s="9" t="n">
        <v>2023.65</v>
      </c>
      <c r="M306" s="9" t="n">
        <v>1987.29</v>
      </c>
      <c r="N306" s="9" t="n">
        <v>2024.29</v>
      </c>
      <c r="O306" s="9" t="n">
        <v>2157.26</v>
      </c>
      <c r="P306" s="9" t="n">
        <v>2022.8</v>
      </c>
      <c r="Q306" s="9" t="n">
        <v>1952.75</v>
      </c>
      <c r="R306" s="9" t="n">
        <v>2094.9</v>
      </c>
      <c r="S306" s="9" t="n">
        <v>1873.96</v>
      </c>
      <c r="T306" s="9" t="n">
        <v>1995.97</v>
      </c>
      <c r="U306" s="10">
        <f>SUM(I306:T306)</f>
        <v/>
      </c>
    </row>
    <row r="307">
      <c r="A307" s="2" t="inlineStr">
        <is>
          <t>SN-2000-2100-2110-2110CP1001</t>
        </is>
      </c>
      <c r="B307" s="2" t="inlineStr">
        <is>
          <t>2110CP1001</t>
        </is>
      </c>
      <c r="C307" s="2" t="inlineStr">
        <is>
          <t>Caja HMI</t>
        </is>
      </c>
      <c r="D307" s="2" t="n">
        <v>102</v>
      </c>
      <c r="E307" s="2" t="inlineStr">
        <is>
          <t>CC-2000</t>
        </is>
      </c>
      <c r="F307" s="2" t="inlineStr">
        <is>
          <t>P01</t>
        </is>
      </c>
      <c r="G307" s="2" t="n">
        <v>630000</v>
      </c>
      <c r="H307" s="2" t="inlineStr">
        <is>
          <t>Servicios externos</t>
        </is>
      </c>
      <c r="I307" s="9" t="n">
        <v>2330.17</v>
      </c>
      <c r="J307" s="9" t="n">
        <v>2119.78</v>
      </c>
      <c r="K307" s="9" t="n">
        <v>2153.83</v>
      </c>
      <c r="L307" s="9" t="n">
        <v>2314.85</v>
      </c>
      <c r="M307" s="9" t="n">
        <v>2064.46</v>
      </c>
      <c r="N307" s="9" t="n">
        <v>2147.13</v>
      </c>
      <c r="O307" s="9" t="n">
        <v>2287.61</v>
      </c>
      <c r="P307" s="9" t="n">
        <v>2287.42</v>
      </c>
      <c r="Q307" s="9" t="n">
        <v>2148.36</v>
      </c>
      <c r="R307" s="9" t="n">
        <v>2534.57</v>
      </c>
      <c r="S307" s="9" t="n">
        <v>2147.09</v>
      </c>
      <c r="T307" s="9" t="n">
        <v>2333.79</v>
      </c>
      <c r="U307" s="10">
        <f>SUM(I307:T307)</f>
        <v/>
      </c>
    </row>
    <row r="308">
      <c r="A308" s="2" t="inlineStr">
        <is>
          <t>SN-2000-2100-2110-2110CR0001</t>
        </is>
      </c>
      <c r="B308" s="2" t="inlineStr">
        <is>
          <t>2110CR0001</t>
        </is>
      </c>
      <c r="C308" s="2" t="inlineStr">
        <is>
          <t>Chancador de mandíbula</t>
        </is>
      </c>
      <c r="D308" s="2" t="n">
        <v>103</v>
      </c>
      <c r="E308" s="2" t="inlineStr">
        <is>
          <t>CC-2000</t>
        </is>
      </c>
      <c r="F308" s="2" t="inlineStr">
        <is>
          <t>P01</t>
        </is>
      </c>
      <c r="G308" s="2" t="n">
        <v>610000</v>
      </c>
      <c r="H308" s="2" t="inlineStr">
        <is>
          <t>Mano obra interna</t>
        </is>
      </c>
      <c r="I308" s="9" t="n">
        <v>2450.25</v>
      </c>
      <c r="J308" s="9" t="n">
        <v>2299.78</v>
      </c>
      <c r="K308" s="9" t="n">
        <v>2516.99</v>
      </c>
      <c r="L308" s="9" t="n">
        <v>2559.07</v>
      </c>
      <c r="M308" s="9" t="n">
        <v>2547.62</v>
      </c>
      <c r="N308" s="9" t="n">
        <v>2551.17</v>
      </c>
      <c r="O308" s="9" t="n">
        <v>2405.18</v>
      </c>
      <c r="P308" s="9" t="n">
        <v>2373.74</v>
      </c>
      <c r="Q308" s="9" t="n">
        <v>2526.67</v>
      </c>
      <c r="R308" s="9" t="n">
        <v>2554.18</v>
      </c>
      <c r="S308" s="9" t="n">
        <v>2437.79</v>
      </c>
      <c r="T308" s="9" t="n">
        <v>2599.53</v>
      </c>
      <c r="U308" s="10">
        <f>SUM(I308:T308)</f>
        <v/>
      </c>
    </row>
    <row r="309">
      <c r="A309" s="2" t="inlineStr">
        <is>
          <t>SN-2000-2100-2110-2110CR0001</t>
        </is>
      </c>
      <c r="B309" s="2" t="inlineStr">
        <is>
          <t>2110CR0001</t>
        </is>
      </c>
      <c r="C309" s="2" t="inlineStr">
        <is>
          <t>Chancador de mandíbula</t>
        </is>
      </c>
      <c r="D309" s="2" t="n">
        <v>103</v>
      </c>
      <c r="E309" s="2" t="inlineStr">
        <is>
          <t>CC-2000</t>
        </is>
      </c>
      <c r="F309" s="2" t="inlineStr">
        <is>
          <t>P01</t>
        </is>
      </c>
      <c r="G309" s="2" t="n">
        <v>620000</v>
      </c>
      <c r="H309" s="2" t="inlineStr">
        <is>
          <t>Materiales</t>
        </is>
      </c>
      <c r="I309" s="9" t="n">
        <v>2291.65</v>
      </c>
      <c r="J309" s="9" t="n">
        <v>2199.88</v>
      </c>
      <c r="K309" s="9" t="n">
        <v>2323.61</v>
      </c>
      <c r="L309" s="9" t="n">
        <v>2490.74</v>
      </c>
      <c r="M309" s="9" t="n">
        <v>2396.11</v>
      </c>
      <c r="N309" s="9" t="n">
        <v>2200.56</v>
      </c>
      <c r="O309" s="9" t="n">
        <v>2458.2</v>
      </c>
      <c r="P309" s="9" t="n">
        <v>2525.32</v>
      </c>
      <c r="Q309" s="9" t="n">
        <v>2073.77</v>
      </c>
      <c r="R309" s="9" t="n">
        <v>2591.86</v>
      </c>
      <c r="S309" s="9" t="n">
        <v>2397.81</v>
      </c>
      <c r="T309" s="9" t="n">
        <v>2343.1</v>
      </c>
      <c r="U309" s="10">
        <f>SUM(I309:T309)</f>
        <v/>
      </c>
    </row>
    <row r="310">
      <c r="A310" s="2" t="inlineStr">
        <is>
          <t>SN-2000-2100-2110-2110CR0001</t>
        </is>
      </c>
      <c r="B310" s="2" t="inlineStr">
        <is>
          <t>2110CR0001</t>
        </is>
      </c>
      <c r="C310" s="2" t="inlineStr">
        <is>
          <t>Chancador de mandíbula</t>
        </is>
      </c>
      <c r="D310" s="2" t="n">
        <v>103</v>
      </c>
      <c r="E310" s="2" t="inlineStr">
        <is>
          <t>CC-2000</t>
        </is>
      </c>
      <c r="F310" s="2" t="inlineStr">
        <is>
          <t>P01</t>
        </is>
      </c>
      <c r="G310" s="2" t="n">
        <v>630000</v>
      </c>
      <c r="H310" s="2" t="inlineStr">
        <is>
          <t>Servicios externos</t>
        </is>
      </c>
      <c r="I310" s="9" t="n">
        <v>2252.76</v>
      </c>
      <c r="J310" s="9" t="n">
        <v>2270.43</v>
      </c>
      <c r="K310" s="9" t="n">
        <v>2346.8</v>
      </c>
      <c r="L310" s="9" t="n">
        <v>2244.59</v>
      </c>
      <c r="M310" s="9" t="n">
        <v>2223.94</v>
      </c>
      <c r="N310" s="9" t="n">
        <v>2027.31</v>
      </c>
      <c r="O310" s="9" t="n">
        <v>2217.23</v>
      </c>
      <c r="P310" s="9" t="n">
        <v>2154.01</v>
      </c>
      <c r="Q310" s="9" t="n">
        <v>1917.44</v>
      </c>
      <c r="R310" s="9" t="n">
        <v>2412.77</v>
      </c>
      <c r="S310" s="9" t="n">
        <v>2117.09</v>
      </c>
      <c r="T310" s="9" t="n">
        <v>2149.77</v>
      </c>
      <c r="U310" s="10">
        <f>SUM(I310:T310)</f>
        <v/>
      </c>
    </row>
    <row r="311">
      <c r="A311" s="2" t="inlineStr">
        <is>
          <t>SN-2000-2100-2110-2110CT0001</t>
        </is>
      </c>
      <c r="B311" s="2" t="inlineStr">
        <is>
          <t>2110CT0001</t>
        </is>
      </c>
      <c r="C311" s="2" t="inlineStr">
        <is>
          <t>Sistema CCTV Chancado primario y Tolva Room</t>
        </is>
      </c>
      <c r="D311" s="2" t="n">
        <v>104</v>
      </c>
      <c r="E311" s="2" t="inlineStr">
        <is>
          <t>CC-2000</t>
        </is>
      </c>
      <c r="F311" s="2" t="inlineStr">
        <is>
          <t>P01</t>
        </is>
      </c>
      <c r="G311" s="2" t="n">
        <v>610000</v>
      </c>
      <c r="H311" s="2" t="inlineStr">
        <is>
          <t>Mano obra interna</t>
        </is>
      </c>
      <c r="I311" s="9" t="n">
        <v>637.8200000000001</v>
      </c>
      <c r="J311" s="9" t="n">
        <v>646.77</v>
      </c>
      <c r="K311" s="9" t="n">
        <v>648.58</v>
      </c>
      <c r="L311" s="9" t="n">
        <v>721.0700000000001</v>
      </c>
      <c r="M311" s="9" t="n">
        <v>691.3200000000001</v>
      </c>
      <c r="N311" s="9" t="n">
        <v>629.48</v>
      </c>
      <c r="O311" s="9" t="n">
        <v>695.99</v>
      </c>
      <c r="P311" s="9" t="n">
        <v>664.9</v>
      </c>
      <c r="Q311" s="9" t="n">
        <v>655.71</v>
      </c>
      <c r="R311" s="9" t="n">
        <v>724.38</v>
      </c>
      <c r="S311" s="9" t="n">
        <v>645.86</v>
      </c>
      <c r="T311" s="9" t="n">
        <v>734.47</v>
      </c>
      <c r="U311" s="10">
        <f>SUM(I311:T311)</f>
        <v/>
      </c>
    </row>
    <row r="312">
      <c r="A312" s="2" t="inlineStr">
        <is>
          <t>SN-2000-2100-2110-2110CT0001</t>
        </is>
      </c>
      <c r="B312" s="2" t="inlineStr">
        <is>
          <t>2110CT0001</t>
        </is>
      </c>
      <c r="C312" s="2" t="inlineStr">
        <is>
          <t>Sistema CCTV Chancado primario y Tolva Room</t>
        </is>
      </c>
      <c r="D312" s="2" t="n">
        <v>104</v>
      </c>
      <c r="E312" s="2" t="inlineStr">
        <is>
          <t>CC-2000</t>
        </is>
      </c>
      <c r="F312" s="2" t="inlineStr">
        <is>
          <t>P01</t>
        </is>
      </c>
      <c r="G312" s="2" t="n">
        <v>620000</v>
      </c>
      <c r="H312" s="2" t="inlineStr">
        <is>
          <t>Materiales</t>
        </is>
      </c>
      <c r="I312" s="9" t="n">
        <v>519.88</v>
      </c>
      <c r="J312" s="9" t="n">
        <v>541.2</v>
      </c>
      <c r="K312" s="9" t="n">
        <v>601.35</v>
      </c>
      <c r="L312" s="9" t="n">
        <v>543.3099999999999</v>
      </c>
      <c r="M312" s="9" t="n">
        <v>498.98</v>
      </c>
      <c r="N312" s="9" t="n">
        <v>505.04</v>
      </c>
      <c r="O312" s="9" t="n">
        <v>542.95</v>
      </c>
      <c r="P312" s="9" t="n">
        <v>512.48</v>
      </c>
      <c r="Q312" s="9" t="n">
        <v>517.48</v>
      </c>
      <c r="R312" s="9" t="n">
        <v>631.28</v>
      </c>
      <c r="S312" s="9" t="n">
        <v>520.8200000000001</v>
      </c>
      <c r="T312" s="9" t="n">
        <v>537.45</v>
      </c>
      <c r="U312" s="10">
        <f>SUM(I312:T312)</f>
        <v/>
      </c>
    </row>
    <row r="313">
      <c r="A313" s="2" t="inlineStr">
        <is>
          <t>SN-2000-2100-2110-2110CT0001</t>
        </is>
      </c>
      <c r="B313" s="2" t="inlineStr">
        <is>
          <t>2110CT0001</t>
        </is>
      </c>
      <c r="C313" s="2" t="inlineStr">
        <is>
          <t>Sistema CCTV Chancado primario y Tolva Room</t>
        </is>
      </c>
      <c r="D313" s="2" t="n">
        <v>104</v>
      </c>
      <c r="E313" s="2" t="inlineStr">
        <is>
          <t>CC-2000</t>
        </is>
      </c>
      <c r="F313" s="2" t="inlineStr">
        <is>
          <t>P01</t>
        </is>
      </c>
      <c r="G313" s="2" t="n">
        <v>630000</v>
      </c>
      <c r="H313" s="2" t="inlineStr">
        <is>
          <t>Servicios externos</t>
        </is>
      </c>
      <c r="I313" s="9" t="n">
        <v>535.03</v>
      </c>
      <c r="J313" s="9" t="n">
        <v>583.77</v>
      </c>
      <c r="K313" s="9" t="n">
        <v>568.3099999999999</v>
      </c>
      <c r="L313" s="9" t="n">
        <v>560.51</v>
      </c>
      <c r="M313" s="9" t="n">
        <v>566.84</v>
      </c>
      <c r="N313" s="9" t="n">
        <v>529.01</v>
      </c>
      <c r="O313" s="9" t="n">
        <v>572</v>
      </c>
      <c r="P313" s="9" t="n">
        <v>518.92</v>
      </c>
      <c r="Q313" s="9" t="n">
        <v>545.98</v>
      </c>
      <c r="R313" s="9" t="n">
        <v>644.74</v>
      </c>
      <c r="S313" s="9" t="n">
        <v>553.53</v>
      </c>
      <c r="T313" s="9" t="n">
        <v>608.01</v>
      </c>
      <c r="U313" s="10">
        <f>SUM(I313:T313)</f>
        <v/>
      </c>
    </row>
    <row r="314">
      <c r="A314" s="2" t="inlineStr">
        <is>
          <t>SN-2000-2100-2110-2110CT0002</t>
        </is>
      </c>
      <c r="B314" s="2" t="inlineStr">
        <is>
          <t>2110CT0002</t>
        </is>
      </c>
      <c r="C314" s="2" t="inlineStr">
        <is>
          <t>Sistema CCTV Correa descarga Chancador</t>
        </is>
      </c>
      <c r="D314" s="2" t="n">
        <v>105</v>
      </c>
      <c r="E314" s="2" t="inlineStr">
        <is>
          <t>CC-2000</t>
        </is>
      </c>
      <c r="F314" s="2" t="inlineStr">
        <is>
          <t>P01</t>
        </is>
      </c>
      <c r="G314" s="2" t="n">
        <v>610000</v>
      </c>
      <c r="H314" s="2" t="inlineStr">
        <is>
          <t>Mano obra interna</t>
        </is>
      </c>
      <c r="I314" s="9" t="n">
        <v>649.77</v>
      </c>
      <c r="J314" s="9" t="n">
        <v>639.38</v>
      </c>
      <c r="K314" s="9" t="n">
        <v>667.64</v>
      </c>
      <c r="L314" s="9" t="n">
        <v>642.59</v>
      </c>
      <c r="M314" s="9" t="n">
        <v>615.8200000000001</v>
      </c>
      <c r="N314" s="9" t="n">
        <v>574.27</v>
      </c>
      <c r="O314" s="9" t="n">
        <v>628.02</v>
      </c>
      <c r="P314" s="9" t="n">
        <v>603.87</v>
      </c>
      <c r="Q314" s="9" t="n">
        <v>616.95</v>
      </c>
      <c r="R314" s="9" t="n">
        <v>656.8099999999999</v>
      </c>
      <c r="S314" s="9" t="n">
        <v>574.73</v>
      </c>
      <c r="T314" s="9" t="n">
        <v>653.72</v>
      </c>
      <c r="U314" s="10">
        <f>SUM(I314:T314)</f>
        <v/>
      </c>
    </row>
    <row r="315">
      <c r="A315" s="2" t="inlineStr">
        <is>
          <t>SN-2000-2100-2110-2110CT0002</t>
        </is>
      </c>
      <c r="B315" s="2" t="inlineStr">
        <is>
          <t>2110CT0002</t>
        </is>
      </c>
      <c r="C315" s="2" t="inlineStr">
        <is>
          <t>Sistema CCTV Correa descarga Chancador</t>
        </is>
      </c>
      <c r="D315" s="2" t="n">
        <v>105</v>
      </c>
      <c r="E315" s="2" t="inlineStr">
        <is>
          <t>CC-2000</t>
        </is>
      </c>
      <c r="F315" s="2" t="inlineStr">
        <is>
          <t>P01</t>
        </is>
      </c>
      <c r="G315" s="2" t="n">
        <v>620000</v>
      </c>
      <c r="H315" s="2" t="inlineStr">
        <is>
          <t>Materiales</t>
        </is>
      </c>
      <c r="I315" s="9" t="n">
        <v>759.24</v>
      </c>
      <c r="J315" s="9" t="n">
        <v>699.85</v>
      </c>
      <c r="K315" s="9" t="n">
        <v>706.28</v>
      </c>
      <c r="L315" s="9" t="n">
        <v>752.23</v>
      </c>
      <c r="M315" s="9" t="n">
        <v>699.1799999999999</v>
      </c>
      <c r="N315" s="9" t="n">
        <v>625.95</v>
      </c>
      <c r="O315" s="9" t="n">
        <v>709.6799999999999</v>
      </c>
      <c r="P315" s="9" t="n">
        <v>747.24</v>
      </c>
      <c r="Q315" s="9" t="n">
        <v>642.6</v>
      </c>
      <c r="R315" s="9" t="n">
        <v>732.35</v>
      </c>
      <c r="S315" s="9" t="n">
        <v>640.78</v>
      </c>
      <c r="T315" s="9" t="n">
        <v>672.66</v>
      </c>
      <c r="U315" s="10">
        <f>SUM(I315:T315)</f>
        <v/>
      </c>
    </row>
    <row r="316">
      <c r="A316" s="2" t="inlineStr">
        <is>
          <t>SN-2000-2100-2110-2110CT0002</t>
        </is>
      </c>
      <c r="B316" s="2" t="inlineStr">
        <is>
          <t>2110CT0002</t>
        </is>
      </c>
      <c r="C316" s="2" t="inlineStr">
        <is>
          <t>Sistema CCTV Correa descarga Chancador</t>
        </is>
      </c>
      <c r="D316" s="2" t="n">
        <v>105</v>
      </c>
      <c r="E316" s="2" t="inlineStr">
        <is>
          <t>CC-2000</t>
        </is>
      </c>
      <c r="F316" s="2" t="inlineStr">
        <is>
          <t>P01</t>
        </is>
      </c>
      <c r="G316" s="2" t="n">
        <v>630000</v>
      </c>
      <c r="H316" s="2" t="inlineStr">
        <is>
          <t>Servicios externos</t>
        </is>
      </c>
      <c r="I316" s="9" t="n">
        <v>682.34</v>
      </c>
      <c r="J316" s="9" t="n">
        <v>604.85</v>
      </c>
      <c r="K316" s="9" t="n">
        <v>726.9299999999999</v>
      </c>
      <c r="L316" s="9" t="n">
        <v>700.3099999999999</v>
      </c>
      <c r="M316" s="9" t="n">
        <v>660.55</v>
      </c>
      <c r="N316" s="9" t="n">
        <v>662.48</v>
      </c>
      <c r="O316" s="9" t="n">
        <v>614.39</v>
      </c>
      <c r="P316" s="9" t="n">
        <v>655.4</v>
      </c>
      <c r="Q316" s="9" t="n">
        <v>625.58</v>
      </c>
      <c r="R316" s="9" t="n">
        <v>747.29</v>
      </c>
      <c r="S316" s="9" t="n">
        <v>666.21</v>
      </c>
      <c r="T316" s="9" t="n">
        <v>644.27</v>
      </c>
      <c r="U316" s="10">
        <f>SUM(I316:T316)</f>
        <v/>
      </c>
    </row>
    <row r="317">
      <c r="A317" s="2" t="inlineStr">
        <is>
          <t>SN-2000-2100-2110-2110CV0001</t>
        </is>
      </c>
      <c r="B317" s="2" t="inlineStr">
        <is>
          <t>2110CV0001</t>
        </is>
      </c>
      <c r="C317" s="2" t="inlineStr">
        <is>
          <t>Correa descarga Chancador</t>
        </is>
      </c>
      <c r="D317" s="2" t="n">
        <v>106</v>
      </c>
      <c r="E317" s="2" t="inlineStr">
        <is>
          <t>CC-2000</t>
        </is>
      </c>
      <c r="F317" s="2" t="inlineStr">
        <is>
          <t>P01</t>
        </is>
      </c>
      <c r="G317" s="2" t="n">
        <v>610000</v>
      </c>
      <c r="H317" s="2" t="inlineStr">
        <is>
          <t>Mano obra interna</t>
        </is>
      </c>
      <c r="I317" s="9" t="n">
        <v>2986.97</v>
      </c>
      <c r="J317" s="9" t="n">
        <v>3249.98</v>
      </c>
      <c r="K317" s="9" t="n">
        <v>3453.59</v>
      </c>
      <c r="L317" s="9" t="n">
        <v>3017.37</v>
      </c>
      <c r="M317" s="9" t="n">
        <v>3190.36</v>
      </c>
      <c r="N317" s="9" t="n">
        <v>2757.41</v>
      </c>
      <c r="O317" s="9" t="n">
        <v>3067.37</v>
      </c>
      <c r="P317" s="9" t="n">
        <v>3118.87</v>
      </c>
      <c r="Q317" s="9" t="n">
        <v>2935.3</v>
      </c>
      <c r="R317" s="9" t="n">
        <v>3591.4</v>
      </c>
      <c r="S317" s="9" t="n">
        <v>3096.73</v>
      </c>
      <c r="T317" s="9" t="n">
        <v>3149.85</v>
      </c>
      <c r="U317" s="10">
        <f>SUM(I317:T317)</f>
        <v/>
      </c>
    </row>
    <row r="318">
      <c r="A318" s="2" t="inlineStr">
        <is>
          <t>SN-2000-2100-2110-2110CV0001</t>
        </is>
      </c>
      <c r="B318" s="2" t="inlineStr">
        <is>
          <t>2110CV0001</t>
        </is>
      </c>
      <c r="C318" s="2" t="inlineStr">
        <is>
          <t>Correa descarga Chancador</t>
        </is>
      </c>
      <c r="D318" s="2" t="n">
        <v>106</v>
      </c>
      <c r="E318" s="2" t="inlineStr">
        <is>
          <t>CC-2000</t>
        </is>
      </c>
      <c r="F318" s="2" t="inlineStr">
        <is>
          <t>P01</t>
        </is>
      </c>
      <c r="G318" s="2" t="n">
        <v>620000</v>
      </c>
      <c r="H318" s="2" t="inlineStr">
        <is>
          <t>Materiales</t>
        </is>
      </c>
      <c r="I318" s="9" t="n">
        <v>3240.14</v>
      </c>
      <c r="J318" s="9" t="n">
        <v>2692.77</v>
      </c>
      <c r="K318" s="9" t="n">
        <v>3290.04</v>
      </c>
      <c r="L318" s="9" t="n">
        <v>2825.47</v>
      </c>
      <c r="M318" s="9" t="n">
        <v>3077.32</v>
      </c>
      <c r="N318" s="9" t="n">
        <v>2731.02</v>
      </c>
      <c r="O318" s="9" t="n">
        <v>2787.59</v>
      </c>
      <c r="P318" s="9" t="n">
        <v>2929.89</v>
      </c>
      <c r="Q318" s="9" t="n">
        <v>2819.4</v>
      </c>
      <c r="R318" s="9" t="n">
        <v>3131.94</v>
      </c>
      <c r="S318" s="9" t="n">
        <v>2661.76</v>
      </c>
      <c r="T318" s="9" t="n">
        <v>3052.34</v>
      </c>
      <c r="U318" s="10">
        <f>SUM(I318:T318)</f>
        <v/>
      </c>
    </row>
    <row r="319">
      <c r="A319" s="2" t="inlineStr">
        <is>
          <t>SN-2000-2100-2110-2110CV0001</t>
        </is>
      </c>
      <c r="B319" s="2" t="inlineStr">
        <is>
          <t>2110CV0001</t>
        </is>
      </c>
      <c r="C319" s="2" t="inlineStr">
        <is>
          <t>Correa descarga Chancador</t>
        </is>
      </c>
      <c r="D319" s="2" t="n">
        <v>106</v>
      </c>
      <c r="E319" s="2" t="inlineStr">
        <is>
          <t>CC-2000</t>
        </is>
      </c>
      <c r="F319" s="2" t="inlineStr">
        <is>
          <t>P01</t>
        </is>
      </c>
      <c r="G319" s="2" t="n">
        <v>630000</v>
      </c>
      <c r="H319" s="2" t="inlineStr">
        <is>
          <t>Servicios externos</t>
        </is>
      </c>
      <c r="I319" s="9" t="n">
        <v>2999.94</v>
      </c>
      <c r="J319" s="9" t="n">
        <v>2815.44</v>
      </c>
      <c r="K319" s="9" t="n">
        <v>3061.01</v>
      </c>
      <c r="L319" s="9" t="n">
        <v>2839.49</v>
      </c>
      <c r="M319" s="9" t="n">
        <v>3115.64</v>
      </c>
      <c r="N319" s="9" t="n">
        <v>3012.57</v>
      </c>
      <c r="O319" s="9" t="n">
        <v>3038.18</v>
      </c>
      <c r="P319" s="9" t="n">
        <v>2922.07</v>
      </c>
      <c r="Q319" s="9" t="n">
        <v>2921.35</v>
      </c>
      <c r="R319" s="9" t="n">
        <v>3257.75</v>
      </c>
      <c r="S319" s="9" t="n">
        <v>3050.18</v>
      </c>
      <c r="T319" s="9" t="n">
        <v>3103.03</v>
      </c>
      <c r="U319" s="10">
        <f>SUM(I319:T319)</f>
        <v/>
      </c>
    </row>
    <row r="320">
      <c r="A320" s="2" t="inlineStr">
        <is>
          <t>SN-2000-2100-2110-2110DT0001</t>
        </is>
      </c>
      <c r="B320" s="2" t="inlineStr">
        <is>
          <t>2110DT0001</t>
        </is>
      </c>
      <c r="C320" s="2" t="inlineStr">
        <is>
          <t>Sistema supresión polvo CHP</t>
        </is>
      </c>
      <c r="D320" s="2" t="n">
        <v>107</v>
      </c>
      <c r="E320" s="2" t="inlineStr">
        <is>
          <t>CC-2000</t>
        </is>
      </c>
      <c r="F320" s="2" t="inlineStr">
        <is>
          <t>P01</t>
        </is>
      </c>
      <c r="G320" s="2" t="n">
        <v>610000</v>
      </c>
      <c r="H320" s="2" t="inlineStr">
        <is>
          <t>Mano obra interna</t>
        </is>
      </c>
      <c r="I320" s="9" t="n">
        <v>2244.47</v>
      </c>
      <c r="J320" s="9" t="n">
        <v>2102.44</v>
      </c>
      <c r="K320" s="9" t="n">
        <v>2396.61</v>
      </c>
      <c r="L320" s="9" t="n">
        <v>2226.77</v>
      </c>
      <c r="M320" s="9" t="n">
        <v>2178.13</v>
      </c>
      <c r="N320" s="9" t="n">
        <v>1976.86</v>
      </c>
      <c r="O320" s="9" t="n">
        <v>2209.02</v>
      </c>
      <c r="P320" s="9" t="n">
        <v>2187.67</v>
      </c>
      <c r="Q320" s="9" t="n">
        <v>1913.28</v>
      </c>
      <c r="R320" s="9" t="n">
        <v>2169.77</v>
      </c>
      <c r="S320" s="9" t="n">
        <v>2130.37</v>
      </c>
      <c r="T320" s="9" t="n">
        <v>2289.32</v>
      </c>
      <c r="U320" s="10">
        <f>SUM(I320:T320)</f>
        <v/>
      </c>
    </row>
    <row r="321">
      <c r="A321" s="2" t="inlineStr">
        <is>
          <t>SN-2000-2100-2110-2110DT0001</t>
        </is>
      </c>
      <c r="B321" s="2" t="inlineStr">
        <is>
          <t>2110DT0001</t>
        </is>
      </c>
      <c r="C321" s="2" t="inlineStr">
        <is>
          <t>Sistema supresión polvo CHP</t>
        </is>
      </c>
      <c r="D321" s="2" t="n">
        <v>107</v>
      </c>
      <c r="E321" s="2" t="inlineStr">
        <is>
          <t>CC-2000</t>
        </is>
      </c>
      <c r="F321" s="2" t="inlineStr">
        <is>
          <t>P01</t>
        </is>
      </c>
      <c r="G321" s="2" t="n">
        <v>620000</v>
      </c>
      <c r="H321" s="2" t="inlineStr">
        <is>
          <t>Materiales</t>
        </is>
      </c>
      <c r="I321" s="9" t="n">
        <v>1964.4</v>
      </c>
      <c r="J321" s="9" t="n">
        <v>2034.59</v>
      </c>
      <c r="K321" s="9" t="n">
        <v>1936.46</v>
      </c>
      <c r="L321" s="9" t="n">
        <v>2037.48</v>
      </c>
      <c r="M321" s="9" t="n">
        <v>1884.18</v>
      </c>
      <c r="N321" s="9" t="n">
        <v>1826.72</v>
      </c>
      <c r="O321" s="9" t="n">
        <v>1917.27</v>
      </c>
      <c r="P321" s="9" t="n">
        <v>1974.3</v>
      </c>
      <c r="Q321" s="9" t="n">
        <v>1738.64</v>
      </c>
      <c r="R321" s="9" t="n">
        <v>2134.58</v>
      </c>
      <c r="S321" s="9" t="n">
        <v>1951.64</v>
      </c>
      <c r="T321" s="9" t="n">
        <v>2036.67</v>
      </c>
      <c r="U321" s="10">
        <f>SUM(I321:T321)</f>
        <v/>
      </c>
    </row>
    <row r="322">
      <c r="A322" s="2" t="inlineStr">
        <is>
          <t>SN-2000-2100-2110-2110DT0001</t>
        </is>
      </c>
      <c r="B322" s="2" t="inlineStr">
        <is>
          <t>2110DT0001</t>
        </is>
      </c>
      <c r="C322" s="2" t="inlineStr">
        <is>
          <t>Sistema supresión polvo CHP</t>
        </is>
      </c>
      <c r="D322" s="2" t="n">
        <v>107</v>
      </c>
      <c r="E322" s="2" t="inlineStr">
        <is>
          <t>CC-2000</t>
        </is>
      </c>
      <c r="F322" s="2" t="inlineStr">
        <is>
          <t>P01</t>
        </is>
      </c>
      <c r="G322" s="2" t="n">
        <v>630000</v>
      </c>
      <c r="H322" s="2" t="inlineStr">
        <is>
          <t>Servicios externos</t>
        </is>
      </c>
      <c r="I322" s="9" t="n">
        <v>2032.04</v>
      </c>
      <c r="J322" s="9" t="n">
        <v>1753.98</v>
      </c>
      <c r="K322" s="9" t="n">
        <v>1949.61</v>
      </c>
      <c r="L322" s="9" t="n">
        <v>1794.49</v>
      </c>
      <c r="M322" s="9" t="n">
        <v>1740.35</v>
      </c>
      <c r="N322" s="9" t="n">
        <v>1826.48</v>
      </c>
      <c r="O322" s="9" t="n">
        <v>1908.9</v>
      </c>
      <c r="P322" s="9" t="n">
        <v>2000.8</v>
      </c>
      <c r="Q322" s="9" t="n">
        <v>1773.85</v>
      </c>
      <c r="R322" s="9" t="n">
        <v>2185.96</v>
      </c>
      <c r="S322" s="9" t="n">
        <v>1695.81</v>
      </c>
      <c r="T322" s="9" t="n">
        <v>1792.88</v>
      </c>
      <c r="U322" s="10">
        <f>SUM(I322:T322)</f>
        <v/>
      </c>
    </row>
    <row r="323">
      <c r="A323" s="2" t="inlineStr">
        <is>
          <t>SN-2000-2100-2110-2110DT0002</t>
        </is>
      </c>
      <c r="B323" s="2" t="inlineStr">
        <is>
          <t>2110DT0002</t>
        </is>
      </c>
      <c r="C323" s="2" t="inlineStr">
        <is>
          <t>Sistema supresión polvo CHP</t>
        </is>
      </c>
      <c r="D323" s="2" t="n">
        <v>108</v>
      </c>
      <c r="E323" s="2" t="inlineStr">
        <is>
          <t>CC-2000</t>
        </is>
      </c>
      <c r="F323" s="2" t="inlineStr">
        <is>
          <t>P01</t>
        </is>
      </c>
      <c r="G323" s="2" t="n">
        <v>610000</v>
      </c>
      <c r="H323" s="2" t="inlineStr">
        <is>
          <t>Mano obra interna</t>
        </is>
      </c>
      <c r="I323" s="9" t="n">
        <v>1870.31</v>
      </c>
      <c r="J323" s="9" t="n">
        <v>1912.6</v>
      </c>
      <c r="K323" s="9" t="n">
        <v>2036.67</v>
      </c>
      <c r="L323" s="9" t="n">
        <v>1828.44</v>
      </c>
      <c r="M323" s="9" t="n">
        <v>2045.55</v>
      </c>
      <c r="N323" s="9" t="n">
        <v>1945.49</v>
      </c>
      <c r="O323" s="9" t="n">
        <v>1867.33</v>
      </c>
      <c r="P323" s="9" t="n">
        <v>1797.41</v>
      </c>
      <c r="Q323" s="9" t="n">
        <v>1701.06</v>
      </c>
      <c r="R323" s="9" t="n">
        <v>1956.39</v>
      </c>
      <c r="S323" s="9" t="n">
        <v>1755.08</v>
      </c>
      <c r="T323" s="9" t="n">
        <v>1963.73</v>
      </c>
      <c r="U323" s="10">
        <f>SUM(I323:T323)</f>
        <v/>
      </c>
    </row>
    <row r="324">
      <c r="A324" s="2" t="inlineStr">
        <is>
          <t>SN-2000-2100-2110-2110DT0002</t>
        </is>
      </c>
      <c r="B324" s="2" t="inlineStr">
        <is>
          <t>2110DT0002</t>
        </is>
      </c>
      <c r="C324" s="2" t="inlineStr">
        <is>
          <t>Sistema supresión polvo CHP</t>
        </is>
      </c>
      <c r="D324" s="2" t="n">
        <v>108</v>
      </c>
      <c r="E324" s="2" t="inlineStr">
        <is>
          <t>CC-2000</t>
        </is>
      </c>
      <c r="F324" s="2" t="inlineStr">
        <is>
          <t>P01</t>
        </is>
      </c>
      <c r="G324" s="2" t="n">
        <v>620000</v>
      </c>
      <c r="H324" s="2" t="inlineStr">
        <is>
          <t>Materiales</t>
        </is>
      </c>
      <c r="I324" s="9" t="n">
        <v>1961.05</v>
      </c>
      <c r="J324" s="9" t="n">
        <v>2087.48</v>
      </c>
      <c r="K324" s="9" t="n">
        <v>2087.62</v>
      </c>
      <c r="L324" s="9" t="n">
        <v>2153.27</v>
      </c>
      <c r="M324" s="9" t="n">
        <v>1834.04</v>
      </c>
      <c r="N324" s="9" t="n">
        <v>1843.83</v>
      </c>
      <c r="O324" s="9" t="n">
        <v>1983.73</v>
      </c>
      <c r="P324" s="9" t="n">
        <v>1831.14</v>
      </c>
      <c r="Q324" s="9" t="n">
        <v>1684.6</v>
      </c>
      <c r="R324" s="9" t="n">
        <v>2177.58</v>
      </c>
      <c r="S324" s="9" t="n">
        <v>1946.03</v>
      </c>
      <c r="T324" s="9" t="n">
        <v>1966.33</v>
      </c>
      <c r="U324" s="10">
        <f>SUM(I324:T324)</f>
        <v/>
      </c>
    </row>
    <row r="325">
      <c r="A325" s="2" t="inlineStr">
        <is>
          <t>SN-2000-2100-2110-2110DT0002</t>
        </is>
      </c>
      <c r="B325" s="2" t="inlineStr">
        <is>
          <t>2110DT0002</t>
        </is>
      </c>
      <c r="C325" s="2" t="inlineStr">
        <is>
          <t>Sistema supresión polvo CHP</t>
        </is>
      </c>
      <c r="D325" s="2" t="n">
        <v>108</v>
      </c>
      <c r="E325" s="2" t="inlineStr">
        <is>
          <t>CC-2000</t>
        </is>
      </c>
      <c r="F325" s="2" t="inlineStr">
        <is>
          <t>P01</t>
        </is>
      </c>
      <c r="G325" s="2" t="n">
        <v>630000</v>
      </c>
      <c r="H325" s="2" t="inlineStr">
        <is>
          <t>Servicios externos</t>
        </is>
      </c>
      <c r="I325" s="9" t="n">
        <v>2181.59</v>
      </c>
      <c r="J325" s="9" t="n">
        <v>1971.06</v>
      </c>
      <c r="K325" s="9" t="n">
        <v>2176.03</v>
      </c>
      <c r="L325" s="9" t="n">
        <v>2099.71</v>
      </c>
      <c r="M325" s="9" t="n">
        <v>2006.19</v>
      </c>
      <c r="N325" s="9" t="n">
        <v>2222.53</v>
      </c>
      <c r="O325" s="9" t="n">
        <v>2201.79</v>
      </c>
      <c r="P325" s="9" t="n">
        <v>2243.93</v>
      </c>
      <c r="Q325" s="9" t="n">
        <v>1957.03</v>
      </c>
      <c r="R325" s="9" t="n">
        <v>2296.31</v>
      </c>
      <c r="S325" s="9" t="n">
        <v>2008.89</v>
      </c>
      <c r="T325" s="9" t="n">
        <v>2056.75</v>
      </c>
      <c r="U325" s="10">
        <f>SUM(I325:T325)</f>
        <v/>
      </c>
    </row>
    <row r="326">
      <c r="A326" s="2" t="inlineStr">
        <is>
          <t>SN-2000-2100-2110-2110FE0021</t>
        </is>
      </c>
      <c r="B326" s="2" t="inlineStr">
        <is>
          <t>2110FE0021</t>
        </is>
      </c>
      <c r="C326" s="2" t="inlineStr">
        <is>
          <t>Alimentador en bandeja chancador</t>
        </is>
      </c>
      <c r="D326" s="2" t="n">
        <v>109</v>
      </c>
      <c r="E326" s="2" t="inlineStr">
        <is>
          <t>CC-2000</t>
        </is>
      </c>
      <c r="F326" s="2" t="inlineStr">
        <is>
          <t>P01</t>
        </is>
      </c>
      <c r="G326" s="2" t="n">
        <v>610000</v>
      </c>
      <c r="H326" s="2" t="inlineStr">
        <is>
          <t>Mano obra interna</t>
        </is>
      </c>
      <c r="I326" s="9" t="n">
        <v>2184.47</v>
      </c>
      <c r="J326" s="9" t="n">
        <v>2068.84</v>
      </c>
      <c r="K326" s="9" t="n">
        <v>2123.08</v>
      </c>
      <c r="L326" s="9" t="n">
        <v>2079.34</v>
      </c>
      <c r="M326" s="9" t="n">
        <v>2158.13</v>
      </c>
      <c r="N326" s="9" t="n">
        <v>1819.39</v>
      </c>
      <c r="O326" s="9" t="n">
        <v>1971.81</v>
      </c>
      <c r="P326" s="9" t="n">
        <v>1992.09</v>
      </c>
      <c r="Q326" s="9" t="n">
        <v>1987.36</v>
      </c>
      <c r="R326" s="9" t="n">
        <v>2376.41</v>
      </c>
      <c r="S326" s="9" t="n">
        <v>1895.35</v>
      </c>
      <c r="T326" s="9" t="n">
        <v>2197.1</v>
      </c>
      <c r="U326" s="10">
        <f>SUM(I326:T326)</f>
        <v/>
      </c>
    </row>
    <row r="327">
      <c r="A327" s="2" t="inlineStr">
        <is>
          <t>SN-2000-2100-2110-2110FE0021</t>
        </is>
      </c>
      <c r="B327" s="2" t="inlineStr">
        <is>
          <t>2110FE0021</t>
        </is>
      </c>
      <c r="C327" s="2" t="inlineStr">
        <is>
          <t>Alimentador en bandeja chancador</t>
        </is>
      </c>
      <c r="D327" s="2" t="n">
        <v>109</v>
      </c>
      <c r="E327" s="2" t="inlineStr">
        <is>
          <t>CC-2000</t>
        </is>
      </c>
      <c r="F327" s="2" t="inlineStr">
        <is>
          <t>P01</t>
        </is>
      </c>
      <c r="G327" s="2" t="n">
        <v>620000</v>
      </c>
      <c r="H327" s="2" t="inlineStr">
        <is>
          <t>Materiales</t>
        </is>
      </c>
      <c r="I327" s="9" t="n">
        <v>2364.82</v>
      </c>
      <c r="J327" s="9" t="n">
        <v>2348.15</v>
      </c>
      <c r="K327" s="9" t="n">
        <v>2463.83</v>
      </c>
      <c r="L327" s="9" t="n">
        <v>2666.21</v>
      </c>
      <c r="M327" s="9" t="n">
        <v>2275.77</v>
      </c>
      <c r="N327" s="9" t="n">
        <v>2427.72</v>
      </c>
      <c r="O327" s="9" t="n">
        <v>2360.07</v>
      </c>
      <c r="P327" s="9" t="n">
        <v>2510.92</v>
      </c>
      <c r="Q327" s="9" t="n">
        <v>2226.91</v>
      </c>
      <c r="R327" s="9" t="n">
        <v>2646.1</v>
      </c>
      <c r="S327" s="9" t="n">
        <v>2470.74</v>
      </c>
      <c r="T327" s="9" t="n">
        <v>2578.95</v>
      </c>
      <c r="U327" s="10">
        <f>SUM(I327:T327)</f>
        <v/>
      </c>
    </row>
    <row r="328">
      <c r="A328" s="2" t="inlineStr">
        <is>
          <t>SN-2000-2100-2110-2110FE0021</t>
        </is>
      </c>
      <c r="B328" s="2" t="inlineStr">
        <is>
          <t>2110FE0021</t>
        </is>
      </c>
      <c r="C328" s="2" t="inlineStr">
        <is>
          <t>Alimentador en bandeja chancador</t>
        </is>
      </c>
      <c r="D328" s="2" t="n">
        <v>109</v>
      </c>
      <c r="E328" s="2" t="inlineStr">
        <is>
          <t>CC-2000</t>
        </is>
      </c>
      <c r="F328" s="2" t="inlineStr">
        <is>
          <t>P01</t>
        </is>
      </c>
      <c r="G328" s="2" t="n">
        <v>630000</v>
      </c>
      <c r="H328" s="2" t="inlineStr">
        <is>
          <t>Servicios externos</t>
        </is>
      </c>
      <c r="I328" s="9" t="n">
        <v>2370.89</v>
      </c>
      <c r="J328" s="9" t="n">
        <v>2536.3</v>
      </c>
      <c r="K328" s="9" t="n">
        <v>2429.11</v>
      </c>
      <c r="L328" s="9" t="n">
        <v>2519.21</v>
      </c>
      <c r="M328" s="9" t="n">
        <v>2491.9</v>
      </c>
      <c r="N328" s="9" t="n">
        <v>2351.58</v>
      </c>
      <c r="O328" s="9" t="n">
        <v>2507.5</v>
      </c>
      <c r="P328" s="9" t="n">
        <v>2695</v>
      </c>
      <c r="Q328" s="9" t="n">
        <v>2190.07</v>
      </c>
      <c r="R328" s="9" t="n">
        <v>2770.11</v>
      </c>
      <c r="S328" s="9" t="n">
        <v>2378.48</v>
      </c>
      <c r="T328" s="9" t="n">
        <v>2386.73</v>
      </c>
      <c r="U328" s="10">
        <f>SUM(I328:T328)</f>
        <v/>
      </c>
    </row>
    <row r="329">
      <c r="A329" s="2" t="inlineStr">
        <is>
          <t>SN-2000-2100-2110-2110FP0001</t>
        </is>
      </c>
      <c r="B329" s="2" t="inlineStr">
        <is>
          <t>2110FP0001</t>
        </is>
      </c>
      <c r="C329" s="2" t="inlineStr">
        <is>
          <t>Tablero SCI</t>
        </is>
      </c>
      <c r="D329" s="2" t="n">
        <v>110</v>
      </c>
      <c r="E329" s="2" t="inlineStr">
        <is>
          <t>CC-2000</t>
        </is>
      </c>
      <c r="F329" s="2" t="inlineStr">
        <is>
          <t>P01</t>
        </is>
      </c>
      <c r="G329" s="2" t="n">
        <v>610000</v>
      </c>
      <c r="H329" s="2" t="inlineStr">
        <is>
          <t>Mano obra interna</t>
        </is>
      </c>
      <c r="I329" s="9" t="n">
        <v>2033.69</v>
      </c>
      <c r="J329" s="9" t="n">
        <v>1941.59</v>
      </c>
      <c r="K329" s="9" t="n">
        <v>2042.24</v>
      </c>
      <c r="L329" s="9" t="n">
        <v>2048.93</v>
      </c>
      <c r="M329" s="9" t="n">
        <v>1753.5</v>
      </c>
      <c r="N329" s="9" t="n">
        <v>1735.81</v>
      </c>
      <c r="O329" s="9" t="n">
        <v>1909.75</v>
      </c>
      <c r="P329" s="9" t="n">
        <v>1852.36</v>
      </c>
      <c r="Q329" s="9" t="n">
        <v>1707.5</v>
      </c>
      <c r="R329" s="9" t="n">
        <v>1958.72</v>
      </c>
      <c r="S329" s="9" t="n">
        <v>1826.21</v>
      </c>
      <c r="T329" s="9" t="n">
        <v>1908.97</v>
      </c>
      <c r="U329" s="10">
        <f>SUM(I329:T329)</f>
        <v/>
      </c>
    </row>
    <row r="330">
      <c r="A330" s="2" t="inlineStr">
        <is>
          <t>SN-2000-2100-2110-2110FP0001</t>
        </is>
      </c>
      <c r="B330" s="2" t="inlineStr">
        <is>
          <t>2110FP0001</t>
        </is>
      </c>
      <c r="C330" s="2" t="inlineStr">
        <is>
          <t>Tablero SCI</t>
        </is>
      </c>
      <c r="D330" s="2" t="n">
        <v>110</v>
      </c>
      <c r="E330" s="2" t="inlineStr">
        <is>
          <t>CC-2000</t>
        </is>
      </c>
      <c r="F330" s="2" t="inlineStr">
        <is>
          <t>P01</t>
        </is>
      </c>
      <c r="G330" s="2" t="n">
        <v>620000</v>
      </c>
      <c r="H330" s="2" t="inlineStr">
        <is>
          <t>Materiales</t>
        </is>
      </c>
      <c r="I330" s="9" t="n">
        <v>1875.08</v>
      </c>
      <c r="J330" s="9" t="n">
        <v>1832.75</v>
      </c>
      <c r="K330" s="9" t="n">
        <v>1924.93</v>
      </c>
      <c r="L330" s="9" t="n">
        <v>1798.34</v>
      </c>
      <c r="M330" s="9" t="n">
        <v>1896.84</v>
      </c>
      <c r="N330" s="9" t="n">
        <v>1630.06</v>
      </c>
      <c r="O330" s="9" t="n">
        <v>1803.1</v>
      </c>
      <c r="P330" s="9" t="n">
        <v>1926.42</v>
      </c>
      <c r="Q330" s="9" t="n">
        <v>1735.15</v>
      </c>
      <c r="R330" s="9" t="n">
        <v>1913.8</v>
      </c>
      <c r="S330" s="9" t="n">
        <v>1841.93</v>
      </c>
      <c r="T330" s="9" t="n">
        <v>1892.72</v>
      </c>
      <c r="U330" s="10">
        <f>SUM(I330:T330)</f>
        <v/>
      </c>
    </row>
    <row r="331">
      <c r="A331" s="2" t="inlineStr">
        <is>
          <t>SN-2000-2100-2110-2110FP0001</t>
        </is>
      </c>
      <c r="B331" s="2" t="inlineStr">
        <is>
          <t>2110FP0001</t>
        </is>
      </c>
      <c r="C331" s="2" t="inlineStr">
        <is>
          <t>Tablero SCI</t>
        </is>
      </c>
      <c r="D331" s="2" t="n">
        <v>110</v>
      </c>
      <c r="E331" s="2" t="inlineStr">
        <is>
          <t>CC-2000</t>
        </is>
      </c>
      <c r="F331" s="2" t="inlineStr">
        <is>
          <t>P01</t>
        </is>
      </c>
      <c r="G331" s="2" t="n">
        <v>630000</v>
      </c>
      <c r="H331" s="2" t="inlineStr">
        <is>
          <t>Servicios externos</t>
        </is>
      </c>
      <c r="I331" s="9" t="n">
        <v>2399.82</v>
      </c>
      <c r="J331" s="9" t="n">
        <v>2270.62</v>
      </c>
      <c r="K331" s="9" t="n">
        <v>2332.89</v>
      </c>
      <c r="L331" s="9" t="n">
        <v>2179.66</v>
      </c>
      <c r="M331" s="9" t="n">
        <v>2156.56</v>
      </c>
      <c r="N331" s="9" t="n">
        <v>2138.05</v>
      </c>
      <c r="O331" s="9" t="n">
        <v>2302.66</v>
      </c>
      <c r="P331" s="9" t="n">
        <v>2268.89</v>
      </c>
      <c r="Q331" s="9" t="n">
        <v>2037.54</v>
      </c>
      <c r="R331" s="9" t="n">
        <v>2250.36</v>
      </c>
      <c r="S331" s="9" t="n">
        <v>2191.94</v>
      </c>
      <c r="T331" s="9" t="n">
        <v>2220.39</v>
      </c>
      <c r="U331" s="10">
        <f>SUM(I331:T331)</f>
        <v/>
      </c>
    </row>
    <row r="332">
      <c r="A332" s="2" t="inlineStr">
        <is>
          <t>SN-2000-2100-2110-2110HT0042</t>
        </is>
      </c>
      <c r="B332" s="2" t="inlineStr">
        <is>
          <t>2110HT0042</t>
        </is>
      </c>
      <c r="C332" s="2" t="inlineStr">
        <is>
          <t>Tecle chancador primario</t>
        </is>
      </c>
      <c r="D332" s="2" t="n">
        <v>111</v>
      </c>
      <c r="E332" s="2" t="inlineStr">
        <is>
          <t>CC-2000</t>
        </is>
      </c>
      <c r="F332" s="2" t="inlineStr">
        <is>
          <t>P01</t>
        </is>
      </c>
      <c r="G332" s="2" t="n">
        <v>610000</v>
      </c>
      <c r="H332" s="2" t="inlineStr">
        <is>
          <t>Mano obra interna</t>
        </is>
      </c>
      <c r="I332" s="9" t="n">
        <v>1794.88</v>
      </c>
      <c r="J332" s="9" t="n">
        <v>1899.81</v>
      </c>
      <c r="K332" s="9" t="n">
        <v>2102.1</v>
      </c>
      <c r="L332" s="9" t="n">
        <v>1843.82</v>
      </c>
      <c r="M332" s="9" t="n">
        <v>1874.96</v>
      </c>
      <c r="N332" s="9" t="n">
        <v>1700.63</v>
      </c>
      <c r="O332" s="9" t="n">
        <v>1942.34</v>
      </c>
      <c r="P332" s="9" t="n">
        <v>1917.15</v>
      </c>
      <c r="Q332" s="9" t="n">
        <v>1745.38</v>
      </c>
      <c r="R332" s="9" t="n">
        <v>2059.47</v>
      </c>
      <c r="S332" s="9" t="n">
        <v>1959.32</v>
      </c>
      <c r="T332" s="9" t="n">
        <v>1837.59</v>
      </c>
      <c r="U332" s="10">
        <f>SUM(I332:T332)</f>
        <v/>
      </c>
    </row>
    <row r="333">
      <c r="A333" s="2" t="inlineStr">
        <is>
          <t>SN-2000-2100-2110-2110HT0042</t>
        </is>
      </c>
      <c r="B333" s="2" t="inlineStr">
        <is>
          <t>2110HT0042</t>
        </is>
      </c>
      <c r="C333" s="2" t="inlineStr">
        <is>
          <t>Tecle chancador primario</t>
        </is>
      </c>
      <c r="D333" s="2" t="n">
        <v>111</v>
      </c>
      <c r="E333" s="2" t="inlineStr">
        <is>
          <t>CC-2000</t>
        </is>
      </c>
      <c r="F333" s="2" t="inlineStr">
        <is>
          <t>P01</t>
        </is>
      </c>
      <c r="G333" s="2" t="n">
        <v>620000</v>
      </c>
      <c r="H333" s="2" t="inlineStr">
        <is>
          <t>Materiales</t>
        </is>
      </c>
      <c r="I333" s="9" t="n">
        <v>1564.13</v>
      </c>
      <c r="J333" s="9" t="n">
        <v>1444.04</v>
      </c>
      <c r="K333" s="9" t="n">
        <v>1587.6</v>
      </c>
      <c r="L333" s="9" t="n">
        <v>1503.27</v>
      </c>
      <c r="M333" s="9" t="n">
        <v>1504.53</v>
      </c>
      <c r="N333" s="9" t="n">
        <v>1369.16</v>
      </c>
      <c r="O333" s="9" t="n">
        <v>1506.96</v>
      </c>
      <c r="P333" s="9" t="n">
        <v>1542.94</v>
      </c>
      <c r="Q333" s="9" t="n">
        <v>1363.82</v>
      </c>
      <c r="R333" s="9" t="n">
        <v>1482.19</v>
      </c>
      <c r="S333" s="9" t="n">
        <v>1350.25</v>
      </c>
      <c r="T333" s="9" t="n">
        <v>1399.01</v>
      </c>
      <c r="U333" s="10">
        <f>SUM(I333:T333)</f>
        <v/>
      </c>
    </row>
    <row r="334">
      <c r="A334" s="2" t="inlineStr">
        <is>
          <t>SN-2000-2100-2110-2110HT0042</t>
        </is>
      </c>
      <c r="B334" s="2" t="inlineStr">
        <is>
          <t>2110HT0042</t>
        </is>
      </c>
      <c r="C334" s="2" t="inlineStr">
        <is>
          <t>Tecle chancador primario</t>
        </is>
      </c>
      <c r="D334" s="2" t="n">
        <v>111</v>
      </c>
      <c r="E334" s="2" t="inlineStr">
        <is>
          <t>CC-2000</t>
        </is>
      </c>
      <c r="F334" s="2" t="inlineStr">
        <is>
          <t>P01</t>
        </is>
      </c>
      <c r="G334" s="2" t="n">
        <v>630000</v>
      </c>
      <c r="H334" s="2" t="inlineStr">
        <is>
          <t>Servicios externos</t>
        </is>
      </c>
      <c r="I334" s="9" t="n">
        <v>1604.37</v>
      </c>
      <c r="J334" s="9" t="n">
        <v>1611.38</v>
      </c>
      <c r="K334" s="9" t="n">
        <v>1696.72</v>
      </c>
      <c r="L334" s="9" t="n">
        <v>1638.1</v>
      </c>
      <c r="M334" s="9" t="n">
        <v>1634.71</v>
      </c>
      <c r="N334" s="9" t="n">
        <v>1446.78</v>
      </c>
      <c r="O334" s="9" t="n">
        <v>1515.56</v>
      </c>
      <c r="P334" s="9" t="n">
        <v>1535.54</v>
      </c>
      <c r="Q334" s="9" t="n">
        <v>1514.1</v>
      </c>
      <c r="R334" s="9" t="n">
        <v>1669</v>
      </c>
      <c r="S334" s="9" t="n">
        <v>1515.61</v>
      </c>
      <c r="T334" s="9" t="n">
        <v>1619.67</v>
      </c>
      <c r="U334" s="10">
        <f>SUM(I334:T334)</f>
        <v/>
      </c>
    </row>
    <row r="335">
      <c r="A335" s="2" t="inlineStr">
        <is>
          <t>SN-2000-2100-2110-2110HT0061</t>
        </is>
      </c>
      <c r="B335" s="2" t="inlineStr">
        <is>
          <t>2110HT0061</t>
        </is>
      </c>
      <c r="C335" s="2" t="inlineStr">
        <is>
          <t>Carro mantención polea pola</t>
        </is>
      </c>
      <c r="D335" s="2" t="n">
        <v>112</v>
      </c>
      <c r="E335" s="2" t="inlineStr">
        <is>
          <t>CC-2000</t>
        </is>
      </c>
      <c r="F335" s="2" t="inlineStr">
        <is>
          <t>P01</t>
        </is>
      </c>
      <c r="G335" s="2" t="n">
        <v>610000</v>
      </c>
      <c r="H335" s="2" t="inlineStr">
        <is>
          <t>Mano obra interna</t>
        </is>
      </c>
      <c r="I335" s="9" t="n">
        <v>281.87</v>
      </c>
      <c r="J335" s="9" t="n">
        <v>301.91</v>
      </c>
      <c r="K335" s="9" t="n">
        <v>317.22</v>
      </c>
      <c r="L335" s="9" t="n">
        <v>320.62</v>
      </c>
      <c r="M335" s="9" t="n">
        <v>316.82</v>
      </c>
      <c r="N335" s="9" t="n">
        <v>264.27</v>
      </c>
      <c r="O335" s="9" t="n">
        <v>282.94</v>
      </c>
      <c r="P335" s="9" t="n">
        <v>317.66</v>
      </c>
      <c r="Q335" s="9" t="n">
        <v>276.85</v>
      </c>
      <c r="R335" s="9" t="n">
        <v>326.22</v>
      </c>
      <c r="S335" s="9" t="n">
        <v>297.4</v>
      </c>
      <c r="T335" s="9" t="n">
        <v>312.55</v>
      </c>
      <c r="U335" s="10">
        <f>SUM(I335:T335)</f>
        <v/>
      </c>
    </row>
    <row r="336">
      <c r="A336" s="2" t="inlineStr">
        <is>
          <t>SN-2000-2100-2110-2110HT0061</t>
        </is>
      </c>
      <c r="B336" s="2" t="inlineStr">
        <is>
          <t>2110HT0061</t>
        </is>
      </c>
      <c r="C336" s="2" t="inlineStr">
        <is>
          <t>Carro mantención polea pola</t>
        </is>
      </c>
      <c r="D336" s="2" t="n">
        <v>112</v>
      </c>
      <c r="E336" s="2" t="inlineStr">
        <is>
          <t>CC-2000</t>
        </is>
      </c>
      <c r="F336" s="2" t="inlineStr">
        <is>
          <t>P01</t>
        </is>
      </c>
      <c r="G336" s="2" t="n">
        <v>620000</v>
      </c>
      <c r="H336" s="2" t="inlineStr">
        <is>
          <t>Materiales</t>
        </is>
      </c>
      <c r="I336" s="9" t="n">
        <v>332.84</v>
      </c>
      <c r="J336" s="9" t="n">
        <v>307.93</v>
      </c>
      <c r="K336" s="9" t="n">
        <v>300.98</v>
      </c>
      <c r="L336" s="9" t="n">
        <v>327.44</v>
      </c>
      <c r="M336" s="9" t="n">
        <v>277.34</v>
      </c>
      <c r="N336" s="9" t="n">
        <v>276.33</v>
      </c>
      <c r="O336" s="9" t="n">
        <v>321.37</v>
      </c>
      <c r="P336" s="9" t="n">
        <v>290.03</v>
      </c>
      <c r="Q336" s="9" t="n">
        <v>268.58</v>
      </c>
      <c r="R336" s="9" t="n">
        <v>306.85</v>
      </c>
      <c r="S336" s="9" t="n">
        <v>309.18</v>
      </c>
      <c r="T336" s="9" t="n">
        <v>306.51</v>
      </c>
      <c r="U336" s="10">
        <f>SUM(I336:T336)</f>
        <v/>
      </c>
    </row>
    <row r="337">
      <c r="A337" s="2" t="inlineStr">
        <is>
          <t>SN-2000-2100-2110-2110HT0061</t>
        </is>
      </c>
      <c r="B337" s="2" t="inlineStr">
        <is>
          <t>2110HT0061</t>
        </is>
      </c>
      <c r="C337" s="2" t="inlineStr">
        <is>
          <t>Carro mantención polea pola</t>
        </is>
      </c>
      <c r="D337" s="2" t="n">
        <v>112</v>
      </c>
      <c r="E337" s="2" t="inlineStr">
        <is>
          <t>CC-2000</t>
        </is>
      </c>
      <c r="F337" s="2" t="inlineStr">
        <is>
          <t>P01</t>
        </is>
      </c>
      <c r="G337" s="2" t="n">
        <v>630000</v>
      </c>
      <c r="H337" s="2" t="inlineStr">
        <is>
          <t>Servicios externos</t>
        </is>
      </c>
      <c r="I337" s="9" t="n">
        <v>271.62</v>
      </c>
      <c r="J337" s="9" t="n">
        <v>284.75</v>
      </c>
      <c r="K337" s="9" t="n">
        <v>298.37</v>
      </c>
      <c r="L337" s="9" t="n">
        <v>275.28</v>
      </c>
      <c r="M337" s="9" t="n">
        <v>270.87</v>
      </c>
      <c r="N337" s="9" t="n">
        <v>253.14</v>
      </c>
      <c r="O337" s="9" t="n">
        <v>298.97</v>
      </c>
      <c r="P337" s="9" t="n">
        <v>283.92</v>
      </c>
      <c r="Q337" s="9" t="n">
        <v>276.44</v>
      </c>
      <c r="R337" s="9" t="n">
        <v>290.02</v>
      </c>
      <c r="S337" s="9" t="n">
        <v>280.92</v>
      </c>
      <c r="T337" s="9" t="n">
        <v>293.77</v>
      </c>
      <c r="U337" s="10">
        <f>SUM(I337:T337)</f>
        <v/>
      </c>
    </row>
    <row r="338">
      <c r="A338" s="2" t="inlineStr">
        <is>
          <t>SN-2000-2100-2110-2110IO0001</t>
        </is>
      </c>
      <c r="B338" s="2" t="inlineStr">
        <is>
          <t>2110IO0001</t>
        </is>
      </c>
      <c r="C338" s="2" t="inlineStr">
        <is>
          <t xml:space="preserve">Gabinete RIO  </t>
        </is>
      </c>
      <c r="D338" s="2" t="n">
        <v>113</v>
      </c>
      <c r="E338" s="2" t="inlineStr">
        <is>
          <t>CC-2000</t>
        </is>
      </c>
      <c r="F338" s="2" t="inlineStr">
        <is>
          <t>P01</t>
        </is>
      </c>
      <c r="G338" s="2" t="n">
        <v>610000</v>
      </c>
      <c r="H338" s="2" t="inlineStr">
        <is>
          <t>Mano obra interna</t>
        </is>
      </c>
      <c r="I338" s="9" t="n">
        <v>2632.85</v>
      </c>
      <c r="J338" s="9" t="n">
        <v>2323.66</v>
      </c>
      <c r="K338" s="9" t="n">
        <v>2329.9</v>
      </c>
      <c r="L338" s="9" t="n">
        <v>2520.57</v>
      </c>
      <c r="M338" s="9" t="n">
        <v>2462.59</v>
      </c>
      <c r="N338" s="9" t="n">
        <v>2322.37</v>
      </c>
      <c r="O338" s="9" t="n">
        <v>2288.7</v>
      </c>
      <c r="P338" s="9" t="n">
        <v>2400.18</v>
      </c>
      <c r="Q338" s="9" t="n">
        <v>2167.21</v>
      </c>
      <c r="R338" s="9" t="n">
        <v>2558.46</v>
      </c>
      <c r="S338" s="9" t="n">
        <v>2377.59</v>
      </c>
      <c r="T338" s="9" t="n">
        <v>2531.47</v>
      </c>
      <c r="U338" s="10">
        <f>SUM(I338:T338)</f>
        <v/>
      </c>
    </row>
    <row r="339">
      <c r="A339" s="2" t="inlineStr">
        <is>
          <t>SN-2000-2100-2110-2110IO0001</t>
        </is>
      </c>
      <c r="B339" s="2" t="inlineStr">
        <is>
          <t>2110IO0001</t>
        </is>
      </c>
      <c r="C339" s="2" t="inlineStr">
        <is>
          <t xml:space="preserve">Gabinete RIO  </t>
        </is>
      </c>
      <c r="D339" s="2" t="n">
        <v>113</v>
      </c>
      <c r="E339" s="2" t="inlineStr">
        <is>
          <t>CC-2000</t>
        </is>
      </c>
      <c r="F339" s="2" t="inlineStr">
        <is>
          <t>P01</t>
        </is>
      </c>
      <c r="G339" s="2" t="n">
        <v>620000</v>
      </c>
      <c r="H339" s="2" t="inlineStr">
        <is>
          <t>Materiales</t>
        </is>
      </c>
      <c r="I339" s="9" t="n">
        <v>2021.65</v>
      </c>
      <c r="J339" s="9" t="n">
        <v>1907.23</v>
      </c>
      <c r="K339" s="9" t="n">
        <v>1974.42</v>
      </c>
      <c r="L339" s="9" t="n">
        <v>2148.34</v>
      </c>
      <c r="M339" s="9" t="n">
        <v>2120.33</v>
      </c>
      <c r="N339" s="9" t="n">
        <v>1882.57</v>
      </c>
      <c r="O339" s="9" t="n">
        <v>2092.62</v>
      </c>
      <c r="P339" s="9" t="n">
        <v>2136.95</v>
      </c>
      <c r="Q339" s="9" t="n">
        <v>1975.49</v>
      </c>
      <c r="R339" s="9" t="n">
        <v>2058.47</v>
      </c>
      <c r="S339" s="9" t="n">
        <v>2088.72</v>
      </c>
      <c r="T339" s="9" t="n">
        <v>2000.41</v>
      </c>
      <c r="U339" s="10">
        <f>SUM(I339:T339)</f>
        <v/>
      </c>
    </row>
    <row r="340">
      <c r="A340" s="2" t="inlineStr">
        <is>
          <t>SN-2000-2100-2110-2110IO0001</t>
        </is>
      </c>
      <c r="B340" s="2" t="inlineStr">
        <is>
          <t>2110IO0001</t>
        </is>
      </c>
      <c r="C340" s="2" t="inlineStr">
        <is>
          <t xml:space="preserve">Gabinete RIO  </t>
        </is>
      </c>
      <c r="D340" s="2" t="n">
        <v>113</v>
      </c>
      <c r="E340" s="2" t="inlineStr">
        <is>
          <t>CC-2000</t>
        </is>
      </c>
      <c r="F340" s="2" t="inlineStr">
        <is>
          <t>P01</t>
        </is>
      </c>
      <c r="G340" s="2" t="n">
        <v>630000</v>
      </c>
      <c r="H340" s="2" t="inlineStr">
        <is>
          <t>Servicios externos</t>
        </is>
      </c>
      <c r="I340" s="9" t="n">
        <v>2004.52</v>
      </c>
      <c r="J340" s="9" t="n">
        <v>2074.84</v>
      </c>
      <c r="K340" s="9" t="n">
        <v>2041.96</v>
      </c>
      <c r="L340" s="9" t="n">
        <v>2071.14</v>
      </c>
      <c r="M340" s="9" t="n">
        <v>2028.37</v>
      </c>
      <c r="N340" s="9" t="n">
        <v>2118.4</v>
      </c>
      <c r="O340" s="9" t="n">
        <v>2239.28</v>
      </c>
      <c r="P340" s="9" t="n">
        <v>2043.15</v>
      </c>
      <c r="Q340" s="9" t="n">
        <v>2078.27</v>
      </c>
      <c r="R340" s="9" t="n">
        <v>2407.15</v>
      </c>
      <c r="S340" s="9" t="n">
        <v>2130.53</v>
      </c>
      <c r="T340" s="9" t="n">
        <v>2021.63</v>
      </c>
      <c r="U340" s="10">
        <f>SUM(I340:T340)</f>
        <v/>
      </c>
    </row>
    <row r="341">
      <c r="A341" s="2" t="inlineStr">
        <is>
          <t>SN-2000-2100-2110-2110IO0002</t>
        </is>
      </c>
      <c r="B341" s="2" t="inlineStr">
        <is>
          <t>2110IO0002</t>
        </is>
      </c>
      <c r="C341" s="2" t="inlineStr">
        <is>
          <t xml:space="preserve">Gabinete RIO  </t>
        </is>
      </c>
      <c r="D341" s="2" t="n">
        <v>114</v>
      </c>
      <c r="E341" s="2" t="inlineStr">
        <is>
          <t>CC-2000</t>
        </is>
      </c>
      <c r="F341" s="2" t="inlineStr">
        <is>
          <t>P01</t>
        </is>
      </c>
      <c r="G341" s="2" t="n">
        <v>610000</v>
      </c>
      <c r="H341" s="2" t="inlineStr">
        <is>
          <t>Mano obra interna</t>
        </is>
      </c>
      <c r="I341" s="9" t="n">
        <v>2374.34</v>
      </c>
      <c r="J341" s="9" t="n">
        <v>2200.83</v>
      </c>
      <c r="K341" s="9" t="n">
        <v>2179.61</v>
      </c>
      <c r="L341" s="9" t="n">
        <v>2219.33</v>
      </c>
      <c r="M341" s="9" t="n">
        <v>2198.9</v>
      </c>
      <c r="N341" s="9" t="n">
        <v>2079.38</v>
      </c>
      <c r="O341" s="9" t="n">
        <v>2040.15</v>
      </c>
      <c r="P341" s="9" t="n">
        <v>2104.39</v>
      </c>
      <c r="Q341" s="9" t="n">
        <v>2118.96</v>
      </c>
      <c r="R341" s="9" t="n">
        <v>2476.94</v>
      </c>
      <c r="S341" s="9" t="n">
        <v>1979.94</v>
      </c>
      <c r="T341" s="9" t="n">
        <v>2362.99</v>
      </c>
      <c r="U341" s="10">
        <f>SUM(I341:T341)</f>
        <v/>
      </c>
    </row>
    <row r="342">
      <c r="A342" s="2" t="inlineStr">
        <is>
          <t>SN-2000-2100-2110-2110IO0002</t>
        </is>
      </c>
      <c r="B342" s="2" t="inlineStr">
        <is>
          <t>2110IO0002</t>
        </is>
      </c>
      <c r="C342" s="2" t="inlineStr">
        <is>
          <t xml:space="preserve">Gabinete RIO  </t>
        </is>
      </c>
      <c r="D342" s="2" t="n">
        <v>114</v>
      </c>
      <c r="E342" s="2" t="inlineStr">
        <is>
          <t>CC-2000</t>
        </is>
      </c>
      <c r="F342" s="2" t="inlineStr">
        <is>
          <t>P01</t>
        </is>
      </c>
      <c r="G342" s="2" t="n">
        <v>620000</v>
      </c>
      <c r="H342" s="2" t="inlineStr">
        <is>
          <t>Materiales</t>
        </is>
      </c>
      <c r="I342" s="9" t="n">
        <v>1957.15</v>
      </c>
      <c r="J342" s="9" t="n">
        <v>1914.51</v>
      </c>
      <c r="K342" s="9" t="n">
        <v>2024</v>
      </c>
      <c r="L342" s="9" t="n">
        <v>2046.06</v>
      </c>
      <c r="M342" s="9" t="n">
        <v>1793.97</v>
      </c>
      <c r="N342" s="9" t="n">
        <v>1889.04</v>
      </c>
      <c r="O342" s="9" t="n">
        <v>1759.33</v>
      </c>
      <c r="P342" s="9" t="n">
        <v>1928.52</v>
      </c>
      <c r="Q342" s="9" t="n">
        <v>1806.83</v>
      </c>
      <c r="R342" s="9" t="n">
        <v>2072.51</v>
      </c>
      <c r="S342" s="9" t="n">
        <v>1737.29</v>
      </c>
      <c r="T342" s="9" t="n">
        <v>2009.59</v>
      </c>
      <c r="U342" s="10">
        <f>SUM(I342:T342)</f>
        <v/>
      </c>
    </row>
    <row r="343">
      <c r="A343" s="2" t="inlineStr">
        <is>
          <t>SN-2000-2100-2110-2110IO0002</t>
        </is>
      </c>
      <c r="B343" s="2" t="inlineStr">
        <is>
          <t>2110IO0002</t>
        </is>
      </c>
      <c r="C343" s="2" t="inlineStr">
        <is>
          <t xml:space="preserve">Gabinete RIO  </t>
        </is>
      </c>
      <c r="D343" s="2" t="n">
        <v>114</v>
      </c>
      <c r="E343" s="2" t="inlineStr">
        <is>
          <t>CC-2000</t>
        </is>
      </c>
      <c r="F343" s="2" t="inlineStr">
        <is>
          <t>P01</t>
        </is>
      </c>
      <c r="G343" s="2" t="n">
        <v>630000</v>
      </c>
      <c r="H343" s="2" t="inlineStr">
        <is>
          <t>Servicios externos</t>
        </is>
      </c>
      <c r="I343" s="9" t="n">
        <v>1718.33</v>
      </c>
      <c r="J343" s="9" t="n">
        <v>1847.38</v>
      </c>
      <c r="K343" s="9" t="n">
        <v>1862.73</v>
      </c>
      <c r="L343" s="9" t="n">
        <v>1956.15</v>
      </c>
      <c r="M343" s="9" t="n">
        <v>1760.49</v>
      </c>
      <c r="N343" s="9" t="n">
        <v>1641.09</v>
      </c>
      <c r="O343" s="9" t="n">
        <v>1911.15</v>
      </c>
      <c r="P343" s="9" t="n">
        <v>1825.53</v>
      </c>
      <c r="Q343" s="9" t="n">
        <v>1603.49</v>
      </c>
      <c r="R343" s="9" t="n">
        <v>2023.8</v>
      </c>
      <c r="S343" s="9" t="n">
        <v>1757.94</v>
      </c>
      <c r="T343" s="9" t="n">
        <v>1870.32</v>
      </c>
      <c r="U343" s="10">
        <f>SUM(I343:T343)</f>
        <v/>
      </c>
    </row>
    <row r="344">
      <c r="A344" s="2" t="inlineStr">
        <is>
          <t>SN-2000-2100-2110-2110JB6001</t>
        </is>
      </c>
      <c r="B344" s="2" t="inlineStr">
        <is>
          <t>2110JB6001</t>
        </is>
      </c>
      <c r="C344" s="2" t="inlineStr">
        <is>
          <t>Tablero control válvulas supresión polvo CHP</t>
        </is>
      </c>
      <c r="D344" s="2" t="n">
        <v>115</v>
      </c>
      <c r="E344" s="2" t="inlineStr">
        <is>
          <t>CC-2000</t>
        </is>
      </c>
      <c r="F344" s="2" t="inlineStr">
        <is>
          <t>P01</t>
        </is>
      </c>
      <c r="G344" s="2" t="n">
        <v>610000</v>
      </c>
      <c r="H344" s="2" t="inlineStr">
        <is>
          <t>Mano obra interna</t>
        </is>
      </c>
      <c r="I344" s="9" t="n">
        <v>1093.73</v>
      </c>
      <c r="J344" s="9" t="n">
        <v>1055.31</v>
      </c>
      <c r="K344" s="9" t="n">
        <v>1085.25</v>
      </c>
      <c r="L344" s="9" t="n">
        <v>974.62</v>
      </c>
      <c r="M344" s="9" t="n">
        <v>1061.95</v>
      </c>
      <c r="N344" s="9" t="n">
        <v>999.78</v>
      </c>
      <c r="O344" s="9" t="n">
        <v>1050.43</v>
      </c>
      <c r="P344" s="9" t="n">
        <v>994.8099999999999</v>
      </c>
      <c r="Q344" s="9" t="n">
        <v>1005.01</v>
      </c>
      <c r="R344" s="9" t="n">
        <v>1137.27</v>
      </c>
      <c r="S344" s="9" t="n">
        <v>924.28</v>
      </c>
      <c r="T344" s="9" t="n">
        <v>1017.74</v>
      </c>
      <c r="U344" s="10">
        <f>SUM(I344:T344)</f>
        <v/>
      </c>
    </row>
    <row r="345">
      <c r="A345" s="2" t="inlineStr">
        <is>
          <t>SN-2000-2100-2110-2110JB6001</t>
        </is>
      </c>
      <c r="B345" s="2" t="inlineStr">
        <is>
          <t>2110JB6001</t>
        </is>
      </c>
      <c r="C345" s="2" t="inlineStr">
        <is>
          <t>Tablero control válvulas supresión polvo CHP</t>
        </is>
      </c>
      <c r="D345" s="2" t="n">
        <v>115</v>
      </c>
      <c r="E345" s="2" t="inlineStr">
        <is>
          <t>CC-2000</t>
        </is>
      </c>
      <c r="F345" s="2" t="inlineStr">
        <is>
          <t>P01</t>
        </is>
      </c>
      <c r="G345" s="2" t="n">
        <v>620000</v>
      </c>
      <c r="H345" s="2" t="inlineStr">
        <is>
          <t>Materiales</t>
        </is>
      </c>
      <c r="I345" s="9" t="n">
        <v>1081.55</v>
      </c>
      <c r="J345" s="9" t="n">
        <v>1207.97</v>
      </c>
      <c r="K345" s="9" t="n">
        <v>1212.14</v>
      </c>
      <c r="L345" s="9" t="n">
        <v>1191.94</v>
      </c>
      <c r="M345" s="9" t="n">
        <v>1088.91</v>
      </c>
      <c r="N345" s="9" t="n">
        <v>1048.15</v>
      </c>
      <c r="O345" s="9" t="n">
        <v>1223.56</v>
      </c>
      <c r="P345" s="9" t="n">
        <v>1104.53</v>
      </c>
      <c r="Q345" s="9" t="n">
        <v>1110.14</v>
      </c>
      <c r="R345" s="9" t="n">
        <v>1210.73</v>
      </c>
      <c r="S345" s="9" t="n">
        <v>1041.92</v>
      </c>
      <c r="T345" s="9" t="n">
        <v>1068.43</v>
      </c>
      <c r="U345" s="10">
        <f>SUM(I345:T345)</f>
        <v/>
      </c>
    </row>
    <row r="346">
      <c r="A346" s="2" t="inlineStr">
        <is>
          <t>SN-2000-2100-2110-2110JB6001</t>
        </is>
      </c>
      <c r="B346" s="2" t="inlineStr">
        <is>
          <t>2110JB6001</t>
        </is>
      </c>
      <c r="C346" s="2" t="inlineStr">
        <is>
          <t>Tablero control válvulas supresión polvo CHP</t>
        </is>
      </c>
      <c r="D346" s="2" t="n">
        <v>115</v>
      </c>
      <c r="E346" s="2" t="inlineStr">
        <is>
          <t>CC-2000</t>
        </is>
      </c>
      <c r="F346" s="2" t="inlineStr">
        <is>
          <t>P01</t>
        </is>
      </c>
      <c r="G346" s="2" t="n">
        <v>630000</v>
      </c>
      <c r="H346" s="2" t="inlineStr">
        <is>
          <t>Servicios externos</t>
        </is>
      </c>
      <c r="I346" s="9" t="n">
        <v>1126.51</v>
      </c>
      <c r="J346" s="9" t="n">
        <v>988.77</v>
      </c>
      <c r="K346" s="9" t="n">
        <v>1033.72</v>
      </c>
      <c r="L346" s="9" t="n">
        <v>1021.9</v>
      </c>
      <c r="M346" s="9" t="n">
        <v>1018.17</v>
      </c>
      <c r="N346" s="9" t="n">
        <v>971.08</v>
      </c>
      <c r="O346" s="9" t="n">
        <v>1088.27</v>
      </c>
      <c r="P346" s="9" t="n">
        <v>1025.58</v>
      </c>
      <c r="Q346" s="9" t="n">
        <v>955.74</v>
      </c>
      <c r="R346" s="9" t="n">
        <v>1041.88</v>
      </c>
      <c r="S346" s="9" t="n">
        <v>1069.37</v>
      </c>
      <c r="T346" s="9" t="n">
        <v>999.04</v>
      </c>
      <c r="U346" s="10">
        <f>SUM(I346:T346)</f>
        <v/>
      </c>
    </row>
    <row r="347">
      <c r="A347" s="2" t="inlineStr">
        <is>
          <t>SN-2000-2100-2110-2110JB6002</t>
        </is>
      </c>
      <c r="B347" s="2" t="inlineStr">
        <is>
          <t>2110JB6002</t>
        </is>
      </c>
      <c r="C347" s="2" t="inlineStr">
        <is>
          <t>Tablero control válvulas supresión polvo CHP</t>
        </is>
      </c>
      <c r="D347" s="2" t="n">
        <v>116</v>
      </c>
      <c r="E347" s="2" t="inlineStr">
        <is>
          <t>CC-2000</t>
        </is>
      </c>
      <c r="F347" s="2" t="inlineStr">
        <is>
          <t>P01</t>
        </is>
      </c>
      <c r="G347" s="2" t="n">
        <v>610000</v>
      </c>
      <c r="H347" s="2" t="inlineStr">
        <is>
          <t>Mano obra interna</t>
        </is>
      </c>
      <c r="I347" s="9" t="n">
        <v>711.34</v>
      </c>
      <c r="J347" s="9" t="n">
        <v>679.01</v>
      </c>
      <c r="K347" s="9" t="n">
        <v>691.0599999999999</v>
      </c>
      <c r="L347" s="9" t="n">
        <v>685.42</v>
      </c>
      <c r="M347" s="9" t="n">
        <v>702.72</v>
      </c>
      <c r="N347" s="9" t="n">
        <v>617.64</v>
      </c>
      <c r="O347" s="9" t="n">
        <v>714.21</v>
      </c>
      <c r="P347" s="9" t="n">
        <v>694.73</v>
      </c>
      <c r="Q347" s="9" t="n">
        <v>623.95</v>
      </c>
      <c r="R347" s="9" t="n">
        <v>727.4299999999999</v>
      </c>
      <c r="S347" s="9" t="n">
        <v>631.8</v>
      </c>
      <c r="T347" s="9" t="n">
        <v>716.97</v>
      </c>
      <c r="U347" s="10">
        <f>SUM(I347:T347)</f>
        <v/>
      </c>
    </row>
    <row r="348">
      <c r="A348" s="2" t="inlineStr">
        <is>
          <t>SN-2000-2100-2110-2110JB6002</t>
        </is>
      </c>
      <c r="B348" s="2" t="inlineStr">
        <is>
          <t>2110JB6002</t>
        </is>
      </c>
      <c r="C348" s="2" t="inlineStr">
        <is>
          <t>Tablero control válvulas supresión polvo CHP</t>
        </is>
      </c>
      <c r="D348" s="2" t="n">
        <v>116</v>
      </c>
      <c r="E348" s="2" t="inlineStr">
        <is>
          <t>CC-2000</t>
        </is>
      </c>
      <c r="F348" s="2" t="inlineStr">
        <is>
          <t>P01</t>
        </is>
      </c>
      <c r="G348" s="2" t="n">
        <v>620000</v>
      </c>
      <c r="H348" s="2" t="inlineStr">
        <is>
          <t>Materiales</t>
        </is>
      </c>
      <c r="I348" s="9" t="n">
        <v>762.6</v>
      </c>
      <c r="J348" s="9" t="n">
        <v>769.0700000000001</v>
      </c>
      <c r="K348" s="9" t="n">
        <v>856.34</v>
      </c>
      <c r="L348" s="9" t="n">
        <v>777.88</v>
      </c>
      <c r="M348" s="9" t="n">
        <v>812.35</v>
      </c>
      <c r="N348" s="9" t="n">
        <v>717.05</v>
      </c>
      <c r="O348" s="9" t="n">
        <v>714.6</v>
      </c>
      <c r="P348" s="9" t="n">
        <v>732.13</v>
      </c>
      <c r="Q348" s="9" t="n">
        <v>706.6</v>
      </c>
      <c r="R348" s="9" t="n">
        <v>792.1799999999999</v>
      </c>
      <c r="S348" s="9" t="n">
        <v>684.98</v>
      </c>
      <c r="T348" s="9" t="n">
        <v>832.3099999999999</v>
      </c>
      <c r="U348" s="10">
        <f>SUM(I348:T348)</f>
        <v/>
      </c>
    </row>
    <row r="349">
      <c r="A349" s="2" t="inlineStr">
        <is>
          <t>SN-2000-2100-2110-2110JB6002</t>
        </is>
      </c>
      <c r="B349" s="2" t="inlineStr">
        <is>
          <t>2110JB6002</t>
        </is>
      </c>
      <c r="C349" s="2" t="inlineStr">
        <is>
          <t>Tablero control válvulas supresión polvo CHP</t>
        </is>
      </c>
      <c r="D349" s="2" t="n">
        <v>116</v>
      </c>
      <c r="E349" s="2" t="inlineStr">
        <is>
          <t>CC-2000</t>
        </is>
      </c>
      <c r="F349" s="2" t="inlineStr">
        <is>
          <t>P01</t>
        </is>
      </c>
      <c r="G349" s="2" t="n">
        <v>630000</v>
      </c>
      <c r="H349" s="2" t="inlineStr">
        <is>
          <t>Servicios externos</t>
        </is>
      </c>
      <c r="I349" s="9" t="n">
        <v>900.14</v>
      </c>
      <c r="J349" s="9" t="n">
        <v>791.5599999999999</v>
      </c>
      <c r="K349" s="9" t="n">
        <v>822.52</v>
      </c>
      <c r="L349" s="9" t="n">
        <v>807.54</v>
      </c>
      <c r="M349" s="9" t="n">
        <v>870.1799999999999</v>
      </c>
      <c r="N349" s="9" t="n">
        <v>867.24</v>
      </c>
      <c r="O349" s="9" t="n">
        <v>839.8</v>
      </c>
      <c r="P349" s="9" t="n">
        <v>796.53</v>
      </c>
      <c r="Q349" s="9" t="n">
        <v>791.74</v>
      </c>
      <c r="R349" s="9" t="n">
        <v>893.28</v>
      </c>
      <c r="S349" s="9" t="n">
        <v>805.28</v>
      </c>
      <c r="T349" s="9" t="n">
        <v>878.1799999999999</v>
      </c>
      <c r="U349" s="10">
        <f>SUM(I349:T349)</f>
        <v/>
      </c>
    </row>
    <row r="350">
      <c r="A350" s="2" t="inlineStr">
        <is>
          <t>SN-2000-2100-2110-2110JB6003</t>
        </is>
      </c>
      <c r="B350" s="2" t="inlineStr">
        <is>
          <t>2110JB6003</t>
        </is>
      </c>
      <c r="C350" s="2" t="inlineStr">
        <is>
          <t>Tablero control válvulas supresión polvo CHP</t>
        </is>
      </c>
      <c r="D350" s="2" t="n">
        <v>117</v>
      </c>
      <c r="E350" s="2" t="inlineStr">
        <is>
          <t>CC-2000</t>
        </is>
      </c>
      <c r="F350" s="2" t="inlineStr">
        <is>
          <t>P01</t>
        </is>
      </c>
      <c r="G350" s="2" t="n">
        <v>610000</v>
      </c>
      <c r="H350" s="2" t="inlineStr">
        <is>
          <t>Mano obra interna</t>
        </is>
      </c>
      <c r="I350" s="9" t="n">
        <v>2598.25</v>
      </c>
      <c r="J350" s="9" t="n">
        <v>2474.57</v>
      </c>
      <c r="K350" s="9" t="n">
        <v>3021.67</v>
      </c>
      <c r="L350" s="9" t="n">
        <v>2655.51</v>
      </c>
      <c r="M350" s="9" t="n">
        <v>2494.47</v>
      </c>
      <c r="N350" s="9" t="n">
        <v>2466.3</v>
      </c>
      <c r="O350" s="9" t="n">
        <v>2515.22</v>
      </c>
      <c r="P350" s="9" t="n">
        <v>2665.33</v>
      </c>
      <c r="Q350" s="9" t="n">
        <v>2648.94</v>
      </c>
      <c r="R350" s="9" t="n">
        <v>2852.83</v>
      </c>
      <c r="S350" s="9" t="n">
        <v>2604.16</v>
      </c>
      <c r="T350" s="9" t="n">
        <v>2832</v>
      </c>
      <c r="U350" s="10">
        <f>SUM(I350:T350)</f>
        <v/>
      </c>
    </row>
    <row r="351">
      <c r="A351" s="2" t="inlineStr">
        <is>
          <t>SN-2000-2100-2110-2110JB6003</t>
        </is>
      </c>
      <c r="B351" s="2" t="inlineStr">
        <is>
          <t>2110JB6003</t>
        </is>
      </c>
      <c r="C351" s="2" t="inlineStr">
        <is>
          <t>Tablero control válvulas supresión polvo CHP</t>
        </is>
      </c>
      <c r="D351" s="2" t="n">
        <v>117</v>
      </c>
      <c r="E351" s="2" t="inlineStr">
        <is>
          <t>CC-2000</t>
        </is>
      </c>
      <c r="F351" s="2" t="inlineStr">
        <is>
          <t>P01</t>
        </is>
      </c>
      <c r="G351" s="2" t="n">
        <v>620000</v>
      </c>
      <c r="H351" s="2" t="inlineStr">
        <is>
          <t>Materiales</t>
        </is>
      </c>
      <c r="I351" s="9" t="n">
        <v>2551.55</v>
      </c>
      <c r="J351" s="9" t="n">
        <v>2463.31</v>
      </c>
      <c r="K351" s="9" t="n">
        <v>2246.42</v>
      </c>
      <c r="L351" s="9" t="n">
        <v>2522.32</v>
      </c>
      <c r="M351" s="9" t="n">
        <v>2323.67</v>
      </c>
      <c r="N351" s="9" t="n">
        <v>2435.68</v>
      </c>
      <c r="O351" s="9" t="n">
        <v>2357.53</v>
      </c>
      <c r="P351" s="9" t="n">
        <v>2544.97</v>
      </c>
      <c r="Q351" s="9" t="n">
        <v>2289.06</v>
      </c>
      <c r="R351" s="9" t="n">
        <v>2445.61</v>
      </c>
      <c r="S351" s="9" t="n">
        <v>2301.39</v>
      </c>
      <c r="T351" s="9" t="n">
        <v>2586.69</v>
      </c>
      <c r="U351" s="10">
        <f>SUM(I351:T351)</f>
        <v/>
      </c>
    </row>
    <row r="352">
      <c r="A352" s="2" t="inlineStr">
        <is>
          <t>SN-2000-2100-2110-2110JB6003</t>
        </is>
      </c>
      <c r="B352" s="2" t="inlineStr">
        <is>
          <t>2110JB6003</t>
        </is>
      </c>
      <c r="C352" s="2" t="inlineStr">
        <is>
          <t>Tablero control válvulas supresión polvo CHP</t>
        </is>
      </c>
      <c r="D352" s="2" t="n">
        <v>117</v>
      </c>
      <c r="E352" s="2" t="inlineStr">
        <is>
          <t>CC-2000</t>
        </is>
      </c>
      <c r="F352" s="2" t="inlineStr">
        <is>
          <t>P01</t>
        </is>
      </c>
      <c r="G352" s="2" t="n">
        <v>630000</v>
      </c>
      <c r="H352" s="2" t="inlineStr">
        <is>
          <t>Servicios externos</t>
        </is>
      </c>
      <c r="I352" s="9" t="n">
        <v>2616.43</v>
      </c>
      <c r="J352" s="9" t="n">
        <v>2787.09</v>
      </c>
      <c r="K352" s="9" t="n">
        <v>2756.34</v>
      </c>
      <c r="L352" s="9" t="n">
        <v>2579.01</v>
      </c>
      <c r="M352" s="9" t="n">
        <v>2669.28</v>
      </c>
      <c r="N352" s="9" t="n">
        <v>2507.98</v>
      </c>
      <c r="O352" s="9" t="n">
        <v>2880.55</v>
      </c>
      <c r="P352" s="9" t="n">
        <v>2666.19</v>
      </c>
      <c r="Q352" s="9" t="n">
        <v>2683.76</v>
      </c>
      <c r="R352" s="9" t="n">
        <v>2718.27</v>
      </c>
      <c r="S352" s="9" t="n">
        <v>2570.45</v>
      </c>
      <c r="T352" s="9" t="n">
        <v>2665.02</v>
      </c>
      <c r="U352" s="10">
        <f>SUM(I352:T352)</f>
        <v/>
      </c>
    </row>
    <row r="353">
      <c r="A353" s="2" t="inlineStr">
        <is>
          <t>SN-2000-2100-2110-2110JB6004</t>
        </is>
      </c>
      <c r="B353" s="2" t="inlineStr">
        <is>
          <t>2110JB6004</t>
        </is>
      </c>
      <c r="C353" s="2" t="inlineStr">
        <is>
          <t>Tablero control válvulas supresión polvo CHP</t>
        </is>
      </c>
      <c r="D353" s="2" t="n">
        <v>118</v>
      </c>
      <c r="E353" s="2" t="inlineStr">
        <is>
          <t>CC-2000</t>
        </is>
      </c>
      <c r="F353" s="2" t="inlineStr">
        <is>
          <t>P01</t>
        </is>
      </c>
      <c r="G353" s="2" t="n">
        <v>610000</v>
      </c>
      <c r="H353" s="2" t="inlineStr">
        <is>
          <t>Mano obra interna</t>
        </is>
      </c>
      <c r="I353" s="9" t="n">
        <v>418.14</v>
      </c>
      <c r="J353" s="9" t="n">
        <v>411.65</v>
      </c>
      <c r="K353" s="9" t="n">
        <v>457.96</v>
      </c>
      <c r="L353" s="9" t="n">
        <v>434.69</v>
      </c>
      <c r="M353" s="9" t="n">
        <v>429.69</v>
      </c>
      <c r="N353" s="9" t="n">
        <v>412.38</v>
      </c>
      <c r="O353" s="9" t="n">
        <v>466.68</v>
      </c>
      <c r="P353" s="9" t="n">
        <v>468.18</v>
      </c>
      <c r="Q353" s="9" t="n">
        <v>409.13</v>
      </c>
      <c r="R353" s="9" t="n">
        <v>461.61</v>
      </c>
      <c r="S353" s="9" t="n">
        <v>399.15</v>
      </c>
      <c r="T353" s="9" t="n">
        <v>478.93</v>
      </c>
      <c r="U353" s="10">
        <f>SUM(I353:T353)</f>
        <v/>
      </c>
    </row>
    <row r="354">
      <c r="A354" s="2" t="inlineStr">
        <is>
          <t>SN-2000-2100-2110-2110JB6004</t>
        </is>
      </c>
      <c r="B354" s="2" t="inlineStr">
        <is>
          <t>2110JB6004</t>
        </is>
      </c>
      <c r="C354" s="2" t="inlineStr">
        <is>
          <t>Tablero control válvulas supresión polvo CHP</t>
        </is>
      </c>
      <c r="D354" s="2" t="n">
        <v>118</v>
      </c>
      <c r="E354" s="2" t="inlineStr">
        <is>
          <t>CC-2000</t>
        </is>
      </c>
      <c r="F354" s="2" t="inlineStr">
        <is>
          <t>P01</t>
        </is>
      </c>
      <c r="G354" s="2" t="n">
        <v>620000</v>
      </c>
      <c r="H354" s="2" t="inlineStr">
        <is>
          <t>Materiales</t>
        </is>
      </c>
      <c r="I354" s="9" t="n">
        <v>402.07</v>
      </c>
      <c r="J354" s="9" t="n">
        <v>387.92</v>
      </c>
      <c r="K354" s="9" t="n">
        <v>407.85</v>
      </c>
      <c r="L354" s="9" t="n">
        <v>393.67</v>
      </c>
      <c r="M354" s="9" t="n">
        <v>421.08</v>
      </c>
      <c r="N354" s="9" t="n">
        <v>365.65</v>
      </c>
      <c r="O354" s="9" t="n">
        <v>416.01</v>
      </c>
      <c r="P354" s="9" t="n">
        <v>382.26</v>
      </c>
      <c r="Q354" s="9" t="n">
        <v>352.87</v>
      </c>
      <c r="R354" s="9" t="n">
        <v>467.72</v>
      </c>
      <c r="S354" s="9" t="n">
        <v>374.5</v>
      </c>
      <c r="T354" s="9" t="n">
        <v>434.32</v>
      </c>
      <c r="U354" s="10">
        <f>SUM(I354:T354)</f>
        <v/>
      </c>
    </row>
    <row r="355">
      <c r="A355" s="2" t="inlineStr">
        <is>
          <t>SN-2000-2100-2110-2110JB6004</t>
        </is>
      </c>
      <c r="B355" s="2" t="inlineStr">
        <is>
          <t>2110JB6004</t>
        </is>
      </c>
      <c r="C355" s="2" t="inlineStr">
        <is>
          <t>Tablero control válvulas supresión polvo CHP</t>
        </is>
      </c>
      <c r="D355" s="2" t="n">
        <v>118</v>
      </c>
      <c r="E355" s="2" t="inlineStr">
        <is>
          <t>CC-2000</t>
        </is>
      </c>
      <c r="F355" s="2" t="inlineStr">
        <is>
          <t>P01</t>
        </is>
      </c>
      <c r="G355" s="2" t="n">
        <v>630000</v>
      </c>
      <c r="H355" s="2" t="inlineStr">
        <is>
          <t>Servicios externos</t>
        </is>
      </c>
      <c r="I355" s="9" t="n">
        <v>438.72</v>
      </c>
      <c r="J355" s="9" t="n">
        <v>486.99</v>
      </c>
      <c r="K355" s="9" t="n">
        <v>456.23</v>
      </c>
      <c r="L355" s="9" t="n">
        <v>498.16</v>
      </c>
      <c r="M355" s="9" t="n">
        <v>431.96</v>
      </c>
      <c r="N355" s="9" t="n">
        <v>465.6</v>
      </c>
      <c r="O355" s="9" t="n">
        <v>425.19</v>
      </c>
      <c r="P355" s="9" t="n">
        <v>461.42</v>
      </c>
      <c r="Q355" s="9" t="n">
        <v>447.53</v>
      </c>
      <c r="R355" s="9" t="n">
        <v>531.62</v>
      </c>
      <c r="S355" s="9" t="n">
        <v>475.39</v>
      </c>
      <c r="T355" s="9" t="n">
        <v>491.66</v>
      </c>
      <c r="U355" s="10">
        <f>SUM(I355:T355)</f>
        <v/>
      </c>
    </row>
    <row r="356">
      <c r="A356" s="2" t="inlineStr">
        <is>
          <t>SN-2000-2100-2110-2110PR0001</t>
        </is>
      </c>
      <c r="B356" s="2" t="inlineStr">
        <is>
          <t>2110PR0001</t>
        </is>
      </c>
      <c r="C356" s="2" t="inlineStr">
        <is>
          <t>Tablero de enchufes CHP</t>
        </is>
      </c>
      <c r="D356" s="2" t="n">
        <v>119</v>
      </c>
      <c r="E356" s="2" t="inlineStr">
        <is>
          <t>CC-2000</t>
        </is>
      </c>
      <c r="F356" s="2" t="inlineStr">
        <is>
          <t>P01</t>
        </is>
      </c>
      <c r="G356" s="2" t="n">
        <v>610000</v>
      </c>
      <c r="H356" s="2" t="inlineStr">
        <is>
          <t>Mano obra interna</t>
        </is>
      </c>
      <c r="I356" s="9" t="n">
        <v>2714.71</v>
      </c>
      <c r="J356" s="9" t="n">
        <v>2656.41</v>
      </c>
      <c r="K356" s="9" t="n">
        <v>2784.81</v>
      </c>
      <c r="L356" s="9" t="n">
        <v>2799.15</v>
      </c>
      <c r="M356" s="9" t="n">
        <v>2717.64</v>
      </c>
      <c r="N356" s="9" t="n">
        <v>2690.03</v>
      </c>
      <c r="O356" s="9" t="n">
        <v>2642.89</v>
      </c>
      <c r="P356" s="9" t="n">
        <v>2877.06</v>
      </c>
      <c r="Q356" s="9" t="n">
        <v>2462.29</v>
      </c>
      <c r="R356" s="9" t="n">
        <v>2921.38</v>
      </c>
      <c r="S356" s="9" t="n">
        <v>2705.95</v>
      </c>
      <c r="T356" s="9" t="n">
        <v>2969.68</v>
      </c>
      <c r="U356" s="10">
        <f>SUM(I356:T356)</f>
        <v/>
      </c>
    </row>
    <row r="357">
      <c r="A357" s="2" t="inlineStr">
        <is>
          <t>SN-2000-2100-2110-2110PR0001</t>
        </is>
      </c>
      <c r="B357" s="2" t="inlineStr">
        <is>
          <t>2110PR0001</t>
        </is>
      </c>
      <c r="C357" s="2" t="inlineStr">
        <is>
          <t>Tablero de enchufes CHP</t>
        </is>
      </c>
      <c r="D357" s="2" t="n">
        <v>119</v>
      </c>
      <c r="E357" s="2" t="inlineStr">
        <is>
          <t>CC-2000</t>
        </is>
      </c>
      <c r="F357" s="2" t="inlineStr">
        <is>
          <t>P01</t>
        </is>
      </c>
      <c r="G357" s="2" t="n">
        <v>620000</v>
      </c>
      <c r="H357" s="2" t="inlineStr">
        <is>
          <t>Materiales</t>
        </is>
      </c>
      <c r="I357" s="9" t="n">
        <v>2714.26</v>
      </c>
      <c r="J357" s="9" t="n">
        <v>2418.05</v>
      </c>
      <c r="K357" s="9" t="n">
        <v>2700.73</v>
      </c>
      <c r="L357" s="9" t="n">
        <v>2480.32</v>
      </c>
      <c r="M357" s="9" t="n">
        <v>2521</v>
      </c>
      <c r="N357" s="9" t="n">
        <v>2449.81</v>
      </c>
      <c r="O357" s="9" t="n">
        <v>2408.11</v>
      </c>
      <c r="P357" s="9" t="n">
        <v>2502.5</v>
      </c>
      <c r="Q357" s="9" t="n">
        <v>2595.06</v>
      </c>
      <c r="R357" s="9" t="n">
        <v>3005.49</v>
      </c>
      <c r="S357" s="9" t="n">
        <v>2455.92</v>
      </c>
      <c r="T357" s="9" t="n">
        <v>2444.14</v>
      </c>
      <c r="U357" s="10">
        <f>SUM(I357:T357)</f>
        <v/>
      </c>
    </row>
    <row r="358">
      <c r="A358" s="2" t="inlineStr">
        <is>
          <t>SN-2000-2100-2110-2110PR0001</t>
        </is>
      </c>
      <c r="B358" s="2" t="inlineStr">
        <is>
          <t>2110PR0001</t>
        </is>
      </c>
      <c r="C358" s="2" t="inlineStr">
        <is>
          <t>Tablero de enchufes CHP</t>
        </is>
      </c>
      <c r="D358" s="2" t="n">
        <v>119</v>
      </c>
      <c r="E358" s="2" t="inlineStr">
        <is>
          <t>CC-2000</t>
        </is>
      </c>
      <c r="F358" s="2" t="inlineStr">
        <is>
          <t>P01</t>
        </is>
      </c>
      <c r="G358" s="2" t="n">
        <v>630000</v>
      </c>
      <c r="H358" s="2" t="inlineStr">
        <is>
          <t>Servicios externos</t>
        </is>
      </c>
      <c r="I358" s="9" t="n">
        <v>2170.26</v>
      </c>
      <c r="J358" s="9" t="n">
        <v>2283.13</v>
      </c>
      <c r="K358" s="9" t="n">
        <v>2103.58</v>
      </c>
      <c r="L358" s="9" t="n">
        <v>2304.15</v>
      </c>
      <c r="M358" s="9" t="n">
        <v>2006.83</v>
      </c>
      <c r="N358" s="9" t="n">
        <v>2227.46</v>
      </c>
      <c r="O358" s="9" t="n">
        <v>2123.23</v>
      </c>
      <c r="P358" s="9" t="n">
        <v>2256.82</v>
      </c>
      <c r="Q358" s="9" t="n">
        <v>1963</v>
      </c>
      <c r="R358" s="9" t="n">
        <v>2380.55</v>
      </c>
      <c r="S358" s="9" t="n">
        <v>1990.96</v>
      </c>
      <c r="T358" s="9" t="n">
        <v>2071.03</v>
      </c>
      <c r="U358" s="10">
        <f>SUM(I358:T358)</f>
        <v/>
      </c>
    </row>
    <row r="359">
      <c r="A359" s="2" t="inlineStr">
        <is>
          <t>SN-2000-2100-2110-2110PR0002</t>
        </is>
      </c>
      <c r="B359" s="2" t="inlineStr">
        <is>
          <t>2110PR0002</t>
        </is>
      </c>
      <c r="C359" s="2" t="inlineStr">
        <is>
          <t>Tablero de enchufes correa descarga Chancador</t>
        </is>
      </c>
      <c r="D359" s="2" t="n">
        <v>120</v>
      </c>
      <c r="E359" s="2" t="inlineStr">
        <is>
          <t>CC-2000</t>
        </is>
      </c>
      <c r="F359" s="2" t="inlineStr">
        <is>
          <t>P01</t>
        </is>
      </c>
      <c r="G359" s="2" t="n">
        <v>610000</v>
      </c>
      <c r="H359" s="2" t="inlineStr">
        <is>
          <t>Mano obra interna</t>
        </is>
      </c>
      <c r="I359" s="9" t="n">
        <v>337.52</v>
      </c>
      <c r="J359" s="9" t="n">
        <v>324.15</v>
      </c>
      <c r="K359" s="9" t="n">
        <v>326.15</v>
      </c>
      <c r="L359" s="9" t="n">
        <v>332.38</v>
      </c>
      <c r="M359" s="9" t="n">
        <v>285.57</v>
      </c>
      <c r="N359" s="9" t="n">
        <v>288.47</v>
      </c>
      <c r="O359" s="9" t="n">
        <v>300.82</v>
      </c>
      <c r="P359" s="9" t="n">
        <v>316.41</v>
      </c>
      <c r="Q359" s="9" t="n">
        <v>281.85</v>
      </c>
      <c r="R359" s="9" t="n">
        <v>315.43</v>
      </c>
      <c r="S359" s="9" t="n">
        <v>304.66</v>
      </c>
      <c r="T359" s="9" t="n">
        <v>330.34</v>
      </c>
      <c r="U359" s="10">
        <f>SUM(I359:T359)</f>
        <v/>
      </c>
    </row>
    <row r="360">
      <c r="A360" s="2" t="inlineStr">
        <is>
          <t>SN-2000-2100-2110-2110PR0002</t>
        </is>
      </c>
      <c r="B360" s="2" t="inlineStr">
        <is>
          <t>2110PR0002</t>
        </is>
      </c>
      <c r="C360" s="2" t="inlineStr">
        <is>
          <t>Tablero de enchufes correa descarga Chancador</t>
        </is>
      </c>
      <c r="D360" s="2" t="n">
        <v>120</v>
      </c>
      <c r="E360" s="2" t="inlineStr">
        <is>
          <t>CC-2000</t>
        </is>
      </c>
      <c r="F360" s="2" t="inlineStr">
        <is>
          <t>P01</t>
        </is>
      </c>
      <c r="G360" s="2" t="n">
        <v>620000</v>
      </c>
      <c r="H360" s="2" t="inlineStr">
        <is>
          <t>Materiales</t>
        </is>
      </c>
      <c r="I360" s="9" t="n">
        <v>250.09</v>
      </c>
      <c r="J360" s="9" t="n">
        <v>243.91</v>
      </c>
      <c r="K360" s="9" t="n">
        <v>257.25</v>
      </c>
      <c r="L360" s="9" t="n">
        <v>257.52</v>
      </c>
      <c r="M360" s="9" t="n">
        <v>263.49</v>
      </c>
      <c r="N360" s="9" t="n">
        <v>252.88</v>
      </c>
      <c r="O360" s="9" t="n">
        <v>268.58</v>
      </c>
      <c r="P360" s="9" t="n">
        <v>254.38</v>
      </c>
      <c r="Q360" s="9" t="n">
        <v>254.86</v>
      </c>
      <c r="R360" s="9" t="n">
        <v>267.42</v>
      </c>
      <c r="S360" s="9" t="n">
        <v>250.74</v>
      </c>
      <c r="T360" s="9" t="n">
        <v>276.88</v>
      </c>
      <c r="U360" s="10">
        <f>SUM(I360:T360)</f>
        <v/>
      </c>
    </row>
    <row r="361">
      <c r="A361" s="2" t="inlineStr">
        <is>
          <t>SN-2000-2100-2110-2110PR0002</t>
        </is>
      </c>
      <c r="B361" s="2" t="inlineStr">
        <is>
          <t>2110PR0002</t>
        </is>
      </c>
      <c r="C361" s="2" t="inlineStr">
        <is>
          <t>Tablero de enchufes correa descarga Chancador</t>
        </is>
      </c>
      <c r="D361" s="2" t="n">
        <v>120</v>
      </c>
      <c r="E361" s="2" t="inlineStr">
        <is>
          <t>CC-2000</t>
        </is>
      </c>
      <c r="F361" s="2" t="inlineStr">
        <is>
          <t>P01</t>
        </is>
      </c>
      <c r="G361" s="2" t="n">
        <v>630000</v>
      </c>
      <c r="H361" s="2" t="inlineStr">
        <is>
          <t>Servicios externos</t>
        </is>
      </c>
      <c r="I361" s="9" t="n">
        <v>236.76</v>
      </c>
      <c r="J361" s="9" t="n">
        <v>258.58</v>
      </c>
      <c r="K361" s="9" t="n">
        <v>248.78</v>
      </c>
      <c r="L361" s="9" t="n">
        <v>260.26</v>
      </c>
      <c r="M361" s="9" t="n">
        <v>226.22</v>
      </c>
      <c r="N361" s="9" t="n">
        <v>243.69</v>
      </c>
      <c r="O361" s="9" t="n">
        <v>240.2</v>
      </c>
      <c r="P361" s="9" t="n">
        <v>229.61</v>
      </c>
      <c r="Q361" s="9" t="n">
        <v>234.31</v>
      </c>
      <c r="R361" s="9" t="n">
        <v>255.7</v>
      </c>
      <c r="S361" s="9" t="n">
        <v>235.13</v>
      </c>
      <c r="T361" s="9" t="n">
        <v>234.19</v>
      </c>
      <c r="U361" s="10">
        <f>SUM(I361:T361)</f>
        <v/>
      </c>
    </row>
    <row r="362">
      <c r="A362" s="2" t="inlineStr">
        <is>
          <t>SN-2000-2100-2110-2110PU0043</t>
        </is>
      </c>
      <c r="B362" s="2" t="inlineStr">
        <is>
          <t>2110PU0043</t>
        </is>
      </c>
      <c r="C362" s="2" t="inlineStr">
        <is>
          <t>Bomba agua supresión polvo</t>
        </is>
      </c>
      <c r="D362" s="2" t="n">
        <v>121</v>
      </c>
      <c r="E362" s="2" t="inlineStr">
        <is>
          <t>CC-2000</t>
        </is>
      </c>
      <c r="F362" s="2" t="inlineStr">
        <is>
          <t>P01</t>
        </is>
      </c>
      <c r="G362" s="2" t="n">
        <v>610000</v>
      </c>
      <c r="H362" s="2" t="inlineStr">
        <is>
          <t>Mano obra interna</t>
        </is>
      </c>
      <c r="I362" s="9" t="n">
        <v>327.74</v>
      </c>
      <c r="J362" s="9" t="n">
        <v>305.3</v>
      </c>
      <c r="K362" s="9" t="n">
        <v>364.77</v>
      </c>
      <c r="L362" s="9" t="n">
        <v>312.29</v>
      </c>
      <c r="M362" s="9" t="n">
        <v>327.49</v>
      </c>
      <c r="N362" s="9" t="n">
        <v>298.08</v>
      </c>
      <c r="O362" s="9" t="n">
        <v>321.71</v>
      </c>
      <c r="P362" s="9" t="n">
        <v>354.12</v>
      </c>
      <c r="Q362" s="9" t="n">
        <v>292.12</v>
      </c>
      <c r="R362" s="9" t="n">
        <v>384.46</v>
      </c>
      <c r="S362" s="9" t="n">
        <v>306.06</v>
      </c>
      <c r="T362" s="9" t="n">
        <v>349.71</v>
      </c>
      <c r="U362" s="10">
        <f>SUM(I362:T362)</f>
        <v/>
      </c>
    </row>
    <row r="363">
      <c r="A363" s="2" t="inlineStr">
        <is>
          <t>SN-2000-2100-2110-2110PU0043</t>
        </is>
      </c>
      <c r="B363" s="2" t="inlineStr">
        <is>
          <t>2110PU0043</t>
        </is>
      </c>
      <c r="C363" s="2" t="inlineStr">
        <is>
          <t>Bomba agua supresión polvo</t>
        </is>
      </c>
      <c r="D363" s="2" t="n">
        <v>121</v>
      </c>
      <c r="E363" s="2" t="inlineStr">
        <is>
          <t>CC-2000</t>
        </is>
      </c>
      <c r="F363" s="2" t="inlineStr">
        <is>
          <t>P01</t>
        </is>
      </c>
      <c r="G363" s="2" t="n">
        <v>620000</v>
      </c>
      <c r="H363" s="2" t="inlineStr">
        <is>
          <t>Materiales</t>
        </is>
      </c>
      <c r="I363" s="9" t="n">
        <v>388.55</v>
      </c>
      <c r="J363" s="9" t="n">
        <v>356.18</v>
      </c>
      <c r="K363" s="9" t="n">
        <v>371.95</v>
      </c>
      <c r="L363" s="9" t="n">
        <v>348.61</v>
      </c>
      <c r="M363" s="9" t="n">
        <v>335.9</v>
      </c>
      <c r="N363" s="9" t="n">
        <v>365.65</v>
      </c>
      <c r="O363" s="9" t="n">
        <v>348.84</v>
      </c>
      <c r="P363" s="9" t="n">
        <v>350.96</v>
      </c>
      <c r="Q363" s="9" t="n">
        <v>347.65</v>
      </c>
      <c r="R363" s="9" t="n">
        <v>376.71</v>
      </c>
      <c r="S363" s="9" t="n">
        <v>372.21</v>
      </c>
      <c r="T363" s="9" t="n">
        <v>377.74</v>
      </c>
      <c r="U363" s="10">
        <f>SUM(I363:T363)</f>
        <v/>
      </c>
    </row>
    <row r="364">
      <c r="A364" s="2" t="inlineStr">
        <is>
          <t>SN-2000-2100-2110-2110PU0043</t>
        </is>
      </c>
      <c r="B364" s="2" t="inlineStr">
        <is>
          <t>2110PU0043</t>
        </is>
      </c>
      <c r="C364" s="2" t="inlineStr">
        <is>
          <t>Bomba agua supresión polvo</t>
        </is>
      </c>
      <c r="D364" s="2" t="n">
        <v>121</v>
      </c>
      <c r="E364" s="2" t="inlineStr">
        <is>
          <t>CC-2000</t>
        </is>
      </c>
      <c r="F364" s="2" t="inlineStr">
        <is>
          <t>P01</t>
        </is>
      </c>
      <c r="G364" s="2" t="n">
        <v>630000</v>
      </c>
      <c r="H364" s="2" t="inlineStr">
        <is>
          <t>Servicios externos</t>
        </is>
      </c>
      <c r="I364" s="9" t="n">
        <v>396.44</v>
      </c>
      <c r="J364" s="9" t="n">
        <v>334.52</v>
      </c>
      <c r="K364" s="9" t="n">
        <v>362.94</v>
      </c>
      <c r="L364" s="9" t="n">
        <v>372.02</v>
      </c>
      <c r="M364" s="9" t="n">
        <v>346.43</v>
      </c>
      <c r="N364" s="9" t="n">
        <v>363.62</v>
      </c>
      <c r="O364" s="9" t="n">
        <v>390.77</v>
      </c>
      <c r="P364" s="9" t="n">
        <v>361.31</v>
      </c>
      <c r="Q364" s="9" t="n">
        <v>332.13</v>
      </c>
      <c r="R364" s="9" t="n">
        <v>423.9</v>
      </c>
      <c r="S364" s="9" t="n">
        <v>351.22</v>
      </c>
      <c r="T364" s="9" t="n">
        <v>370.82</v>
      </c>
      <c r="U364" s="10">
        <f>SUM(I364:T364)</f>
        <v/>
      </c>
    </row>
    <row r="365">
      <c r="A365" s="2" t="inlineStr">
        <is>
          <t>SN-2000-2100-2110-2110PU0528</t>
        </is>
      </c>
      <c r="B365" s="2" t="inlineStr">
        <is>
          <t>2110PU0528</t>
        </is>
      </c>
      <c r="C365" s="2" t="inlineStr">
        <is>
          <t>Bomba agua supresión polvo</t>
        </is>
      </c>
      <c r="D365" s="2" t="n">
        <v>122</v>
      </c>
      <c r="E365" s="2" t="inlineStr">
        <is>
          <t>CC-2000</t>
        </is>
      </c>
      <c r="F365" s="2" t="inlineStr">
        <is>
          <t>P01</t>
        </is>
      </c>
      <c r="G365" s="2" t="n">
        <v>610000</v>
      </c>
      <c r="H365" s="2" t="inlineStr">
        <is>
          <t>Mano obra interna</t>
        </is>
      </c>
      <c r="I365" s="9" t="n">
        <v>1046.68</v>
      </c>
      <c r="J365" s="9" t="n">
        <v>958.14</v>
      </c>
      <c r="K365" s="9" t="n">
        <v>1034.34</v>
      </c>
      <c r="L365" s="9" t="n">
        <v>1032.53</v>
      </c>
      <c r="M365" s="9" t="n">
        <v>928.2</v>
      </c>
      <c r="N365" s="9" t="n">
        <v>910.22</v>
      </c>
      <c r="O365" s="9" t="n">
        <v>1016.36</v>
      </c>
      <c r="P365" s="9" t="n">
        <v>940.5</v>
      </c>
      <c r="Q365" s="9" t="n">
        <v>937.86</v>
      </c>
      <c r="R365" s="9" t="n">
        <v>1110.94</v>
      </c>
      <c r="S365" s="9" t="n">
        <v>949.89</v>
      </c>
      <c r="T365" s="9" t="n">
        <v>1014.29</v>
      </c>
      <c r="U365" s="10">
        <f>SUM(I365:T365)</f>
        <v/>
      </c>
    </row>
    <row r="366">
      <c r="A366" s="2" t="inlineStr">
        <is>
          <t>SN-2000-2100-2110-2110PU0528</t>
        </is>
      </c>
      <c r="B366" s="2" t="inlineStr">
        <is>
          <t>2110PU0528</t>
        </is>
      </c>
      <c r="C366" s="2" t="inlineStr">
        <is>
          <t>Bomba agua supresión polvo</t>
        </is>
      </c>
      <c r="D366" s="2" t="n">
        <v>122</v>
      </c>
      <c r="E366" s="2" t="inlineStr">
        <is>
          <t>CC-2000</t>
        </is>
      </c>
      <c r="F366" s="2" t="inlineStr">
        <is>
          <t>P01</t>
        </is>
      </c>
      <c r="G366" s="2" t="n">
        <v>620000</v>
      </c>
      <c r="H366" s="2" t="inlineStr">
        <is>
          <t>Materiales</t>
        </is>
      </c>
      <c r="I366" s="9" t="n">
        <v>1182.85</v>
      </c>
      <c r="J366" s="9" t="n">
        <v>1063.29</v>
      </c>
      <c r="K366" s="9" t="n">
        <v>1051.49</v>
      </c>
      <c r="L366" s="9" t="n">
        <v>1104.66</v>
      </c>
      <c r="M366" s="9" t="n">
        <v>1116.93</v>
      </c>
      <c r="N366" s="9" t="n">
        <v>1041.5</v>
      </c>
      <c r="O366" s="9" t="n">
        <v>1142.33</v>
      </c>
      <c r="P366" s="9" t="n">
        <v>1072.15</v>
      </c>
      <c r="Q366" s="9" t="n">
        <v>1044.21</v>
      </c>
      <c r="R366" s="9" t="n">
        <v>1124.78</v>
      </c>
      <c r="S366" s="9" t="n">
        <v>1105.42</v>
      </c>
      <c r="T366" s="9" t="n">
        <v>1122.53</v>
      </c>
      <c r="U366" s="10">
        <f>SUM(I366:T366)</f>
        <v/>
      </c>
    </row>
    <row r="367">
      <c r="A367" s="2" t="inlineStr">
        <is>
          <t>SN-2000-2100-2110-2110PU0528</t>
        </is>
      </c>
      <c r="B367" s="2" t="inlineStr">
        <is>
          <t>2110PU0528</t>
        </is>
      </c>
      <c r="C367" s="2" t="inlineStr">
        <is>
          <t>Bomba agua supresión polvo</t>
        </is>
      </c>
      <c r="D367" s="2" t="n">
        <v>122</v>
      </c>
      <c r="E367" s="2" t="inlineStr">
        <is>
          <t>CC-2000</t>
        </is>
      </c>
      <c r="F367" s="2" t="inlineStr">
        <is>
          <t>P01</t>
        </is>
      </c>
      <c r="G367" s="2" t="n">
        <v>630000</v>
      </c>
      <c r="H367" s="2" t="inlineStr">
        <is>
          <t>Servicios externos</t>
        </is>
      </c>
      <c r="I367" s="9" t="n">
        <v>887.75</v>
      </c>
      <c r="J367" s="9" t="n">
        <v>921.1900000000001</v>
      </c>
      <c r="K367" s="9" t="n">
        <v>925.45</v>
      </c>
      <c r="L367" s="9" t="n">
        <v>877.63</v>
      </c>
      <c r="M367" s="9" t="n">
        <v>956.83</v>
      </c>
      <c r="N367" s="9" t="n">
        <v>889.66</v>
      </c>
      <c r="O367" s="9" t="n">
        <v>965.8099999999999</v>
      </c>
      <c r="P367" s="9" t="n">
        <v>888.42</v>
      </c>
      <c r="Q367" s="9" t="n">
        <v>834.0599999999999</v>
      </c>
      <c r="R367" s="9" t="n">
        <v>1031.89</v>
      </c>
      <c r="S367" s="9" t="n">
        <v>874.34</v>
      </c>
      <c r="T367" s="9" t="n">
        <v>943.21</v>
      </c>
      <c r="U367" s="10">
        <f>SUM(I367:T367)</f>
        <v/>
      </c>
    </row>
    <row r="368">
      <c r="A368" s="2" t="inlineStr">
        <is>
          <t>SN-2000-2100-2110-2110RK0001</t>
        </is>
      </c>
      <c r="B368" s="2" t="inlineStr">
        <is>
          <t>2110RK0001</t>
        </is>
      </c>
      <c r="C368" s="2" t="inlineStr">
        <is>
          <t>Rompedor roca</t>
        </is>
      </c>
      <c r="D368" s="2" t="n">
        <v>123</v>
      </c>
      <c r="E368" s="2" t="inlineStr">
        <is>
          <t>CC-2000</t>
        </is>
      </c>
      <c r="F368" s="2" t="inlineStr">
        <is>
          <t>P01</t>
        </is>
      </c>
      <c r="G368" s="2" t="n">
        <v>610000</v>
      </c>
      <c r="H368" s="2" t="inlineStr">
        <is>
          <t>Mano obra interna</t>
        </is>
      </c>
      <c r="I368" s="9" t="n">
        <v>267.08</v>
      </c>
      <c r="J368" s="9" t="n">
        <v>244.23</v>
      </c>
      <c r="K368" s="9" t="n">
        <v>259.42</v>
      </c>
      <c r="L368" s="9" t="n">
        <v>248.16</v>
      </c>
      <c r="M368" s="9" t="n">
        <v>241.9</v>
      </c>
      <c r="N368" s="9" t="n">
        <v>271.55</v>
      </c>
      <c r="O368" s="9" t="n">
        <v>253.11</v>
      </c>
      <c r="P368" s="9" t="n">
        <v>270.57</v>
      </c>
      <c r="Q368" s="9" t="n">
        <v>258.97</v>
      </c>
      <c r="R368" s="9" t="n">
        <v>286.88</v>
      </c>
      <c r="S368" s="9" t="n">
        <v>241.27</v>
      </c>
      <c r="T368" s="9" t="n">
        <v>277.57</v>
      </c>
      <c r="U368" s="10">
        <f>SUM(I368:T368)</f>
        <v/>
      </c>
    </row>
    <row r="369">
      <c r="A369" s="2" t="inlineStr">
        <is>
          <t>SN-2000-2100-2110-2110RK0001</t>
        </is>
      </c>
      <c r="B369" s="2" t="inlineStr">
        <is>
          <t>2110RK0001</t>
        </is>
      </c>
      <c r="C369" s="2" t="inlineStr">
        <is>
          <t>Rompedor roca</t>
        </is>
      </c>
      <c r="D369" s="2" t="n">
        <v>123</v>
      </c>
      <c r="E369" s="2" t="inlineStr">
        <is>
          <t>CC-2000</t>
        </is>
      </c>
      <c r="F369" s="2" t="inlineStr">
        <is>
          <t>P01</t>
        </is>
      </c>
      <c r="G369" s="2" t="n">
        <v>620000</v>
      </c>
      <c r="H369" s="2" t="inlineStr">
        <is>
          <t>Materiales</t>
        </is>
      </c>
      <c r="I369" s="9" t="n">
        <v>293.96</v>
      </c>
      <c r="J369" s="9" t="n">
        <v>285.29</v>
      </c>
      <c r="K369" s="9" t="n">
        <v>308.26</v>
      </c>
      <c r="L369" s="9" t="n">
        <v>287.15</v>
      </c>
      <c r="M369" s="9" t="n">
        <v>267.85</v>
      </c>
      <c r="N369" s="9" t="n">
        <v>271.79</v>
      </c>
      <c r="O369" s="9" t="n">
        <v>258.63</v>
      </c>
      <c r="P369" s="9" t="n">
        <v>295.12</v>
      </c>
      <c r="Q369" s="9" t="n">
        <v>242.75</v>
      </c>
      <c r="R369" s="9" t="n">
        <v>291.22</v>
      </c>
      <c r="S369" s="9" t="n">
        <v>282.4</v>
      </c>
      <c r="T369" s="9" t="n">
        <v>286.2</v>
      </c>
      <c r="U369" s="10">
        <f>SUM(I369:T369)</f>
        <v/>
      </c>
    </row>
    <row r="370">
      <c r="A370" s="2" t="inlineStr">
        <is>
          <t>SN-2000-2100-2110-2110RK0001</t>
        </is>
      </c>
      <c r="B370" s="2" t="inlineStr">
        <is>
          <t>2110RK0001</t>
        </is>
      </c>
      <c r="C370" s="2" t="inlineStr">
        <is>
          <t>Rompedor roca</t>
        </is>
      </c>
      <c r="D370" s="2" t="n">
        <v>123</v>
      </c>
      <c r="E370" s="2" t="inlineStr">
        <is>
          <t>CC-2000</t>
        </is>
      </c>
      <c r="F370" s="2" t="inlineStr">
        <is>
          <t>P01</t>
        </is>
      </c>
      <c r="G370" s="2" t="n">
        <v>630000</v>
      </c>
      <c r="H370" s="2" t="inlineStr">
        <is>
          <t>Servicios externos</t>
        </is>
      </c>
      <c r="I370" s="9" t="n">
        <v>267.58</v>
      </c>
      <c r="J370" s="9" t="n">
        <v>273.96</v>
      </c>
      <c r="K370" s="9" t="n">
        <v>264.61</v>
      </c>
      <c r="L370" s="9" t="n">
        <v>284.95</v>
      </c>
      <c r="M370" s="9" t="n">
        <v>243.34</v>
      </c>
      <c r="N370" s="9" t="n">
        <v>262.82</v>
      </c>
      <c r="O370" s="9" t="n">
        <v>278</v>
      </c>
      <c r="P370" s="9" t="n">
        <v>249.65</v>
      </c>
      <c r="Q370" s="9" t="n">
        <v>242.31</v>
      </c>
      <c r="R370" s="9" t="n">
        <v>268.69</v>
      </c>
      <c r="S370" s="9" t="n">
        <v>263.25</v>
      </c>
      <c r="T370" s="9" t="n">
        <v>268.65</v>
      </c>
      <c r="U370" s="10">
        <f>SUM(I370:T370)</f>
        <v/>
      </c>
    </row>
    <row r="371">
      <c r="A371" s="2" t="inlineStr">
        <is>
          <t>SN-2000-2100-2110-2110TK0007</t>
        </is>
      </c>
      <c r="B371" s="2" t="inlineStr">
        <is>
          <t>2110TK0007</t>
        </is>
      </c>
      <c r="C371" s="2" t="inlineStr">
        <is>
          <t>Estanque agua fresca chancador</t>
        </is>
      </c>
      <c r="D371" s="2" t="n">
        <v>124</v>
      </c>
      <c r="E371" s="2" t="inlineStr">
        <is>
          <t>CC-2000</t>
        </is>
      </c>
      <c r="F371" s="2" t="inlineStr">
        <is>
          <t>P01</t>
        </is>
      </c>
      <c r="G371" s="2" t="n">
        <v>610000</v>
      </c>
      <c r="H371" s="2" t="inlineStr">
        <is>
          <t>Mano obra interna</t>
        </is>
      </c>
      <c r="I371" s="9" t="n">
        <v>2345.54</v>
      </c>
      <c r="J371" s="9" t="n">
        <v>2268.66</v>
      </c>
      <c r="K371" s="9" t="n">
        <v>2308.57</v>
      </c>
      <c r="L371" s="9" t="n">
        <v>2397.89</v>
      </c>
      <c r="M371" s="9" t="n">
        <v>2412.79</v>
      </c>
      <c r="N371" s="9" t="n">
        <v>2441.05</v>
      </c>
      <c r="O371" s="9" t="n">
        <v>2480.54</v>
      </c>
      <c r="P371" s="9" t="n">
        <v>2388.17</v>
      </c>
      <c r="Q371" s="9" t="n">
        <v>2410.97</v>
      </c>
      <c r="R371" s="9" t="n">
        <v>2695.67</v>
      </c>
      <c r="S371" s="9" t="n">
        <v>2498.7</v>
      </c>
      <c r="T371" s="9" t="n">
        <v>2461.59</v>
      </c>
      <c r="U371" s="10">
        <f>SUM(I371:T371)</f>
        <v/>
      </c>
    </row>
    <row r="372">
      <c r="A372" s="2" t="inlineStr">
        <is>
          <t>SN-2000-2100-2110-2110TK0007</t>
        </is>
      </c>
      <c r="B372" s="2" t="inlineStr">
        <is>
          <t>2110TK0007</t>
        </is>
      </c>
      <c r="C372" s="2" t="inlineStr">
        <is>
          <t>Estanque agua fresca chancador</t>
        </is>
      </c>
      <c r="D372" s="2" t="n">
        <v>124</v>
      </c>
      <c r="E372" s="2" t="inlineStr">
        <is>
          <t>CC-2000</t>
        </is>
      </c>
      <c r="F372" s="2" t="inlineStr">
        <is>
          <t>P01</t>
        </is>
      </c>
      <c r="G372" s="2" t="n">
        <v>620000</v>
      </c>
      <c r="H372" s="2" t="inlineStr">
        <is>
          <t>Materiales</t>
        </is>
      </c>
      <c r="I372" s="9" t="n">
        <v>1996.98</v>
      </c>
      <c r="J372" s="9" t="n">
        <v>2150.11</v>
      </c>
      <c r="K372" s="9" t="n">
        <v>2041.92</v>
      </c>
      <c r="L372" s="9" t="n">
        <v>2085.45</v>
      </c>
      <c r="M372" s="9" t="n">
        <v>2095.99</v>
      </c>
      <c r="N372" s="9" t="n">
        <v>2035.15</v>
      </c>
      <c r="O372" s="9" t="n">
        <v>2141.83</v>
      </c>
      <c r="P372" s="9" t="n">
        <v>1992.95</v>
      </c>
      <c r="Q372" s="9" t="n">
        <v>1923.57</v>
      </c>
      <c r="R372" s="9" t="n">
        <v>2314.8</v>
      </c>
      <c r="S372" s="9" t="n">
        <v>2192.99</v>
      </c>
      <c r="T372" s="9" t="n">
        <v>2216.11</v>
      </c>
      <c r="U372" s="10">
        <f>SUM(I372:T372)</f>
        <v/>
      </c>
    </row>
    <row r="373">
      <c r="A373" s="2" t="inlineStr">
        <is>
          <t>SN-2000-2100-2110-2110TK0007</t>
        </is>
      </c>
      <c r="B373" s="2" t="inlineStr">
        <is>
          <t>2110TK0007</t>
        </is>
      </c>
      <c r="C373" s="2" t="inlineStr">
        <is>
          <t>Estanque agua fresca chancador</t>
        </is>
      </c>
      <c r="D373" s="2" t="n">
        <v>124</v>
      </c>
      <c r="E373" s="2" t="inlineStr">
        <is>
          <t>CC-2000</t>
        </is>
      </c>
      <c r="F373" s="2" t="inlineStr">
        <is>
          <t>P01</t>
        </is>
      </c>
      <c r="G373" s="2" t="n">
        <v>630000</v>
      </c>
      <c r="H373" s="2" t="inlineStr">
        <is>
          <t>Servicios externos</t>
        </is>
      </c>
      <c r="I373" s="9" t="n">
        <v>2700.52</v>
      </c>
      <c r="J373" s="9" t="n">
        <v>2537.11</v>
      </c>
      <c r="K373" s="9" t="n">
        <v>2490.13</v>
      </c>
      <c r="L373" s="9" t="n">
        <v>2664.04</v>
      </c>
      <c r="M373" s="9" t="n">
        <v>2562.2</v>
      </c>
      <c r="N373" s="9" t="n">
        <v>2467.12</v>
      </c>
      <c r="O373" s="9" t="n">
        <v>2535.86</v>
      </c>
      <c r="P373" s="9" t="n">
        <v>2548.6</v>
      </c>
      <c r="Q373" s="9" t="n">
        <v>2300.76</v>
      </c>
      <c r="R373" s="9" t="n">
        <v>2746.44</v>
      </c>
      <c r="S373" s="9" t="n">
        <v>2338.85</v>
      </c>
      <c r="T373" s="9" t="n">
        <v>2702.37</v>
      </c>
      <c r="U373" s="10">
        <f>SUM(I373:T373)</f>
        <v/>
      </c>
    </row>
    <row r="374">
      <c r="A374" s="2" t="inlineStr">
        <is>
          <t>SN-2000-2100-2110-2110TP0001</t>
        </is>
      </c>
      <c r="B374" s="2" t="inlineStr">
        <is>
          <t>2110TP0001</t>
        </is>
      </c>
      <c r="C374" s="2" t="inlineStr">
        <is>
          <t>Plataforma descarga camiones</t>
        </is>
      </c>
      <c r="D374" s="2" t="n">
        <v>125</v>
      </c>
      <c r="E374" s="2" t="inlineStr">
        <is>
          <t>CC-2000</t>
        </is>
      </c>
      <c r="F374" s="2" t="inlineStr">
        <is>
          <t>P01</t>
        </is>
      </c>
      <c r="G374" s="2" t="n">
        <v>610000</v>
      </c>
      <c r="H374" s="2" t="inlineStr">
        <is>
          <t>Mano obra interna</t>
        </is>
      </c>
      <c r="I374" s="9" t="n">
        <v>738.4</v>
      </c>
      <c r="J374" s="9" t="n">
        <v>755.25</v>
      </c>
      <c r="K374" s="9" t="n">
        <v>819.53</v>
      </c>
      <c r="L374" s="9" t="n">
        <v>783.96</v>
      </c>
      <c r="M374" s="9" t="n">
        <v>739.37</v>
      </c>
      <c r="N374" s="9" t="n">
        <v>747.63</v>
      </c>
      <c r="O374" s="9" t="n">
        <v>756.15</v>
      </c>
      <c r="P374" s="9" t="n">
        <v>827.8099999999999</v>
      </c>
      <c r="Q374" s="9" t="n">
        <v>769.99</v>
      </c>
      <c r="R374" s="9" t="n">
        <v>835.85</v>
      </c>
      <c r="S374" s="9" t="n">
        <v>729.37</v>
      </c>
      <c r="T374" s="9" t="n">
        <v>816.11</v>
      </c>
      <c r="U374" s="10">
        <f>SUM(I374:T374)</f>
        <v/>
      </c>
    </row>
    <row r="375">
      <c r="A375" s="2" t="inlineStr">
        <is>
          <t>SN-2000-2100-2110-2110TP0001</t>
        </is>
      </c>
      <c r="B375" s="2" t="inlineStr">
        <is>
          <t>2110TP0001</t>
        </is>
      </c>
      <c r="C375" s="2" t="inlineStr">
        <is>
          <t>Plataforma descarga camiones</t>
        </is>
      </c>
      <c r="D375" s="2" t="n">
        <v>125</v>
      </c>
      <c r="E375" s="2" t="inlineStr">
        <is>
          <t>CC-2000</t>
        </is>
      </c>
      <c r="F375" s="2" t="inlineStr">
        <is>
          <t>P01</t>
        </is>
      </c>
      <c r="G375" s="2" t="n">
        <v>620000</v>
      </c>
      <c r="H375" s="2" t="inlineStr">
        <is>
          <t>Materiales</t>
        </is>
      </c>
      <c r="I375" s="9" t="n">
        <v>729.66</v>
      </c>
      <c r="J375" s="9" t="n">
        <v>688.28</v>
      </c>
      <c r="K375" s="9" t="n">
        <v>790.1799999999999</v>
      </c>
      <c r="L375" s="9" t="n">
        <v>676.21</v>
      </c>
      <c r="M375" s="9" t="n">
        <v>716.24</v>
      </c>
      <c r="N375" s="9" t="n">
        <v>712.55</v>
      </c>
      <c r="O375" s="9" t="n">
        <v>716.26</v>
      </c>
      <c r="P375" s="9" t="n">
        <v>669.55</v>
      </c>
      <c r="Q375" s="9" t="n">
        <v>718.55</v>
      </c>
      <c r="R375" s="9" t="n">
        <v>776.17</v>
      </c>
      <c r="S375" s="9" t="n">
        <v>707.4299999999999</v>
      </c>
      <c r="T375" s="9" t="n">
        <v>697.62</v>
      </c>
      <c r="U375" s="10">
        <f>SUM(I375:T375)</f>
        <v/>
      </c>
    </row>
    <row r="376">
      <c r="A376" s="2" t="inlineStr">
        <is>
          <t>SN-2000-2100-2110-2110TP0001</t>
        </is>
      </c>
      <c r="B376" s="2" t="inlineStr">
        <is>
          <t>2110TP0001</t>
        </is>
      </c>
      <c r="C376" s="2" t="inlineStr">
        <is>
          <t>Plataforma descarga camiones</t>
        </is>
      </c>
      <c r="D376" s="2" t="n">
        <v>125</v>
      </c>
      <c r="E376" s="2" t="inlineStr">
        <is>
          <t>CC-2000</t>
        </is>
      </c>
      <c r="F376" s="2" t="inlineStr">
        <is>
          <t>P01</t>
        </is>
      </c>
      <c r="G376" s="2" t="n">
        <v>630000</v>
      </c>
      <c r="H376" s="2" t="inlineStr">
        <is>
          <t>Servicios externos</t>
        </is>
      </c>
      <c r="I376" s="9" t="n">
        <v>858.8099999999999</v>
      </c>
      <c r="J376" s="9" t="n">
        <v>781.03</v>
      </c>
      <c r="K376" s="9" t="n">
        <v>822.53</v>
      </c>
      <c r="L376" s="9" t="n">
        <v>916.64</v>
      </c>
      <c r="M376" s="9" t="n">
        <v>807.0599999999999</v>
      </c>
      <c r="N376" s="9" t="n">
        <v>773.83</v>
      </c>
      <c r="O376" s="9" t="n">
        <v>851.97</v>
      </c>
      <c r="P376" s="9" t="n">
        <v>886.84</v>
      </c>
      <c r="Q376" s="9" t="n">
        <v>736.58</v>
      </c>
      <c r="R376" s="9" t="n">
        <v>928.9299999999999</v>
      </c>
      <c r="S376" s="9" t="n">
        <v>773.5599999999999</v>
      </c>
      <c r="T376" s="9" t="n">
        <v>799.51</v>
      </c>
      <c r="U376" s="10">
        <f>SUM(I376:T376)</f>
        <v/>
      </c>
    </row>
    <row r="377">
      <c r="A377" s="2" t="inlineStr">
        <is>
          <t>SN-2000-2100-2120-2120CV0002</t>
        </is>
      </c>
      <c r="B377" s="2" t="inlineStr">
        <is>
          <t>2120CV0002</t>
        </is>
      </c>
      <c r="C377" s="2" t="inlineStr">
        <is>
          <t>Correa alimentación acopio</t>
        </is>
      </c>
      <c r="D377" s="2" t="n">
        <v>126</v>
      </c>
      <c r="E377" s="2" t="inlineStr">
        <is>
          <t>CC-2000</t>
        </is>
      </c>
      <c r="F377" s="2" t="inlineStr">
        <is>
          <t>P01</t>
        </is>
      </c>
      <c r="G377" s="2" t="n">
        <v>610000</v>
      </c>
      <c r="H377" s="2" t="inlineStr">
        <is>
          <t>Mano obra interna</t>
        </is>
      </c>
      <c r="I377" s="9" t="n">
        <v>1682</v>
      </c>
      <c r="J377" s="9" t="n">
        <v>1446.2</v>
      </c>
      <c r="K377" s="9" t="n">
        <v>1496.1</v>
      </c>
      <c r="L377" s="9" t="n">
        <v>1582.63</v>
      </c>
      <c r="M377" s="9" t="n">
        <v>1633.05</v>
      </c>
      <c r="N377" s="9" t="n">
        <v>1438.48</v>
      </c>
      <c r="O377" s="9" t="n">
        <v>1545.14</v>
      </c>
      <c r="P377" s="9" t="n">
        <v>1447.82</v>
      </c>
      <c r="Q377" s="9" t="n">
        <v>1444.06</v>
      </c>
      <c r="R377" s="9" t="n">
        <v>1707.64</v>
      </c>
      <c r="S377" s="9" t="n">
        <v>1531.26</v>
      </c>
      <c r="T377" s="9" t="n">
        <v>1544.7</v>
      </c>
      <c r="U377" s="10">
        <f>SUM(I377:T377)</f>
        <v/>
      </c>
    </row>
    <row r="378">
      <c r="A378" s="2" t="inlineStr">
        <is>
          <t>SN-2000-2100-2120-2120CV0002</t>
        </is>
      </c>
      <c r="B378" s="2" t="inlineStr">
        <is>
          <t>2120CV0002</t>
        </is>
      </c>
      <c r="C378" s="2" t="inlineStr">
        <is>
          <t>Correa alimentación acopio</t>
        </is>
      </c>
      <c r="D378" s="2" t="n">
        <v>126</v>
      </c>
      <c r="E378" s="2" t="inlineStr">
        <is>
          <t>CC-2000</t>
        </is>
      </c>
      <c r="F378" s="2" t="inlineStr">
        <is>
          <t>P01</t>
        </is>
      </c>
      <c r="G378" s="2" t="n">
        <v>620000</v>
      </c>
      <c r="H378" s="2" t="inlineStr">
        <is>
          <t>Materiales</t>
        </is>
      </c>
      <c r="I378" s="9" t="n">
        <v>1546.74</v>
      </c>
      <c r="J378" s="9" t="n">
        <v>1558.5</v>
      </c>
      <c r="K378" s="9" t="n">
        <v>1561.2</v>
      </c>
      <c r="L378" s="9" t="n">
        <v>1723.06</v>
      </c>
      <c r="M378" s="9" t="n">
        <v>1719.58</v>
      </c>
      <c r="N378" s="9" t="n">
        <v>1662.16</v>
      </c>
      <c r="O378" s="9" t="n">
        <v>1712.15</v>
      </c>
      <c r="P378" s="9" t="n">
        <v>1641.78</v>
      </c>
      <c r="Q378" s="9" t="n">
        <v>1553.53</v>
      </c>
      <c r="R378" s="9" t="n">
        <v>1683.81</v>
      </c>
      <c r="S378" s="9" t="n">
        <v>1598.04</v>
      </c>
      <c r="T378" s="9" t="n">
        <v>1629.29</v>
      </c>
      <c r="U378" s="10">
        <f>SUM(I378:T378)</f>
        <v/>
      </c>
    </row>
    <row r="379">
      <c r="A379" s="2" t="inlineStr">
        <is>
          <t>SN-2000-2100-2120-2120CV0002</t>
        </is>
      </c>
      <c r="B379" s="2" t="inlineStr">
        <is>
          <t>2120CV0002</t>
        </is>
      </c>
      <c r="C379" s="2" t="inlineStr">
        <is>
          <t>Correa alimentación acopio</t>
        </is>
      </c>
      <c r="D379" s="2" t="n">
        <v>126</v>
      </c>
      <c r="E379" s="2" t="inlineStr">
        <is>
          <t>CC-2000</t>
        </is>
      </c>
      <c r="F379" s="2" t="inlineStr">
        <is>
          <t>P01</t>
        </is>
      </c>
      <c r="G379" s="2" t="n">
        <v>630000</v>
      </c>
      <c r="H379" s="2" t="inlineStr">
        <is>
          <t>Servicios externos</t>
        </is>
      </c>
      <c r="I379" s="9" t="n">
        <v>1819.11</v>
      </c>
      <c r="J379" s="9" t="n">
        <v>1626.65</v>
      </c>
      <c r="K379" s="9" t="n">
        <v>1714.12</v>
      </c>
      <c r="L379" s="9" t="n">
        <v>1867.94</v>
      </c>
      <c r="M379" s="9" t="n">
        <v>1573.42</v>
      </c>
      <c r="N379" s="9" t="n">
        <v>1632.43</v>
      </c>
      <c r="O379" s="9" t="n">
        <v>1825.23</v>
      </c>
      <c r="P379" s="9" t="n">
        <v>1740.29</v>
      </c>
      <c r="Q379" s="9" t="n">
        <v>1604.91</v>
      </c>
      <c r="R379" s="9" t="n">
        <v>1771.69</v>
      </c>
      <c r="S379" s="9" t="n">
        <v>1615.18</v>
      </c>
      <c r="T379" s="9" t="n">
        <v>1834.61</v>
      </c>
      <c r="U379" s="10">
        <f>SUM(I379:T379)</f>
        <v/>
      </c>
    </row>
    <row r="380">
      <c r="A380" s="2" t="inlineStr">
        <is>
          <t>SN-2000-2100-2120-2120FP1001</t>
        </is>
      </c>
      <c r="B380" s="2" t="inlineStr">
        <is>
          <t>2120FP1001</t>
        </is>
      </c>
      <c r="C380" s="2" t="inlineStr">
        <is>
          <t>Tablero SCI</t>
        </is>
      </c>
      <c r="D380" s="2" t="n">
        <v>127</v>
      </c>
      <c r="E380" s="2" t="inlineStr">
        <is>
          <t>CC-2000</t>
        </is>
      </c>
      <c r="F380" s="2" t="inlineStr">
        <is>
          <t>P01</t>
        </is>
      </c>
      <c r="G380" s="2" t="n">
        <v>610000</v>
      </c>
      <c r="H380" s="2" t="inlineStr">
        <is>
          <t>Mano obra interna</t>
        </is>
      </c>
      <c r="I380" s="9" t="n">
        <v>2688.9</v>
      </c>
      <c r="J380" s="9" t="n">
        <v>2422.2</v>
      </c>
      <c r="K380" s="9" t="n">
        <v>2501.02</v>
      </c>
      <c r="L380" s="9" t="n">
        <v>2884.98</v>
      </c>
      <c r="M380" s="9" t="n">
        <v>2549.43</v>
      </c>
      <c r="N380" s="9" t="n">
        <v>2553.84</v>
      </c>
      <c r="O380" s="9" t="n">
        <v>2452.2</v>
      </c>
      <c r="P380" s="9" t="n">
        <v>2702.76</v>
      </c>
      <c r="Q380" s="9" t="n">
        <v>2615.45</v>
      </c>
      <c r="R380" s="9" t="n">
        <v>2868.19</v>
      </c>
      <c r="S380" s="9" t="n">
        <v>2391.69</v>
      </c>
      <c r="T380" s="9" t="n">
        <v>2701.68</v>
      </c>
      <c r="U380" s="10">
        <f>SUM(I380:T380)</f>
        <v/>
      </c>
    </row>
    <row r="381">
      <c r="A381" s="2" t="inlineStr">
        <is>
          <t>SN-2000-2100-2120-2120FP1001</t>
        </is>
      </c>
      <c r="B381" s="2" t="inlineStr">
        <is>
          <t>2120FP1001</t>
        </is>
      </c>
      <c r="C381" s="2" t="inlineStr">
        <is>
          <t>Tablero SCI</t>
        </is>
      </c>
      <c r="D381" s="2" t="n">
        <v>127</v>
      </c>
      <c r="E381" s="2" t="inlineStr">
        <is>
          <t>CC-2000</t>
        </is>
      </c>
      <c r="F381" s="2" t="inlineStr">
        <is>
          <t>P01</t>
        </is>
      </c>
      <c r="G381" s="2" t="n">
        <v>620000</v>
      </c>
      <c r="H381" s="2" t="inlineStr">
        <is>
          <t>Materiales</t>
        </is>
      </c>
      <c r="I381" s="9" t="n">
        <v>2677.74</v>
      </c>
      <c r="J381" s="9" t="n">
        <v>2782</v>
      </c>
      <c r="K381" s="9" t="n">
        <v>2812.55</v>
      </c>
      <c r="L381" s="9" t="n">
        <v>2895.5</v>
      </c>
      <c r="M381" s="9" t="n">
        <v>2687.47</v>
      </c>
      <c r="N381" s="9" t="n">
        <v>2395.75</v>
      </c>
      <c r="O381" s="9" t="n">
        <v>2583.02</v>
      </c>
      <c r="P381" s="9" t="n">
        <v>2533.98</v>
      </c>
      <c r="Q381" s="9" t="n">
        <v>2641.01</v>
      </c>
      <c r="R381" s="9" t="n">
        <v>2991.43</v>
      </c>
      <c r="S381" s="9" t="n">
        <v>2650.65</v>
      </c>
      <c r="T381" s="9" t="n">
        <v>2616.41</v>
      </c>
      <c r="U381" s="10">
        <f>SUM(I381:T381)</f>
        <v/>
      </c>
    </row>
    <row r="382">
      <c r="A382" s="2" t="inlineStr">
        <is>
          <t>SN-2000-2100-2120-2120FP1001</t>
        </is>
      </c>
      <c r="B382" s="2" t="inlineStr">
        <is>
          <t>2120FP1001</t>
        </is>
      </c>
      <c r="C382" s="2" t="inlineStr">
        <is>
          <t>Tablero SCI</t>
        </is>
      </c>
      <c r="D382" s="2" t="n">
        <v>127</v>
      </c>
      <c r="E382" s="2" t="inlineStr">
        <is>
          <t>CC-2000</t>
        </is>
      </c>
      <c r="F382" s="2" t="inlineStr">
        <is>
          <t>P01</t>
        </is>
      </c>
      <c r="G382" s="2" t="n">
        <v>630000</v>
      </c>
      <c r="H382" s="2" t="inlineStr">
        <is>
          <t>Servicios externos</t>
        </is>
      </c>
      <c r="I382" s="9" t="n">
        <v>2443.31</v>
      </c>
      <c r="J382" s="9" t="n">
        <v>2254.91</v>
      </c>
      <c r="K382" s="9" t="n">
        <v>2267.77</v>
      </c>
      <c r="L382" s="9" t="n">
        <v>2393.62</v>
      </c>
      <c r="M382" s="9" t="n">
        <v>2107.96</v>
      </c>
      <c r="N382" s="9" t="n">
        <v>2136.95</v>
      </c>
      <c r="O382" s="9" t="n">
        <v>2288.56</v>
      </c>
      <c r="P382" s="9" t="n">
        <v>2167.97</v>
      </c>
      <c r="Q382" s="9" t="n">
        <v>2306.12</v>
      </c>
      <c r="R382" s="9" t="n">
        <v>2363.99</v>
      </c>
      <c r="S382" s="9" t="n">
        <v>2094.03</v>
      </c>
      <c r="T382" s="9" t="n">
        <v>2222.55</v>
      </c>
      <c r="U382" s="10">
        <f>SUM(I382:T382)</f>
        <v/>
      </c>
    </row>
    <row r="383">
      <c r="A383" s="2" t="inlineStr">
        <is>
          <t>SN-2000-2100-2120-2120PR0001</t>
        </is>
      </c>
      <c r="B383" s="2" t="inlineStr">
        <is>
          <t>2120PR0001</t>
        </is>
      </c>
      <c r="C383" s="2" t="inlineStr">
        <is>
          <t>Tablero de enchufes correa alimenta acopio</t>
        </is>
      </c>
      <c r="D383" s="2" t="n">
        <v>128</v>
      </c>
      <c r="E383" s="2" t="inlineStr">
        <is>
          <t>CC-2000</t>
        </is>
      </c>
      <c r="F383" s="2" t="inlineStr">
        <is>
          <t>P01</t>
        </is>
      </c>
      <c r="G383" s="2" t="n">
        <v>610000</v>
      </c>
      <c r="H383" s="2" t="inlineStr">
        <is>
          <t>Mano obra interna</t>
        </is>
      </c>
      <c r="I383" s="9" t="n">
        <v>970.63</v>
      </c>
      <c r="J383" s="9" t="n">
        <v>957.63</v>
      </c>
      <c r="K383" s="9" t="n">
        <v>916.65</v>
      </c>
      <c r="L383" s="9" t="n">
        <v>910.23</v>
      </c>
      <c r="M383" s="9" t="n">
        <v>944.0700000000001</v>
      </c>
      <c r="N383" s="9" t="n">
        <v>966.62</v>
      </c>
      <c r="O383" s="9" t="n">
        <v>1022.06</v>
      </c>
      <c r="P383" s="9" t="n">
        <v>897.98</v>
      </c>
      <c r="Q383" s="9" t="n">
        <v>901.26</v>
      </c>
      <c r="R383" s="9" t="n">
        <v>1106.36</v>
      </c>
      <c r="S383" s="9" t="n">
        <v>914.85</v>
      </c>
      <c r="T383" s="9" t="n">
        <v>1028.06</v>
      </c>
      <c r="U383" s="10">
        <f>SUM(I383:T383)</f>
        <v/>
      </c>
    </row>
    <row r="384">
      <c r="A384" s="2" t="inlineStr">
        <is>
          <t>SN-2000-2100-2120-2120PR0001</t>
        </is>
      </c>
      <c r="B384" s="2" t="inlineStr">
        <is>
          <t>2120PR0001</t>
        </is>
      </c>
      <c r="C384" s="2" t="inlineStr">
        <is>
          <t>Tablero de enchufes correa alimenta acopio</t>
        </is>
      </c>
      <c r="D384" s="2" t="n">
        <v>128</v>
      </c>
      <c r="E384" s="2" t="inlineStr">
        <is>
          <t>CC-2000</t>
        </is>
      </c>
      <c r="F384" s="2" t="inlineStr">
        <is>
          <t>P01</t>
        </is>
      </c>
      <c r="G384" s="2" t="n">
        <v>620000</v>
      </c>
      <c r="H384" s="2" t="inlineStr">
        <is>
          <t>Materiales</t>
        </is>
      </c>
      <c r="I384" s="9" t="n">
        <v>819.63</v>
      </c>
      <c r="J384" s="9" t="n">
        <v>768.98</v>
      </c>
      <c r="K384" s="9" t="n">
        <v>829.03</v>
      </c>
      <c r="L384" s="9" t="n">
        <v>788.83</v>
      </c>
      <c r="M384" s="9" t="n">
        <v>726.61</v>
      </c>
      <c r="N384" s="9" t="n">
        <v>767.9400000000001</v>
      </c>
      <c r="O384" s="9" t="n">
        <v>723.98</v>
      </c>
      <c r="P384" s="9" t="n">
        <v>729.9</v>
      </c>
      <c r="Q384" s="9" t="n">
        <v>721.17</v>
      </c>
      <c r="R384" s="9" t="n">
        <v>843.83</v>
      </c>
      <c r="S384" s="9" t="n">
        <v>776.5599999999999</v>
      </c>
      <c r="T384" s="9" t="n">
        <v>725.77</v>
      </c>
      <c r="U384" s="10">
        <f>SUM(I384:T384)</f>
        <v/>
      </c>
    </row>
    <row r="385">
      <c r="A385" s="2" t="inlineStr">
        <is>
          <t>SN-2000-2100-2120-2120PR0001</t>
        </is>
      </c>
      <c r="B385" s="2" t="inlineStr">
        <is>
          <t>2120PR0001</t>
        </is>
      </c>
      <c r="C385" s="2" t="inlineStr">
        <is>
          <t>Tablero de enchufes correa alimenta acopio</t>
        </is>
      </c>
      <c r="D385" s="2" t="n">
        <v>128</v>
      </c>
      <c r="E385" s="2" t="inlineStr">
        <is>
          <t>CC-2000</t>
        </is>
      </c>
      <c r="F385" s="2" t="inlineStr">
        <is>
          <t>P01</t>
        </is>
      </c>
      <c r="G385" s="2" t="n">
        <v>630000</v>
      </c>
      <c r="H385" s="2" t="inlineStr">
        <is>
          <t>Servicios externos</t>
        </is>
      </c>
      <c r="I385" s="9" t="n">
        <v>988.63</v>
      </c>
      <c r="J385" s="9" t="n">
        <v>854.6</v>
      </c>
      <c r="K385" s="9" t="n">
        <v>944.99</v>
      </c>
      <c r="L385" s="9" t="n">
        <v>920.27</v>
      </c>
      <c r="M385" s="9" t="n">
        <v>894.3099999999999</v>
      </c>
      <c r="N385" s="9" t="n">
        <v>960.78</v>
      </c>
      <c r="O385" s="9" t="n">
        <v>954.58</v>
      </c>
      <c r="P385" s="9" t="n">
        <v>964.61</v>
      </c>
      <c r="Q385" s="9" t="n">
        <v>934.58</v>
      </c>
      <c r="R385" s="9" t="n">
        <v>986.24</v>
      </c>
      <c r="S385" s="9" t="n">
        <v>946.66</v>
      </c>
      <c r="T385" s="9" t="n">
        <v>936.78</v>
      </c>
      <c r="U385" s="10">
        <f>SUM(I385:T385)</f>
        <v/>
      </c>
    </row>
    <row r="386">
      <c r="A386" s="2" t="inlineStr">
        <is>
          <t>SN-2000-2100-2120-2120PR0002</t>
        </is>
      </c>
      <c r="B386" s="2" t="inlineStr">
        <is>
          <t>2120PR0002</t>
        </is>
      </c>
      <c r="C386" s="2" t="inlineStr">
        <is>
          <t>Tablero de enchufes correa alimenta acopio</t>
        </is>
      </c>
      <c r="D386" s="2" t="n">
        <v>129</v>
      </c>
      <c r="E386" s="2" t="inlineStr">
        <is>
          <t>CC-2000</t>
        </is>
      </c>
      <c r="F386" s="2" t="inlineStr">
        <is>
          <t>P01</t>
        </is>
      </c>
      <c r="G386" s="2" t="n">
        <v>610000</v>
      </c>
      <c r="H386" s="2" t="inlineStr">
        <is>
          <t>Mano obra interna</t>
        </is>
      </c>
      <c r="I386" s="9" t="n">
        <v>1957.26</v>
      </c>
      <c r="J386" s="9" t="n">
        <v>2132.48</v>
      </c>
      <c r="K386" s="9" t="n">
        <v>1990.67</v>
      </c>
      <c r="L386" s="9" t="n">
        <v>2007.66</v>
      </c>
      <c r="M386" s="9" t="n">
        <v>2081.6</v>
      </c>
      <c r="N386" s="9" t="n">
        <v>1898.93</v>
      </c>
      <c r="O386" s="9" t="n">
        <v>2056.45</v>
      </c>
      <c r="P386" s="9" t="n">
        <v>2001.12</v>
      </c>
      <c r="Q386" s="9" t="n">
        <v>1953.8</v>
      </c>
      <c r="R386" s="9" t="n">
        <v>2084.28</v>
      </c>
      <c r="S386" s="9" t="n">
        <v>1817.82</v>
      </c>
      <c r="T386" s="9" t="n">
        <v>1984.89</v>
      </c>
      <c r="U386" s="10">
        <f>SUM(I386:T386)</f>
        <v/>
      </c>
    </row>
    <row r="387">
      <c r="A387" s="2" t="inlineStr">
        <is>
          <t>SN-2000-2100-2120-2120PR0002</t>
        </is>
      </c>
      <c r="B387" s="2" t="inlineStr">
        <is>
          <t>2120PR0002</t>
        </is>
      </c>
      <c r="C387" s="2" t="inlineStr">
        <is>
          <t>Tablero de enchufes correa alimenta acopio</t>
        </is>
      </c>
      <c r="D387" s="2" t="n">
        <v>129</v>
      </c>
      <c r="E387" s="2" t="inlineStr">
        <is>
          <t>CC-2000</t>
        </is>
      </c>
      <c r="F387" s="2" t="inlineStr">
        <is>
          <t>P01</t>
        </is>
      </c>
      <c r="G387" s="2" t="n">
        <v>620000</v>
      </c>
      <c r="H387" s="2" t="inlineStr">
        <is>
          <t>Materiales</t>
        </is>
      </c>
      <c r="I387" s="9" t="n">
        <v>1689.26</v>
      </c>
      <c r="J387" s="9" t="n">
        <v>1681.14</v>
      </c>
      <c r="K387" s="9" t="n">
        <v>1774.04</v>
      </c>
      <c r="L387" s="9" t="n">
        <v>1659.63</v>
      </c>
      <c r="M387" s="9" t="n">
        <v>1752.57</v>
      </c>
      <c r="N387" s="9" t="n">
        <v>1773.56</v>
      </c>
      <c r="O387" s="9" t="n">
        <v>1650.96</v>
      </c>
      <c r="P387" s="9" t="n">
        <v>1773.61</v>
      </c>
      <c r="Q387" s="9" t="n">
        <v>1669.67</v>
      </c>
      <c r="R387" s="9" t="n">
        <v>1860.32</v>
      </c>
      <c r="S387" s="9" t="n">
        <v>1746.21</v>
      </c>
      <c r="T387" s="9" t="n">
        <v>1748.21</v>
      </c>
      <c r="U387" s="10">
        <f>SUM(I387:T387)</f>
        <v/>
      </c>
    </row>
    <row r="388">
      <c r="A388" s="2" t="inlineStr">
        <is>
          <t>SN-2000-2100-2120-2120PR0002</t>
        </is>
      </c>
      <c r="B388" s="2" t="inlineStr">
        <is>
          <t>2120PR0002</t>
        </is>
      </c>
      <c r="C388" s="2" t="inlineStr">
        <is>
          <t>Tablero de enchufes correa alimenta acopio</t>
        </is>
      </c>
      <c r="D388" s="2" t="n">
        <v>129</v>
      </c>
      <c r="E388" s="2" t="inlineStr">
        <is>
          <t>CC-2000</t>
        </is>
      </c>
      <c r="F388" s="2" t="inlineStr">
        <is>
          <t>P01</t>
        </is>
      </c>
      <c r="G388" s="2" t="n">
        <v>630000</v>
      </c>
      <c r="H388" s="2" t="inlineStr">
        <is>
          <t>Servicios externos</t>
        </is>
      </c>
      <c r="I388" s="9" t="n">
        <v>1630.03</v>
      </c>
      <c r="J388" s="9" t="n">
        <v>1759.5</v>
      </c>
      <c r="K388" s="9" t="n">
        <v>1834.39</v>
      </c>
      <c r="L388" s="9" t="n">
        <v>1640.75</v>
      </c>
      <c r="M388" s="9" t="n">
        <v>1679.29</v>
      </c>
      <c r="N388" s="9" t="n">
        <v>1784.25</v>
      </c>
      <c r="O388" s="9" t="n">
        <v>1712.17</v>
      </c>
      <c r="P388" s="9" t="n">
        <v>1732.62</v>
      </c>
      <c r="Q388" s="9" t="n">
        <v>1719.39</v>
      </c>
      <c r="R388" s="9" t="n">
        <v>1934.3</v>
      </c>
      <c r="S388" s="9" t="n">
        <v>1700.06</v>
      </c>
      <c r="T388" s="9" t="n">
        <v>1842.94</v>
      </c>
      <c r="U388" s="10">
        <f>SUM(I388:T388)</f>
        <v/>
      </c>
    </row>
    <row r="389">
      <c r="A389" s="2" t="inlineStr">
        <is>
          <t>SN-2000-2100-2120-2120PR0003</t>
        </is>
      </c>
      <c r="B389" s="2" t="inlineStr">
        <is>
          <t>2120PR0003</t>
        </is>
      </c>
      <c r="C389" s="2" t="inlineStr">
        <is>
          <t>Tablero de enchufes correa alimenta acopio</t>
        </is>
      </c>
      <c r="D389" s="2" t="n">
        <v>130</v>
      </c>
      <c r="E389" s="2" t="inlineStr">
        <is>
          <t>CC-2000</t>
        </is>
      </c>
      <c r="F389" s="2" t="inlineStr">
        <is>
          <t>P01</t>
        </is>
      </c>
      <c r="G389" s="2" t="n">
        <v>610000</v>
      </c>
      <c r="H389" s="2" t="inlineStr">
        <is>
          <t>Mano obra interna</t>
        </is>
      </c>
      <c r="I389" s="9" t="n">
        <v>2787.1</v>
      </c>
      <c r="J389" s="9" t="n">
        <v>2696.74</v>
      </c>
      <c r="K389" s="9" t="n">
        <v>2784.43</v>
      </c>
      <c r="L389" s="9" t="n">
        <v>3019.57</v>
      </c>
      <c r="M389" s="9" t="n">
        <v>2806.55</v>
      </c>
      <c r="N389" s="9" t="n">
        <v>2453.11</v>
      </c>
      <c r="O389" s="9" t="n">
        <v>2910.12</v>
      </c>
      <c r="P389" s="9" t="n">
        <v>2738.56</v>
      </c>
      <c r="Q389" s="9" t="n">
        <v>2382.55</v>
      </c>
      <c r="R389" s="9" t="n">
        <v>2988.34</v>
      </c>
      <c r="S389" s="9" t="n">
        <v>2626.08</v>
      </c>
      <c r="T389" s="9" t="n">
        <v>2958.6</v>
      </c>
      <c r="U389" s="10">
        <f>SUM(I389:T389)</f>
        <v/>
      </c>
    </row>
    <row r="390">
      <c r="A390" s="2" t="inlineStr">
        <is>
          <t>SN-2000-2100-2120-2120PR0003</t>
        </is>
      </c>
      <c r="B390" s="2" t="inlineStr">
        <is>
          <t>2120PR0003</t>
        </is>
      </c>
      <c r="C390" s="2" t="inlineStr">
        <is>
          <t>Tablero de enchufes correa alimenta acopio</t>
        </is>
      </c>
      <c r="D390" s="2" t="n">
        <v>130</v>
      </c>
      <c r="E390" s="2" t="inlineStr">
        <is>
          <t>CC-2000</t>
        </is>
      </c>
      <c r="F390" s="2" t="inlineStr">
        <is>
          <t>P01</t>
        </is>
      </c>
      <c r="G390" s="2" t="n">
        <v>620000</v>
      </c>
      <c r="H390" s="2" t="inlineStr">
        <is>
          <t>Materiales</t>
        </is>
      </c>
      <c r="I390" s="9" t="n">
        <v>2383.15</v>
      </c>
      <c r="J390" s="9" t="n">
        <v>2205.17</v>
      </c>
      <c r="K390" s="9" t="n">
        <v>2125.69</v>
      </c>
      <c r="L390" s="9" t="n">
        <v>2438.69</v>
      </c>
      <c r="M390" s="9" t="n">
        <v>2200.08</v>
      </c>
      <c r="N390" s="9" t="n">
        <v>2050.16</v>
      </c>
      <c r="O390" s="9" t="n">
        <v>2208.74</v>
      </c>
      <c r="P390" s="9" t="n">
        <v>2343.88</v>
      </c>
      <c r="Q390" s="9" t="n">
        <v>2000.77</v>
      </c>
      <c r="R390" s="9" t="n">
        <v>2274.94</v>
      </c>
      <c r="S390" s="9" t="n">
        <v>2020.28</v>
      </c>
      <c r="T390" s="9" t="n">
        <v>2178.72</v>
      </c>
      <c r="U390" s="10">
        <f>SUM(I390:T390)</f>
        <v/>
      </c>
    </row>
    <row r="391">
      <c r="A391" s="2" t="inlineStr">
        <is>
          <t>SN-2000-2100-2120-2120PR0003</t>
        </is>
      </c>
      <c r="B391" s="2" t="inlineStr">
        <is>
          <t>2120PR0003</t>
        </is>
      </c>
      <c r="C391" s="2" t="inlineStr">
        <is>
          <t>Tablero de enchufes correa alimenta acopio</t>
        </is>
      </c>
      <c r="D391" s="2" t="n">
        <v>130</v>
      </c>
      <c r="E391" s="2" t="inlineStr">
        <is>
          <t>CC-2000</t>
        </is>
      </c>
      <c r="F391" s="2" t="inlineStr">
        <is>
          <t>P01</t>
        </is>
      </c>
      <c r="G391" s="2" t="n">
        <v>630000</v>
      </c>
      <c r="H391" s="2" t="inlineStr">
        <is>
          <t>Servicios externos</t>
        </is>
      </c>
      <c r="I391" s="9" t="n">
        <v>2654.75</v>
      </c>
      <c r="J391" s="9" t="n">
        <v>2460.66</v>
      </c>
      <c r="K391" s="9" t="n">
        <v>2551.12</v>
      </c>
      <c r="L391" s="9" t="n">
        <v>2598.54</v>
      </c>
      <c r="M391" s="9" t="n">
        <v>2767.36</v>
      </c>
      <c r="N391" s="9" t="n">
        <v>2434.91</v>
      </c>
      <c r="O391" s="9" t="n">
        <v>2817.71</v>
      </c>
      <c r="P391" s="9" t="n">
        <v>2604.28</v>
      </c>
      <c r="Q391" s="9" t="n">
        <v>2306.99</v>
      </c>
      <c r="R391" s="9" t="n">
        <v>2993.6</v>
      </c>
      <c r="S391" s="9" t="n">
        <v>2512.93</v>
      </c>
      <c r="T391" s="9" t="n">
        <v>2740.13</v>
      </c>
      <c r="U391" s="10">
        <f>SUM(I391:T391)</f>
        <v/>
      </c>
    </row>
    <row r="392">
      <c r="A392" s="2" t="inlineStr">
        <is>
          <t>SN-2000-2100-21ER-2100AC0001</t>
        </is>
      </c>
      <c r="B392" s="2" t="inlineStr">
        <is>
          <t>2100AC0001</t>
        </is>
      </c>
      <c r="C392" s="2" t="inlineStr">
        <is>
          <t>Unidad aire acondicionado</t>
        </is>
      </c>
      <c r="D392" s="2" t="n">
        <v>131</v>
      </c>
      <c r="E392" s="2" t="inlineStr">
        <is>
          <t>CC-2000</t>
        </is>
      </c>
      <c r="F392" s="2" t="inlineStr">
        <is>
          <t>P01</t>
        </is>
      </c>
      <c r="G392" s="2" t="n">
        <v>610000</v>
      </c>
      <c r="H392" s="2" t="inlineStr">
        <is>
          <t>Mano obra interna</t>
        </is>
      </c>
      <c r="I392" s="9" t="n">
        <v>2049.43</v>
      </c>
      <c r="J392" s="9" t="n">
        <v>1993.04</v>
      </c>
      <c r="K392" s="9" t="n">
        <v>2310.44</v>
      </c>
      <c r="L392" s="9" t="n">
        <v>2133.78</v>
      </c>
      <c r="M392" s="9" t="n">
        <v>2032.76</v>
      </c>
      <c r="N392" s="9" t="n">
        <v>1915.8</v>
      </c>
      <c r="O392" s="9" t="n">
        <v>1998.68</v>
      </c>
      <c r="P392" s="9" t="n">
        <v>2256.59</v>
      </c>
      <c r="Q392" s="9" t="n">
        <v>1895.96</v>
      </c>
      <c r="R392" s="9" t="n">
        <v>2320.88</v>
      </c>
      <c r="S392" s="9" t="n">
        <v>2129.67</v>
      </c>
      <c r="T392" s="9" t="n">
        <v>2170.23</v>
      </c>
      <c r="U392" s="10">
        <f>SUM(I392:T392)</f>
        <v/>
      </c>
    </row>
    <row r="393">
      <c r="A393" s="2" t="inlineStr">
        <is>
          <t>SN-2000-2100-21ER-2100AC0001</t>
        </is>
      </c>
      <c r="B393" s="2" t="inlineStr">
        <is>
          <t>2100AC0001</t>
        </is>
      </c>
      <c r="C393" s="2" t="inlineStr">
        <is>
          <t>Unidad aire acondicionado</t>
        </is>
      </c>
      <c r="D393" s="2" t="n">
        <v>131</v>
      </c>
      <c r="E393" s="2" t="inlineStr">
        <is>
          <t>CC-2000</t>
        </is>
      </c>
      <c r="F393" s="2" t="inlineStr">
        <is>
          <t>P01</t>
        </is>
      </c>
      <c r="G393" s="2" t="n">
        <v>620000</v>
      </c>
      <c r="H393" s="2" t="inlineStr">
        <is>
          <t>Materiales</t>
        </is>
      </c>
      <c r="I393" s="9" t="n">
        <v>1608.2</v>
      </c>
      <c r="J393" s="9" t="n">
        <v>1367.95</v>
      </c>
      <c r="K393" s="9" t="n">
        <v>1619.84</v>
      </c>
      <c r="L393" s="9" t="n">
        <v>1637.15</v>
      </c>
      <c r="M393" s="9" t="n">
        <v>1475.39</v>
      </c>
      <c r="N393" s="9" t="n">
        <v>1448.99</v>
      </c>
      <c r="O393" s="9" t="n">
        <v>1502.14</v>
      </c>
      <c r="P393" s="9" t="n">
        <v>1479.19</v>
      </c>
      <c r="Q393" s="9" t="n">
        <v>1489.8</v>
      </c>
      <c r="R393" s="9" t="n">
        <v>1727.63</v>
      </c>
      <c r="S393" s="9" t="n">
        <v>1420.56</v>
      </c>
      <c r="T393" s="9" t="n">
        <v>1557.54</v>
      </c>
      <c r="U393" s="10">
        <f>SUM(I393:T393)</f>
        <v/>
      </c>
    </row>
    <row r="394">
      <c r="A394" s="2" t="inlineStr">
        <is>
          <t>SN-2000-2100-21ER-2100AC0001</t>
        </is>
      </c>
      <c r="B394" s="2" t="inlineStr">
        <is>
          <t>2100AC0001</t>
        </is>
      </c>
      <c r="C394" s="2" t="inlineStr">
        <is>
          <t>Unidad aire acondicionado</t>
        </is>
      </c>
      <c r="D394" s="2" t="n">
        <v>131</v>
      </c>
      <c r="E394" s="2" t="inlineStr">
        <is>
          <t>CC-2000</t>
        </is>
      </c>
      <c r="F394" s="2" t="inlineStr">
        <is>
          <t>P01</t>
        </is>
      </c>
      <c r="G394" s="2" t="n">
        <v>630000</v>
      </c>
      <c r="H394" s="2" t="inlineStr">
        <is>
          <t>Servicios externos</t>
        </is>
      </c>
      <c r="I394" s="9" t="n">
        <v>2205.3</v>
      </c>
      <c r="J394" s="9" t="n">
        <v>1983.94</v>
      </c>
      <c r="K394" s="9" t="n">
        <v>2059.54</v>
      </c>
      <c r="L394" s="9" t="n">
        <v>1983.1</v>
      </c>
      <c r="M394" s="9" t="n">
        <v>2136.91</v>
      </c>
      <c r="N394" s="9" t="n">
        <v>1813.28</v>
      </c>
      <c r="O394" s="9" t="n">
        <v>2038.17</v>
      </c>
      <c r="P394" s="9" t="n">
        <v>1940.12</v>
      </c>
      <c r="Q394" s="9" t="n">
        <v>1806.3</v>
      </c>
      <c r="R394" s="9" t="n">
        <v>2136.33</v>
      </c>
      <c r="S394" s="9" t="n">
        <v>2102.72</v>
      </c>
      <c r="T394" s="9" t="n">
        <v>1896.06</v>
      </c>
      <c r="U394" s="10">
        <f>SUM(I394:T394)</f>
        <v/>
      </c>
    </row>
    <row r="395">
      <c r="A395" s="2" t="inlineStr">
        <is>
          <t>SN-2000-2100-21ER-2100BA0001</t>
        </is>
      </c>
      <c r="B395" s="2" t="inlineStr">
        <is>
          <t>2100BA0001</t>
        </is>
      </c>
      <c r="C395" s="2" t="inlineStr">
        <is>
          <t>Banco baterías UPS</t>
        </is>
      </c>
      <c r="D395" s="2" t="n">
        <v>132</v>
      </c>
      <c r="E395" s="2" t="inlineStr">
        <is>
          <t>CC-2000</t>
        </is>
      </c>
      <c r="F395" s="2" t="inlineStr">
        <is>
          <t>P01</t>
        </is>
      </c>
      <c r="G395" s="2" t="n">
        <v>610000</v>
      </c>
      <c r="H395" s="2" t="inlineStr">
        <is>
          <t>Mano obra interna</t>
        </is>
      </c>
      <c r="I395" s="9" t="n">
        <v>1649.73</v>
      </c>
      <c r="J395" s="9" t="n">
        <v>1611.2</v>
      </c>
      <c r="K395" s="9" t="n">
        <v>1769.22</v>
      </c>
      <c r="L395" s="9" t="n">
        <v>1772.84</v>
      </c>
      <c r="M395" s="9" t="n">
        <v>1647.65</v>
      </c>
      <c r="N395" s="9" t="n">
        <v>1607</v>
      </c>
      <c r="O395" s="9" t="n">
        <v>1617.99</v>
      </c>
      <c r="P395" s="9" t="n">
        <v>1675.92</v>
      </c>
      <c r="Q395" s="9" t="n">
        <v>1732.33</v>
      </c>
      <c r="R395" s="9" t="n">
        <v>2000.39</v>
      </c>
      <c r="S395" s="9" t="n">
        <v>1632.11</v>
      </c>
      <c r="T395" s="9" t="n">
        <v>1777.33</v>
      </c>
      <c r="U395" s="10">
        <f>SUM(I395:T395)</f>
        <v/>
      </c>
    </row>
    <row r="396">
      <c r="A396" s="2" t="inlineStr">
        <is>
          <t>SN-2000-2100-21ER-2100BA0001</t>
        </is>
      </c>
      <c r="B396" s="2" t="inlineStr">
        <is>
          <t>2100BA0001</t>
        </is>
      </c>
      <c r="C396" s="2" t="inlineStr">
        <is>
          <t>Banco baterías UPS</t>
        </is>
      </c>
      <c r="D396" s="2" t="n">
        <v>132</v>
      </c>
      <c r="E396" s="2" t="inlineStr">
        <is>
          <t>CC-2000</t>
        </is>
      </c>
      <c r="F396" s="2" t="inlineStr">
        <is>
          <t>P01</t>
        </is>
      </c>
      <c r="G396" s="2" t="n">
        <v>620000</v>
      </c>
      <c r="H396" s="2" t="inlineStr">
        <is>
          <t>Materiales</t>
        </is>
      </c>
      <c r="I396" s="9" t="n">
        <v>1718.14</v>
      </c>
      <c r="J396" s="9" t="n">
        <v>1889.24</v>
      </c>
      <c r="K396" s="9" t="n">
        <v>2020.51</v>
      </c>
      <c r="L396" s="9" t="n">
        <v>1745.6</v>
      </c>
      <c r="M396" s="9" t="n">
        <v>1710.57</v>
      </c>
      <c r="N396" s="9" t="n">
        <v>1875.96</v>
      </c>
      <c r="O396" s="9" t="n">
        <v>1839.25</v>
      </c>
      <c r="P396" s="9" t="n">
        <v>1684.14</v>
      </c>
      <c r="Q396" s="9" t="n">
        <v>1635.15</v>
      </c>
      <c r="R396" s="9" t="n">
        <v>1954.98</v>
      </c>
      <c r="S396" s="9" t="n">
        <v>1823.68</v>
      </c>
      <c r="T396" s="9" t="n">
        <v>1923.76</v>
      </c>
      <c r="U396" s="10">
        <f>SUM(I396:T396)</f>
        <v/>
      </c>
    </row>
    <row r="397">
      <c r="A397" s="2" t="inlineStr">
        <is>
          <t>SN-2000-2100-21ER-2100BA0001</t>
        </is>
      </c>
      <c r="B397" s="2" t="inlineStr">
        <is>
          <t>2100BA0001</t>
        </is>
      </c>
      <c r="C397" s="2" t="inlineStr">
        <is>
          <t>Banco baterías UPS</t>
        </is>
      </c>
      <c r="D397" s="2" t="n">
        <v>132</v>
      </c>
      <c r="E397" s="2" t="inlineStr">
        <is>
          <t>CC-2000</t>
        </is>
      </c>
      <c r="F397" s="2" t="inlineStr">
        <is>
          <t>P01</t>
        </is>
      </c>
      <c r="G397" s="2" t="n">
        <v>630000</v>
      </c>
      <c r="H397" s="2" t="inlineStr">
        <is>
          <t>Servicios externos</t>
        </is>
      </c>
      <c r="I397" s="9" t="n">
        <v>1827.91</v>
      </c>
      <c r="J397" s="9" t="n">
        <v>1836.7</v>
      </c>
      <c r="K397" s="9" t="n">
        <v>1922.45</v>
      </c>
      <c r="L397" s="9" t="n">
        <v>1865.87</v>
      </c>
      <c r="M397" s="9" t="n">
        <v>1737.33</v>
      </c>
      <c r="N397" s="9" t="n">
        <v>1907.55</v>
      </c>
      <c r="O397" s="9" t="n">
        <v>1959.28</v>
      </c>
      <c r="P397" s="9" t="n">
        <v>1851.73</v>
      </c>
      <c r="Q397" s="9" t="n">
        <v>1753.98</v>
      </c>
      <c r="R397" s="9" t="n">
        <v>1911.74</v>
      </c>
      <c r="S397" s="9" t="n">
        <v>1806.98</v>
      </c>
      <c r="T397" s="9" t="n">
        <v>1939.81</v>
      </c>
      <c r="U397" s="10">
        <f>SUM(I397:T397)</f>
        <v/>
      </c>
    </row>
    <row r="398">
      <c r="A398" s="2" t="inlineStr">
        <is>
          <t>SN-2000-2100-21ER-2100CC0001</t>
        </is>
      </c>
      <c r="B398" s="2" t="inlineStr">
        <is>
          <t>2100CC0001</t>
        </is>
      </c>
      <c r="C398" s="2" t="inlineStr">
        <is>
          <t>Tablero de comunicación</t>
        </is>
      </c>
      <c r="D398" s="2" t="n">
        <v>133</v>
      </c>
      <c r="E398" s="2" t="inlineStr">
        <is>
          <t>CC-2000</t>
        </is>
      </c>
      <c r="F398" s="2" t="inlineStr">
        <is>
          <t>P01</t>
        </is>
      </c>
      <c r="G398" s="2" t="n">
        <v>610000</v>
      </c>
      <c r="H398" s="2" t="inlineStr">
        <is>
          <t>Mano obra interna</t>
        </is>
      </c>
      <c r="I398" s="9" t="n">
        <v>1867.29</v>
      </c>
      <c r="J398" s="9" t="n">
        <v>1700.19</v>
      </c>
      <c r="K398" s="9" t="n">
        <v>1713.66</v>
      </c>
      <c r="L398" s="9" t="n">
        <v>1808.99</v>
      </c>
      <c r="M398" s="9" t="n">
        <v>1590.06</v>
      </c>
      <c r="N398" s="9" t="n">
        <v>1591.63</v>
      </c>
      <c r="O398" s="9" t="n">
        <v>1655.33</v>
      </c>
      <c r="P398" s="9" t="n">
        <v>1676.35</v>
      </c>
      <c r="Q398" s="9" t="n">
        <v>1650.05</v>
      </c>
      <c r="R398" s="9" t="n">
        <v>1824.5</v>
      </c>
      <c r="S398" s="9" t="n">
        <v>1719.18</v>
      </c>
      <c r="T398" s="9" t="n">
        <v>1742.36</v>
      </c>
      <c r="U398" s="10">
        <f>SUM(I398:T398)</f>
        <v/>
      </c>
    </row>
    <row r="399">
      <c r="A399" s="2" t="inlineStr">
        <is>
          <t>SN-2000-2100-21ER-2100CC0001</t>
        </is>
      </c>
      <c r="B399" s="2" t="inlineStr">
        <is>
          <t>2100CC0001</t>
        </is>
      </c>
      <c r="C399" s="2" t="inlineStr">
        <is>
          <t>Tablero de comunicación</t>
        </is>
      </c>
      <c r="D399" s="2" t="n">
        <v>133</v>
      </c>
      <c r="E399" s="2" t="inlineStr">
        <is>
          <t>CC-2000</t>
        </is>
      </c>
      <c r="F399" s="2" t="inlineStr">
        <is>
          <t>P01</t>
        </is>
      </c>
      <c r="G399" s="2" t="n">
        <v>620000</v>
      </c>
      <c r="H399" s="2" t="inlineStr">
        <is>
          <t>Materiales</t>
        </is>
      </c>
      <c r="I399" s="9" t="n">
        <v>1685.67</v>
      </c>
      <c r="J399" s="9" t="n">
        <v>1484.52</v>
      </c>
      <c r="K399" s="9" t="n">
        <v>1551.43</v>
      </c>
      <c r="L399" s="9" t="n">
        <v>1609.06</v>
      </c>
      <c r="M399" s="9" t="n">
        <v>1497.37</v>
      </c>
      <c r="N399" s="9" t="n">
        <v>1385.96</v>
      </c>
      <c r="O399" s="9" t="n">
        <v>1611.28</v>
      </c>
      <c r="P399" s="9" t="n">
        <v>1574.83</v>
      </c>
      <c r="Q399" s="9" t="n">
        <v>1451.71</v>
      </c>
      <c r="R399" s="9" t="n">
        <v>1823.36</v>
      </c>
      <c r="S399" s="9" t="n">
        <v>1540.33</v>
      </c>
      <c r="T399" s="9" t="n">
        <v>1689.42</v>
      </c>
      <c r="U399" s="10">
        <f>SUM(I399:T399)</f>
        <v/>
      </c>
    </row>
    <row r="400">
      <c r="A400" s="2" t="inlineStr">
        <is>
          <t>SN-2000-2100-21ER-2100CC0001</t>
        </is>
      </c>
      <c r="B400" s="2" t="inlineStr">
        <is>
          <t>2100CC0001</t>
        </is>
      </c>
      <c r="C400" s="2" t="inlineStr">
        <is>
          <t>Tablero de comunicación</t>
        </is>
      </c>
      <c r="D400" s="2" t="n">
        <v>133</v>
      </c>
      <c r="E400" s="2" t="inlineStr">
        <is>
          <t>CC-2000</t>
        </is>
      </c>
      <c r="F400" s="2" t="inlineStr">
        <is>
          <t>P01</t>
        </is>
      </c>
      <c r="G400" s="2" t="n">
        <v>630000</v>
      </c>
      <c r="H400" s="2" t="inlineStr">
        <is>
          <t>Servicios externos</t>
        </is>
      </c>
      <c r="I400" s="9" t="n">
        <v>1501.45</v>
      </c>
      <c r="J400" s="9" t="n">
        <v>1517.01</v>
      </c>
      <c r="K400" s="9" t="n">
        <v>1520.67</v>
      </c>
      <c r="L400" s="9" t="n">
        <v>1538.61</v>
      </c>
      <c r="M400" s="9" t="n">
        <v>1410.16</v>
      </c>
      <c r="N400" s="9" t="n">
        <v>1300.09</v>
      </c>
      <c r="O400" s="9" t="n">
        <v>1445.54</v>
      </c>
      <c r="P400" s="9" t="n">
        <v>1429.05</v>
      </c>
      <c r="Q400" s="9" t="n">
        <v>1433.66</v>
      </c>
      <c r="R400" s="9" t="n">
        <v>1504.51</v>
      </c>
      <c r="S400" s="9" t="n">
        <v>1513.39</v>
      </c>
      <c r="T400" s="9" t="n">
        <v>1584.5</v>
      </c>
      <c r="U400" s="10">
        <f>SUM(I400:T400)</f>
        <v/>
      </c>
    </row>
    <row r="401">
      <c r="A401" s="2" t="inlineStr">
        <is>
          <t>SN-2000-2100-21ER-2100CC0002</t>
        </is>
      </c>
      <c r="B401" s="2" t="inlineStr">
        <is>
          <t>2100CC0002</t>
        </is>
      </c>
      <c r="C401" s="2" t="inlineStr">
        <is>
          <t>Tablero de comunicación</t>
        </is>
      </c>
      <c r="D401" s="2" t="n">
        <v>134</v>
      </c>
      <c r="E401" s="2" t="inlineStr">
        <is>
          <t>CC-2000</t>
        </is>
      </c>
      <c r="F401" s="2" t="inlineStr">
        <is>
          <t>P01</t>
        </is>
      </c>
      <c r="G401" s="2" t="n">
        <v>610000</v>
      </c>
      <c r="H401" s="2" t="inlineStr">
        <is>
          <t>Mano obra interna</t>
        </is>
      </c>
      <c r="I401" s="9" t="n">
        <v>629.33</v>
      </c>
      <c r="J401" s="9" t="n">
        <v>661.66</v>
      </c>
      <c r="K401" s="9" t="n">
        <v>700.5</v>
      </c>
      <c r="L401" s="9" t="n">
        <v>639.9299999999999</v>
      </c>
      <c r="M401" s="9" t="n">
        <v>607.4</v>
      </c>
      <c r="N401" s="9" t="n">
        <v>606.61</v>
      </c>
      <c r="O401" s="9" t="n">
        <v>651.12</v>
      </c>
      <c r="P401" s="9" t="n">
        <v>608.49</v>
      </c>
      <c r="Q401" s="9" t="n">
        <v>610.42</v>
      </c>
      <c r="R401" s="9" t="n">
        <v>632.52</v>
      </c>
      <c r="S401" s="9" t="n">
        <v>567.5599999999999</v>
      </c>
      <c r="T401" s="9" t="n">
        <v>629.5599999999999</v>
      </c>
      <c r="U401" s="10">
        <f>SUM(I401:T401)</f>
        <v/>
      </c>
    </row>
    <row r="402">
      <c r="A402" s="2" t="inlineStr">
        <is>
          <t>SN-2000-2100-21ER-2100CC0002</t>
        </is>
      </c>
      <c r="B402" s="2" t="inlineStr">
        <is>
          <t>2100CC0002</t>
        </is>
      </c>
      <c r="C402" s="2" t="inlineStr">
        <is>
          <t>Tablero de comunicación</t>
        </is>
      </c>
      <c r="D402" s="2" t="n">
        <v>134</v>
      </c>
      <c r="E402" s="2" t="inlineStr">
        <is>
          <t>CC-2000</t>
        </is>
      </c>
      <c r="F402" s="2" t="inlineStr">
        <is>
          <t>P01</t>
        </is>
      </c>
      <c r="G402" s="2" t="n">
        <v>620000</v>
      </c>
      <c r="H402" s="2" t="inlineStr">
        <is>
          <t>Materiales</t>
        </is>
      </c>
      <c r="I402" s="9" t="n">
        <v>625.9400000000001</v>
      </c>
      <c r="J402" s="9" t="n">
        <v>621.34</v>
      </c>
      <c r="K402" s="9" t="n">
        <v>633.09</v>
      </c>
      <c r="L402" s="9" t="n">
        <v>613.9299999999999</v>
      </c>
      <c r="M402" s="9" t="n">
        <v>606.2</v>
      </c>
      <c r="N402" s="9" t="n">
        <v>649.9400000000001</v>
      </c>
      <c r="O402" s="9" t="n">
        <v>623.09</v>
      </c>
      <c r="P402" s="9" t="n">
        <v>625.74</v>
      </c>
      <c r="Q402" s="9" t="n">
        <v>595.33</v>
      </c>
      <c r="R402" s="9" t="n">
        <v>734.04</v>
      </c>
      <c r="S402" s="9" t="n">
        <v>586.33</v>
      </c>
      <c r="T402" s="9" t="n">
        <v>659.78</v>
      </c>
      <c r="U402" s="10">
        <f>SUM(I402:T402)</f>
        <v/>
      </c>
    </row>
    <row r="403">
      <c r="A403" s="2" t="inlineStr">
        <is>
          <t>SN-2000-2100-21ER-2100CC0002</t>
        </is>
      </c>
      <c r="B403" s="2" t="inlineStr">
        <is>
          <t>2100CC0002</t>
        </is>
      </c>
      <c r="C403" s="2" t="inlineStr">
        <is>
          <t>Tablero de comunicación</t>
        </is>
      </c>
      <c r="D403" s="2" t="n">
        <v>134</v>
      </c>
      <c r="E403" s="2" t="inlineStr">
        <is>
          <t>CC-2000</t>
        </is>
      </c>
      <c r="F403" s="2" t="inlineStr">
        <is>
          <t>P01</t>
        </is>
      </c>
      <c r="G403" s="2" t="n">
        <v>630000</v>
      </c>
      <c r="H403" s="2" t="inlineStr">
        <is>
          <t>Servicios externos</t>
        </is>
      </c>
      <c r="I403" s="9" t="n">
        <v>735.8200000000001</v>
      </c>
      <c r="J403" s="9" t="n">
        <v>651.96</v>
      </c>
      <c r="K403" s="9" t="n">
        <v>751.74</v>
      </c>
      <c r="L403" s="9" t="n">
        <v>673.74</v>
      </c>
      <c r="M403" s="9" t="n">
        <v>712.09</v>
      </c>
      <c r="N403" s="9" t="n">
        <v>703.47</v>
      </c>
      <c r="O403" s="9" t="n">
        <v>676.17</v>
      </c>
      <c r="P403" s="9" t="n">
        <v>746.8</v>
      </c>
      <c r="Q403" s="9" t="n">
        <v>610.08</v>
      </c>
      <c r="R403" s="9" t="n">
        <v>806.24</v>
      </c>
      <c r="S403" s="9" t="n">
        <v>681.64</v>
      </c>
      <c r="T403" s="9" t="n">
        <v>686.66</v>
      </c>
      <c r="U403" s="10">
        <f>SUM(I403:T403)</f>
        <v/>
      </c>
    </row>
    <row r="404">
      <c r="A404" s="2" t="inlineStr">
        <is>
          <t>SN-2000-2100-21ER-2100CS0001</t>
        </is>
      </c>
      <c r="B404" s="2" t="inlineStr">
        <is>
          <t>2100CS0001</t>
        </is>
      </c>
      <c r="C404" s="2" t="inlineStr">
        <is>
          <t>Gabinete control Chancador Primario</t>
        </is>
      </c>
      <c r="D404" s="2" t="n">
        <v>135</v>
      </c>
      <c r="E404" s="2" t="inlineStr">
        <is>
          <t>CC-2000</t>
        </is>
      </c>
      <c r="F404" s="2" t="inlineStr">
        <is>
          <t>P01</t>
        </is>
      </c>
      <c r="G404" s="2" t="n">
        <v>610000</v>
      </c>
      <c r="H404" s="2" t="inlineStr">
        <is>
          <t>Mano obra interna</t>
        </is>
      </c>
      <c r="I404" s="9" t="n">
        <v>1384.41</v>
      </c>
      <c r="J404" s="9" t="n">
        <v>1160.14</v>
      </c>
      <c r="K404" s="9" t="n">
        <v>1241.64</v>
      </c>
      <c r="L404" s="9" t="n">
        <v>1260.84</v>
      </c>
      <c r="M404" s="9" t="n">
        <v>1275.43</v>
      </c>
      <c r="N404" s="9" t="n">
        <v>1217.55</v>
      </c>
      <c r="O404" s="9" t="n">
        <v>1189.24</v>
      </c>
      <c r="P404" s="9" t="n">
        <v>1220.98</v>
      </c>
      <c r="Q404" s="9" t="n">
        <v>1127.83</v>
      </c>
      <c r="R404" s="9" t="n">
        <v>1301.1</v>
      </c>
      <c r="S404" s="9" t="n">
        <v>1206.65</v>
      </c>
      <c r="T404" s="9" t="n">
        <v>1325.1</v>
      </c>
      <c r="U404" s="10">
        <f>SUM(I404:T404)</f>
        <v/>
      </c>
    </row>
    <row r="405">
      <c r="A405" s="2" t="inlineStr">
        <is>
          <t>SN-2000-2100-21ER-2100CS0001</t>
        </is>
      </c>
      <c r="B405" s="2" t="inlineStr">
        <is>
          <t>2100CS0001</t>
        </is>
      </c>
      <c r="C405" s="2" t="inlineStr">
        <is>
          <t>Gabinete control Chancador Primario</t>
        </is>
      </c>
      <c r="D405" s="2" t="n">
        <v>135</v>
      </c>
      <c r="E405" s="2" t="inlineStr">
        <is>
          <t>CC-2000</t>
        </is>
      </c>
      <c r="F405" s="2" t="inlineStr">
        <is>
          <t>P01</t>
        </is>
      </c>
      <c r="G405" s="2" t="n">
        <v>620000</v>
      </c>
      <c r="H405" s="2" t="inlineStr">
        <is>
          <t>Materiales</t>
        </is>
      </c>
      <c r="I405" s="9" t="n">
        <v>1229.85</v>
      </c>
      <c r="J405" s="9" t="n">
        <v>1191.2</v>
      </c>
      <c r="K405" s="9" t="n">
        <v>1366.76</v>
      </c>
      <c r="L405" s="9" t="n">
        <v>1349.66</v>
      </c>
      <c r="M405" s="9" t="n">
        <v>1276.77</v>
      </c>
      <c r="N405" s="9" t="n">
        <v>1128.27</v>
      </c>
      <c r="O405" s="9" t="n">
        <v>1146.44</v>
      </c>
      <c r="P405" s="9" t="n">
        <v>1194.05</v>
      </c>
      <c r="Q405" s="9" t="n">
        <v>1103.15</v>
      </c>
      <c r="R405" s="9" t="n">
        <v>1328.8</v>
      </c>
      <c r="S405" s="9" t="n">
        <v>1244.64</v>
      </c>
      <c r="T405" s="9" t="n">
        <v>1320.9</v>
      </c>
      <c r="U405" s="10">
        <f>SUM(I405:T405)</f>
        <v/>
      </c>
    </row>
    <row r="406">
      <c r="A406" s="2" t="inlineStr">
        <is>
          <t>SN-2000-2100-21ER-2100CS0001</t>
        </is>
      </c>
      <c r="B406" s="2" t="inlineStr">
        <is>
          <t>2100CS0001</t>
        </is>
      </c>
      <c r="C406" s="2" t="inlineStr">
        <is>
          <t>Gabinete control Chancador Primario</t>
        </is>
      </c>
      <c r="D406" s="2" t="n">
        <v>135</v>
      </c>
      <c r="E406" s="2" t="inlineStr">
        <is>
          <t>CC-2000</t>
        </is>
      </c>
      <c r="F406" s="2" t="inlineStr">
        <is>
          <t>P01</t>
        </is>
      </c>
      <c r="G406" s="2" t="n">
        <v>630000</v>
      </c>
      <c r="H406" s="2" t="inlineStr">
        <is>
          <t>Servicios externos</t>
        </is>
      </c>
      <c r="I406" s="9" t="n">
        <v>1503.11</v>
      </c>
      <c r="J406" s="9" t="n">
        <v>1527.86</v>
      </c>
      <c r="K406" s="9" t="n">
        <v>1507.36</v>
      </c>
      <c r="L406" s="9" t="n">
        <v>1431.28</v>
      </c>
      <c r="M406" s="9" t="n">
        <v>1538.72</v>
      </c>
      <c r="N406" s="9" t="n">
        <v>1327.12</v>
      </c>
      <c r="O406" s="9" t="n">
        <v>1485.02</v>
      </c>
      <c r="P406" s="9" t="n">
        <v>1464.02</v>
      </c>
      <c r="Q406" s="9" t="n">
        <v>1445.5</v>
      </c>
      <c r="R406" s="9" t="n">
        <v>1693.55</v>
      </c>
      <c r="S406" s="9" t="n">
        <v>1412.42</v>
      </c>
      <c r="T406" s="9" t="n">
        <v>1604.81</v>
      </c>
      <c r="U406" s="10">
        <f>SUM(I406:T406)</f>
        <v/>
      </c>
    </row>
    <row r="407">
      <c r="A407" s="2" t="inlineStr">
        <is>
          <t>SN-2000-2100-21ER-2100CS0002</t>
        </is>
      </c>
      <c r="B407" s="2" t="inlineStr">
        <is>
          <t>2100CS0002</t>
        </is>
      </c>
      <c r="C407" s="2" t="inlineStr">
        <is>
          <t>Gabinete control Chancador Primario</t>
        </is>
      </c>
      <c r="D407" s="2" t="n">
        <v>136</v>
      </c>
      <c r="E407" s="2" t="inlineStr">
        <is>
          <t>CC-2000</t>
        </is>
      </c>
      <c r="F407" s="2" t="inlineStr">
        <is>
          <t>P01</t>
        </is>
      </c>
      <c r="G407" s="2" t="n">
        <v>610000</v>
      </c>
      <c r="H407" s="2" t="inlineStr">
        <is>
          <t>Mano obra interna</t>
        </is>
      </c>
      <c r="I407" s="9" t="n">
        <v>2417.65</v>
      </c>
      <c r="J407" s="9" t="n">
        <v>2438.08</v>
      </c>
      <c r="K407" s="9" t="n">
        <v>2540.45</v>
      </c>
      <c r="L407" s="9" t="n">
        <v>2631.84</v>
      </c>
      <c r="M407" s="9" t="n">
        <v>2260.13</v>
      </c>
      <c r="N407" s="9" t="n">
        <v>2343.17</v>
      </c>
      <c r="O407" s="9" t="n">
        <v>2431.82</v>
      </c>
      <c r="P407" s="9" t="n">
        <v>2545.55</v>
      </c>
      <c r="Q407" s="9" t="n">
        <v>2101.41</v>
      </c>
      <c r="R407" s="9" t="n">
        <v>2679.93</v>
      </c>
      <c r="S407" s="9" t="n">
        <v>2337.77</v>
      </c>
      <c r="T407" s="9" t="n">
        <v>2336.86</v>
      </c>
      <c r="U407" s="10">
        <f>SUM(I407:T407)</f>
        <v/>
      </c>
    </row>
    <row r="408">
      <c r="A408" s="2" t="inlineStr">
        <is>
          <t>SN-2000-2100-21ER-2100CS0002</t>
        </is>
      </c>
      <c r="B408" s="2" t="inlineStr">
        <is>
          <t>2100CS0002</t>
        </is>
      </c>
      <c r="C408" s="2" t="inlineStr">
        <is>
          <t>Gabinete control Chancador Primario</t>
        </is>
      </c>
      <c r="D408" s="2" t="n">
        <v>136</v>
      </c>
      <c r="E408" s="2" t="inlineStr">
        <is>
          <t>CC-2000</t>
        </is>
      </c>
      <c r="F408" s="2" t="inlineStr">
        <is>
          <t>P01</t>
        </is>
      </c>
      <c r="G408" s="2" t="n">
        <v>620000</v>
      </c>
      <c r="H408" s="2" t="inlineStr">
        <is>
          <t>Materiales</t>
        </is>
      </c>
      <c r="I408" s="9" t="n">
        <v>2494.85</v>
      </c>
      <c r="J408" s="9" t="n">
        <v>2504.04</v>
      </c>
      <c r="K408" s="9" t="n">
        <v>2751.33</v>
      </c>
      <c r="L408" s="9" t="n">
        <v>2594.48</v>
      </c>
      <c r="M408" s="9" t="n">
        <v>2537.07</v>
      </c>
      <c r="N408" s="9" t="n">
        <v>2407.58</v>
      </c>
      <c r="O408" s="9" t="n">
        <v>2331.43</v>
      </c>
      <c r="P408" s="9" t="n">
        <v>2401.57</v>
      </c>
      <c r="Q408" s="9" t="n">
        <v>2334.14</v>
      </c>
      <c r="R408" s="9" t="n">
        <v>2625.37</v>
      </c>
      <c r="S408" s="9" t="n">
        <v>2306.74</v>
      </c>
      <c r="T408" s="9" t="n">
        <v>2549.64</v>
      </c>
      <c r="U408" s="10">
        <f>SUM(I408:T408)</f>
        <v/>
      </c>
    </row>
    <row r="409">
      <c r="A409" s="2" t="inlineStr">
        <is>
          <t>SN-2000-2100-21ER-2100CS0002</t>
        </is>
      </c>
      <c r="B409" s="2" t="inlineStr">
        <is>
          <t>2100CS0002</t>
        </is>
      </c>
      <c r="C409" s="2" t="inlineStr">
        <is>
          <t>Gabinete control Chancador Primario</t>
        </is>
      </c>
      <c r="D409" s="2" t="n">
        <v>136</v>
      </c>
      <c r="E409" s="2" t="inlineStr">
        <is>
          <t>CC-2000</t>
        </is>
      </c>
      <c r="F409" s="2" t="inlineStr">
        <is>
          <t>P01</t>
        </is>
      </c>
      <c r="G409" s="2" t="n">
        <v>630000</v>
      </c>
      <c r="H409" s="2" t="inlineStr">
        <is>
          <t>Servicios externos</t>
        </is>
      </c>
      <c r="I409" s="9" t="n">
        <v>2311.31</v>
      </c>
      <c r="J409" s="9" t="n">
        <v>2306.24</v>
      </c>
      <c r="K409" s="9" t="n">
        <v>2287.23</v>
      </c>
      <c r="L409" s="9" t="n">
        <v>2571.94</v>
      </c>
      <c r="M409" s="9" t="n">
        <v>2468.04</v>
      </c>
      <c r="N409" s="9" t="n">
        <v>2326.6</v>
      </c>
      <c r="O409" s="9" t="n">
        <v>2207.88</v>
      </c>
      <c r="P409" s="9" t="n">
        <v>2457.4</v>
      </c>
      <c r="Q409" s="9" t="n">
        <v>2300.5</v>
      </c>
      <c r="R409" s="9" t="n">
        <v>2648.81</v>
      </c>
      <c r="S409" s="9" t="n">
        <v>2139.23</v>
      </c>
      <c r="T409" s="9" t="n">
        <v>2445.28</v>
      </c>
      <c r="U409" s="10">
        <f>SUM(I409:T409)</f>
        <v/>
      </c>
    </row>
    <row r="410">
      <c r="A410" s="2" t="inlineStr">
        <is>
          <t>SN-2000-2100-21ER-2100DP0001</t>
        </is>
      </c>
      <c r="B410" s="2" t="inlineStr">
        <is>
          <t>2100DP0001</t>
        </is>
      </c>
      <c r="C410" s="2" t="inlineStr">
        <is>
          <t>Tablero distribución potencia</t>
        </is>
      </c>
      <c r="D410" s="2" t="n">
        <v>137</v>
      </c>
      <c r="E410" s="2" t="inlineStr">
        <is>
          <t>CC-2000</t>
        </is>
      </c>
      <c r="F410" s="2" t="inlineStr">
        <is>
          <t>P01</t>
        </is>
      </c>
      <c r="G410" s="2" t="n">
        <v>610000</v>
      </c>
      <c r="H410" s="2" t="inlineStr">
        <is>
          <t>Mano obra interna</t>
        </is>
      </c>
      <c r="I410" s="9" t="n">
        <v>2449.67</v>
      </c>
      <c r="J410" s="9" t="n">
        <v>2389.11</v>
      </c>
      <c r="K410" s="9" t="n">
        <v>2429.02</v>
      </c>
      <c r="L410" s="9" t="n">
        <v>2433.69</v>
      </c>
      <c r="M410" s="9" t="n">
        <v>2171.03</v>
      </c>
      <c r="N410" s="9" t="n">
        <v>2316.57</v>
      </c>
      <c r="O410" s="9" t="n">
        <v>2212.58</v>
      </c>
      <c r="P410" s="9" t="n">
        <v>2343.92</v>
      </c>
      <c r="Q410" s="9" t="n">
        <v>2133.27</v>
      </c>
      <c r="R410" s="9" t="n">
        <v>2574.79</v>
      </c>
      <c r="S410" s="9" t="n">
        <v>2160.03</v>
      </c>
      <c r="T410" s="9" t="n">
        <v>2479.27</v>
      </c>
      <c r="U410" s="10">
        <f>SUM(I410:T410)</f>
        <v/>
      </c>
    </row>
    <row r="411">
      <c r="A411" s="2" t="inlineStr">
        <is>
          <t>SN-2000-2100-21ER-2100DP0001</t>
        </is>
      </c>
      <c r="B411" s="2" t="inlineStr">
        <is>
          <t>2100DP0001</t>
        </is>
      </c>
      <c r="C411" s="2" t="inlineStr">
        <is>
          <t>Tablero distribución potencia</t>
        </is>
      </c>
      <c r="D411" s="2" t="n">
        <v>137</v>
      </c>
      <c r="E411" s="2" t="inlineStr">
        <is>
          <t>CC-2000</t>
        </is>
      </c>
      <c r="F411" s="2" t="inlineStr">
        <is>
          <t>P01</t>
        </is>
      </c>
      <c r="G411" s="2" t="n">
        <v>620000</v>
      </c>
      <c r="H411" s="2" t="inlineStr">
        <is>
          <t>Materiales</t>
        </is>
      </c>
      <c r="I411" s="9" t="n">
        <v>2188.4</v>
      </c>
      <c r="J411" s="9" t="n">
        <v>2090.17</v>
      </c>
      <c r="K411" s="9" t="n">
        <v>2204.87</v>
      </c>
      <c r="L411" s="9" t="n">
        <v>2455.43</v>
      </c>
      <c r="M411" s="9" t="n">
        <v>2252.43</v>
      </c>
      <c r="N411" s="9" t="n">
        <v>2154.87</v>
      </c>
      <c r="O411" s="9" t="n">
        <v>2124.14</v>
      </c>
      <c r="P411" s="9" t="n">
        <v>2318.24</v>
      </c>
      <c r="Q411" s="9" t="n">
        <v>2233.32</v>
      </c>
      <c r="R411" s="9" t="n">
        <v>2571.75</v>
      </c>
      <c r="S411" s="9" t="n">
        <v>2237.63</v>
      </c>
      <c r="T411" s="9" t="n">
        <v>2143.14</v>
      </c>
      <c r="U411" s="10">
        <f>SUM(I411:T411)</f>
        <v/>
      </c>
    </row>
    <row r="412">
      <c r="A412" s="2" t="inlineStr">
        <is>
          <t>SN-2000-2100-21ER-2100DP0001</t>
        </is>
      </c>
      <c r="B412" s="2" t="inlineStr">
        <is>
          <t>2100DP0001</t>
        </is>
      </c>
      <c r="C412" s="2" t="inlineStr">
        <is>
          <t>Tablero distribución potencia</t>
        </is>
      </c>
      <c r="D412" s="2" t="n">
        <v>137</v>
      </c>
      <c r="E412" s="2" t="inlineStr">
        <is>
          <t>CC-2000</t>
        </is>
      </c>
      <c r="F412" s="2" t="inlineStr">
        <is>
          <t>P01</t>
        </is>
      </c>
      <c r="G412" s="2" t="n">
        <v>630000</v>
      </c>
      <c r="H412" s="2" t="inlineStr">
        <is>
          <t>Servicios externos</t>
        </is>
      </c>
      <c r="I412" s="9" t="n">
        <v>1747.44</v>
      </c>
      <c r="J412" s="9" t="n">
        <v>1746.35</v>
      </c>
      <c r="K412" s="9" t="n">
        <v>1792.21</v>
      </c>
      <c r="L412" s="9" t="n">
        <v>1813.06</v>
      </c>
      <c r="M412" s="9" t="n">
        <v>1792.12</v>
      </c>
      <c r="N412" s="9" t="n">
        <v>1888.75</v>
      </c>
      <c r="O412" s="9" t="n">
        <v>1878.21</v>
      </c>
      <c r="P412" s="9" t="n">
        <v>1942.2</v>
      </c>
      <c r="Q412" s="9" t="n">
        <v>1775.06</v>
      </c>
      <c r="R412" s="9" t="n">
        <v>1866.12</v>
      </c>
      <c r="S412" s="9" t="n">
        <v>1853.28</v>
      </c>
      <c r="T412" s="9" t="n">
        <v>1804.8</v>
      </c>
      <c r="U412" s="10">
        <f>SUM(I412:T412)</f>
        <v/>
      </c>
    </row>
    <row r="413">
      <c r="A413" s="2" t="inlineStr">
        <is>
          <t>SN-2000-2100-21ER-2100DP0010</t>
        </is>
      </c>
      <c r="B413" s="2" t="inlineStr">
        <is>
          <t>2100DP0010</t>
        </is>
      </c>
      <c r="C413" s="2" t="inlineStr">
        <is>
          <t xml:space="preserve">Tablero distribución potencia SS/AA </t>
        </is>
      </c>
      <c r="D413" s="2" t="n">
        <v>138</v>
      </c>
      <c r="E413" s="2" t="inlineStr">
        <is>
          <t>CC-2000</t>
        </is>
      </c>
      <c r="F413" s="2" t="inlineStr">
        <is>
          <t>P01</t>
        </is>
      </c>
      <c r="G413" s="2" t="n">
        <v>610000</v>
      </c>
      <c r="H413" s="2" t="inlineStr">
        <is>
          <t>Mano obra interna</t>
        </is>
      </c>
      <c r="I413" s="9" t="n">
        <v>832.0599999999999</v>
      </c>
      <c r="J413" s="9" t="n">
        <v>889.27</v>
      </c>
      <c r="K413" s="9" t="n">
        <v>830.17</v>
      </c>
      <c r="L413" s="9" t="n">
        <v>824.58</v>
      </c>
      <c r="M413" s="9" t="n">
        <v>884.73</v>
      </c>
      <c r="N413" s="9" t="n">
        <v>738.79</v>
      </c>
      <c r="O413" s="9" t="n">
        <v>863.0599999999999</v>
      </c>
      <c r="P413" s="9" t="n">
        <v>865.85</v>
      </c>
      <c r="Q413" s="9" t="n">
        <v>820.4400000000001</v>
      </c>
      <c r="R413" s="9" t="n">
        <v>970.41</v>
      </c>
      <c r="S413" s="9" t="n">
        <v>871.25</v>
      </c>
      <c r="T413" s="9" t="n">
        <v>789.73</v>
      </c>
      <c r="U413" s="10">
        <f>SUM(I413:T413)</f>
        <v/>
      </c>
    </row>
    <row r="414">
      <c r="A414" s="2" t="inlineStr">
        <is>
          <t>SN-2000-2100-21ER-2100DP0010</t>
        </is>
      </c>
      <c r="B414" s="2" t="inlineStr">
        <is>
          <t>2100DP0010</t>
        </is>
      </c>
      <c r="C414" s="2" t="inlineStr">
        <is>
          <t xml:space="preserve">Tablero distribución potencia SS/AA </t>
        </is>
      </c>
      <c r="D414" s="2" t="n">
        <v>138</v>
      </c>
      <c r="E414" s="2" t="inlineStr">
        <is>
          <t>CC-2000</t>
        </is>
      </c>
      <c r="F414" s="2" t="inlineStr">
        <is>
          <t>P01</t>
        </is>
      </c>
      <c r="G414" s="2" t="n">
        <v>620000</v>
      </c>
      <c r="H414" s="2" t="inlineStr">
        <is>
          <t>Materiales</t>
        </is>
      </c>
      <c r="I414" s="9" t="n">
        <v>896.27</v>
      </c>
      <c r="J414" s="9" t="n">
        <v>864.8099999999999</v>
      </c>
      <c r="K414" s="9" t="n">
        <v>832.4</v>
      </c>
      <c r="L414" s="9" t="n">
        <v>897.87</v>
      </c>
      <c r="M414" s="9" t="n">
        <v>914.55</v>
      </c>
      <c r="N414" s="9" t="n">
        <v>874.24</v>
      </c>
      <c r="O414" s="9" t="n">
        <v>849.91</v>
      </c>
      <c r="P414" s="9" t="n">
        <v>794.14</v>
      </c>
      <c r="Q414" s="9" t="n">
        <v>780.99</v>
      </c>
      <c r="R414" s="9" t="n">
        <v>973.48</v>
      </c>
      <c r="S414" s="9" t="n">
        <v>857.26</v>
      </c>
      <c r="T414" s="9" t="n">
        <v>864.96</v>
      </c>
      <c r="U414" s="10">
        <f>SUM(I414:T414)</f>
        <v/>
      </c>
    </row>
    <row r="415">
      <c r="A415" s="2" t="inlineStr">
        <is>
          <t>SN-2000-2100-21ER-2100DP0010</t>
        </is>
      </c>
      <c r="B415" s="2" t="inlineStr">
        <is>
          <t>2100DP0010</t>
        </is>
      </c>
      <c r="C415" s="2" t="inlineStr">
        <is>
          <t xml:space="preserve">Tablero distribución potencia SS/AA </t>
        </is>
      </c>
      <c r="D415" s="2" t="n">
        <v>138</v>
      </c>
      <c r="E415" s="2" t="inlineStr">
        <is>
          <t>CC-2000</t>
        </is>
      </c>
      <c r="F415" s="2" t="inlineStr">
        <is>
          <t>P01</t>
        </is>
      </c>
      <c r="G415" s="2" t="n">
        <v>630000</v>
      </c>
      <c r="H415" s="2" t="inlineStr">
        <is>
          <t>Servicios externos</t>
        </is>
      </c>
      <c r="I415" s="9" t="n">
        <v>688.92</v>
      </c>
      <c r="J415" s="9" t="n">
        <v>669.16</v>
      </c>
      <c r="K415" s="9" t="n">
        <v>752.75</v>
      </c>
      <c r="L415" s="9" t="n">
        <v>713.64</v>
      </c>
      <c r="M415" s="9" t="n">
        <v>655.41</v>
      </c>
      <c r="N415" s="9" t="n">
        <v>655.48</v>
      </c>
      <c r="O415" s="9" t="n">
        <v>635.71</v>
      </c>
      <c r="P415" s="9" t="n">
        <v>733.92</v>
      </c>
      <c r="Q415" s="9" t="n">
        <v>621.4</v>
      </c>
      <c r="R415" s="9" t="n">
        <v>733.78</v>
      </c>
      <c r="S415" s="9" t="n">
        <v>645.72</v>
      </c>
      <c r="T415" s="9" t="n">
        <v>713.21</v>
      </c>
      <c r="U415" s="10">
        <f>SUM(I415:T415)</f>
        <v/>
      </c>
    </row>
    <row r="416">
      <c r="A416" s="2" t="inlineStr">
        <is>
          <t>SN-2000-2100-21ER-2100DX0001</t>
        </is>
      </c>
      <c r="B416" s="2" t="inlineStr">
        <is>
          <t>2100DX0001</t>
        </is>
      </c>
      <c r="C416" s="2" t="inlineStr">
        <is>
          <t>Transformador distribución potencia</t>
        </is>
      </c>
      <c r="D416" s="2" t="n">
        <v>139</v>
      </c>
      <c r="E416" s="2" t="inlineStr">
        <is>
          <t>CC-2000</t>
        </is>
      </c>
      <c r="F416" s="2" t="inlineStr">
        <is>
          <t>P01</t>
        </is>
      </c>
      <c r="G416" s="2" t="n">
        <v>610000</v>
      </c>
      <c r="H416" s="2" t="inlineStr">
        <is>
          <t>Mano obra interna</t>
        </is>
      </c>
      <c r="I416" s="9" t="n">
        <v>1852.59</v>
      </c>
      <c r="J416" s="9" t="n">
        <v>1663.66</v>
      </c>
      <c r="K416" s="9" t="n">
        <v>1756.45</v>
      </c>
      <c r="L416" s="9" t="n">
        <v>1685.49</v>
      </c>
      <c r="M416" s="9" t="n">
        <v>1779.37</v>
      </c>
      <c r="N416" s="9" t="n">
        <v>1553.75</v>
      </c>
      <c r="O416" s="9" t="n">
        <v>1782.55</v>
      </c>
      <c r="P416" s="9" t="n">
        <v>1856.7</v>
      </c>
      <c r="Q416" s="9" t="n">
        <v>1735.18</v>
      </c>
      <c r="R416" s="9" t="n">
        <v>1876.48</v>
      </c>
      <c r="S416" s="9" t="n">
        <v>1687.24</v>
      </c>
      <c r="T416" s="9" t="n">
        <v>1659.87</v>
      </c>
      <c r="U416" s="10">
        <f>SUM(I416:T416)</f>
        <v/>
      </c>
    </row>
    <row r="417">
      <c r="A417" s="2" t="inlineStr">
        <is>
          <t>SN-2000-2100-21ER-2100DX0001</t>
        </is>
      </c>
      <c r="B417" s="2" t="inlineStr">
        <is>
          <t>2100DX0001</t>
        </is>
      </c>
      <c r="C417" s="2" t="inlineStr">
        <is>
          <t>Transformador distribución potencia</t>
        </is>
      </c>
      <c r="D417" s="2" t="n">
        <v>139</v>
      </c>
      <c r="E417" s="2" t="inlineStr">
        <is>
          <t>CC-2000</t>
        </is>
      </c>
      <c r="F417" s="2" t="inlineStr">
        <is>
          <t>P01</t>
        </is>
      </c>
      <c r="G417" s="2" t="n">
        <v>620000</v>
      </c>
      <c r="H417" s="2" t="inlineStr">
        <is>
          <t>Materiales</t>
        </is>
      </c>
      <c r="I417" s="9" t="n">
        <v>1797.72</v>
      </c>
      <c r="J417" s="9" t="n">
        <v>1582.17</v>
      </c>
      <c r="K417" s="9" t="n">
        <v>1706.16</v>
      </c>
      <c r="L417" s="9" t="n">
        <v>1804.65</v>
      </c>
      <c r="M417" s="9" t="n">
        <v>1757.61</v>
      </c>
      <c r="N417" s="9" t="n">
        <v>1535.54</v>
      </c>
      <c r="O417" s="9" t="n">
        <v>1689.24</v>
      </c>
      <c r="P417" s="9" t="n">
        <v>1591.32</v>
      </c>
      <c r="Q417" s="9" t="n">
        <v>1459.83</v>
      </c>
      <c r="R417" s="9" t="n">
        <v>1925.09</v>
      </c>
      <c r="S417" s="9" t="n">
        <v>1704.58</v>
      </c>
      <c r="T417" s="9" t="n">
        <v>1770.51</v>
      </c>
      <c r="U417" s="10">
        <f>SUM(I417:T417)</f>
        <v/>
      </c>
    </row>
    <row r="418">
      <c r="A418" s="2" t="inlineStr">
        <is>
          <t>SN-2000-2100-21ER-2100DX0001</t>
        </is>
      </c>
      <c r="B418" s="2" t="inlineStr">
        <is>
          <t>2100DX0001</t>
        </is>
      </c>
      <c r="C418" s="2" t="inlineStr">
        <is>
          <t>Transformador distribución potencia</t>
        </is>
      </c>
      <c r="D418" s="2" t="n">
        <v>139</v>
      </c>
      <c r="E418" s="2" t="inlineStr">
        <is>
          <t>CC-2000</t>
        </is>
      </c>
      <c r="F418" s="2" t="inlineStr">
        <is>
          <t>P01</t>
        </is>
      </c>
      <c r="G418" s="2" t="n">
        <v>630000</v>
      </c>
      <c r="H418" s="2" t="inlineStr">
        <is>
          <t>Servicios externos</t>
        </is>
      </c>
      <c r="I418" s="9" t="n">
        <v>1524.79</v>
      </c>
      <c r="J418" s="9" t="n">
        <v>1380.53</v>
      </c>
      <c r="K418" s="9" t="n">
        <v>1423.75</v>
      </c>
      <c r="L418" s="9" t="n">
        <v>1457.76</v>
      </c>
      <c r="M418" s="9" t="n">
        <v>1309.53</v>
      </c>
      <c r="N418" s="9" t="n">
        <v>1409.17</v>
      </c>
      <c r="O418" s="9" t="n">
        <v>1435.11</v>
      </c>
      <c r="P418" s="9" t="n">
        <v>1343.79</v>
      </c>
      <c r="Q418" s="9" t="n">
        <v>1252.18</v>
      </c>
      <c r="R418" s="9" t="n">
        <v>1449.69</v>
      </c>
      <c r="S418" s="9" t="n">
        <v>1273.43</v>
      </c>
      <c r="T418" s="9" t="n">
        <v>1456.99</v>
      </c>
      <c r="U418" s="10">
        <f>SUM(I418:T418)</f>
        <v/>
      </c>
    </row>
    <row r="419">
      <c r="A419" s="2" t="inlineStr">
        <is>
          <t>SN-2000-2100-21ER-2100FD0001</t>
        </is>
      </c>
      <c r="B419" s="2" t="inlineStr">
        <is>
          <t>2100FD0001</t>
        </is>
      </c>
      <c r="C419" s="2" t="inlineStr">
        <is>
          <t>Sistema detección fuego y humo</t>
        </is>
      </c>
      <c r="D419" s="2" t="n">
        <v>140</v>
      </c>
      <c r="E419" s="2" t="inlineStr">
        <is>
          <t>CC-2000</t>
        </is>
      </c>
      <c r="F419" s="2" t="inlineStr">
        <is>
          <t>P01</t>
        </is>
      </c>
      <c r="G419" s="2" t="n">
        <v>610000</v>
      </c>
      <c r="H419" s="2" t="inlineStr">
        <is>
          <t>Mano obra interna</t>
        </is>
      </c>
      <c r="I419" s="9" t="n">
        <v>2464.66</v>
      </c>
      <c r="J419" s="9" t="n">
        <v>2390.76</v>
      </c>
      <c r="K419" s="9" t="n">
        <v>2730.52</v>
      </c>
      <c r="L419" s="9" t="n">
        <v>2810.68</v>
      </c>
      <c r="M419" s="9" t="n">
        <v>2517.47</v>
      </c>
      <c r="N419" s="9" t="n">
        <v>2441.19</v>
      </c>
      <c r="O419" s="9" t="n">
        <v>2657.85</v>
      </c>
      <c r="P419" s="9" t="n">
        <v>2519.91</v>
      </c>
      <c r="Q419" s="9" t="n">
        <v>2251</v>
      </c>
      <c r="R419" s="9" t="n">
        <v>2927.69</v>
      </c>
      <c r="S419" s="9" t="n">
        <v>2583.68</v>
      </c>
      <c r="T419" s="9" t="n">
        <v>2689.47</v>
      </c>
      <c r="U419" s="10">
        <f>SUM(I419:T419)</f>
        <v/>
      </c>
    </row>
    <row r="420">
      <c r="A420" s="2" t="inlineStr">
        <is>
          <t>SN-2000-2100-21ER-2100FD0001</t>
        </is>
      </c>
      <c r="B420" s="2" t="inlineStr">
        <is>
          <t>2100FD0001</t>
        </is>
      </c>
      <c r="C420" s="2" t="inlineStr">
        <is>
          <t>Sistema detección fuego y humo</t>
        </is>
      </c>
      <c r="D420" s="2" t="n">
        <v>140</v>
      </c>
      <c r="E420" s="2" t="inlineStr">
        <is>
          <t>CC-2000</t>
        </is>
      </c>
      <c r="F420" s="2" t="inlineStr">
        <is>
          <t>P01</t>
        </is>
      </c>
      <c r="G420" s="2" t="n">
        <v>620000</v>
      </c>
      <c r="H420" s="2" t="inlineStr">
        <is>
          <t>Materiales</t>
        </is>
      </c>
      <c r="I420" s="9" t="n">
        <v>2570.63</v>
      </c>
      <c r="J420" s="9" t="n">
        <v>2298.85</v>
      </c>
      <c r="K420" s="9" t="n">
        <v>2467.32</v>
      </c>
      <c r="L420" s="9" t="n">
        <v>2353.7</v>
      </c>
      <c r="M420" s="9" t="n">
        <v>2280.56</v>
      </c>
      <c r="N420" s="9" t="n">
        <v>2407.87</v>
      </c>
      <c r="O420" s="9" t="n">
        <v>2591.18</v>
      </c>
      <c r="P420" s="9" t="n">
        <v>2628.85</v>
      </c>
      <c r="Q420" s="9" t="n">
        <v>2326.97</v>
      </c>
      <c r="R420" s="9" t="n">
        <v>2508.05</v>
      </c>
      <c r="S420" s="9" t="n">
        <v>2221.62</v>
      </c>
      <c r="T420" s="9" t="n">
        <v>2610.26</v>
      </c>
      <c r="U420" s="10">
        <f>SUM(I420:T420)</f>
        <v/>
      </c>
    </row>
    <row r="421">
      <c r="A421" s="2" t="inlineStr">
        <is>
          <t>SN-2000-2100-21ER-2100FD0001</t>
        </is>
      </c>
      <c r="B421" s="2" t="inlineStr">
        <is>
          <t>2100FD0001</t>
        </is>
      </c>
      <c r="C421" s="2" t="inlineStr">
        <is>
          <t>Sistema detección fuego y humo</t>
        </is>
      </c>
      <c r="D421" s="2" t="n">
        <v>140</v>
      </c>
      <c r="E421" s="2" t="inlineStr">
        <is>
          <t>CC-2000</t>
        </is>
      </c>
      <c r="F421" s="2" t="inlineStr">
        <is>
          <t>P01</t>
        </is>
      </c>
      <c r="G421" s="2" t="n">
        <v>630000</v>
      </c>
      <c r="H421" s="2" t="inlineStr">
        <is>
          <t>Servicios externos</t>
        </is>
      </c>
      <c r="I421" s="9" t="n">
        <v>2396.69</v>
      </c>
      <c r="J421" s="9" t="n">
        <v>2371.45</v>
      </c>
      <c r="K421" s="9" t="n">
        <v>2454.37</v>
      </c>
      <c r="L421" s="9" t="n">
        <v>2480.96</v>
      </c>
      <c r="M421" s="9" t="n">
        <v>2118.4</v>
      </c>
      <c r="N421" s="9" t="n">
        <v>2290.16</v>
      </c>
      <c r="O421" s="9" t="n">
        <v>2434.59</v>
      </c>
      <c r="P421" s="9" t="n">
        <v>2223.64</v>
      </c>
      <c r="Q421" s="9" t="n">
        <v>2193.07</v>
      </c>
      <c r="R421" s="9" t="n">
        <v>2410.97</v>
      </c>
      <c r="S421" s="9" t="n">
        <v>2394.01</v>
      </c>
      <c r="T421" s="9" t="n">
        <v>2163.79</v>
      </c>
      <c r="U421" s="10">
        <f>SUM(I421:T421)</f>
        <v/>
      </c>
    </row>
    <row r="422">
      <c r="A422" s="2" t="inlineStr">
        <is>
          <t>SN-2000-2100-21ER-2100FS0001</t>
        </is>
      </c>
      <c r="B422" s="2" t="inlineStr">
        <is>
          <t>2100FS0001</t>
        </is>
      </c>
      <c r="C422" s="2" t="inlineStr">
        <is>
          <t>Sistema supresión fuego</t>
        </is>
      </c>
      <c r="D422" s="2" t="n">
        <v>141</v>
      </c>
      <c r="E422" s="2" t="inlineStr">
        <is>
          <t>CC-2000</t>
        </is>
      </c>
      <c r="F422" s="2" t="inlineStr">
        <is>
          <t>P01</t>
        </is>
      </c>
      <c r="G422" s="2" t="n">
        <v>610000</v>
      </c>
      <c r="H422" s="2" t="inlineStr">
        <is>
          <t>Mano obra interna</t>
        </is>
      </c>
      <c r="I422" s="9" t="n">
        <v>1548.25</v>
      </c>
      <c r="J422" s="9" t="n">
        <v>1631.44</v>
      </c>
      <c r="K422" s="9" t="n">
        <v>1567.11</v>
      </c>
      <c r="L422" s="9" t="n">
        <v>1568.12</v>
      </c>
      <c r="M422" s="9" t="n">
        <v>1584.13</v>
      </c>
      <c r="N422" s="9" t="n">
        <v>1633.41</v>
      </c>
      <c r="O422" s="9" t="n">
        <v>1528.92</v>
      </c>
      <c r="P422" s="9" t="n">
        <v>1509.8</v>
      </c>
      <c r="Q422" s="9" t="n">
        <v>1553.18</v>
      </c>
      <c r="R422" s="9" t="n">
        <v>1727.94</v>
      </c>
      <c r="S422" s="9" t="n">
        <v>1653.15</v>
      </c>
      <c r="T422" s="9" t="n">
        <v>1533.98</v>
      </c>
      <c r="U422" s="10">
        <f>SUM(I422:T422)</f>
        <v/>
      </c>
    </row>
    <row r="423">
      <c r="A423" s="2" t="inlineStr">
        <is>
          <t>SN-2000-2100-21ER-2100FS0001</t>
        </is>
      </c>
      <c r="B423" s="2" t="inlineStr">
        <is>
          <t>2100FS0001</t>
        </is>
      </c>
      <c r="C423" s="2" t="inlineStr">
        <is>
          <t>Sistema supresión fuego</t>
        </is>
      </c>
      <c r="D423" s="2" t="n">
        <v>141</v>
      </c>
      <c r="E423" s="2" t="inlineStr">
        <is>
          <t>CC-2000</t>
        </is>
      </c>
      <c r="F423" s="2" t="inlineStr">
        <is>
          <t>P01</t>
        </is>
      </c>
      <c r="G423" s="2" t="n">
        <v>620000</v>
      </c>
      <c r="H423" s="2" t="inlineStr">
        <is>
          <t>Materiales</t>
        </is>
      </c>
      <c r="I423" s="9" t="n">
        <v>1545.16</v>
      </c>
      <c r="J423" s="9" t="n">
        <v>1471.72</v>
      </c>
      <c r="K423" s="9" t="n">
        <v>1679.09</v>
      </c>
      <c r="L423" s="9" t="n">
        <v>1640.27</v>
      </c>
      <c r="M423" s="9" t="n">
        <v>1628.63</v>
      </c>
      <c r="N423" s="9" t="n">
        <v>1465.64</v>
      </c>
      <c r="O423" s="9" t="n">
        <v>1568.73</v>
      </c>
      <c r="P423" s="9" t="n">
        <v>1556.11</v>
      </c>
      <c r="Q423" s="9" t="n">
        <v>1585.89</v>
      </c>
      <c r="R423" s="9" t="n">
        <v>1648.51</v>
      </c>
      <c r="S423" s="9" t="n">
        <v>1480.44</v>
      </c>
      <c r="T423" s="9" t="n">
        <v>1567.32</v>
      </c>
      <c r="U423" s="10">
        <f>SUM(I423:T423)</f>
        <v/>
      </c>
    </row>
    <row r="424">
      <c r="A424" s="2" t="inlineStr">
        <is>
          <t>SN-2000-2100-21ER-2100FS0001</t>
        </is>
      </c>
      <c r="B424" s="2" t="inlineStr">
        <is>
          <t>2100FS0001</t>
        </is>
      </c>
      <c r="C424" s="2" t="inlineStr">
        <is>
          <t>Sistema supresión fuego</t>
        </is>
      </c>
      <c r="D424" s="2" t="n">
        <v>141</v>
      </c>
      <c r="E424" s="2" t="inlineStr">
        <is>
          <t>CC-2000</t>
        </is>
      </c>
      <c r="F424" s="2" t="inlineStr">
        <is>
          <t>P01</t>
        </is>
      </c>
      <c r="G424" s="2" t="n">
        <v>630000</v>
      </c>
      <c r="H424" s="2" t="inlineStr">
        <is>
          <t>Servicios externos</t>
        </is>
      </c>
      <c r="I424" s="9" t="n">
        <v>1480.73</v>
      </c>
      <c r="J424" s="9" t="n">
        <v>1586.31</v>
      </c>
      <c r="K424" s="9" t="n">
        <v>1499.72</v>
      </c>
      <c r="L424" s="9" t="n">
        <v>1641.4</v>
      </c>
      <c r="M424" s="9" t="n">
        <v>1399.89</v>
      </c>
      <c r="N424" s="9" t="n">
        <v>1480.16</v>
      </c>
      <c r="O424" s="9" t="n">
        <v>1609.42</v>
      </c>
      <c r="P424" s="9" t="n">
        <v>1429.22</v>
      </c>
      <c r="Q424" s="9" t="n">
        <v>1511.29</v>
      </c>
      <c r="R424" s="9" t="n">
        <v>1616.51</v>
      </c>
      <c r="S424" s="9" t="n">
        <v>1566.38</v>
      </c>
      <c r="T424" s="9" t="n">
        <v>1576.13</v>
      </c>
      <c r="U424" s="10">
        <f>SUM(I424:T424)</f>
        <v/>
      </c>
    </row>
    <row r="425">
      <c r="A425" s="2" t="inlineStr">
        <is>
          <t>SN-2000-2100-21ER-2100JP0001</t>
        </is>
      </c>
      <c r="B425" s="2" t="inlineStr">
        <is>
          <t>2100JP0001</t>
        </is>
      </c>
      <c r="C425" s="2" t="inlineStr">
        <is>
          <t>Tablero distribución instrumentación</t>
        </is>
      </c>
      <c r="D425" s="2" t="n">
        <v>142</v>
      </c>
      <c r="E425" s="2" t="inlineStr">
        <is>
          <t>CC-2000</t>
        </is>
      </c>
      <c r="F425" s="2" t="inlineStr">
        <is>
          <t>P01</t>
        </is>
      </c>
      <c r="G425" s="2" t="n">
        <v>610000</v>
      </c>
      <c r="H425" s="2" t="inlineStr">
        <is>
          <t>Mano obra interna</t>
        </is>
      </c>
      <c r="I425" s="9" t="n">
        <v>2662.43</v>
      </c>
      <c r="J425" s="9" t="n">
        <v>2618.5</v>
      </c>
      <c r="K425" s="9" t="n">
        <v>2647.42</v>
      </c>
      <c r="L425" s="9" t="n">
        <v>2645.61</v>
      </c>
      <c r="M425" s="9" t="n">
        <v>2544.73</v>
      </c>
      <c r="N425" s="9" t="n">
        <v>2592.01</v>
      </c>
      <c r="O425" s="9" t="n">
        <v>2876.08</v>
      </c>
      <c r="P425" s="9" t="n">
        <v>2585.53</v>
      </c>
      <c r="Q425" s="9" t="n">
        <v>2404.08</v>
      </c>
      <c r="R425" s="9" t="n">
        <v>3028.17</v>
      </c>
      <c r="S425" s="9" t="n">
        <v>2528.55</v>
      </c>
      <c r="T425" s="9" t="n">
        <v>2606.37</v>
      </c>
      <c r="U425" s="10">
        <f>SUM(I425:T425)</f>
        <v/>
      </c>
    </row>
    <row r="426">
      <c r="A426" s="2" t="inlineStr">
        <is>
          <t>SN-2000-2100-21ER-2100JP0001</t>
        </is>
      </c>
      <c r="B426" s="2" t="inlineStr">
        <is>
          <t>2100JP0001</t>
        </is>
      </c>
      <c r="C426" s="2" t="inlineStr">
        <is>
          <t>Tablero distribución instrumentación</t>
        </is>
      </c>
      <c r="D426" s="2" t="n">
        <v>142</v>
      </c>
      <c r="E426" s="2" t="inlineStr">
        <is>
          <t>CC-2000</t>
        </is>
      </c>
      <c r="F426" s="2" t="inlineStr">
        <is>
          <t>P01</t>
        </is>
      </c>
      <c r="G426" s="2" t="n">
        <v>620000</v>
      </c>
      <c r="H426" s="2" t="inlineStr">
        <is>
          <t>Materiales</t>
        </is>
      </c>
      <c r="I426" s="9" t="n">
        <v>2646.47</v>
      </c>
      <c r="J426" s="9" t="n">
        <v>2514.05</v>
      </c>
      <c r="K426" s="9" t="n">
        <v>2446.17</v>
      </c>
      <c r="L426" s="9" t="n">
        <v>2543.21</v>
      </c>
      <c r="M426" s="9" t="n">
        <v>2417.05</v>
      </c>
      <c r="N426" s="9" t="n">
        <v>2386.95</v>
      </c>
      <c r="O426" s="9" t="n">
        <v>2499.92</v>
      </c>
      <c r="P426" s="9" t="n">
        <v>2475.98</v>
      </c>
      <c r="Q426" s="9" t="n">
        <v>2175.43</v>
      </c>
      <c r="R426" s="9" t="n">
        <v>2425.11</v>
      </c>
      <c r="S426" s="9" t="n">
        <v>2333.58</v>
      </c>
      <c r="T426" s="9" t="n">
        <v>2618.01</v>
      </c>
      <c r="U426" s="10">
        <f>SUM(I426:T426)</f>
        <v/>
      </c>
    </row>
    <row r="427">
      <c r="A427" s="2" t="inlineStr">
        <is>
          <t>SN-2000-2100-21ER-2100JP0001</t>
        </is>
      </c>
      <c r="B427" s="2" t="inlineStr">
        <is>
          <t>2100JP0001</t>
        </is>
      </c>
      <c r="C427" s="2" t="inlineStr">
        <is>
          <t>Tablero distribución instrumentación</t>
        </is>
      </c>
      <c r="D427" s="2" t="n">
        <v>142</v>
      </c>
      <c r="E427" s="2" t="inlineStr">
        <is>
          <t>CC-2000</t>
        </is>
      </c>
      <c r="F427" s="2" t="inlineStr">
        <is>
          <t>P01</t>
        </is>
      </c>
      <c r="G427" s="2" t="n">
        <v>630000</v>
      </c>
      <c r="H427" s="2" t="inlineStr">
        <is>
          <t>Servicios externos</t>
        </is>
      </c>
      <c r="I427" s="9" t="n">
        <v>2920.18</v>
      </c>
      <c r="J427" s="9" t="n">
        <v>2885.39</v>
      </c>
      <c r="K427" s="9" t="n">
        <v>2651.23</v>
      </c>
      <c r="L427" s="9" t="n">
        <v>2861.16</v>
      </c>
      <c r="M427" s="9" t="n">
        <v>2762.97</v>
      </c>
      <c r="N427" s="9" t="n">
        <v>2796.19</v>
      </c>
      <c r="O427" s="9" t="n">
        <v>2928.46</v>
      </c>
      <c r="P427" s="9" t="n">
        <v>2795.14</v>
      </c>
      <c r="Q427" s="9" t="n">
        <v>2424.64</v>
      </c>
      <c r="R427" s="9" t="n">
        <v>3069.03</v>
      </c>
      <c r="S427" s="9" t="n">
        <v>2464.04</v>
      </c>
      <c r="T427" s="9" t="n">
        <v>2880.23</v>
      </c>
      <c r="U427" s="10">
        <f>SUM(I427:T427)</f>
        <v/>
      </c>
    </row>
    <row r="428">
      <c r="A428" s="2" t="inlineStr">
        <is>
          <t>SN-2000-2100-21ER-2100JX0001</t>
        </is>
      </c>
      <c r="B428" s="2" t="inlineStr">
        <is>
          <t>2100JX0001</t>
        </is>
      </c>
      <c r="C428" s="2" t="inlineStr">
        <is>
          <t>Transformador distribución instrumentos</t>
        </is>
      </c>
      <c r="D428" s="2" t="n">
        <v>143</v>
      </c>
      <c r="E428" s="2" t="inlineStr">
        <is>
          <t>CC-2000</t>
        </is>
      </c>
      <c r="F428" s="2" t="inlineStr">
        <is>
          <t>P01</t>
        </is>
      </c>
      <c r="G428" s="2" t="n">
        <v>610000</v>
      </c>
      <c r="H428" s="2" t="inlineStr">
        <is>
          <t>Mano obra interna</t>
        </is>
      </c>
      <c r="I428" s="9" t="n">
        <v>162.26</v>
      </c>
      <c r="J428" s="9" t="n">
        <v>162.87</v>
      </c>
      <c r="K428" s="9" t="n">
        <v>165.24</v>
      </c>
      <c r="L428" s="9" t="n">
        <v>163.91</v>
      </c>
      <c r="M428" s="9" t="n">
        <v>155.45</v>
      </c>
      <c r="N428" s="9" t="n">
        <v>161.36</v>
      </c>
      <c r="O428" s="9" t="n">
        <v>173.37</v>
      </c>
      <c r="P428" s="9" t="n">
        <v>173.28</v>
      </c>
      <c r="Q428" s="9" t="n">
        <v>142.94</v>
      </c>
      <c r="R428" s="9" t="n">
        <v>185.16</v>
      </c>
      <c r="S428" s="9" t="n">
        <v>162.77</v>
      </c>
      <c r="T428" s="9" t="n">
        <v>157.89</v>
      </c>
      <c r="U428" s="10">
        <f>SUM(I428:T428)</f>
        <v/>
      </c>
    </row>
    <row r="429">
      <c r="A429" s="2" t="inlineStr">
        <is>
          <t>SN-2000-2100-21ER-2100JX0001</t>
        </is>
      </c>
      <c r="B429" s="2" t="inlineStr">
        <is>
          <t>2100JX0001</t>
        </is>
      </c>
      <c r="C429" s="2" t="inlineStr">
        <is>
          <t>Transformador distribución instrumentos</t>
        </is>
      </c>
      <c r="D429" s="2" t="n">
        <v>143</v>
      </c>
      <c r="E429" s="2" t="inlineStr">
        <is>
          <t>CC-2000</t>
        </is>
      </c>
      <c r="F429" s="2" t="inlineStr">
        <is>
          <t>P01</t>
        </is>
      </c>
      <c r="G429" s="2" t="n">
        <v>620000</v>
      </c>
      <c r="H429" s="2" t="inlineStr">
        <is>
          <t>Materiales</t>
        </is>
      </c>
      <c r="I429" s="9" t="n">
        <v>121.68</v>
      </c>
      <c r="J429" s="9" t="n">
        <v>129.96</v>
      </c>
      <c r="K429" s="9" t="n">
        <v>130.43</v>
      </c>
      <c r="L429" s="9" t="n">
        <v>130.99</v>
      </c>
      <c r="M429" s="9" t="n">
        <v>117.75</v>
      </c>
      <c r="N429" s="9" t="n">
        <v>122.51</v>
      </c>
      <c r="O429" s="9" t="n">
        <v>114.5</v>
      </c>
      <c r="P429" s="9" t="n">
        <v>121.23</v>
      </c>
      <c r="Q429" s="9" t="n">
        <v>117.57</v>
      </c>
      <c r="R429" s="9" t="n">
        <v>125.94</v>
      </c>
      <c r="S429" s="9" t="n">
        <v>126.03</v>
      </c>
      <c r="T429" s="9" t="n">
        <v>120.3</v>
      </c>
      <c r="U429" s="10">
        <f>SUM(I429:T429)</f>
        <v/>
      </c>
    </row>
    <row r="430">
      <c r="A430" s="2" t="inlineStr">
        <is>
          <t>SN-2000-2100-21ER-2100JX0001</t>
        </is>
      </c>
      <c r="B430" s="2" t="inlineStr">
        <is>
          <t>2100JX0001</t>
        </is>
      </c>
      <c r="C430" s="2" t="inlineStr">
        <is>
          <t>Transformador distribución instrumentos</t>
        </is>
      </c>
      <c r="D430" s="2" t="n">
        <v>143</v>
      </c>
      <c r="E430" s="2" t="inlineStr">
        <is>
          <t>CC-2000</t>
        </is>
      </c>
      <c r="F430" s="2" t="inlineStr">
        <is>
          <t>P01</t>
        </is>
      </c>
      <c r="G430" s="2" t="n">
        <v>630000</v>
      </c>
      <c r="H430" s="2" t="inlineStr">
        <is>
          <t>Servicios externos</t>
        </is>
      </c>
      <c r="I430" s="9" t="n">
        <v>148.51</v>
      </c>
      <c r="J430" s="9" t="n">
        <v>147.72</v>
      </c>
      <c r="K430" s="9" t="n">
        <v>142.82</v>
      </c>
      <c r="L430" s="9" t="n">
        <v>139.3</v>
      </c>
      <c r="M430" s="9" t="n">
        <v>155.77</v>
      </c>
      <c r="N430" s="9" t="n">
        <v>136.02</v>
      </c>
      <c r="O430" s="9" t="n">
        <v>155.34</v>
      </c>
      <c r="P430" s="9" t="n">
        <v>159.4</v>
      </c>
      <c r="Q430" s="9" t="n">
        <v>131.16</v>
      </c>
      <c r="R430" s="9" t="n">
        <v>153.32</v>
      </c>
      <c r="S430" s="9" t="n">
        <v>146.73</v>
      </c>
      <c r="T430" s="9" t="n">
        <v>161.07</v>
      </c>
      <c r="U430" s="10">
        <f>SUM(I430:T430)</f>
        <v/>
      </c>
    </row>
    <row r="431">
      <c r="A431" s="2" t="inlineStr">
        <is>
          <t>SN-2000-2100-21ER-2100LP0001</t>
        </is>
      </c>
      <c r="B431" s="2" t="inlineStr">
        <is>
          <t>2100LP0001</t>
        </is>
      </c>
      <c r="C431" s="2" t="inlineStr">
        <is>
          <t>Tablero distribución alumbrado</t>
        </is>
      </c>
      <c r="D431" s="2" t="n">
        <v>144</v>
      </c>
      <c r="E431" s="2" t="inlineStr">
        <is>
          <t>CC-2000</t>
        </is>
      </c>
      <c r="F431" s="2" t="inlineStr">
        <is>
          <t>P01</t>
        </is>
      </c>
      <c r="G431" s="2" t="n">
        <v>610000</v>
      </c>
      <c r="H431" s="2" t="inlineStr">
        <is>
          <t>Mano obra interna</t>
        </is>
      </c>
      <c r="I431" s="9" t="n">
        <v>1625.49</v>
      </c>
      <c r="J431" s="9" t="n">
        <v>1641.47</v>
      </c>
      <c r="K431" s="9" t="n">
        <v>1546.23</v>
      </c>
      <c r="L431" s="9" t="n">
        <v>1750.91</v>
      </c>
      <c r="M431" s="9" t="n">
        <v>1692.12</v>
      </c>
      <c r="N431" s="9" t="n">
        <v>1439.77</v>
      </c>
      <c r="O431" s="9" t="n">
        <v>1541.18</v>
      </c>
      <c r="P431" s="9" t="n">
        <v>1488.63</v>
      </c>
      <c r="Q431" s="9" t="n">
        <v>1427.43</v>
      </c>
      <c r="R431" s="9" t="n">
        <v>1803.15</v>
      </c>
      <c r="S431" s="9" t="n">
        <v>1510.74</v>
      </c>
      <c r="T431" s="9" t="n">
        <v>1508.82</v>
      </c>
      <c r="U431" s="10">
        <f>SUM(I431:T431)</f>
        <v/>
      </c>
    </row>
    <row r="432">
      <c r="A432" s="2" t="inlineStr">
        <is>
          <t>SN-2000-2100-21ER-2100LP0001</t>
        </is>
      </c>
      <c r="B432" s="2" t="inlineStr">
        <is>
          <t>2100LP0001</t>
        </is>
      </c>
      <c r="C432" s="2" t="inlineStr">
        <is>
          <t>Tablero distribución alumbrado</t>
        </is>
      </c>
      <c r="D432" s="2" t="n">
        <v>144</v>
      </c>
      <c r="E432" s="2" t="inlineStr">
        <is>
          <t>CC-2000</t>
        </is>
      </c>
      <c r="F432" s="2" t="inlineStr">
        <is>
          <t>P01</t>
        </is>
      </c>
      <c r="G432" s="2" t="n">
        <v>620000</v>
      </c>
      <c r="H432" s="2" t="inlineStr">
        <is>
          <t>Materiales</t>
        </is>
      </c>
      <c r="I432" s="9" t="n">
        <v>1429.24</v>
      </c>
      <c r="J432" s="9" t="n">
        <v>1306.81</v>
      </c>
      <c r="K432" s="9" t="n">
        <v>1323.07</v>
      </c>
      <c r="L432" s="9" t="n">
        <v>1257.7</v>
      </c>
      <c r="M432" s="9" t="n">
        <v>1386.56</v>
      </c>
      <c r="N432" s="9" t="n">
        <v>1306.62</v>
      </c>
      <c r="O432" s="9" t="n">
        <v>1255.05</v>
      </c>
      <c r="P432" s="9" t="n">
        <v>1209.61</v>
      </c>
      <c r="Q432" s="9" t="n">
        <v>1124.23</v>
      </c>
      <c r="R432" s="9" t="n">
        <v>1316.73</v>
      </c>
      <c r="S432" s="9" t="n">
        <v>1274.68</v>
      </c>
      <c r="T432" s="9" t="n">
        <v>1409.73</v>
      </c>
      <c r="U432" s="10">
        <f>SUM(I432:T432)</f>
        <v/>
      </c>
    </row>
    <row r="433">
      <c r="A433" s="2" t="inlineStr">
        <is>
          <t>SN-2000-2100-21ER-2100LP0001</t>
        </is>
      </c>
      <c r="B433" s="2" t="inlineStr">
        <is>
          <t>2100LP0001</t>
        </is>
      </c>
      <c r="C433" s="2" t="inlineStr">
        <is>
          <t>Tablero distribución alumbrado</t>
        </is>
      </c>
      <c r="D433" s="2" t="n">
        <v>144</v>
      </c>
      <c r="E433" s="2" t="inlineStr">
        <is>
          <t>CC-2000</t>
        </is>
      </c>
      <c r="F433" s="2" t="inlineStr">
        <is>
          <t>P01</t>
        </is>
      </c>
      <c r="G433" s="2" t="n">
        <v>630000</v>
      </c>
      <c r="H433" s="2" t="inlineStr">
        <is>
          <t>Servicios externos</t>
        </is>
      </c>
      <c r="I433" s="9" t="n">
        <v>1461.29</v>
      </c>
      <c r="J433" s="9" t="n">
        <v>1324.87</v>
      </c>
      <c r="K433" s="9" t="n">
        <v>1446.65</v>
      </c>
      <c r="L433" s="9" t="n">
        <v>1438.36</v>
      </c>
      <c r="M433" s="9" t="n">
        <v>1272.9</v>
      </c>
      <c r="N433" s="9" t="n">
        <v>1268.56</v>
      </c>
      <c r="O433" s="9" t="n">
        <v>1387.43</v>
      </c>
      <c r="P433" s="9" t="n">
        <v>1262.83</v>
      </c>
      <c r="Q433" s="9" t="n">
        <v>1235.2</v>
      </c>
      <c r="R433" s="9" t="n">
        <v>1471.56</v>
      </c>
      <c r="S433" s="9" t="n">
        <v>1417.95</v>
      </c>
      <c r="T433" s="9" t="n">
        <v>1371.52</v>
      </c>
      <c r="U433" s="10">
        <f>SUM(I433:T433)</f>
        <v/>
      </c>
    </row>
    <row r="434">
      <c r="A434" s="2" t="inlineStr">
        <is>
          <t>SN-2000-2100-21ER-2100LX0001</t>
        </is>
      </c>
      <c r="B434" s="2" t="inlineStr">
        <is>
          <t>2100LX0001</t>
        </is>
      </c>
      <c r="C434" s="2" t="inlineStr">
        <is>
          <t>Transformador distribución alumbrado</t>
        </is>
      </c>
      <c r="D434" s="2" t="n">
        <v>145</v>
      </c>
      <c r="E434" s="2" t="inlineStr">
        <is>
          <t>CC-2000</t>
        </is>
      </c>
      <c r="F434" s="2" t="inlineStr">
        <is>
          <t>P01</t>
        </is>
      </c>
      <c r="G434" s="2" t="n">
        <v>610000</v>
      </c>
      <c r="H434" s="2" t="inlineStr">
        <is>
          <t>Mano obra interna</t>
        </is>
      </c>
      <c r="I434" s="9" t="n">
        <v>481.1</v>
      </c>
      <c r="J434" s="9" t="n">
        <v>491.49</v>
      </c>
      <c r="K434" s="9" t="n">
        <v>499.04</v>
      </c>
      <c r="L434" s="9" t="n">
        <v>517.08</v>
      </c>
      <c r="M434" s="9" t="n">
        <v>464.81</v>
      </c>
      <c r="N434" s="9" t="n">
        <v>463.13</v>
      </c>
      <c r="O434" s="9" t="n">
        <v>486.59</v>
      </c>
      <c r="P434" s="9" t="n">
        <v>469.81</v>
      </c>
      <c r="Q434" s="9" t="n">
        <v>418.28</v>
      </c>
      <c r="R434" s="9" t="n">
        <v>480.41</v>
      </c>
      <c r="S434" s="9" t="n">
        <v>425.57</v>
      </c>
      <c r="T434" s="9" t="n">
        <v>512.4299999999999</v>
      </c>
      <c r="U434" s="10">
        <f>SUM(I434:T434)</f>
        <v/>
      </c>
    </row>
    <row r="435">
      <c r="A435" s="2" t="inlineStr">
        <is>
          <t>SN-2000-2100-21ER-2100LX0001</t>
        </is>
      </c>
      <c r="B435" s="2" t="inlineStr">
        <is>
          <t>2100LX0001</t>
        </is>
      </c>
      <c r="C435" s="2" t="inlineStr">
        <is>
          <t>Transformador distribución alumbrado</t>
        </is>
      </c>
      <c r="D435" s="2" t="n">
        <v>145</v>
      </c>
      <c r="E435" s="2" t="inlineStr">
        <is>
          <t>CC-2000</t>
        </is>
      </c>
      <c r="F435" s="2" t="inlineStr">
        <is>
          <t>P01</t>
        </is>
      </c>
      <c r="G435" s="2" t="n">
        <v>620000</v>
      </c>
      <c r="H435" s="2" t="inlineStr">
        <is>
          <t>Materiales</t>
        </is>
      </c>
      <c r="I435" s="9" t="n">
        <v>378.7</v>
      </c>
      <c r="J435" s="9" t="n">
        <v>397.5</v>
      </c>
      <c r="K435" s="9" t="n">
        <v>389.67</v>
      </c>
      <c r="L435" s="9" t="n">
        <v>397.88</v>
      </c>
      <c r="M435" s="9" t="n">
        <v>364.11</v>
      </c>
      <c r="N435" s="9" t="n">
        <v>399.19</v>
      </c>
      <c r="O435" s="9" t="n">
        <v>410.98</v>
      </c>
      <c r="P435" s="9" t="n">
        <v>411.25</v>
      </c>
      <c r="Q435" s="9" t="n">
        <v>356.64</v>
      </c>
      <c r="R435" s="9" t="n">
        <v>437.03</v>
      </c>
      <c r="S435" s="9" t="n">
        <v>355.05</v>
      </c>
      <c r="T435" s="9" t="n">
        <v>363.66</v>
      </c>
      <c r="U435" s="10">
        <f>SUM(I435:T435)</f>
        <v/>
      </c>
    </row>
    <row r="436">
      <c r="A436" s="2" t="inlineStr">
        <is>
          <t>SN-2000-2100-21ER-2100LX0001</t>
        </is>
      </c>
      <c r="B436" s="2" t="inlineStr">
        <is>
          <t>2100LX0001</t>
        </is>
      </c>
      <c r="C436" s="2" t="inlineStr">
        <is>
          <t>Transformador distribución alumbrado</t>
        </is>
      </c>
      <c r="D436" s="2" t="n">
        <v>145</v>
      </c>
      <c r="E436" s="2" t="inlineStr">
        <is>
          <t>CC-2000</t>
        </is>
      </c>
      <c r="F436" s="2" t="inlineStr">
        <is>
          <t>P01</t>
        </is>
      </c>
      <c r="G436" s="2" t="n">
        <v>630000</v>
      </c>
      <c r="H436" s="2" t="inlineStr">
        <is>
          <t>Servicios externos</t>
        </is>
      </c>
      <c r="I436" s="9" t="n">
        <v>375.06</v>
      </c>
      <c r="J436" s="9" t="n">
        <v>354.35</v>
      </c>
      <c r="K436" s="9" t="n">
        <v>374.93</v>
      </c>
      <c r="L436" s="9" t="n">
        <v>341.18</v>
      </c>
      <c r="M436" s="9" t="n">
        <v>354.2</v>
      </c>
      <c r="N436" s="9" t="n">
        <v>358.55</v>
      </c>
      <c r="O436" s="9" t="n">
        <v>359.22</v>
      </c>
      <c r="P436" s="9" t="n">
        <v>375.57</v>
      </c>
      <c r="Q436" s="9" t="n">
        <v>322.92</v>
      </c>
      <c r="R436" s="9" t="n">
        <v>410.38</v>
      </c>
      <c r="S436" s="9" t="n">
        <v>355.77</v>
      </c>
      <c r="T436" s="9" t="n">
        <v>350.74</v>
      </c>
      <c r="U436" s="10">
        <f>SUM(I436:T436)</f>
        <v/>
      </c>
    </row>
    <row r="437">
      <c r="A437" s="2" t="inlineStr">
        <is>
          <t>SN-2000-2100-21ER-2100MC0011</t>
        </is>
      </c>
      <c r="B437" s="2" t="inlineStr">
        <is>
          <t>2100MC0011</t>
        </is>
      </c>
      <c r="C437" s="2" t="inlineStr">
        <is>
          <t>Centro control motores 400V/1600A/65kA</t>
        </is>
      </c>
      <c r="D437" s="2" t="n">
        <v>146</v>
      </c>
      <c r="E437" s="2" t="inlineStr">
        <is>
          <t>CC-2000</t>
        </is>
      </c>
      <c r="F437" s="2" t="inlineStr">
        <is>
          <t>P01</t>
        </is>
      </c>
      <c r="G437" s="2" t="n">
        <v>610000</v>
      </c>
      <c r="H437" s="2" t="inlineStr">
        <is>
          <t>Mano obra interna</t>
        </is>
      </c>
      <c r="I437" s="9" t="n">
        <v>2039.01</v>
      </c>
      <c r="J437" s="9" t="n">
        <v>2029.41</v>
      </c>
      <c r="K437" s="9" t="n">
        <v>1991.96</v>
      </c>
      <c r="L437" s="9" t="n">
        <v>1923.07</v>
      </c>
      <c r="M437" s="9" t="n">
        <v>2050.78</v>
      </c>
      <c r="N437" s="9" t="n">
        <v>1921.98</v>
      </c>
      <c r="O437" s="9" t="n">
        <v>1941.9</v>
      </c>
      <c r="P437" s="9" t="n">
        <v>1952.04</v>
      </c>
      <c r="Q437" s="9" t="n">
        <v>1735.78</v>
      </c>
      <c r="R437" s="9" t="n">
        <v>2153.61</v>
      </c>
      <c r="S437" s="9" t="n">
        <v>1851.95</v>
      </c>
      <c r="T437" s="9" t="n">
        <v>2143.87</v>
      </c>
      <c r="U437" s="10">
        <f>SUM(I437:T437)</f>
        <v/>
      </c>
    </row>
    <row r="438">
      <c r="A438" s="2" t="inlineStr">
        <is>
          <t>SN-2000-2100-21ER-2100MC0011</t>
        </is>
      </c>
      <c r="B438" s="2" t="inlineStr">
        <is>
          <t>2100MC0011</t>
        </is>
      </c>
      <c r="C438" s="2" t="inlineStr">
        <is>
          <t>Centro control motores 400V/1600A/65kA</t>
        </is>
      </c>
      <c r="D438" s="2" t="n">
        <v>146</v>
      </c>
      <c r="E438" s="2" t="inlineStr">
        <is>
          <t>CC-2000</t>
        </is>
      </c>
      <c r="F438" s="2" t="inlineStr">
        <is>
          <t>P01</t>
        </is>
      </c>
      <c r="G438" s="2" t="n">
        <v>620000</v>
      </c>
      <c r="H438" s="2" t="inlineStr">
        <is>
          <t>Materiales</t>
        </is>
      </c>
      <c r="I438" s="9" t="n">
        <v>2086.55</v>
      </c>
      <c r="J438" s="9" t="n">
        <v>2038.81</v>
      </c>
      <c r="K438" s="9" t="n">
        <v>2254.31</v>
      </c>
      <c r="L438" s="9" t="n">
        <v>2194.5</v>
      </c>
      <c r="M438" s="9" t="n">
        <v>2011.53</v>
      </c>
      <c r="N438" s="9" t="n">
        <v>2027.11</v>
      </c>
      <c r="O438" s="9" t="n">
        <v>2077.78</v>
      </c>
      <c r="P438" s="9" t="n">
        <v>2044.54</v>
      </c>
      <c r="Q438" s="9" t="n">
        <v>1813.09</v>
      </c>
      <c r="R438" s="9" t="n">
        <v>2196.48</v>
      </c>
      <c r="S438" s="9" t="n">
        <v>1902.49</v>
      </c>
      <c r="T438" s="9" t="n">
        <v>2216.98</v>
      </c>
      <c r="U438" s="10">
        <f>SUM(I438:T438)</f>
        <v/>
      </c>
    </row>
    <row r="439">
      <c r="A439" s="2" t="inlineStr">
        <is>
          <t>SN-2000-2100-21ER-2100MC0011</t>
        </is>
      </c>
      <c r="B439" s="2" t="inlineStr">
        <is>
          <t>2100MC0011</t>
        </is>
      </c>
      <c r="C439" s="2" t="inlineStr">
        <is>
          <t>Centro control motores 400V/1600A/65kA</t>
        </is>
      </c>
      <c r="D439" s="2" t="n">
        <v>146</v>
      </c>
      <c r="E439" s="2" t="inlineStr">
        <is>
          <t>CC-2000</t>
        </is>
      </c>
      <c r="F439" s="2" t="inlineStr">
        <is>
          <t>P01</t>
        </is>
      </c>
      <c r="G439" s="2" t="n">
        <v>630000</v>
      </c>
      <c r="H439" s="2" t="inlineStr">
        <is>
          <t>Servicios externos</t>
        </is>
      </c>
      <c r="I439" s="9" t="n">
        <v>2182.81</v>
      </c>
      <c r="J439" s="9" t="n">
        <v>1974.15</v>
      </c>
      <c r="K439" s="9" t="n">
        <v>2100.34</v>
      </c>
      <c r="L439" s="9" t="n">
        <v>2051.91</v>
      </c>
      <c r="M439" s="9" t="n">
        <v>1856.31</v>
      </c>
      <c r="N439" s="9" t="n">
        <v>1868.48</v>
      </c>
      <c r="O439" s="9" t="n">
        <v>1866.91</v>
      </c>
      <c r="P439" s="9" t="n">
        <v>2031.66</v>
      </c>
      <c r="Q439" s="9" t="n">
        <v>1840.35</v>
      </c>
      <c r="R439" s="9" t="n">
        <v>2245.97</v>
      </c>
      <c r="S439" s="9" t="n">
        <v>1843.94</v>
      </c>
      <c r="T439" s="9" t="n">
        <v>1914.95</v>
      </c>
      <c r="U439" s="10">
        <f>SUM(I439:T439)</f>
        <v/>
      </c>
    </row>
    <row r="440">
      <c r="A440" s="2" t="inlineStr">
        <is>
          <t>SN-2000-2100-21ER-2100SC0001</t>
        </is>
      </c>
      <c r="B440" s="2" t="inlineStr">
        <is>
          <t>2100SC0001</t>
        </is>
      </c>
      <c r="C440" s="2" t="inlineStr">
        <is>
          <t>Panel sistema Scada</t>
        </is>
      </c>
      <c r="D440" s="2" t="n">
        <v>147</v>
      </c>
      <c r="E440" s="2" t="inlineStr">
        <is>
          <t>CC-2000</t>
        </is>
      </c>
      <c r="F440" s="2" t="inlineStr">
        <is>
          <t>P01</t>
        </is>
      </c>
      <c r="G440" s="2" t="n">
        <v>610000</v>
      </c>
      <c r="H440" s="2" t="inlineStr">
        <is>
          <t>Mano obra interna</t>
        </is>
      </c>
      <c r="I440" s="9" t="n">
        <v>941.87</v>
      </c>
      <c r="J440" s="9" t="n">
        <v>879.25</v>
      </c>
      <c r="K440" s="9" t="n">
        <v>879.46</v>
      </c>
      <c r="L440" s="9" t="n">
        <v>885.17</v>
      </c>
      <c r="M440" s="9" t="n">
        <v>797.89</v>
      </c>
      <c r="N440" s="9" t="n">
        <v>889.77</v>
      </c>
      <c r="O440" s="9" t="n">
        <v>887.09</v>
      </c>
      <c r="P440" s="9" t="n">
        <v>833.41</v>
      </c>
      <c r="Q440" s="9" t="n">
        <v>815.03</v>
      </c>
      <c r="R440" s="9" t="n">
        <v>873.23</v>
      </c>
      <c r="S440" s="9" t="n">
        <v>898.4299999999999</v>
      </c>
      <c r="T440" s="9" t="n">
        <v>830.9</v>
      </c>
      <c r="U440" s="10">
        <f>SUM(I440:T440)</f>
        <v/>
      </c>
    </row>
    <row r="441">
      <c r="A441" s="2" t="inlineStr">
        <is>
          <t>SN-2000-2100-21ER-2100SC0001</t>
        </is>
      </c>
      <c r="B441" s="2" t="inlineStr">
        <is>
          <t>2100SC0001</t>
        </is>
      </c>
      <c r="C441" s="2" t="inlineStr">
        <is>
          <t>Panel sistema Scada</t>
        </is>
      </c>
      <c r="D441" s="2" t="n">
        <v>147</v>
      </c>
      <c r="E441" s="2" t="inlineStr">
        <is>
          <t>CC-2000</t>
        </is>
      </c>
      <c r="F441" s="2" t="inlineStr">
        <is>
          <t>P01</t>
        </is>
      </c>
      <c r="G441" s="2" t="n">
        <v>620000</v>
      </c>
      <c r="H441" s="2" t="inlineStr">
        <is>
          <t>Materiales</t>
        </is>
      </c>
      <c r="I441" s="9" t="n">
        <v>877.77</v>
      </c>
      <c r="J441" s="9" t="n">
        <v>913.51</v>
      </c>
      <c r="K441" s="9" t="n">
        <v>965.67</v>
      </c>
      <c r="L441" s="9" t="n">
        <v>941.54</v>
      </c>
      <c r="M441" s="9" t="n">
        <v>903.33</v>
      </c>
      <c r="N441" s="9" t="n">
        <v>910.79</v>
      </c>
      <c r="O441" s="9" t="n">
        <v>836.3</v>
      </c>
      <c r="P441" s="9" t="n">
        <v>871.45</v>
      </c>
      <c r="Q441" s="9" t="n">
        <v>800.79</v>
      </c>
      <c r="R441" s="9" t="n">
        <v>1042.13</v>
      </c>
      <c r="S441" s="9" t="n">
        <v>852.37</v>
      </c>
      <c r="T441" s="9" t="n">
        <v>943.52</v>
      </c>
      <c r="U441" s="10">
        <f>SUM(I441:T441)</f>
        <v/>
      </c>
    </row>
    <row r="442">
      <c r="A442" s="2" t="inlineStr">
        <is>
          <t>SN-2000-2100-21ER-2100SC0001</t>
        </is>
      </c>
      <c r="B442" s="2" t="inlineStr">
        <is>
          <t>2100SC0001</t>
        </is>
      </c>
      <c r="C442" s="2" t="inlineStr">
        <is>
          <t>Panel sistema Scada</t>
        </is>
      </c>
      <c r="D442" s="2" t="n">
        <v>147</v>
      </c>
      <c r="E442" s="2" t="inlineStr">
        <is>
          <t>CC-2000</t>
        </is>
      </c>
      <c r="F442" s="2" t="inlineStr">
        <is>
          <t>P01</t>
        </is>
      </c>
      <c r="G442" s="2" t="n">
        <v>630000</v>
      </c>
      <c r="H442" s="2" t="inlineStr">
        <is>
          <t>Servicios externos</t>
        </is>
      </c>
      <c r="I442" s="9" t="n">
        <v>907.21</v>
      </c>
      <c r="J442" s="9" t="n">
        <v>879.1799999999999</v>
      </c>
      <c r="K442" s="9" t="n">
        <v>927.45</v>
      </c>
      <c r="L442" s="9" t="n">
        <v>938.6</v>
      </c>
      <c r="M442" s="9" t="n">
        <v>882.78</v>
      </c>
      <c r="N442" s="9" t="n">
        <v>822.22</v>
      </c>
      <c r="O442" s="9" t="n">
        <v>988.6</v>
      </c>
      <c r="P442" s="9" t="n">
        <v>1000.26</v>
      </c>
      <c r="Q442" s="9" t="n">
        <v>845.22</v>
      </c>
      <c r="R442" s="9" t="n">
        <v>978.7</v>
      </c>
      <c r="S442" s="9" t="n">
        <v>830.73</v>
      </c>
      <c r="T442" s="9" t="n">
        <v>972.7</v>
      </c>
      <c r="U442" s="10">
        <f>SUM(I442:T442)</f>
        <v/>
      </c>
    </row>
    <row r="443">
      <c r="A443" s="2" t="inlineStr">
        <is>
          <t>SN-2000-2100-21ER-2100TU0001</t>
        </is>
      </c>
      <c r="B443" s="2" t="inlineStr">
        <is>
          <t>2100TU0001</t>
        </is>
      </c>
      <c r="C443" s="2" t="inlineStr">
        <is>
          <t>Tablero distribución UPS</t>
        </is>
      </c>
      <c r="D443" s="2" t="n">
        <v>148</v>
      </c>
      <c r="E443" s="2" t="inlineStr">
        <is>
          <t>CC-2000</t>
        </is>
      </c>
      <c r="F443" s="2" t="inlineStr">
        <is>
          <t>P01</t>
        </is>
      </c>
      <c r="G443" s="2" t="n">
        <v>610000</v>
      </c>
      <c r="H443" s="2" t="inlineStr">
        <is>
          <t>Mano obra interna</t>
        </is>
      </c>
      <c r="I443" s="9" t="n">
        <v>1538.61</v>
      </c>
      <c r="J443" s="9" t="n">
        <v>1487.66</v>
      </c>
      <c r="K443" s="9" t="n">
        <v>1724.56</v>
      </c>
      <c r="L443" s="9" t="n">
        <v>1663.12</v>
      </c>
      <c r="M443" s="9" t="n">
        <v>1465.87</v>
      </c>
      <c r="N443" s="9" t="n">
        <v>1557.29</v>
      </c>
      <c r="O443" s="9" t="n">
        <v>1549.38</v>
      </c>
      <c r="P443" s="9" t="n">
        <v>1562.8</v>
      </c>
      <c r="Q443" s="9" t="n">
        <v>1551.28</v>
      </c>
      <c r="R443" s="9" t="n">
        <v>1808.52</v>
      </c>
      <c r="S443" s="9" t="n">
        <v>1521.85</v>
      </c>
      <c r="T443" s="9" t="n">
        <v>1737.23</v>
      </c>
      <c r="U443" s="10">
        <f>SUM(I443:T443)</f>
        <v/>
      </c>
    </row>
    <row r="444">
      <c r="A444" s="2" t="inlineStr">
        <is>
          <t>SN-2000-2100-21ER-2100TU0001</t>
        </is>
      </c>
      <c r="B444" s="2" t="inlineStr">
        <is>
          <t>2100TU0001</t>
        </is>
      </c>
      <c r="C444" s="2" t="inlineStr">
        <is>
          <t>Tablero distribución UPS</t>
        </is>
      </c>
      <c r="D444" s="2" t="n">
        <v>148</v>
      </c>
      <c r="E444" s="2" t="inlineStr">
        <is>
          <t>CC-2000</t>
        </is>
      </c>
      <c r="F444" s="2" t="inlineStr">
        <is>
          <t>P01</t>
        </is>
      </c>
      <c r="G444" s="2" t="n">
        <v>620000</v>
      </c>
      <c r="H444" s="2" t="inlineStr">
        <is>
          <t>Materiales</t>
        </is>
      </c>
      <c r="I444" s="9" t="n">
        <v>1426.8</v>
      </c>
      <c r="J444" s="9" t="n">
        <v>1315.73</v>
      </c>
      <c r="K444" s="9" t="n">
        <v>1469.68</v>
      </c>
      <c r="L444" s="9" t="n">
        <v>1458.25</v>
      </c>
      <c r="M444" s="9" t="n">
        <v>1238.05</v>
      </c>
      <c r="N444" s="9" t="n">
        <v>1370</v>
      </c>
      <c r="O444" s="9" t="n">
        <v>1409.81</v>
      </c>
      <c r="P444" s="9" t="n">
        <v>1400.79</v>
      </c>
      <c r="Q444" s="9" t="n">
        <v>1187.16</v>
      </c>
      <c r="R444" s="9" t="n">
        <v>1514.97</v>
      </c>
      <c r="S444" s="9" t="n">
        <v>1369.27</v>
      </c>
      <c r="T444" s="9" t="n">
        <v>1313.44</v>
      </c>
      <c r="U444" s="10">
        <f>SUM(I444:T444)</f>
        <v/>
      </c>
    </row>
    <row r="445">
      <c r="A445" s="2" t="inlineStr">
        <is>
          <t>SN-2000-2100-21ER-2100TU0001</t>
        </is>
      </c>
      <c r="B445" s="2" t="inlineStr">
        <is>
          <t>2100TU0001</t>
        </is>
      </c>
      <c r="C445" s="2" t="inlineStr">
        <is>
          <t>Tablero distribución UPS</t>
        </is>
      </c>
      <c r="D445" s="2" t="n">
        <v>148</v>
      </c>
      <c r="E445" s="2" t="inlineStr">
        <is>
          <t>CC-2000</t>
        </is>
      </c>
      <c r="F445" s="2" t="inlineStr">
        <is>
          <t>P01</t>
        </is>
      </c>
      <c r="G445" s="2" t="n">
        <v>630000</v>
      </c>
      <c r="H445" s="2" t="inlineStr">
        <is>
          <t>Servicios externos</t>
        </is>
      </c>
      <c r="I445" s="9" t="n">
        <v>1547.93</v>
      </c>
      <c r="J445" s="9" t="n">
        <v>1519.12</v>
      </c>
      <c r="K445" s="9" t="n">
        <v>1695.84</v>
      </c>
      <c r="L445" s="9" t="n">
        <v>1690.28</v>
      </c>
      <c r="M445" s="9" t="n">
        <v>1654.66</v>
      </c>
      <c r="N445" s="9" t="n">
        <v>1441.48</v>
      </c>
      <c r="O445" s="9" t="n">
        <v>1755.15</v>
      </c>
      <c r="P445" s="9" t="n">
        <v>1513.81</v>
      </c>
      <c r="Q445" s="9" t="n">
        <v>1434.19</v>
      </c>
      <c r="R445" s="9" t="n">
        <v>1625.13</v>
      </c>
      <c r="S445" s="9" t="n">
        <v>1598.74</v>
      </c>
      <c r="T445" s="9" t="n">
        <v>1772.95</v>
      </c>
      <c r="U445" s="10">
        <f>SUM(I445:T445)</f>
        <v/>
      </c>
    </row>
    <row r="446">
      <c r="A446" s="2" t="inlineStr">
        <is>
          <t>SN-2000-2100-21ER-2100UP0001</t>
        </is>
      </c>
      <c r="B446" s="2" t="inlineStr">
        <is>
          <t>2100UP0001</t>
        </is>
      </c>
      <c r="C446" s="2" t="inlineStr">
        <is>
          <t>UPS</t>
        </is>
      </c>
      <c r="D446" s="2" t="n">
        <v>149</v>
      </c>
      <c r="E446" s="2" t="inlineStr">
        <is>
          <t>CC-2000</t>
        </is>
      </c>
      <c r="F446" s="2" t="inlineStr">
        <is>
          <t>P01</t>
        </is>
      </c>
      <c r="G446" s="2" t="n">
        <v>610000</v>
      </c>
      <c r="H446" s="2" t="inlineStr">
        <is>
          <t>Mano obra interna</t>
        </is>
      </c>
      <c r="I446" s="9" t="n">
        <v>190.11</v>
      </c>
      <c r="J446" s="9" t="n">
        <v>160.83</v>
      </c>
      <c r="K446" s="9" t="n">
        <v>183.92</v>
      </c>
      <c r="L446" s="9" t="n">
        <v>179.82</v>
      </c>
      <c r="M446" s="9" t="n">
        <v>175.23</v>
      </c>
      <c r="N446" s="9" t="n">
        <v>157.72</v>
      </c>
      <c r="O446" s="9" t="n">
        <v>182.4</v>
      </c>
      <c r="P446" s="9" t="n">
        <v>177.05</v>
      </c>
      <c r="Q446" s="9" t="n">
        <v>171.84</v>
      </c>
      <c r="R446" s="9" t="n">
        <v>190.53</v>
      </c>
      <c r="S446" s="9" t="n">
        <v>161.82</v>
      </c>
      <c r="T446" s="9" t="n">
        <v>183.98</v>
      </c>
      <c r="U446" s="10">
        <f>SUM(I446:T446)</f>
        <v/>
      </c>
    </row>
    <row r="447">
      <c r="A447" s="2" t="inlineStr">
        <is>
          <t>SN-2000-2100-21ER-2100UP0001</t>
        </is>
      </c>
      <c r="B447" s="2" t="inlineStr">
        <is>
          <t>2100UP0001</t>
        </is>
      </c>
      <c r="C447" s="2" t="inlineStr">
        <is>
          <t>UPS</t>
        </is>
      </c>
      <c r="D447" s="2" t="n">
        <v>149</v>
      </c>
      <c r="E447" s="2" t="inlineStr">
        <is>
          <t>CC-2000</t>
        </is>
      </c>
      <c r="F447" s="2" t="inlineStr">
        <is>
          <t>P01</t>
        </is>
      </c>
      <c r="G447" s="2" t="n">
        <v>620000</v>
      </c>
      <c r="H447" s="2" t="inlineStr">
        <is>
          <t>Materiales</t>
        </is>
      </c>
      <c r="I447" s="9" t="n">
        <v>156.51</v>
      </c>
      <c r="J447" s="9" t="n">
        <v>145.08</v>
      </c>
      <c r="K447" s="9" t="n">
        <v>141.08</v>
      </c>
      <c r="L447" s="9" t="n">
        <v>158.82</v>
      </c>
      <c r="M447" s="9" t="n">
        <v>143.62</v>
      </c>
      <c r="N447" s="9" t="n">
        <v>128.88</v>
      </c>
      <c r="O447" s="9" t="n">
        <v>147.69</v>
      </c>
      <c r="P447" s="9" t="n">
        <v>138.87</v>
      </c>
      <c r="Q447" s="9" t="n">
        <v>141.23</v>
      </c>
      <c r="R447" s="9" t="n">
        <v>163.97</v>
      </c>
      <c r="S447" s="9" t="n">
        <v>150.8</v>
      </c>
      <c r="T447" s="9" t="n">
        <v>146.88</v>
      </c>
      <c r="U447" s="10">
        <f>SUM(I447:T447)</f>
        <v/>
      </c>
    </row>
    <row r="448">
      <c r="A448" s="2" t="inlineStr">
        <is>
          <t>SN-2000-2100-21ER-2100UP0001</t>
        </is>
      </c>
      <c r="B448" s="2" t="inlineStr">
        <is>
          <t>2100UP0001</t>
        </is>
      </c>
      <c r="C448" s="2" t="inlineStr">
        <is>
          <t>UPS</t>
        </is>
      </c>
      <c r="D448" s="2" t="n">
        <v>149</v>
      </c>
      <c r="E448" s="2" t="inlineStr">
        <is>
          <t>CC-2000</t>
        </is>
      </c>
      <c r="F448" s="2" t="inlineStr">
        <is>
          <t>P01</t>
        </is>
      </c>
      <c r="G448" s="2" t="n">
        <v>630000</v>
      </c>
      <c r="H448" s="2" t="inlineStr">
        <is>
          <t>Servicios externos</t>
        </is>
      </c>
      <c r="I448" s="9" t="n">
        <v>171.84</v>
      </c>
      <c r="J448" s="9" t="n">
        <v>149.96</v>
      </c>
      <c r="K448" s="9" t="n">
        <v>168.15</v>
      </c>
      <c r="L448" s="9" t="n">
        <v>166.56</v>
      </c>
      <c r="M448" s="9" t="n">
        <v>149.58</v>
      </c>
      <c r="N448" s="9" t="n">
        <v>152.64</v>
      </c>
      <c r="O448" s="9" t="n">
        <v>171</v>
      </c>
      <c r="P448" s="9" t="n">
        <v>170.86</v>
      </c>
      <c r="Q448" s="9" t="n">
        <v>140.94</v>
      </c>
      <c r="R448" s="9" t="n">
        <v>163.04</v>
      </c>
      <c r="S448" s="9" t="n">
        <v>150.66</v>
      </c>
      <c r="T448" s="9" t="n">
        <v>174.02</v>
      </c>
      <c r="U448" s="10">
        <f>SUM(I448:T448)</f>
        <v/>
      </c>
    </row>
    <row r="449">
      <c r="A449" s="2" t="inlineStr">
        <is>
          <t>SN-2000-2100-21ER-2100ZM0001</t>
        </is>
      </c>
      <c r="B449" s="2" t="inlineStr">
        <is>
          <t>2100ZM0001</t>
        </is>
      </c>
      <c r="C449" s="2" t="inlineStr">
        <is>
          <t>Unidad presurización</t>
        </is>
      </c>
      <c r="D449" s="2" t="n">
        <v>150</v>
      </c>
      <c r="E449" s="2" t="inlineStr">
        <is>
          <t>CC-2000</t>
        </is>
      </c>
      <c r="F449" s="2" t="inlineStr">
        <is>
          <t>P01</t>
        </is>
      </c>
      <c r="G449" s="2" t="n">
        <v>610000</v>
      </c>
      <c r="H449" s="2" t="inlineStr">
        <is>
          <t>Mano obra interna</t>
        </is>
      </c>
      <c r="I449" s="9" t="n">
        <v>1820.56</v>
      </c>
      <c r="J449" s="9" t="n">
        <v>1588.39</v>
      </c>
      <c r="K449" s="9" t="n">
        <v>1812.27</v>
      </c>
      <c r="L449" s="9" t="n">
        <v>1720.17</v>
      </c>
      <c r="M449" s="9" t="n">
        <v>1783.73</v>
      </c>
      <c r="N449" s="9" t="n">
        <v>1576.88</v>
      </c>
      <c r="O449" s="9" t="n">
        <v>1761.91</v>
      </c>
      <c r="P449" s="9" t="n">
        <v>1648.65</v>
      </c>
      <c r="Q449" s="9" t="n">
        <v>1658.48</v>
      </c>
      <c r="R449" s="9" t="n">
        <v>1968.93</v>
      </c>
      <c r="S449" s="9" t="n">
        <v>1568.14</v>
      </c>
      <c r="T449" s="9" t="n">
        <v>1850.87</v>
      </c>
      <c r="U449" s="10">
        <f>SUM(I449:T449)</f>
        <v/>
      </c>
    </row>
    <row r="450">
      <c r="A450" s="2" t="inlineStr">
        <is>
          <t>SN-2000-2100-21ER-2100ZM0001</t>
        </is>
      </c>
      <c r="B450" s="2" t="inlineStr">
        <is>
          <t>2100ZM0001</t>
        </is>
      </c>
      <c r="C450" s="2" t="inlineStr">
        <is>
          <t>Unidad presurización</t>
        </is>
      </c>
      <c r="D450" s="2" t="n">
        <v>150</v>
      </c>
      <c r="E450" s="2" t="inlineStr">
        <is>
          <t>CC-2000</t>
        </is>
      </c>
      <c r="F450" s="2" t="inlineStr">
        <is>
          <t>P01</t>
        </is>
      </c>
      <c r="G450" s="2" t="n">
        <v>620000</v>
      </c>
      <c r="H450" s="2" t="inlineStr">
        <is>
          <t>Materiales</t>
        </is>
      </c>
      <c r="I450" s="9" t="n">
        <v>1852.82</v>
      </c>
      <c r="J450" s="9" t="n">
        <v>1878.88</v>
      </c>
      <c r="K450" s="9" t="n">
        <v>1883.17</v>
      </c>
      <c r="L450" s="9" t="n">
        <v>2035.93</v>
      </c>
      <c r="M450" s="9" t="n">
        <v>1989.3</v>
      </c>
      <c r="N450" s="9" t="n">
        <v>1728.96</v>
      </c>
      <c r="O450" s="9" t="n">
        <v>1932.91</v>
      </c>
      <c r="P450" s="9" t="n">
        <v>2025.79</v>
      </c>
      <c r="Q450" s="9" t="n">
        <v>1922.11</v>
      </c>
      <c r="R450" s="9" t="n">
        <v>2086.02</v>
      </c>
      <c r="S450" s="9" t="n">
        <v>2003.12</v>
      </c>
      <c r="T450" s="9" t="n">
        <v>1969.99</v>
      </c>
      <c r="U450" s="10">
        <f>SUM(I450:T450)</f>
        <v/>
      </c>
    </row>
    <row r="451">
      <c r="A451" s="2" t="inlineStr">
        <is>
          <t>SN-2000-2100-21ER-2100ZM0001</t>
        </is>
      </c>
      <c r="B451" s="2" t="inlineStr">
        <is>
          <t>2100ZM0001</t>
        </is>
      </c>
      <c r="C451" s="2" t="inlineStr">
        <is>
          <t>Unidad presurización</t>
        </is>
      </c>
      <c r="D451" s="2" t="n">
        <v>150</v>
      </c>
      <c r="E451" s="2" t="inlineStr">
        <is>
          <t>CC-2000</t>
        </is>
      </c>
      <c r="F451" s="2" t="inlineStr">
        <is>
          <t>P01</t>
        </is>
      </c>
      <c r="G451" s="2" t="n">
        <v>630000</v>
      </c>
      <c r="H451" s="2" t="inlineStr">
        <is>
          <t>Servicios externos</t>
        </is>
      </c>
      <c r="I451" s="9" t="n">
        <v>1950.66</v>
      </c>
      <c r="J451" s="9" t="n">
        <v>1780.58</v>
      </c>
      <c r="K451" s="9" t="n">
        <v>1858.86</v>
      </c>
      <c r="L451" s="9" t="n">
        <v>1847.02</v>
      </c>
      <c r="M451" s="9" t="n">
        <v>1890.65</v>
      </c>
      <c r="N451" s="9" t="n">
        <v>1822.38</v>
      </c>
      <c r="O451" s="9" t="n">
        <v>1782.85</v>
      </c>
      <c r="P451" s="9" t="n">
        <v>1760.39</v>
      </c>
      <c r="Q451" s="9" t="n">
        <v>1682.7</v>
      </c>
      <c r="R451" s="9" t="n">
        <v>1974.66</v>
      </c>
      <c r="S451" s="9" t="n">
        <v>1678.82</v>
      </c>
      <c r="T451" s="9" t="n">
        <v>1923.25</v>
      </c>
      <c r="U451" s="10">
        <f>SUM(I451:T451)</f>
        <v/>
      </c>
    </row>
    <row r="452">
      <c r="A452" s="2" t="inlineStr">
        <is>
          <t>SN-2000-2200-2210-2210CH0014</t>
        </is>
      </c>
      <c r="B452" s="2" t="inlineStr">
        <is>
          <t>2210CH0014</t>
        </is>
      </c>
      <c r="C452" s="2" t="inlineStr">
        <is>
          <t>Chute descarga de acopio</t>
        </is>
      </c>
      <c r="D452" s="2" t="n">
        <v>151</v>
      </c>
      <c r="E452" s="2" t="inlineStr">
        <is>
          <t>CC-2000</t>
        </is>
      </c>
      <c r="F452" s="2" t="inlineStr">
        <is>
          <t>P01</t>
        </is>
      </c>
      <c r="G452" s="2" t="n">
        <v>610000</v>
      </c>
      <c r="H452" s="2" t="inlineStr">
        <is>
          <t>Mano obra interna</t>
        </is>
      </c>
      <c r="I452" s="9" t="n">
        <v>2840.54</v>
      </c>
      <c r="J452" s="9" t="n">
        <v>2638.06</v>
      </c>
      <c r="K452" s="9" t="n">
        <v>2825.66</v>
      </c>
      <c r="L452" s="9" t="n">
        <v>3131.46</v>
      </c>
      <c r="M452" s="9" t="n">
        <v>2740.65</v>
      </c>
      <c r="N452" s="9" t="n">
        <v>2588.07</v>
      </c>
      <c r="O452" s="9" t="n">
        <v>2841.74</v>
      </c>
      <c r="P452" s="9" t="n">
        <v>2768.14</v>
      </c>
      <c r="Q452" s="9" t="n">
        <v>2462.95</v>
      </c>
      <c r="R452" s="9" t="n">
        <v>2995.38</v>
      </c>
      <c r="S452" s="9" t="n">
        <v>2786.68</v>
      </c>
      <c r="T452" s="9" t="n">
        <v>2924.88</v>
      </c>
      <c r="U452" s="10">
        <f>SUM(I452:T452)</f>
        <v/>
      </c>
    </row>
    <row r="453">
      <c r="A453" s="2" t="inlineStr">
        <is>
          <t>SN-2000-2200-2210-2210CH0014</t>
        </is>
      </c>
      <c r="B453" s="2" t="inlineStr">
        <is>
          <t>2210CH0014</t>
        </is>
      </c>
      <c r="C453" s="2" t="inlineStr">
        <is>
          <t>Chute descarga de acopio</t>
        </is>
      </c>
      <c r="D453" s="2" t="n">
        <v>151</v>
      </c>
      <c r="E453" s="2" t="inlineStr">
        <is>
          <t>CC-2000</t>
        </is>
      </c>
      <c r="F453" s="2" t="inlineStr">
        <is>
          <t>P01</t>
        </is>
      </c>
      <c r="G453" s="2" t="n">
        <v>620000</v>
      </c>
      <c r="H453" s="2" t="inlineStr">
        <is>
          <t>Materiales</t>
        </is>
      </c>
      <c r="I453" s="9" t="n">
        <v>2654.29</v>
      </c>
      <c r="J453" s="9" t="n">
        <v>2774.84</v>
      </c>
      <c r="K453" s="9" t="n">
        <v>2652.08</v>
      </c>
      <c r="L453" s="9" t="n">
        <v>2576.33</v>
      </c>
      <c r="M453" s="9" t="n">
        <v>2488.56</v>
      </c>
      <c r="N453" s="9" t="n">
        <v>2490.06</v>
      </c>
      <c r="O453" s="9" t="n">
        <v>2732.32</v>
      </c>
      <c r="P453" s="9" t="n">
        <v>2496.98</v>
      </c>
      <c r="Q453" s="9" t="n">
        <v>2522.68</v>
      </c>
      <c r="R453" s="9" t="n">
        <v>2611.19</v>
      </c>
      <c r="S453" s="9" t="n">
        <v>2505.53</v>
      </c>
      <c r="T453" s="9" t="n">
        <v>2778.59</v>
      </c>
      <c r="U453" s="10">
        <f>SUM(I453:T453)</f>
        <v/>
      </c>
    </row>
    <row r="454">
      <c r="A454" s="2" t="inlineStr">
        <is>
          <t>SN-2000-2200-2210-2210CH0014</t>
        </is>
      </c>
      <c r="B454" s="2" t="inlineStr">
        <is>
          <t>2210CH0014</t>
        </is>
      </c>
      <c r="C454" s="2" t="inlineStr">
        <is>
          <t>Chute descarga de acopio</t>
        </is>
      </c>
      <c r="D454" s="2" t="n">
        <v>151</v>
      </c>
      <c r="E454" s="2" t="inlineStr">
        <is>
          <t>CC-2000</t>
        </is>
      </c>
      <c r="F454" s="2" t="inlineStr">
        <is>
          <t>P01</t>
        </is>
      </c>
      <c r="G454" s="2" t="n">
        <v>630000</v>
      </c>
      <c r="H454" s="2" t="inlineStr">
        <is>
          <t>Servicios externos</t>
        </is>
      </c>
      <c r="I454" s="9" t="n">
        <v>2678.34</v>
      </c>
      <c r="J454" s="9" t="n">
        <v>2437.1</v>
      </c>
      <c r="K454" s="9" t="n">
        <v>2783.09</v>
      </c>
      <c r="L454" s="9" t="n">
        <v>2464.27</v>
      </c>
      <c r="M454" s="9" t="n">
        <v>2715.28</v>
      </c>
      <c r="N454" s="9" t="n">
        <v>2363.16</v>
      </c>
      <c r="O454" s="9" t="n">
        <v>2753.99</v>
      </c>
      <c r="P454" s="9" t="n">
        <v>2533.99</v>
      </c>
      <c r="Q454" s="9" t="n">
        <v>2503.78</v>
      </c>
      <c r="R454" s="9" t="n">
        <v>2719.84</v>
      </c>
      <c r="S454" s="9" t="n">
        <v>2677.51</v>
      </c>
      <c r="T454" s="9" t="n">
        <v>2478.27</v>
      </c>
      <c r="U454" s="10">
        <f>SUM(I454:T454)</f>
        <v/>
      </c>
    </row>
    <row r="455">
      <c r="A455" s="2" t="inlineStr">
        <is>
          <t>SN-2000-2200-2210-2210CH0015</t>
        </is>
      </c>
      <c r="B455" s="2" t="inlineStr">
        <is>
          <t>2210CH0015</t>
        </is>
      </c>
      <c r="C455" s="2" t="inlineStr">
        <is>
          <t>Chute descarga de acopio</t>
        </is>
      </c>
      <c r="D455" s="2" t="n">
        <v>152</v>
      </c>
      <c r="E455" s="2" t="inlineStr">
        <is>
          <t>CC-2000</t>
        </is>
      </c>
      <c r="F455" s="2" t="inlineStr">
        <is>
          <t>P01</t>
        </is>
      </c>
      <c r="G455" s="2" t="n">
        <v>610000</v>
      </c>
      <c r="H455" s="2" t="inlineStr">
        <is>
          <t>Mano obra interna</t>
        </is>
      </c>
      <c r="I455" s="9" t="n">
        <v>1832.74</v>
      </c>
      <c r="J455" s="9" t="n">
        <v>1651.71</v>
      </c>
      <c r="K455" s="9" t="n">
        <v>1764</v>
      </c>
      <c r="L455" s="9" t="n">
        <v>1967.37</v>
      </c>
      <c r="M455" s="9" t="n">
        <v>1914.34</v>
      </c>
      <c r="N455" s="9" t="n">
        <v>1684.34</v>
      </c>
      <c r="O455" s="9" t="n">
        <v>1919.92</v>
      </c>
      <c r="P455" s="9" t="n">
        <v>1808.86</v>
      </c>
      <c r="Q455" s="9" t="n">
        <v>1611.45</v>
      </c>
      <c r="R455" s="9" t="n">
        <v>2001.05</v>
      </c>
      <c r="S455" s="9" t="n">
        <v>1784.16</v>
      </c>
      <c r="T455" s="9" t="n">
        <v>1966.76</v>
      </c>
      <c r="U455" s="10">
        <f>SUM(I455:T455)</f>
        <v/>
      </c>
    </row>
    <row r="456">
      <c r="A456" s="2" t="inlineStr">
        <is>
          <t>SN-2000-2200-2210-2210CH0015</t>
        </is>
      </c>
      <c r="B456" s="2" t="inlineStr">
        <is>
          <t>2210CH0015</t>
        </is>
      </c>
      <c r="C456" s="2" t="inlineStr">
        <is>
          <t>Chute descarga de acopio</t>
        </is>
      </c>
      <c r="D456" s="2" t="n">
        <v>152</v>
      </c>
      <c r="E456" s="2" t="inlineStr">
        <is>
          <t>CC-2000</t>
        </is>
      </c>
      <c r="F456" s="2" t="inlineStr">
        <is>
          <t>P01</t>
        </is>
      </c>
      <c r="G456" s="2" t="n">
        <v>620000</v>
      </c>
      <c r="H456" s="2" t="inlineStr">
        <is>
          <t>Materiales</t>
        </is>
      </c>
      <c r="I456" s="9" t="n">
        <v>1937.99</v>
      </c>
      <c r="J456" s="9" t="n">
        <v>1689.16</v>
      </c>
      <c r="K456" s="9" t="n">
        <v>1788.19</v>
      </c>
      <c r="L456" s="9" t="n">
        <v>1738.41</v>
      </c>
      <c r="M456" s="9" t="n">
        <v>1974.57</v>
      </c>
      <c r="N456" s="9" t="n">
        <v>1851.82</v>
      </c>
      <c r="O456" s="9" t="n">
        <v>1933.19</v>
      </c>
      <c r="P456" s="9" t="n">
        <v>1849.05</v>
      </c>
      <c r="Q456" s="9" t="n">
        <v>1664.83</v>
      </c>
      <c r="R456" s="9" t="n">
        <v>1881.28</v>
      </c>
      <c r="S456" s="9" t="n">
        <v>1726.94</v>
      </c>
      <c r="T456" s="9" t="n">
        <v>1837.78</v>
      </c>
      <c r="U456" s="10">
        <f>SUM(I456:T456)</f>
        <v/>
      </c>
    </row>
    <row r="457">
      <c r="A457" s="2" t="inlineStr">
        <is>
          <t>SN-2000-2200-2210-2210CH0015</t>
        </is>
      </c>
      <c r="B457" s="2" t="inlineStr">
        <is>
          <t>2210CH0015</t>
        </is>
      </c>
      <c r="C457" s="2" t="inlineStr">
        <is>
          <t>Chute descarga de acopio</t>
        </is>
      </c>
      <c r="D457" s="2" t="n">
        <v>152</v>
      </c>
      <c r="E457" s="2" t="inlineStr">
        <is>
          <t>CC-2000</t>
        </is>
      </c>
      <c r="F457" s="2" t="inlineStr">
        <is>
          <t>P01</t>
        </is>
      </c>
      <c r="G457" s="2" t="n">
        <v>630000</v>
      </c>
      <c r="H457" s="2" t="inlineStr">
        <is>
          <t>Servicios externos</t>
        </is>
      </c>
      <c r="I457" s="9" t="n">
        <v>2190.25</v>
      </c>
      <c r="J457" s="9" t="n">
        <v>1957.77</v>
      </c>
      <c r="K457" s="9" t="n">
        <v>2029.84</v>
      </c>
      <c r="L457" s="9" t="n">
        <v>2040.35</v>
      </c>
      <c r="M457" s="9" t="n">
        <v>2079.73</v>
      </c>
      <c r="N457" s="9" t="n">
        <v>2179.61</v>
      </c>
      <c r="O457" s="9" t="n">
        <v>2179.85</v>
      </c>
      <c r="P457" s="9" t="n">
        <v>2233.28</v>
      </c>
      <c r="Q457" s="9" t="n">
        <v>1973.95</v>
      </c>
      <c r="R457" s="9" t="n">
        <v>2248.31</v>
      </c>
      <c r="S457" s="9" t="n">
        <v>1934.59</v>
      </c>
      <c r="T457" s="9" t="n">
        <v>2293.79</v>
      </c>
      <c r="U457" s="10">
        <f>SUM(I457:T457)</f>
        <v/>
      </c>
    </row>
    <row r="458">
      <c r="A458" s="2" t="inlineStr">
        <is>
          <t>SN-2000-2200-2210-2210COS001</t>
        </is>
      </c>
      <c r="B458" s="2" t="inlineStr">
        <is>
          <t>2210COS001</t>
        </is>
      </c>
      <c r="C458" s="2" t="inlineStr">
        <is>
          <t>Acopio mineral grueso</t>
        </is>
      </c>
      <c r="D458" s="2" t="n">
        <v>153</v>
      </c>
      <c r="E458" s="2" t="inlineStr">
        <is>
          <t>CC-2000</t>
        </is>
      </c>
      <c r="F458" s="2" t="inlineStr">
        <is>
          <t>P01</t>
        </is>
      </c>
      <c r="G458" s="2" t="n">
        <v>610000</v>
      </c>
      <c r="H458" s="2" t="inlineStr">
        <is>
          <t>Mano obra interna</t>
        </is>
      </c>
      <c r="I458" s="9" t="n">
        <v>2714.88</v>
      </c>
      <c r="J458" s="9" t="n">
        <v>2771.48</v>
      </c>
      <c r="K458" s="9" t="n">
        <v>2891.6</v>
      </c>
      <c r="L458" s="9" t="n">
        <v>2927.95</v>
      </c>
      <c r="M458" s="9" t="n">
        <v>2977.97</v>
      </c>
      <c r="N458" s="9" t="n">
        <v>2719.47</v>
      </c>
      <c r="O458" s="9" t="n">
        <v>2827.94</v>
      </c>
      <c r="P458" s="9" t="n">
        <v>2604.57</v>
      </c>
      <c r="Q458" s="9" t="n">
        <v>2431.61</v>
      </c>
      <c r="R458" s="9" t="n">
        <v>2877.33</v>
      </c>
      <c r="S458" s="9" t="n">
        <v>2515.5</v>
      </c>
      <c r="T458" s="9" t="n">
        <v>2961.27</v>
      </c>
      <c r="U458" s="10">
        <f>SUM(I458:T458)</f>
        <v/>
      </c>
    </row>
    <row r="459">
      <c r="A459" s="2" t="inlineStr">
        <is>
          <t>SN-2000-2200-2210-2210COS001</t>
        </is>
      </c>
      <c r="B459" s="2" t="inlineStr">
        <is>
          <t>2210COS001</t>
        </is>
      </c>
      <c r="C459" s="2" t="inlineStr">
        <is>
          <t>Acopio mineral grueso</t>
        </is>
      </c>
      <c r="D459" s="2" t="n">
        <v>153</v>
      </c>
      <c r="E459" s="2" t="inlineStr">
        <is>
          <t>CC-2000</t>
        </is>
      </c>
      <c r="F459" s="2" t="inlineStr">
        <is>
          <t>P01</t>
        </is>
      </c>
      <c r="G459" s="2" t="n">
        <v>620000</v>
      </c>
      <c r="H459" s="2" t="inlineStr">
        <is>
          <t>Materiales</t>
        </is>
      </c>
      <c r="I459" s="9" t="n">
        <v>2595.96</v>
      </c>
      <c r="J459" s="9" t="n">
        <v>2802.3</v>
      </c>
      <c r="K459" s="9" t="n">
        <v>2631.76</v>
      </c>
      <c r="L459" s="9" t="n">
        <v>2671.92</v>
      </c>
      <c r="M459" s="9" t="n">
        <v>2564.93</v>
      </c>
      <c r="N459" s="9" t="n">
        <v>2528.82</v>
      </c>
      <c r="O459" s="9" t="n">
        <v>2595.37</v>
      </c>
      <c r="P459" s="9" t="n">
        <v>2693.4</v>
      </c>
      <c r="Q459" s="9" t="n">
        <v>2476.3</v>
      </c>
      <c r="R459" s="9" t="n">
        <v>3138.65</v>
      </c>
      <c r="S459" s="9" t="n">
        <v>2428.23</v>
      </c>
      <c r="T459" s="9" t="n">
        <v>2583.39</v>
      </c>
      <c r="U459" s="10">
        <f>SUM(I459:T459)</f>
        <v/>
      </c>
    </row>
    <row r="460">
      <c r="A460" s="2" t="inlineStr">
        <is>
          <t>SN-2000-2200-2210-2210COS001</t>
        </is>
      </c>
      <c r="B460" s="2" t="inlineStr">
        <is>
          <t>2210COS001</t>
        </is>
      </c>
      <c r="C460" s="2" t="inlineStr">
        <is>
          <t>Acopio mineral grueso</t>
        </is>
      </c>
      <c r="D460" s="2" t="n">
        <v>153</v>
      </c>
      <c r="E460" s="2" t="inlineStr">
        <is>
          <t>CC-2000</t>
        </is>
      </c>
      <c r="F460" s="2" t="inlineStr">
        <is>
          <t>P01</t>
        </is>
      </c>
      <c r="G460" s="2" t="n">
        <v>630000</v>
      </c>
      <c r="H460" s="2" t="inlineStr">
        <is>
          <t>Servicios externos</t>
        </is>
      </c>
      <c r="I460" s="9" t="n">
        <v>2271.13</v>
      </c>
      <c r="J460" s="9" t="n">
        <v>1994.73</v>
      </c>
      <c r="K460" s="9" t="n">
        <v>2370.96</v>
      </c>
      <c r="L460" s="9" t="n">
        <v>2233.18</v>
      </c>
      <c r="M460" s="9" t="n">
        <v>2167.61</v>
      </c>
      <c r="N460" s="9" t="n">
        <v>2105.58</v>
      </c>
      <c r="O460" s="9" t="n">
        <v>2066.91</v>
      </c>
      <c r="P460" s="9" t="n">
        <v>2073.81</v>
      </c>
      <c r="Q460" s="9" t="n">
        <v>1971.25</v>
      </c>
      <c r="R460" s="9" t="n">
        <v>2387.06</v>
      </c>
      <c r="S460" s="9" t="n">
        <v>2013.28</v>
      </c>
      <c r="T460" s="9" t="n">
        <v>2077.36</v>
      </c>
      <c r="U460" s="10">
        <f>SUM(I460:T460)</f>
        <v/>
      </c>
    </row>
    <row r="461">
      <c r="A461" s="2" t="inlineStr">
        <is>
          <t>SN-2000-2200-2210-2210CT0001</t>
        </is>
      </c>
      <c r="B461" s="2" t="inlineStr">
        <is>
          <t>2210CT0001</t>
        </is>
      </c>
      <c r="C461" s="2" t="inlineStr">
        <is>
          <t>Sistema CCTV Stock pile</t>
        </is>
      </c>
      <c r="D461" s="2" t="n">
        <v>154</v>
      </c>
      <c r="E461" s="2" t="inlineStr">
        <is>
          <t>CC-2000</t>
        </is>
      </c>
      <c r="F461" s="2" t="inlineStr">
        <is>
          <t>P01</t>
        </is>
      </c>
      <c r="G461" s="2" t="n">
        <v>610000</v>
      </c>
      <c r="H461" s="2" t="inlineStr">
        <is>
          <t>Mano obra interna</t>
        </is>
      </c>
      <c r="I461" s="9" t="n">
        <v>2538.52</v>
      </c>
      <c r="J461" s="9" t="n">
        <v>2780.28</v>
      </c>
      <c r="K461" s="9" t="n">
        <v>2905.84</v>
      </c>
      <c r="L461" s="9" t="n">
        <v>2662.69</v>
      </c>
      <c r="M461" s="9" t="n">
        <v>2509.41</v>
      </c>
      <c r="N461" s="9" t="n">
        <v>2428.36</v>
      </c>
      <c r="O461" s="9" t="n">
        <v>2778.93</v>
      </c>
      <c r="P461" s="9" t="n">
        <v>2752.09</v>
      </c>
      <c r="Q461" s="9" t="n">
        <v>2619.89</v>
      </c>
      <c r="R461" s="9" t="n">
        <v>3107.05</v>
      </c>
      <c r="S461" s="9" t="n">
        <v>2686.67</v>
      </c>
      <c r="T461" s="9" t="n">
        <v>2582.13</v>
      </c>
      <c r="U461" s="10">
        <f>SUM(I461:T461)</f>
        <v/>
      </c>
    </row>
    <row r="462">
      <c r="A462" s="2" t="inlineStr">
        <is>
          <t>SN-2000-2200-2210-2210CT0001</t>
        </is>
      </c>
      <c r="B462" s="2" t="inlineStr">
        <is>
          <t>2210CT0001</t>
        </is>
      </c>
      <c r="C462" s="2" t="inlineStr">
        <is>
          <t>Sistema CCTV Stock pile</t>
        </is>
      </c>
      <c r="D462" s="2" t="n">
        <v>154</v>
      </c>
      <c r="E462" s="2" t="inlineStr">
        <is>
          <t>CC-2000</t>
        </is>
      </c>
      <c r="F462" s="2" t="inlineStr">
        <is>
          <t>P01</t>
        </is>
      </c>
      <c r="G462" s="2" t="n">
        <v>620000</v>
      </c>
      <c r="H462" s="2" t="inlineStr">
        <is>
          <t>Materiales</t>
        </is>
      </c>
      <c r="I462" s="9" t="n">
        <v>2286.6</v>
      </c>
      <c r="J462" s="9" t="n">
        <v>1994.2</v>
      </c>
      <c r="K462" s="9" t="n">
        <v>2040.98</v>
      </c>
      <c r="L462" s="9" t="n">
        <v>2241.04</v>
      </c>
      <c r="M462" s="9" t="n">
        <v>2068.89</v>
      </c>
      <c r="N462" s="9" t="n">
        <v>2166.79</v>
      </c>
      <c r="O462" s="9" t="n">
        <v>2175.67</v>
      </c>
      <c r="P462" s="9" t="n">
        <v>1982.98</v>
      </c>
      <c r="Q462" s="9" t="n">
        <v>2118.5</v>
      </c>
      <c r="R462" s="9" t="n">
        <v>2201.71</v>
      </c>
      <c r="S462" s="9" t="n">
        <v>2002.27</v>
      </c>
      <c r="T462" s="9" t="n">
        <v>2121.46</v>
      </c>
      <c r="U462" s="10">
        <f>SUM(I462:T462)</f>
        <v/>
      </c>
    </row>
    <row r="463">
      <c r="A463" s="2" t="inlineStr">
        <is>
          <t>SN-2000-2200-2210-2210CT0001</t>
        </is>
      </c>
      <c r="B463" s="2" t="inlineStr">
        <is>
          <t>2210CT0001</t>
        </is>
      </c>
      <c r="C463" s="2" t="inlineStr">
        <is>
          <t>Sistema CCTV Stock pile</t>
        </is>
      </c>
      <c r="D463" s="2" t="n">
        <v>154</v>
      </c>
      <c r="E463" s="2" t="inlineStr">
        <is>
          <t>CC-2000</t>
        </is>
      </c>
      <c r="F463" s="2" t="inlineStr">
        <is>
          <t>P01</t>
        </is>
      </c>
      <c r="G463" s="2" t="n">
        <v>630000</v>
      </c>
      <c r="H463" s="2" t="inlineStr">
        <is>
          <t>Servicios externos</t>
        </is>
      </c>
      <c r="I463" s="9" t="n">
        <v>2040.06</v>
      </c>
      <c r="J463" s="9" t="n">
        <v>1850.55</v>
      </c>
      <c r="K463" s="9" t="n">
        <v>2030.1</v>
      </c>
      <c r="L463" s="9" t="n">
        <v>1994.78</v>
      </c>
      <c r="M463" s="9" t="n">
        <v>2065.22</v>
      </c>
      <c r="N463" s="9" t="n">
        <v>2004.4</v>
      </c>
      <c r="O463" s="9" t="n">
        <v>1889.49</v>
      </c>
      <c r="P463" s="9" t="n">
        <v>1955.36</v>
      </c>
      <c r="Q463" s="9" t="n">
        <v>1823.59</v>
      </c>
      <c r="R463" s="9" t="n">
        <v>2036.06</v>
      </c>
      <c r="S463" s="9" t="n">
        <v>2028.09</v>
      </c>
      <c r="T463" s="9" t="n">
        <v>2096.48</v>
      </c>
      <c r="U463" s="10">
        <f>SUM(I463:T463)</f>
        <v/>
      </c>
    </row>
    <row r="464">
      <c r="A464" s="2" t="inlineStr">
        <is>
          <t>SN-2000-2200-2210-2210CV0003</t>
        </is>
      </c>
      <c r="B464" s="2" t="inlineStr">
        <is>
          <t>2210CV0003</t>
        </is>
      </c>
      <c r="C464" s="2" t="inlineStr">
        <is>
          <t>Correa alimentación SAG</t>
        </is>
      </c>
      <c r="D464" s="2" t="n">
        <v>155</v>
      </c>
      <c r="E464" s="2" t="inlineStr">
        <is>
          <t>CC-2000</t>
        </is>
      </c>
      <c r="F464" s="2" t="inlineStr">
        <is>
          <t>P01</t>
        </is>
      </c>
      <c r="G464" s="2" t="n">
        <v>610000</v>
      </c>
      <c r="H464" s="2" t="inlineStr">
        <is>
          <t>Mano obra interna</t>
        </is>
      </c>
      <c r="I464" s="9" t="n">
        <v>766.36</v>
      </c>
      <c r="J464" s="9" t="n">
        <v>707.8</v>
      </c>
      <c r="K464" s="9" t="n">
        <v>807.5700000000001</v>
      </c>
      <c r="L464" s="9" t="n">
        <v>736.48</v>
      </c>
      <c r="M464" s="9" t="n">
        <v>818.15</v>
      </c>
      <c r="N464" s="9" t="n">
        <v>766.3</v>
      </c>
      <c r="O464" s="9" t="n">
        <v>753.9299999999999</v>
      </c>
      <c r="P464" s="9" t="n">
        <v>776.13</v>
      </c>
      <c r="Q464" s="9" t="n">
        <v>761.04</v>
      </c>
      <c r="R464" s="9" t="n">
        <v>834.38</v>
      </c>
      <c r="S464" s="9" t="n">
        <v>703.89</v>
      </c>
      <c r="T464" s="9" t="n">
        <v>763.35</v>
      </c>
      <c r="U464" s="10">
        <f>SUM(I464:T464)</f>
        <v/>
      </c>
    </row>
    <row r="465">
      <c r="A465" s="2" t="inlineStr">
        <is>
          <t>SN-2000-2200-2210-2210CV0003</t>
        </is>
      </c>
      <c r="B465" s="2" t="inlineStr">
        <is>
          <t>2210CV0003</t>
        </is>
      </c>
      <c r="C465" s="2" t="inlineStr">
        <is>
          <t>Correa alimentación SAG</t>
        </is>
      </c>
      <c r="D465" s="2" t="n">
        <v>155</v>
      </c>
      <c r="E465" s="2" t="inlineStr">
        <is>
          <t>CC-2000</t>
        </is>
      </c>
      <c r="F465" s="2" t="inlineStr">
        <is>
          <t>P01</t>
        </is>
      </c>
      <c r="G465" s="2" t="n">
        <v>620000</v>
      </c>
      <c r="H465" s="2" t="inlineStr">
        <is>
          <t>Materiales</t>
        </is>
      </c>
      <c r="I465" s="9" t="n">
        <v>923.47</v>
      </c>
      <c r="J465" s="9" t="n">
        <v>891.8200000000001</v>
      </c>
      <c r="K465" s="9" t="n">
        <v>965.73</v>
      </c>
      <c r="L465" s="9" t="n">
        <v>960.67</v>
      </c>
      <c r="M465" s="9" t="n">
        <v>933.84</v>
      </c>
      <c r="N465" s="9" t="n">
        <v>790.5700000000001</v>
      </c>
      <c r="O465" s="9" t="n">
        <v>890.86</v>
      </c>
      <c r="P465" s="9" t="n">
        <v>917.55</v>
      </c>
      <c r="Q465" s="9" t="n">
        <v>856.9299999999999</v>
      </c>
      <c r="R465" s="9" t="n">
        <v>969.84</v>
      </c>
      <c r="S465" s="9" t="n">
        <v>810.34</v>
      </c>
      <c r="T465" s="9" t="n">
        <v>940.04</v>
      </c>
      <c r="U465" s="10">
        <f>SUM(I465:T465)</f>
        <v/>
      </c>
    </row>
    <row r="466">
      <c r="A466" s="2" t="inlineStr">
        <is>
          <t>SN-2000-2200-2210-2210CV0003</t>
        </is>
      </c>
      <c r="B466" s="2" t="inlineStr">
        <is>
          <t>2210CV0003</t>
        </is>
      </c>
      <c r="C466" s="2" t="inlineStr">
        <is>
          <t>Correa alimentación SAG</t>
        </is>
      </c>
      <c r="D466" s="2" t="n">
        <v>155</v>
      </c>
      <c r="E466" s="2" t="inlineStr">
        <is>
          <t>CC-2000</t>
        </is>
      </c>
      <c r="F466" s="2" t="inlineStr">
        <is>
          <t>P01</t>
        </is>
      </c>
      <c r="G466" s="2" t="n">
        <v>630000</v>
      </c>
      <c r="H466" s="2" t="inlineStr">
        <is>
          <t>Servicios externos</t>
        </is>
      </c>
      <c r="I466" s="9" t="n">
        <v>850.5</v>
      </c>
      <c r="J466" s="9" t="n">
        <v>873.62</v>
      </c>
      <c r="K466" s="9" t="n">
        <v>872.4299999999999</v>
      </c>
      <c r="L466" s="9" t="n">
        <v>888.17</v>
      </c>
      <c r="M466" s="9" t="n">
        <v>814.9</v>
      </c>
      <c r="N466" s="9" t="n">
        <v>839.42</v>
      </c>
      <c r="O466" s="9" t="n">
        <v>899.74</v>
      </c>
      <c r="P466" s="9" t="n">
        <v>908.61</v>
      </c>
      <c r="Q466" s="9" t="n">
        <v>852.27</v>
      </c>
      <c r="R466" s="9" t="n">
        <v>1013.96</v>
      </c>
      <c r="S466" s="9" t="n">
        <v>824.4</v>
      </c>
      <c r="T466" s="9" t="n">
        <v>850.48</v>
      </c>
      <c r="U466" s="10">
        <f>SUM(I466:T466)</f>
        <v/>
      </c>
    </row>
    <row r="467">
      <c r="A467" s="2" t="inlineStr">
        <is>
          <t>SN-2000-2200-2210-2210DT0003</t>
        </is>
      </c>
      <c r="B467" s="2" t="inlineStr">
        <is>
          <t>2210DT0003</t>
        </is>
      </c>
      <c r="C467" s="2" t="inlineStr">
        <is>
          <t>Sistema supresión polvo</t>
        </is>
      </c>
      <c r="D467" s="2" t="n">
        <v>156</v>
      </c>
      <c r="E467" s="2" t="inlineStr">
        <is>
          <t>CC-2000</t>
        </is>
      </c>
      <c r="F467" s="2" t="inlineStr">
        <is>
          <t>P01</t>
        </is>
      </c>
      <c r="G467" s="2" t="n">
        <v>610000</v>
      </c>
      <c r="H467" s="2" t="inlineStr">
        <is>
          <t>Mano obra interna</t>
        </is>
      </c>
      <c r="I467" s="9" t="n">
        <v>381.19</v>
      </c>
      <c r="J467" s="9" t="n">
        <v>418.69</v>
      </c>
      <c r="K467" s="9" t="n">
        <v>429.95</v>
      </c>
      <c r="L467" s="9" t="n">
        <v>403.88</v>
      </c>
      <c r="M467" s="9" t="n">
        <v>421.14</v>
      </c>
      <c r="N467" s="9" t="n">
        <v>353.42</v>
      </c>
      <c r="O467" s="9" t="n">
        <v>382.84</v>
      </c>
      <c r="P467" s="9" t="n">
        <v>403.55</v>
      </c>
      <c r="Q467" s="9" t="n">
        <v>358.97</v>
      </c>
      <c r="R467" s="9" t="n">
        <v>455.3</v>
      </c>
      <c r="S467" s="9" t="n">
        <v>355.91</v>
      </c>
      <c r="T467" s="9" t="n">
        <v>404.15</v>
      </c>
      <c r="U467" s="10">
        <f>SUM(I467:T467)</f>
        <v/>
      </c>
    </row>
    <row r="468">
      <c r="A468" s="2" t="inlineStr">
        <is>
          <t>SN-2000-2200-2210-2210DT0003</t>
        </is>
      </c>
      <c r="B468" s="2" t="inlineStr">
        <is>
          <t>2210DT0003</t>
        </is>
      </c>
      <c r="C468" s="2" t="inlineStr">
        <is>
          <t>Sistema supresión polvo</t>
        </is>
      </c>
      <c r="D468" s="2" t="n">
        <v>156</v>
      </c>
      <c r="E468" s="2" t="inlineStr">
        <is>
          <t>CC-2000</t>
        </is>
      </c>
      <c r="F468" s="2" t="inlineStr">
        <is>
          <t>P01</t>
        </is>
      </c>
      <c r="G468" s="2" t="n">
        <v>620000</v>
      </c>
      <c r="H468" s="2" t="inlineStr">
        <is>
          <t>Materiales</t>
        </is>
      </c>
      <c r="I468" s="9" t="n">
        <v>371.06</v>
      </c>
      <c r="J468" s="9" t="n">
        <v>335.78</v>
      </c>
      <c r="K468" s="9" t="n">
        <v>358.11</v>
      </c>
      <c r="L468" s="9" t="n">
        <v>382.58</v>
      </c>
      <c r="M468" s="9" t="n">
        <v>334</v>
      </c>
      <c r="N468" s="9" t="n">
        <v>356.97</v>
      </c>
      <c r="O468" s="9" t="n">
        <v>358.53</v>
      </c>
      <c r="P468" s="9" t="n">
        <v>369.42</v>
      </c>
      <c r="Q468" s="9" t="n">
        <v>341.58</v>
      </c>
      <c r="R468" s="9" t="n">
        <v>364.73</v>
      </c>
      <c r="S468" s="9" t="n">
        <v>347.26</v>
      </c>
      <c r="T468" s="9" t="n">
        <v>381.27</v>
      </c>
      <c r="U468" s="10">
        <f>SUM(I468:T468)</f>
        <v/>
      </c>
    </row>
    <row r="469">
      <c r="A469" s="2" t="inlineStr">
        <is>
          <t>SN-2000-2200-2210-2210DT0003</t>
        </is>
      </c>
      <c r="B469" s="2" t="inlineStr">
        <is>
          <t>2210DT0003</t>
        </is>
      </c>
      <c r="C469" s="2" t="inlineStr">
        <is>
          <t>Sistema supresión polvo</t>
        </is>
      </c>
      <c r="D469" s="2" t="n">
        <v>156</v>
      </c>
      <c r="E469" s="2" t="inlineStr">
        <is>
          <t>CC-2000</t>
        </is>
      </c>
      <c r="F469" s="2" t="inlineStr">
        <is>
          <t>P01</t>
        </is>
      </c>
      <c r="G469" s="2" t="n">
        <v>630000</v>
      </c>
      <c r="H469" s="2" t="inlineStr">
        <is>
          <t>Servicios externos</t>
        </is>
      </c>
      <c r="I469" s="9" t="n">
        <v>373.06</v>
      </c>
      <c r="J469" s="9" t="n">
        <v>332.34</v>
      </c>
      <c r="K469" s="9" t="n">
        <v>330.76</v>
      </c>
      <c r="L469" s="9" t="n">
        <v>341.4</v>
      </c>
      <c r="M469" s="9" t="n">
        <v>360.86</v>
      </c>
      <c r="N469" s="9" t="n">
        <v>315.74</v>
      </c>
      <c r="O469" s="9" t="n">
        <v>360.24</v>
      </c>
      <c r="P469" s="9" t="n">
        <v>360.53</v>
      </c>
      <c r="Q469" s="9" t="n">
        <v>308.96</v>
      </c>
      <c r="R469" s="9" t="n">
        <v>342.27</v>
      </c>
      <c r="S469" s="9" t="n">
        <v>341.02</v>
      </c>
      <c r="T469" s="9" t="n">
        <v>334.69</v>
      </c>
      <c r="U469" s="10">
        <f>SUM(I469:T469)</f>
        <v/>
      </c>
    </row>
    <row r="470">
      <c r="A470" s="2" t="inlineStr">
        <is>
          <t>SN-2000-2200-2210-2210FA0008</t>
        </is>
      </c>
      <c r="B470" s="2" t="inlineStr">
        <is>
          <t>2210FA0008</t>
        </is>
      </c>
      <c r="C470" s="2" t="inlineStr">
        <is>
          <t>Ventilador túnel emergencia</t>
        </is>
      </c>
      <c r="D470" s="2" t="n">
        <v>157</v>
      </c>
      <c r="E470" s="2" t="inlineStr">
        <is>
          <t>CC-2000</t>
        </is>
      </c>
      <c r="F470" s="2" t="inlineStr">
        <is>
          <t>P01</t>
        </is>
      </c>
      <c r="G470" s="2" t="n">
        <v>610000</v>
      </c>
      <c r="H470" s="2" t="inlineStr">
        <is>
          <t>Mano obra interna</t>
        </is>
      </c>
      <c r="I470" s="9" t="n">
        <v>1925.38</v>
      </c>
      <c r="J470" s="9" t="n">
        <v>1870.29</v>
      </c>
      <c r="K470" s="9" t="n">
        <v>2051.08</v>
      </c>
      <c r="L470" s="9" t="n">
        <v>1908.87</v>
      </c>
      <c r="M470" s="9" t="n">
        <v>1866.7</v>
      </c>
      <c r="N470" s="9" t="n">
        <v>1783.85</v>
      </c>
      <c r="O470" s="9" t="n">
        <v>1863.97</v>
      </c>
      <c r="P470" s="9" t="n">
        <v>1910</v>
      </c>
      <c r="Q470" s="9" t="n">
        <v>1859.5</v>
      </c>
      <c r="R470" s="9" t="n">
        <v>2007.41</v>
      </c>
      <c r="S470" s="9" t="n">
        <v>1849.89</v>
      </c>
      <c r="T470" s="9" t="n">
        <v>1984.56</v>
      </c>
      <c r="U470" s="10">
        <f>SUM(I470:T470)</f>
        <v/>
      </c>
    </row>
    <row r="471">
      <c r="A471" s="2" t="inlineStr">
        <is>
          <t>SN-2000-2200-2210-2210FA0008</t>
        </is>
      </c>
      <c r="B471" s="2" t="inlineStr">
        <is>
          <t>2210FA0008</t>
        </is>
      </c>
      <c r="C471" s="2" t="inlineStr">
        <is>
          <t>Ventilador túnel emergencia</t>
        </is>
      </c>
      <c r="D471" s="2" t="n">
        <v>157</v>
      </c>
      <c r="E471" s="2" t="inlineStr">
        <is>
          <t>CC-2000</t>
        </is>
      </c>
      <c r="F471" s="2" t="inlineStr">
        <is>
          <t>P01</t>
        </is>
      </c>
      <c r="G471" s="2" t="n">
        <v>620000</v>
      </c>
      <c r="H471" s="2" t="inlineStr">
        <is>
          <t>Materiales</t>
        </is>
      </c>
      <c r="I471" s="9" t="n">
        <v>1574.04</v>
      </c>
      <c r="J471" s="9" t="n">
        <v>1683.8</v>
      </c>
      <c r="K471" s="9" t="n">
        <v>1708.39</v>
      </c>
      <c r="L471" s="9" t="n">
        <v>1654.24</v>
      </c>
      <c r="M471" s="9" t="n">
        <v>1619.67</v>
      </c>
      <c r="N471" s="9" t="n">
        <v>1413.45</v>
      </c>
      <c r="O471" s="9" t="n">
        <v>1629.76</v>
      </c>
      <c r="P471" s="9" t="n">
        <v>1600.05</v>
      </c>
      <c r="Q471" s="9" t="n">
        <v>1499.19</v>
      </c>
      <c r="R471" s="9" t="n">
        <v>1685.42</v>
      </c>
      <c r="S471" s="9" t="n">
        <v>1444.11</v>
      </c>
      <c r="T471" s="9" t="n">
        <v>1542.94</v>
      </c>
      <c r="U471" s="10">
        <f>SUM(I471:T471)</f>
        <v/>
      </c>
    </row>
    <row r="472">
      <c r="A472" s="2" t="inlineStr">
        <is>
          <t>SN-2000-2200-2210-2210FA0008</t>
        </is>
      </c>
      <c r="B472" s="2" t="inlineStr">
        <is>
          <t>2210FA0008</t>
        </is>
      </c>
      <c r="C472" s="2" t="inlineStr">
        <is>
          <t>Ventilador túnel emergencia</t>
        </is>
      </c>
      <c r="D472" s="2" t="n">
        <v>157</v>
      </c>
      <c r="E472" s="2" t="inlineStr">
        <is>
          <t>CC-2000</t>
        </is>
      </c>
      <c r="F472" s="2" t="inlineStr">
        <is>
          <t>P01</t>
        </is>
      </c>
      <c r="G472" s="2" t="n">
        <v>630000</v>
      </c>
      <c r="H472" s="2" t="inlineStr">
        <is>
          <t>Servicios externos</t>
        </is>
      </c>
      <c r="I472" s="9" t="n">
        <v>1989.07</v>
      </c>
      <c r="J472" s="9" t="n">
        <v>1937.01</v>
      </c>
      <c r="K472" s="9" t="n">
        <v>1893.91</v>
      </c>
      <c r="L472" s="9" t="n">
        <v>1871.4</v>
      </c>
      <c r="M472" s="9" t="n">
        <v>2024.88</v>
      </c>
      <c r="N472" s="9" t="n">
        <v>1901.99</v>
      </c>
      <c r="O472" s="9" t="n">
        <v>1980.99</v>
      </c>
      <c r="P472" s="9" t="n">
        <v>1894.65</v>
      </c>
      <c r="Q472" s="9" t="n">
        <v>1912.74</v>
      </c>
      <c r="R472" s="9" t="n">
        <v>2019.22</v>
      </c>
      <c r="S472" s="9" t="n">
        <v>1819.22</v>
      </c>
      <c r="T472" s="9" t="n">
        <v>1994.08</v>
      </c>
      <c r="U472" s="10">
        <f>SUM(I472:T472)</f>
        <v/>
      </c>
    </row>
    <row r="473">
      <c r="A473" s="2" t="inlineStr">
        <is>
          <t>SN-2000-2200-2210-2210FE0001</t>
        </is>
      </c>
      <c r="B473" s="2" t="inlineStr">
        <is>
          <t>2210FE0001</t>
        </is>
      </c>
      <c r="C473" s="2" t="inlineStr">
        <is>
          <t>Alimentador de placas</t>
        </is>
      </c>
      <c r="D473" s="2" t="n">
        <v>158</v>
      </c>
      <c r="E473" s="2" t="inlineStr">
        <is>
          <t>CC-2000</t>
        </is>
      </c>
      <c r="F473" s="2" t="inlineStr">
        <is>
          <t>P01</t>
        </is>
      </c>
      <c r="G473" s="2" t="n">
        <v>610000</v>
      </c>
      <c r="H473" s="2" t="inlineStr">
        <is>
          <t>Mano obra interna</t>
        </is>
      </c>
      <c r="I473" s="9" t="n">
        <v>558.3</v>
      </c>
      <c r="J473" s="9" t="n">
        <v>574.34</v>
      </c>
      <c r="K473" s="9" t="n">
        <v>602.17</v>
      </c>
      <c r="L473" s="9" t="n">
        <v>612.74</v>
      </c>
      <c r="M473" s="9" t="n">
        <v>556.61</v>
      </c>
      <c r="N473" s="9" t="n">
        <v>507.67</v>
      </c>
      <c r="O473" s="9" t="n">
        <v>549.54</v>
      </c>
      <c r="P473" s="9" t="n">
        <v>613.24</v>
      </c>
      <c r="Q473" s="9" t="n">
        <v>538.71</v>
      </c>
      <c r="R473" s="9" t="n">
        <v>635.25</v>
      </c>
      <c r="S473" s="9" t="n">
        <v>508.24</v>
      </c>
      <c r="T473" s="9" t="n">
        <v>580.08</v>
      </c>
      <c r="U473" s="10">
        <f>SUM(I473:T473)</f>
        <v/>
      </c>
    </row>
    <row r="474">
      <c r="A474" s="2" t="inlineStr">
        <is>
          <t>SN-2000-2200-2210-2210FE0001</t>
        </is>
      </c>
      <c r="B474" s="2" t="inlineStr">
        <is>
          <t>2210FE0001</t>
        </is>
      </c>
      <c r="C474" s="2" t="inlineStr">
        <is>
          <t>Alimentador de placas</t>
        </is>
      </c>
      <c r="D474" s="2" t="n">
        <v>158</v>
      </c>
      <c r="E474" s="2" t="inlineStr">
        <is>
          <t>CC-2000</t>
        </is>
      </c>
      <c r="F474" s="2" t="inlineStr">
        <is>
          <t>P01</t>
        </is>
      </c>
      <c r="G474" s="2" t="n">
        <v>620000</v>
      </c>
      <c r="H474" s="2" t="inlineStr">
        <is>
          <t>Materiales</t>
        </is>
      </c>
      <c r="I474" s="9" t="n">
        <v>520.21</v>
      </c>
      <c r="J474" s="9" t="n">
        <v>529.79</v>
      </c>
      <c r="K474" s="9" t="n">
        <v>558.92</v>
      </c>
      <c r="L474" s="9" t="n">
        <v>518.45</v>
      </c>
      <c r="M474" s="9" t="n">
        <v>495.45</v>
      </c>
      <c r="N474" s="9" t="n">
        <v>516.17</v>
      </c>
      <c r="O474" s="9" t="n">
        <v>518.23</v>
      </c>
      <c r="P474" s="9" t="n">
        <v>468.56</v>
      </c>
      <c r="Q474" s="9" t="n">
        <v>466.59</v>
      </c>
      <c r="R474" s="9" t="n">
        <v>520.9400000000001</v>
      </c>
      <c r="S474" s="9" t="n">
        <v>485.55</v>
      </c>
      <c r="T474" s="9" t="n">
        <v>507.84</v>
      </c>
      <c r="U474" s="10">
        <f>SUM(I474:T474)</f>
        <v/>
      </c>
    </row>
    <row r="475">
      <c r="A475" s="2" t="inlineStr">
        <is>
          <t>SN-2000-2200-2210-2210FE0001</t>
        </is>
      </c>
      <c r="B475" s="2" t="inlineStr">
        <is>
          <t>2210FE0001</t>
        </is>
      </c>
      <c r="C475" s="2" t="inlineStr">
        <is>
          <t>Alimentador de placas</t>
        </is>
      </c>
      <c r="D475" s="2" t="n">
        <v>158</v>
      </c>
      <c r="E475" s="2" t="inlineStr">
        <is>
          <t>CC-2000</t>
        </is>
      </c>
      <c r="F475" s="2" t="inlineStr">
        <is>
          <t>P01</t>
        </is>
      </c>
      <c r="G475" s="2" t="n">
        <v>630000</v>
      </c>
      <c r="H475" s="2" t="inlineStr">
        <is>
          <t>Servicios externos</t>
        </is>
      </c>
      <c r="I475" s="9" t="n">
        <v>599.89</v>
      </c>
      <c r="J475" s="9" t="n">
        <v>560.5</v>
      </c>
      <c r="K475" s="9" t="n">
        <v>620.8200000000001</v>
      </c>
      <c r="L475" s="9" t="n">
        <v>647.15</v>
      </c>
      <c r="M475" s="9" t="n">
        <v>610.8200000000001</v>
      </c>
      <c r="N475" s="9" t="n">
        <v>560.13</v>
      </c>
      <c r="O475" s="9" t="n">
        <v>643.62</v>
      </c>
      <c r="P475" s="9" t="n">
        <v>640.61</v>
      </c>
      <c r="Q475" s="9" t="n">
        <v>533.8099999999999</v>
      </c>
      <c r="R475" s="9" t="n">
        <v>600.79</v>
      </c>
      <c r="S475" s="9" t="n">
        <v>604.6900000000001</v>
      </c>
      <c r="T475" s="9" t="n">
        <v>642.34</v>
      </c>
      <c r="U475" s="10">
        <f>SUM(I475:T475)</f>
        <v/>
      </c>
    </row>
    <row r="476">
      <c r="A476" s="2" t="inlineStr">
        <is>
          <t>SN-2000-2200-2210-2210FE0002</t>
        </is>
      </c>
      <c r="B476" s="2" t="inlineStr">
        <is>
          <t>2210FE0002</t>
        </is>
      </c>
      <c r="C476" s="2" t="inlineStr">
        <is>
          <t>Alimentador de placas</t>
        </is>
      </c>
      <c r="D476" s="2" t="n">
        <v>159</v>
      </c>
      <c r="E476" s="2" t="inlineStr">
        <is>
          <t>CC-2000</t>
        </is>
      </c>
      <c r="F476" s="2" t="inlineStr">
        <is>
          <t>P01</t>
        </is>
      </c>
      <c r="G476" s="2" t="n">
        <v>610000</v>
      </c>
      <c r="H476" s="2" t="inlineStr">
        <is>
          <t>Mano obra interna</t>
        </is>
      </c>
      <c r="I476" s="9" t="n">
        <v>3475.97</v>
      </c>
      <c r="J476" s="9" t="n">
        <v>3207.32</v>
      </c>
      <c r="K476" s="9" t="n">
        <v>3322.39</v>
      </c>
      <c r="L476" s="9" t="n">
        <v>3028.26</v>
      </c>
      <c r="M476" s="9" t="n">
        <v>3043.35</v>
      </c>
      <c r="N476" s="9" t="n">
        <v>3044.47</v>
      </c>
      <c r="O476" s="9" t="n">
        <v>3272.45</v>
      </c>
      <c r="P476" s="9" t="n">
        <v>3232.02</v>
      </c>
      <c r="Q476" s="9" t="n">
        <v>3099.35</v>
      </c>
      <c r="R476" s="9" t="n">
        <v>3334.64</v>
      </c>
      <c r="S476" s="9" t="n">
        <v>3134.96</v>
      </c>
      <c r="T476" s="9" t="n">
        <v>3038.32</v>
      </c>
      <c r="U476" s="10">
        <f>SUM(I476:T476)</f>
        <v/>
      </c>
    </row>
    <row r="477">
      <c r="A477" s="2" t="inlineStr">
        <is>
          <t>SN-2000-2200-2210-2210FE0002</t>
        </is>
      </c>
      <c r="B477" s="2" t="inlineStr">
        <is>
          <t>2210FE0002</t>
        </is>
      </c>
      <c r="C477" s="2" t="inlineStr">
        <is>
          <t>Alimentador de placas</t>
        </is>
      </c>
      <c r="D477" s="2" t="n">
        <v>159</v>
      </c>
      <c r="E477" s="2" t="inlineStr">
        <is>
          <t>CC-2000</t>
        </is>
      </c>
      <c r="F477" s="2" t="inlineStr">
        <is>
          <t>P01</t>
        </is>
      </c>
      <c r="G477" s="2" t="n">
        <v>620000</v>
      </c>
      <c r="H477" s="2" t="inlineStr">
        <is>
          <t>Materiales</t>
        </is>
      </c>
      <c r="I477" s="9" t="n">
        <v>2749.03</v>
      </c>
      <c r="J477" s="9" t="n">
        <v>2628.96</v>
      </c>
      <c r="K477" s="9" t="n">
        <v>2880.88</v>
      </c>
      <c r="L477" s="9" t="n">
        <v>2552.3</v>
      </c>
      <c r="M477" s="9" t="n">
        <v>2561.73</v>
      </c>
      <c r="N477" s="9" t="n">
        <v>2407.99</v>
      </c>
      <c r="O477" s="9" t="n">
        <v>2565.81</v>
      </c>
      <c r="P477" s="9" t="n">
        <v>2735.09</v>
      </c>
      <c r="Q477" s="9" t="n">
        <v>2481.32</v>
      </c>
      <c r="R477" s="9" t="n">
        <v>2963.19</v>
      </c>
      <c r="S477" s="9" t="n">
        <v>2387.66</v>
      </c>
      <c r="T477" s="9" t="n">
        <v>2784.68</v>
      </c>
      <c r="U477" s="10">
        <f>SUM(I477:T477)</f>
        <v/>
      </c>
    </row>
    <row r="478">
      <c r="A478" s="2" t="inlineStr">
        <is>
          <t>SN-2000-2200-2210-2210FE0002</t>
        </is>
      </c>
      <c r="B478" s="2" t="inlineStr">
        <is>
          <t>2210FE0002</t>
        </is>
      </c>
      <c r="C478" s="2" t="inlineStr">
        <is>
          <t>Alimentador de placas</t>
        </is>
      </c>
      <c r="D478" s="2" t="n">
        <v>159</v>
      </c>
      <c r="E478" s="2" t="inlineStr">
        <is>
          <t>CC-2000</t>
        </is>
      </c>
      <c r="F478" s="2" t="inlineStr">
        <is>
          <t>P01</t>
        </is>
      </c>
      <c r="G478" s="2" t="n">
        <v>630000</v>
      </c>
      <c r="H478" s="2" t="inlineStr">
        <is>
          <t>Servicios externos</t>
        </is>
      </c>
      <c r="I478" s="9" t="n">
        <v>2564.64</v>
      </c>
      <c r="J478" s="9" t="n">
        <v>2265.69</v>
      </c>
      <c r="K478" s="9" t="n">
        <v>2367.67</v>
      </c>
      <c r="L478" s="9" t="n">
        <v>2422.03</v>
      </c>
      <c r="M478" s="9" t="n">
        <v>2505.8</v>
      </c>
      <c r="N478" s="9" t="n">
        <v>2097.69</v>
      </c>
      <c r="O478" s="9" t="n">
        <v>2310.34</v>
      </c>
      <c r="P478" s="9" t="n">
        <v>2498.29</v>
      </c>
      <c r="Q478" s="9" t="n">
        <v>2165.1</v>
      </c>
      <c r="R478" s="9" t="n">
        <v>2427.93</v>
      </c>
      <c r="S478" s="9" t="n">
        <v>2262.13</v>
      </c>
      <c r="T478" s="9" t="n">
        <v>2356.38</v>
      </c>
      <c r="U478" s="10">
        <f>SUM(I478:T478)</f>
        <v/>
      </c>
    </row>
    <row r="479">
      <c r="A479" s="2" t="inlineStr">
        <is>
          <t>SN-2000-2200-2210-2210FP1001</t>
        </is>
      </c>
      <c r="B479" s="2" t="inlineStr">
        <is>
          <t>2210FP1001</t>
        </is>
      </c>
      <c r="C479" s="2" t="inlineStr">
        <is>
          <t>Tablero SCI</t>
        </is>
      </c>
      <c r="D479" s="2" t="n">
        <v>160</v>
      </c>
      <c r="E479" s="2" t="inlineStr">
        <is>
          <t>CC-2000</t>
        </is>
      </c>
      <c r="F479" s="2" t="inlineStr">
        <is>
          <t>P01</t>
        </is>
      </c>
      <c r="G479" s="2" t="n">
        <v>610000</v>
      </c>
      <c r="H479" s="2" t="inlineStr">
        <is>
          <t>Mano obra interna</t>
        </is>
      </c>
      <c r="I479" s="9" t="n">
        <v>405.7</v>
      </c>
      <c r="J479" s="9" t="n">
        <v>375.96</v>
      </c>
      <c r="K479" s="9" t="n">
        <v>424.24</v>
      </c>
      <c r="L479" s="9" t="n">
        <v>387.67</v>
      </c>
      <c r="M479" s="9" t="n">
        <v>350.8</v>
      </c>
      <c r="N479" s="9" t="n">
        <v>350.8</v>
      </c>
      <c r="O479" s="9" t="n">
        <v>377.7</v>
      </c>
      <c r="P479" s="9" t="n">
        <v>360.22</v>
      </c>
      <c r="Q479" s="9" t="n">
        <v>380.49</v>
      </c>
      <c r="R479" s="9" t="n">
        <v>428.9</v>
      </c>
      <c r="S479" s="9" t="n">
        <v>355.56</v>
      </c>
      <c r="T479" s="9" t="n">
        <v>392.71</v>
      </c>
      <c r="U479" s="10">
        <f>SUM(I479:T479)</f>
        <v/>
      </c>
    </row>
    <row r="480">
      <c r="A480" s="2" t="inlineStr">
        <is>
          <t>SN-2000-2200-2210-2210FP1001</t>
        </is>
      </c>
      <c r="B480" s="2" t="inlineStr">
        <is>
          <t>2210FP1001</t>
        </is>
      </c>
      <c r="C480" s="2" t="inlineStr">
        <is>
          <t>Tablero SCI</t>
        </is>
      </c>
      <c r="D480" s="2" t="n">
        <v>160</v>
      </c>
      <c r="E480" s="2" t="inlineStr">
        <is>
          <t>CC-2000</t>
        </is>
      </c>
      <c r="F480" s="2" t="inlineStr">
        <is>
          <t>P01</t>
        </is>
      </c>
      <c r="G480" s="2" t="n">
        <v>620000</v>
      </c>
      <c r="H480" s="2" t="inlineStr">
        <is>
          <t>Materiales</t>
        </is>
      </c>
      <c r="I480" s="9" t="n">
        <v>384.83</v>
      </c>
      <c r="J480" s="9" t="n">
        <v>367.95</v>
      </c>
      <c r="K480" s="9" t="n">
        <v>364.13</v>
      </c>
      <c r="L480" s="9" t="n">
        <v>375.68</v>
      </c>
      <c r="M480" s="9" t="n">
        <v>351.93</v>
      </c>
      <c r="N480" s="9" t="n">
        <v>339.48</v>
      </c>
      <c r="O480" s="9" t="n">
        <v>330.55</v>
      </c>
      <c r="P480" s="9" t="n">
        <v>330.8</v>
      </c>
      <c r="Q480" s="9" t="n">
        <v>329.32</v>
      </c>
      <c r="R480" s="9" t="n">
        <v>365.68</v>
      </c>
      <c r="S480" s="9" t="n">
        <v>314.74</v>
      </c>
      <c r="T480" s="9" t="n">
        <v>370.08</v>
      </c>
      <c r="U480" s="10">
        <f>SUM(I480:T480)</f>
        <v/>
      </c>
    </row>
    <row r="481">
      <c r="A481" s="2" t="inlineStr">
        <is>
          <t>SN-2000-2200-2210-2210FP1001</t>
        </is>
      </c>
      <c r="B481" s="2" t="inlineStr">
        <is>
          <t>2210FP1001</t>
        </is>
      </c>
      <c r="C481" s="2" t="inlineStr">
        <is>
          <t>Tablero SCI</t>
        </is>
      </c>
      <c r="D481" s="2" t="n">
        <v>160</v>
      </c>
      <c r="E481" s="2" t="inlineStr">
        <is>
          <t>CC-2000</t>
        </is>
      </c>
      <c r="F481" s="2" t="inlineStr">
        <is>
          <t>P01</t>
        </is>
      </c>
      <c r="G481" s="2" t="n">
        <v>630000</v>
      </c>
      <c r="H481" s="2" t="inlineStr">
        <is>
          <t>Servicios externos</t>
        </is>
      </c>
      <c r="I481" s="9" t="n">
        <v>290.85</v>
      </c>
      <c r="J481" s="9" t="n">
        <v>278.12</v>
      </c>
      <c r="K481" s="9" t="n">
        <v>311.23</v>
      </c>
      <c r="L481" s="9" t="n">
        <v>286.09</v>
      </c>
      <c r="M481" s="9" t="n">
        <v>258.34</v>
      </c>
      <c r="N481" s="9" t="n">
        <v>270.52</v>
      </c>
      <c r="O481" s="9" t="n">
        <v>296.08</v>
      </c>
      <c r="P481" s="9" t="n">
        <v>302.71</v>
      </c>
      <c r="Q481" s="9" t="n">
        <v>258.32</v>
      </c>
      <c r="R481" s="9" t="n">
        <v>293.94</v>
      </c>
      <c r="S481" s="9" t="n">
        <v>289.35</v>
      </c>
      <c r="T481" s="9" t="n">
        <v>270.73</v>
      </c>
      <c r="U481" s="10">
        <f>SUM(I481:T481)</f>
        <v/>
      </c>
    </row>
    <row r="482">
      <c r="A482" s="2" t="inlineStr">
        <is>
          <t>SN-2000-2200-2210-2210HT0005</t>
        </is>
      </c>
      <c r="B482" s="2" t="inlineStr">
        <is>
          <t>2210HT0005</t>
        </is>
      </c>
      <c r="C482" s="2" t="inlineStr">
        <is>
          <t>Tecle servicio acopio</t>
        </is>
      </c>
      <c r="D482" s="2" t="n">
        <v>161</v>
      </c>
      <c r="E482" s="2" t="inlineStr">
        <is>
          <t>CC-2000</t>
        </is>
      </c>
      <c r="F482" s="2" t="inlineStr">
        <is>
          <t>P01</t>
        </is>
      </c>
      <c r="G482" s="2" t="n">
        <v>610000</v>
      </c>
      <c r="H482" s="2" t="inlineStr">
        <is>
          <t>Mano obra interna</t>
        </is>
      </c>
      <c r="I482" s="9" t="n">
        <v>673.27</v>
      </c>
      <c r="J482" s="9" t="n">
        <v>611.0599999999999</v>
      </c>
      <c r="K482" s="9" t="n">
        <v>673.9400000000001</v>
      </c>
      <c r="L482" s="9" t="n">
        <v>658.6799999999999</v>
      </c>
      <c r="M482" s="9" t="n">
        <v>682.4299999999999</v>
      </c>
      <c r="N482" s="9" t="n">
        <v>686.1799999999999</v>
      </c>
      <c r="O482" s="9" t="n">
        <v>645.0700000000001</v>
      </c>
      <c r="P482" s="9" t="n">
        <v>702.47</v>
      </c>
      <c r="Q482" s="9" t="n">
        <v>578.99</v>
      </c>
      <c r="R482" s="9" t="n">
        <v>726.55</v>
      </c>
      <c r="S482" s="9" t="n">
        <v>603.7</v>
      </c>
      <c r="T482" s="9" t="n">
        <v>726.76</v>
      </c>
      <c r="U482" s="10">
        <f>SUM(I482:T482)</f>
        <v/>
      </c>
    </row>
    <row r="483">
      <c r="A483" s="2" t="inlineStr">
        <is>
          <t>SN-2000-2200-2210-2210HT0005</t>
        </is>
      </c>
      <c r="B483" s="2" t="inlineStr">
        <is>
          <t>2210HT0005</t>
        </is>
      </c>
      <c r="C483" s="2" t="inlineStr">
        <is>
          <t>Tecle servicio acopio</t>
        </is>
      </c>
      <c r="D483" s="2" t="n">
        <v>161</v>
      </c>
      <c r="E483" s="2" t="inlineStr">
        <is>
          <t>CC-2000</t>
        </is>
      </c>
      <c r="F483" s="2" t="inlineStr">
        <is>
          <t>P01</t>
        </is>
      </c>
      <c r="G483" s="2" t="n">
        <v>620000</v>
      </c>
      <c r="H483" s="2" t="inlineStr">
        <is>
          <t>Materiales</t>
        </is>
      </c>
      <c r="I483" s="9" t="n">
        <v>694.51</v>
      </c>
      <c r="J483" s="9" t="n">
        <v>687.38</v>
      </c>
      <c r="K483" s="9" t="n">
        <v>700.71</v>
      </c>
      <c r="L483" s="9" t="n">
        <v>729.0700000000001</v>
      </c>
      <c r="M483" s="9" t="n">
        <v>679.17</v>
      </c>
      <c r="N483" s="9" t="n">
        <v>677.51</v>
      </c>
      <c r="O483" s="9" t="n">
        <v>665.6799999999999</v>
      </c>
      <c r="P483" s="9" t="n">
        <v>622.4400000000001</v>
      </c>
      <c r="Q483" s="9" t="n">
        <v>620.47</v>
      </c>
      <c r="R483" s="9" t="n">
        <v>672.88</v>
      </c>
      <c r="S483" s="9" t="n">
        <v>651.87</v>
      </c>
      <c r="T483" s="9" t="n">
        <v>671.52</v>
      </c>
      <c r="U483" s="10">
        <f>SUM(I483:T483)</f>
        <v/>
      </c>
    </row>
    <row r="484">
      <c r="A484" s="2" t="inlineStr">
        <is>
          <t>SN-2000-2200-2210-2210HT0005</t>
        </is>
      </c>
      <c r="B484" s="2" t="inlineStr">
        <is>
          <t>2210HT0005</t>
        </is>
      </c>
      <c r="C484" s="2" t="inlineStr">
        <is>
          <t>Tecle servicio acopio</t>
        </is>
      </c>
      <c r="D484" s="2" t="n">
        <v>161</v>
      </c>
      <c r="E484" s="2" t="inlineStr">
        <is>
          <t>CC-2000</t>
        </is>
      </c>
      <c r="F484" s="2" t="inlineStr">
        <is>
          <t>P01</t>
        </is>
      </c>
      <c r="G484" s="2" t="n">
        <v>630000</v>
      </c>
      <c r="H484" s="2" t="inlineStr">
        <is>
          <t>Servicios externos</t>
        </is>
      </c>
      <c r="I484" s="9" t="n">
        <v>610.28</v>
      </c>
      <c r="J484" s="9" t="n">
        <v>607.65</v>
      </c>
      <c r="K484" s="9" t="n">
        <v>668.26</v>
      </c>
      <c r="L484" s="9" t="n">
        <v>710.75</v>
      </c>
      <c r="M484" s="9" t="n">
        <v>630</v>
      </c>
      <c r="N484" s="9" t="n">
        <v>612.67</v>
      </c>
      <c r="O484" s="9" t="n">
        <v>671.25</v>
      </c>
      <c r="P484" s="9" t="n">
        <v>658.95</v>
      </c>
      <c r="Q484" s="9" t="n">
        <v>584.4</v>
      </c>
      <c r="R484" s="9" t="n">
        <v>689.5599999999999</v>
      </c>
      <c r="S484" s="9" t="n">
        <v>599.59</v>
      </c>
      <c r="T484" s="9" t="n">
        <v>707.38</v>
      </c>
      <c r="U484" s="10">
        <f>SUM(I484:T484)</f>
        <v/>
      </c>
    </row>
    <row r="485">
      <c r="A485" s="2" t="inlineStr">
        <is>
          <t>SN-2000-2200-2210-2210HT0007</t>
        </is>
      </c>
      <c r="B485" s="2" t="inlineStr">
        <is>
          <t>2210HT0007</t>
        </is>
      </c>
      <c r="C485" s="2" t="inlineStr">
        <is>
          <t>Tecle alimentador</t>
        </is>
      </c>
      <c r="D485" s="2" t="n">
        <v>162</v>
      </c>
      <c r="E485" s="2" t="inlineStr">
        <is>
          <t>CC-2000</t>
        </is>
      </c>
      <c r="F485" s="2" t="inlineStr">
        <is>
          <t>P01</t>
        </is>
      </c>
      <c r="G485" s="2" t="n">
        <v>610000</v>
      </c>
      <c r="H485" s="2" t="inlineStr">
        <is>
          <t>Mano obra interna</t>
        </is>
      </c>
      <c r="I485" s="9" t="n">
        <v>1084.21</v>
      </c>
      <c r="J485" s="9" t="n">
        <v>986.87</v>
      </c>
      <c r="K485" s="9" t="n">
        <v>1068.82</v>
      </c>
      <c r="L485" s="9" t="n">
        <v>1157.94</v>
      </c>
      <c r="M485" s="9" t="n">
        <v>1021.78</v>
      </c>
      <c r="N485" s="9" t="n">
        <v>967.01</v>
      </c>
      <c r="O485" s="9" t="n">
        <v>1080.36</v>
      </c>
      <c r="P485" s="9" t="n">
        <v>998.54</v>
      </c>
      <c r="Q485" s="9" t="n">
        <v>942.29</v>
      </c>
      <c r="R485" s="9" t="n">
        <v>1226.89</v>
      </c>
      <c r="S485" s="9" t="n">
        <v>1095.27</v>
      </c>
      <c r="T485" s="9" t="n">
        <v>1173.49</v>
      </c>
      <c r="U485" s="10">
        <f>SUM(I485:T485)</f>
        <v/>
      </c>
    </row>
    <row r="486">
      <c r="A486" s="2" t="inlineStr">
        <is>
          <t>SN-2000-2200-2210-2210HT0007</t>
        </is>
      </c>
      <c r="B486" s="2" t="inlineStr">
        <is>
          <t>2210HT0007</t>
        </is>
      </c>
      <c r="C486" s="2" t="inlineStr">
        <is>
          <t>Tecle alimentador</t>
        </is>
      </c>
      <c r="D486" s="2" t="n">
        <v>162</v>
      </c>
      <c r="E486" s="2" t="inlineStr">
        <is>
          <t>CC-2000</t>
        </is>
      </c>
      <c r="F486" s="2" t="inlineStr">
        <is>
          <t>P01</t>
        </is>
      </c>
      <c r="G486" s="2" t="n">
        <v>620000</v>
      </c>
      <c r="H486" s="2" t="inlineStr">
        <is>
          <t>Materiales</t>
        </is>
      </c>
      <c r="I486" s="9" t="n">
        <v>1338.33</v>
      </c>
      <c r="J486" s="9" t="n">
        <v>1164.54</v>
      </c>
      <c r="K486" s="9" t="n">
        <v>1373.44</v>
      </c>
      <c r="L486" s="9" t="n">
        <v>1373.71</v>
      </c>
      <c r="M486" s="9" t="n">
        <v>1320.81</v>
      </c>
      <c r="N486" s="9" t="n">
        <v>1219.37</v>
      </c>
      <c r="O486" s="9" t="n">
        <v>1219.79</v>
      </c>
      <c r="P486" s="9" t="n">
        <v>1343.04</v>
      </c>
      <c r="Q486" s="9" t="n">
        <v>1228.72</v>
      </c>
      <c r="R486" s="9" t="n">
        <v>1479.21</v>
      </c>
      <c r="S486" s="9" t="n">
        <v>1165.07</v>
      </c>
      <c r="T486" s="9" t="n">
        <v>1235.84</v>
      </c>
      <c r="U486" s="10">
        <f>SUM(I486:T486)</f>
        <v/>
      </c>
    </row>
    <row r="487">
      <c r="A487" s="2" t="inlineStr">
        <is>
          <t>SN-2000-2200-2210-2210HT0007</t>
        </is>
      </c>
      <c r="B487" s="2" t="inlineStr">
        <is>
          <t>2210HT0007</t>
        </is>
      </c>
      <c r="C487" s="2" t="inlineStr">
        <is>
          <t>Tecle alimentador</t>
        </is>
      </c>
      <c r="D487" s="2" t="n">
        <v>162</v>
      </c>
      <c r="E487" s="2" t="inlineStr">
        <is>
          <t>CC-2000</t>
        </is>
      </c>
      <c r="F487" s="2" t="inlineStr">
        <is>
          <t>P01</t>
        </is>
      </c>
      <c r="G487" s="2" t="n">
        <v>630000</v>
      </c>
      <c r="H487" s="2" t="inlineStr">
        <is>
          <t>Servicios externos</t>
        </is>
      </c>
      <c r="I487" s="9" t="n">
        <v>1129.57</v>
      </c>
      <c r="J487" s="9" t="n">
        <v>988.88</v>
      </c>
      <c r="K487" s="9" t="n">
        <v>1014.87</v>
      </c>
      <c r="L487" s="9" t="n">
        <v>1166.51</v>
      </c>
      <c r="M487" s="9" t="n">
        <v>966.5599999999999</v>
      </c>
      <c r="N487" s="9" t="n">
        <v>1064.8</v>
      </c>
      <c r="O487" s="9" t="n">
        <v>1034.73</v>
      </c>
      <c r="P487" s="9" t="n">
        <v>1113.98</v>
      </c>
      <c r="Q487" s="9" t="n">
        <v>992.5700000000001</v>
      </c>
      <c r="R487" s="9" t="n">
        <v>1213.18</v>
      </c>
      <c r="S487" s="9" t="n">
        <v>1093.05</v>
      </c>
      <c r="T487" s="9" t="n">
        <v>988.47</v>
      </c>
      <c r="U487" s="10">
        <f>SUM(I487:T487)</f>
        <v/>
      </c>
    </row>
    <row r="488">
      <c r="A488" s="2" t="inlineStr">
        <is>
          <t>SN-2000-2200-2210-2210HT0044</t>
        </is>
      </c>
      <c r="B488" s="2" t="inlineStr">
        <is>
          <t>2210HT0044</t>
        </is>
      </c>
      <c r="C488" s="2" t="inlineStr">
        <is>
          <t>Tecle alimentador</t>
        </is>
      </c>
      <c r="D488" s="2" t="n">
        <v>163</v>
      </c>
      <c r="E488" s="2" t="inlineStr">
        <is>
          <t>CC-2000</t>
        </is>
      </c>
      <c r="F488" s="2" t="inlineStr">
        <is>
          <t>P01</t>
        </is>
      </c>
      <c r="G488" s="2" t="n">
        <v>610000</v>
      </c>
      <c r="H488" s="2" t="inlineStr">
        <is>
          <t>Mano obra interna</t>
        </is>
      </c>
      <c r="I488" s="9" t="n">
        <v>1317.51</v>
      </c>
      <c r="J488" s="9" t="n">
        <v>1359.81</v>
      </c>
      <c r="K488" s="9" t="n">
        <v>1472.99</v>
      </c>
      <c r="L488" s="9" t="n">
        <v>1365.13</v>
      </c>
      <c r="M488" s="9" t="n">
        <v>1353.16</v>
      </c>
      <c r="N488" s="9" t="n">
        <v>1221.18</v>
      </c>
      <c r="O488" s="9" t="n">
        <v>1410.53</v>
      </c>
      <c r="P488" s="9" t="n">
        <v>1443.74</v>
      </c>
      <c r="Q488" s="9" t="n">
        <v>1205.04</v>
      </c>
      <c r="R488" s="9" t="n">
        <v>1448.53</v>
      </c>
      <c r="S488" s="9" t="n">
        <v>1215.19</v>
      </c>
      <c r="T488" s="9" t="n">
        <v>1377.17</v>
      </c>
      <c r="U488" s="10">
        <f>SUM(I488:T488)</f>
        <v/>
      </c>
    </row>
    <row r="489">
      <c r="A489" s="2" t="inlineStr">
        <is>
          <t>SN-2000-2200-2210-2210HT0044</t>
        </is>
      </c>
      <c r="B489" s="2" t="inlineStr">
        <is>
          <t>2210HT0044</t>
        </is>
      </c>
      <c r="C489" s="2" t="inlineStr">
        <is>
          <t>Tecle alimentador</t>
        </is>
      </c>
      <c r="D489" s="2" t="n">
        <v>163</v>
      </c>
      <c r="E489" s="2" t="inlineStr">
        <is>
          <t>CC-2000</t>
        </is>
      </c>
      <c r="F489" s="2" t="inlineStr">
        <is>
          <t>P01</t>
        </is>
      </c>
      <c r="G489" s="2" t="n">
        <v>620000</v>
      </c>
      <c r="H489" s="2" t="inlineStr">
        <is>
          <t>Materiales</t>
        </is>
      </c>
      <c r="I489" s="9" t="n">
        <v>1453.65</v>
      </c>
      <c r="J489" s="9" t="n">
        <v>1473.22</v>
      </c>
      <c r="K489" s="9" t="n">
        <v>1516.29</v>
      </c>
      <c r="L489" s="9" t="n">
        <v>1548.54</v>
      </c>
      <c r="M489" s="9" t="n">
        <v>1514.72</v>
      </c>
      <c r="N489" s="9" t="n">
        <v>1330.01</v>
      </c>
      <c r="O489" s="9" t="n">
        <v>1573.63</v>
      </c>
      <c r="P489" s="9" t="n">
        <v>1560.15</v>
      </c>
      <c r="Q489" s="9" t="n">
        <v>1375.43</v>
      </c>
      <c r="R489" s="9" t="n">
        <v>1511.8</v>
      </c>
      <c r="S489" s="9" t="n">
        <v>1521.26</v>
      </c>
      <c r="T489" s="9" t="n">
        <v>1643.87</v>
      </c>
      <c r="U489" s="10">
        <f>SUM(I489:T489)</f>
        <v/>
      </c>
    </row>
    <row r="490">
      <c r="A490" s="2" t="inlineStr">
        <is>
          <t>SN-2000-2200-2210-2210HT0044</t>
        </is>
      </c>
      <c r="B490" s="2" t="inlineStr">
        <is>
          <t>2210HT0044</t>
        </is>
      </c>
      <c r="C490" s="2" t="inlineStr">
        <is>
          <t>Tecle alimentador</t>
        </is>
      </c>
      <c r="D490" s="2" t="n">
        <v>163</v>
      </c>
      <c r="E490" s="2" t="inlineStr">
        <is>
          <t>CC-2000</t>
        </is>
      </c>
      <c r="F490" s="2" t="inlineStr">
        <is>
          <t>P01</t>
        </is>
      </c>
      <c r="G490" s="2" t="n">
        <v>630000</v>
      </c>
      <c r="H490" s="2" t="inlineStr">
        <is>
          <t>Servicios externos</t>
        </is>
      </c>
      <c r="I490" s="9" t="n">
        <v>1404.52</v>
      </c>
      <c r="J490" s="9" t="n">
        <v>1323.84</v>
      </c>
      <c r="K490" s="9" t="n">
        <v>1478.6</v>
      </c>
      <c r="L490" s="9" t="n">
        <v>1367.12</v>
      </c>
      <c r="M490" s="9" t="n">
        <v>1368.93</v>
      </c>
      <c r="N490" s="9" t="n">
        <v>1396.29</v>
      </c>
      <c r="O490" s="9" t="n">
        <v>1430.08</v>
      </c>
      <c r="P490" s="9" t="n">
        <v>1389.06</v>
      </c>
      <c r="Q490" s="9" t="n">
        <v>1301.13</v>
      </c>
      <c r="R490" s="9" t="n">
        <v>1542.03</v>
      </c>
      <c r="S490" s="9" t="n">
        <v>1262.24</v>
      </c>
      <c r="T490" s="9" t="n">
        <v>1339.94</v>
      </c>
      <c r="U490" s="10">
        <f>SUM(I490:T490)</f>
        <v/>
      </c>
    </row>
    <row r="491">
      <c r="A491" s="2" t="inlineStr">
        <is>
          <t>SN-2000-2200-2210-2210HT0045</t>
        </is>
      </c>
      <c r="B491" s="2" t="inlineStr">
        <is>
          <t>2210HT0045</t>
        </is>
      </c>
      <c r="C491" s="2" t="inlineStr">
        <is>
          <t>Tecle alimentador</t>
        </is>
      </c>
      <c r="D491" s="2" t="n">
        <v>164</v>
      </c>
      <c r="E491" s="2" t="inlineStr">
        <is>
          <t>CC-2000</t>
        </is>
      </c>
      <c r="F491" s="2" t="inlineStr">
        <is>
          <t>P01</t>
        </is>
      </c>
      <c r="G491" s="2" t="n">
        <v>610000</v>
      </c>
      <c r="H491" s="2" t="inlineStr">
        <is>
          <t>Mano obra interna</t>
        </is>
      </c>
      <c r="I491" s="9" t="n">
        <v>2927.98</v>
      </c>
      <c r="J491" s="9" t="n">
        <v>3129.6</v>
      </c>
      <c r="K491" s="9" t="n">
        <v>3386.53</v>
      </c>
      <c r="L491" s="9" t="n">
        <v>3028.4</v>
      </c>
      <c r="M491" s="9" t="n">
        <v>2981.05</v>
      </c>
      <c r="N491" s="9" t="n">
        <v>2973.24</v>
      </c>
      <c r="O491" s="9" t="n">
        <v>3265.28</v>
      </c>
      <c r="P491" s="9" t="n">
        <v>3290.96</v>
      </c>
      <c r="Q491" s="9" t="n">
        <v>2973.07</v>
      </c>
      <c r="R491" s="9" t="n">
        <v>3097.77</v>
      </c>
      <c r="S491" s="9" t="n">
        <v>3058.3</v>
      </c>
      <c r="T491" s="9" t="n">
        <v>3076.81</v>
      </c>
      <c r="U491" s="10">
        <f>SUM(I491:T491)</f>
        <v/>
      </c>
    </row>
    <row r="492">
      <c r="A492" s="2" t="inlineStr">
        <is>
          <t>SN-2000-2200-2210-2210HT0045</t>
        </is>
      </c>
      <c r="B492" s="2" t="inlineStr">
        <is>
          <t>2210HT0045</t>
        </is>
      </c>
      <c r="C492" s="2" t="inlineStr">
        <is>
          <t>Tecle alimentador</t>
        </is>
      </c>
      <c r="D492" s="2" t="n">
        <v>164</v>
      </c>
      <c r="E492" s="2" t="inlineStr">
        <is>
          <t>CC-2000</t>
        </is>
      </c>
      <c r="F492" s="2" t="inlineStr">
        <is>
          <t>P01</t>
        </is>
      </c>
      <c r="G492" s="2" t="n">
        <v>620000</v>
      </c>
      <c r="H492" s="2" t="inlineStr">
        <is>
          <t>Materiales</t>
        </is>
      </c>
      <c r="I492" s="9" t="n">
        <v>2557.13</v>
      </c>
      <c r="J492" s="9" t="n">
        <v>2527.36</v>
      </c>
      <c r="K492" s="9" t="n">
        <v>2914.54</v>
      </c>
      <c r="L492" s="9" t="n">
        <v>2738.85</v>
      </c>
      <c r="M492" s="9" t="n">
        <v>2586.95</v>
      </c>
      <c r="N492" s="9" t="n">
        <v>2533.16</v>
      </c>
      <c r="O492" s="9" t="n">
        <v>2854.03</v>
      </c>
      <c r="P492" s="9" t="n">
        <v>2805.12</v>
      </c>
      <c r="Q492" s="9" t="n">
        <v>2421.5</v>
      </c>
      <c r="R492" s="9" t="n">
        <v>2733.21</v>
      </c>
      <c r="S492" s="9" t="n">
        <v>2509.74</v>
      </c>
      <c r="T492" s="9" t="n">
        <v>2924.18</v>
      </c>
      <c r="U492" s="10">
        <f>SUM(I492:T492)</f>
        <v/>
      </c>
    </row>
    <row r="493">
      <c r="A493" s="2" t="inlineStr">
        <is>
          <t>SN-2000-2200-2210-2210HT0045</t>
        </is>
      </c>
      <c r="B493" s="2" t="inlineStr">
        <is>
          <t>2210HT0045</t>
        </is>
      </c>
      <c r="C493" s="2" t="inlineStr">
        <is>
          <t>Tecle alimentador</t>
        </is>
      </c>
      <c r="D493" s="2" t="n">
        <v>164</v>
      </c>
      <c r="E493" s="2" t="inlineStr">
        <is>
          <t>CC-2000</t>
        </is>
      </c>
      <c r="F493" s="2" t="inlineStr">
        <is>
          <t>P01</t>
        </is>
      </c>
      <c r="G493" s="2" t="n">
        <v>630000</v>
      </c>
      <c r="H493" s="2" t="inlineStr">
        <is>
          <t>Servicios externos</t>
        </is>
      </c>
      <c r="I493" s="9" t="n">
        <v>2821.71</v>
      </c>
      <c r="J493" s="9" t="n">
        <v>2749.49</v>
      </c>
      <c r="K493" s="9" t="n">
        <v>2775.56</v>
      </c>
      <c r="L493" s="9" t="n">
        <v>2948.04</v>
      </c>
      <c r="M493" s="9" t="n">
        <v>2731.06</v>
      </c>
      <c r="N493" s="9" t="n">
        <v>2467.39</v>
      </c>
      <c r="O493" s="9" t="n">
        <v>2587.36</v>
      </c>
      <c r="P493" s="9" t="n">
        <v>2763.51</v>
      </c>
      <c r="Q493" s="9" t="n">
        <v>2738.09</v>
      </c>
      <c r="R493" s="9" t="n">
        <v>2874.06</v>
      </c>
      <c r="S493" s="9" t="n">
        <v>2818.93</v>
      </c>
      <c r="T493" s="9" t="n">
        <v>2908.08</v>
      </c>
      <c r="U493" s="10">
        <f>SUM(I493:T493)</f>
        <v/>
      </c>
    </row>
    <row r="494">
      <c r="A494" s="2" t="inlineStr">
        <is>
          <t>SN-2000-2200-2210-2210HT0062</t>
        </is>
      </c>
      <c r="B494" s="2" t="inlineStr">
        <is>
          <t>2210HT0062</t>
        </is>
      </c>
      <c r="C494" s="2" t="inlineStr">
        <is>
          <t>Carro polea correa</t>
        </is>
      </c>
      <c r="D494" s="2" t="n">
        <v>165</v>
      </c>
      <c r="E494" s="2" t="inlineStr">
        <is>
          <t>CC-2000</t>
        </is>
      </c>
      <c r="F494" s="2" t="inlineStr">
        <is>
          <t>P01</t>
        </is>
      </c>
      <c r="G494" s="2" t="n">
        <v>610000</v>
      </c>
      <c r="H494" s="2" t="inlineStr">
        <is>
          <t>Mano obra interna</t>
        </is>
      </c>
      <c r="I494" s="9" t="n">
        <v>2425.59</v>
      </c>
      <c r="J494" s="9" t="n">
        <v>2366.57</v>
      </c>
      <c r="K494" s="9" t="n">
        <v>2744.46</v>
      </c>
      <c r="L494" s="9" t="n">
        <v>2496.99</v>
      </c>
      <c r="M494" s="9" t="n">
        <v>2487.59</v>
      </c>
      <c r="N494" s="9" t="n">
        <v>2454.37</v>
      </c>
      <c r="O494" s="9" t="n">
        <v>2660.24</v>
      </c>
      <c r="P494" s="9" t="n">
        <v>2405.84</v>
      </c>
      <c r="Q494" s="9" t="n">
        <v>2353.26</v>
      </c>
      <c r="R494" s="9" t="n">
        <v>2761.12</v>
      </c>
      <c r="S494" s="9" t="n">
        <v>2500.72</v>
      </c>
      <c r="T494" s="9" t="n">
        <v>2737.23</v>
      </c>
      <c r="U494" s="10">
        <f>SUM(I494:T494)</f>
        <v/>
      </c>
    </row>
    <row r="495">
      <c r="A495" s="2" t="inlineStr">
        <is>
          <t>SN-2000-2200-2210-2210HT0062</t>
        </is>
      </c>
      <c r="B495" s="2" t="inlineStr">
        <is>
          <t>2210HT0062</t>
        </is>
      </c>
      <c r="C495" s="2" t="inlineStr">
        <is>
          <t>Carro polea correa</t>
        </is>
      </c>
      <c r="D495" s="2" t="n">
        <v>165</v>
      </c>
      <c r="E495" s="2" t="inlineStr">
        <is>
          <t>CC-2000</t>
        </is>
      </c>
      <c r="F495" s="2" t="inlineStr">
        <is>
          <t>P01</t>
        </is>
      </c>
      <c r="G495" s="2" t="n">
        <v>620000</v>
      </c>
      <c r="H495" s="2" t="inlineStr">
        <is>
          <t>Materiales</t>
        </is>
      </c>
      <c r="I495" s="9" t="n">
        <v>2536.25</v>
      </c>
      <c r="J495" s="9" t="n">
        <v>2403.95</v>
      </c>
      <c r="K495" s="9" t="n">
        <v>2464.59</v>
      </c>
      <c r="L495" s="9" t="n">
        <v>2497.29</v>
      </c>
      <c r="M495" s="9" t="n">
        <v>2310.36</v>
      </c>
      <c r="N495" s="9" t="n">
        <v>2132.84</v>
      </c>
      <c r="O495" s="9" t="n">
        <v>2431.74</v>
      </c>
      <c r="P495" s="9" t="n">
        <v>2375.41</v>
      </c>
      <c r="Q495" s="9" t="n">
        <v>2253.32</v>
      </c>
      <c r="R495" s="9" t="n">
        <v>2487.35</v>
      </c>
      <c r="S495" s="9" t="n">
        <v>2441.44</v>
      </c>
      <c r="T495" s="9" t="n">
        <v>2436.58</v>
      </c>
      <c r="U495" s="10">
        <f>SUM(I495:T495)</f>
        <v/>
      </c>
    </row>
    <row r="496">
      <c r="A496" s="2" t="inlineStr">
        <is>
          <t>SN-2000-2200-2210-2210HT0062</t>
        </is>
      </c>
      <c r="B496" s="2" t="inlineStr">
        <is>
          <t>2210HT0062</t>
        </is>
      </c>
      <c r="C496" s="2" t="inlineStr">
        <is>
          <t>Carro polea correa</t>
        </is>
      </c>
      <c r="D496" s="2" t="n">
        <v>165</v>
      </c>
      <c r="E496" s="2" t="inlineStr">
        <is>
          <t>CC-2000</t>
        </is>
      </c>
      <c r="F496" s="2" t="inlineStr">
        <is>
          <t>P01</t>
        </is>
      </c>
      <c r="G496" s="2" t="n">
        <v>630000</v>
      </c>
      <c r="H496" s="2" t="inlineStr">
        <is>
          <t>Servicios externos</t>
        </is>
      </c>
      <c r="I496" s="9" t="n">
        <v>2313.26</v>
      </c>
      <c r="J496" s="9" t="n">
        <v>2342.06</v>
      </c>
      <c r="K496" s="9" t="n">
        <v>2467.56</v>
      </c>
      <c r="L496" s="9" t="n">
        <v>2332.71</v>
      </c>
      <c r="M496" s="9" t="n">
        <v>2403.53</v>
      </c>
      <c r="N496" s="9" t="n">
        <v>2102.82</v>
      </c>
      <c r="O496" s="9" t="n">
        <v>2252.71</v>
      </c>
      <c r="P496" s="9" t="n">
        <v>2428.24</v>
      </c>
      <c r="Q496" s="9" t="n">
        <v>2261.28</v>
      </c>
      <c r="R496" s="9" t="n">
        <v>2536.72</v>
      </c>
      <c r="S496" s="9" t="n">
        <v>2338.43</v>
      </c>
      <c r="T496" s="9" t="n">
        <v>2165.75</v>
      </c>
      <c r="U496" s="10">
        <f>SUM(I496:T496)</f>
        <v/>
      </c>
    </row>
    <row r="497">
      <c r="A497" s="2" t="inlineStr">
        <is>
          <t>SN-2000-2200-2210-2210PR0001</t>
        </is>
      </c>
      <c r="B497" s="2" t="inlineStr">
        <is>
          <t>2210PR0001</t>
        </is>
      </c>
      <c r="C497" s="2" t="inlineStr">
        <is>
          <t>Tablero de enchufes</t>
        </is>
      </c>
      <c r="D497" s="2" t="n">
        <v>166</v>
      </c>
      <c r="E497" s="2" t="inlineStr">
        <is>
          <t>CC-2000</t>
        </is>
      </c>
      <c r="F497" s="2" t="inlineStr">
        <is>
          <t>P01</t>
        </is>
      </c>
      <c r="G497" s="2" t="n">
        <v>610000</v>
      </c>
      <c r="H497" s="2" t="inlineStr">
        <is>
          <t>Mano obra interna</t>
        </is>
      </c>
      <c r="I497" s="9" t="n">
        <v>907.55</v>
      </c>
      <c r="J497" s="9" t="n">
        <v>855.04</v>
      </c>
      <c r="K497" s="9" t="n">
        <v>904.88</v>
      </c>
      <c r="L497" s="9" t="n">
        <v>923.1900000000001</v>
      </c>
      <c r="M497" s="9" t="n">
        <v>869.76</v>
      </c>
      <c r="N497" s="9" t="n">
        <v>849.96</v>
      </c>
      <c r="O497" s="9" t="n">
        <v>862.23</v>
      </c>
      <c r="P497" s="9" t="n">
        <v>884.78</v>
      </c>
      <c r="Q497" s="9" t="n">
        <v>861.88</v>
      </c>
      <c r="R497" s="9" t="n">
        <v>977.89</v>
      </c>
      <c r="S497" s="9" t="n">
        <v>864.33</v>
      </c>
      <c r="T497" s="9" t="n">
        <v>965.51</v>
      </c>
      <c r="U497" s="10">
        <f>SUM(I497:T497)</f>
        <v/>
      </c>
    </row>
    <row r="498">
      <c r="A498" s="2" t="inlineStr">
        <is>
          <t>SN-2000-2200-2210-2210PR0001</t>
        </is>
      </c>
      <c r="B498" s="2" t="inlineStr">
        <is>
          <t>2210PR0001</t>
        </is>
      </c>
      <c r="C498" s="2" t="inlineStr">
        <is>
          <t>Tablero de enchufes</t>
        </is>
      </c>
      <c r="D498" s="2" t="n">
        <v>166</v>
      </c>
      <c r="E498" s="2" t="inlineStr">
        <is>
          <t>CC-2000</t>
        </is>
      </c>
      <c r="F498" s="2" t="inlineStr">
        <is>
          <t>P01</t>
        </is>
      </c>
      <c r="G498" s="2" t="n">
        <v>620000</v>
      </c>
      <c r="H498" s="2" t="inlineStr">
        <is>
          <t>Materiales</t>
        </is>
      </c>
      <c r="I498" s="9" t="n">
        <v>939.3</v>
      </c>
      <c r="J498" s="9" t="n">
        <v>847.02</v>
      </c>
      <c r="K498" s="9" t="n">
        <v>947.4299999999999</v>
      </c>
      <c r="L498" s="9" t="n">
        <v>852.99</v>
      </c>
      <c r="M498" s="9" t="n">
        <v>822.9299999999999</v>
      </c>
      <c r="N498" s="9" t="n">
        <v>824.1</v>
      </c>
      <c r="O498" s="9" t="n">
        <v>927.73</v>
      </c>
      <c r="P498" s="9" t="n">
        <v>847.3</v>
      </c>
      <c r="Q498" s="9" t="n">
        <v>765.22</v>
      </c>
      <c r="R498" s="9" t="n">
        <v>896.95</v>
      </c>
      <c r="S498" s="9" t="n">
        <v>904.6900000000001</v>
      </c>
      <c r="T498" s="9" t="n">
        <v>916.12</v>
      </c>
      <c r="U498" s="10">
        <f>SUM(I498:T498)</f>
        <v/>
      </c>
    </row>
    <row r="499">
      <c r="A499" s="2" t="inlineStr">
        <is>
          <t>SN-2000-2200-2210-2210PR0001</t>
        </is>
      </c>
      <c r="B499" s="2" t="inlineStr">
        <is>
          <t>2210PR0001</t>
        </is>
      </c>
      <c r="C499" s="2" t="inlineStr">
        <is>
          <t>Tablero de enchufes</t>
        </is>
      </c>
      <c r="D499" s="2" t="n">
        <v>166</v>
      </c>
      <c r="E499" s="2" t="inlineStr">
        <is>
          <t>CC-2000</t>
        </is>
      </c>
      <c r="F499" s="2" t="inlineStr">
        <is>
          <t>P01</t>
        </is>
      </c>
      <c r="G499" s="2" t="n">
        <v>630000</v>
      </c>
      <c r="H499" s="2" t="inlineStr">
        <is>
          <t>Servicios externos</t>
        </is>
      </c>
      <c r="I499" s="9" t="n">
        <v>754.0599999999999</v>
      </c>
      <c r="J499" s="9" t="n">
        <v>724.28</v>
      </c>
      <c r="K499" s="9" t="n">
        <v>774.14</v>
      </c>
      <c r="L499" s="9" t="n">
        <v>716.38</v>
      </c>
      <c r="M499" s="9" t="n">
        <v>766.86</v>
      </c>
      <c r="N499" s="9" t="n">
        <v>678.67</v>
      </c>
      <c r="O499" s="9" t="n">
        <v>755.27</v>
      </c>
      <c r="P499" s="9" t="n">
        <v>674.99</v>
      </c>
      <c r="Q499" s="9" t="n">
        <v>667.6900000000001</v>
      </c>
      <c r="R499" s="9" t="n">
        <v>770.87</v>
      </c>
      <c r="S499" s="9" t="n">
        <v>713.73</v>
      </c>
      <c r="T499" s="9" t="n">
        <v>692.26</v>
      </c>
      <c r="U499" s="10">
        <f>SUM(I499:T499)</f>
        <v/>
      </c>
    </row>
    <row r="500">
      <c r="A500" s="2" t="inlineStr">
        <is>
          <t>SN-2000-2200-2210-2210PR0002</t>
        </is>
      </c>
      <c r="B500" s="2" t="inlineStr">
        <is>
          <t>2210PR0002</t>
        </is>
      </c>
      <c r="C500" s="2" t="inlineStr">
        <is>
          <t>Tablero de enchufes</t>
        </is>
      </c>
      <c r="D500" s="2" t="n">
        <v>167</v>
      </c>
      <c r="E500" s="2" t="inlineStr">
        <is>
          <t>CC-2000</t>
        </is>
      </c>
      <c r="F500" s="2" t="inlineStr">
        <is>
          <t>P01</t>
        </is>
      </c>
      <c r="G500" s="2" t="n">
        <v>610000</v>
      </c>
      <c r="H500" s="2" t="inlineStr">
        <is>
          <t>Mano obra interna</t>
        </is>
      </c>
      <c r="I500" s="9" t="n">
        <v>2418.06</v>
      </c>
      <c r="J500" s="9" t="n">
        <v>2512.34</v>
      </c>
      <c r="K500" s="9" t="n">
        <v>2683.35</v>
      </c>
      <c r="L500" s="9" t="n">
        <v>2560.48</v>
      </c>
      <c r="M500" s="9" t="n">
        <v>2549.66</v>
      </c>
      <c r="N500" s="9" t="n">
        <v>2433.14</v>
      </c>
      <c r="O500" s="9" t="n">
        <v>2424.45</v>
      </c>
      <c r="P500" s="9" t="n">
        <v>2601.34</v>
      </c>
      <c r="Q500" s="9" t="n">
        <v>2233.37</v>
      </c>
      <c r="R500" s="9" t="n">
        <v>2705.73</v>
      </c>
      <c r="S500" s="9" t="n">
        <v>2495.76</v>
      </c>
      <c r="T500" s="9" t="n">
        <v>2468.77</v>
      </c>
      <c r="U500" s="10">
        <f>SUM(I500:T500)</f>
        <v/>
      </c>
    </row>
    <row r="501">
      <c r="A501" s="2" t="inlineStr">
        <is>
          <t>SN-2000-2200-2210-2210PR0002</t>
        </is>
      </c>
      <c r="B501" s="2" t="inlineStr">
        <is>
          <t>2210PR0002</t>
        </is>
      </c>
      <c r="C501" s="2" t="inlineStr">
        <is>
          <t>Tablero de enchufes</t>
        </is>
      </c>
      <c r="D501" s="2" t="n">
        <v>167</v>
      </c>
      <c r="E501" s="2" t="inlineStr">
        <is>
          <t>CC-2000</t>
        </is>
      </c>
      <c r="F501" s="2" t="inlineStr">
        <is>
          <t>P01</t>
        </is>
      </c>
      <c r="G501" s="2" t="n">
        <v>620000</v>
      </c>
      <c r="H501" s="2" t="inlineStr">
        <is>
          <t>Materiales</t>
        </is>
      </c>
      <c r="I501" s="9" t="n">
        <v>2096.33</v>
      </c>
      <c r="J501" s="9" t="n">
        <v>2139.24</v>
      </c>
      <c r="K501" s="9" t="n">
        <v>2279.06</v>
      </c>
      <c r="L501" s="9" t="n">
        <v>2127.78</v>
      </c>
      <c r="M501" s="9" t="n">
        <v>2098.44</v>
      </c>
      <c r="N501" s="9" t="n">
        <v>2103.68</v>
      </c>
      <c r="O501" s="9" t="n">
        <v>1935.08</v>
      </c>
      <c r="P501" s="9" t="n">
        <v>1976.89</v>
      </c>
      <c r="Q501" s="9" t="n">
        <v>1988.41</v>
      </c>
      <c r="R501" s="9" t="n">
        <v>2344.54</v>
      </c>
      <c r="S501" s="9" t="n">
        <v>2115.27</v>
      </c>
      <c r="T501" s="9" t="n">
        <v>2069.17</v>
      </c>
      <c r="U501" s="10">
        <f>SUM(I501:T501)</f>
        <v/>
      </c>
    </row>
    <row r="502">
      <c r="A502" s="2" t="inlineStr">
        <is>
          <t>SN-2000-2200-2210-2210PR0002</t>
        </is>
      </c>
      <c r="B502" s="2" t="inlineStr">
        <is>
          <t>2210PR0002</t>
        </is>
      </c>
      <c r="C502" s="2" t="inlineStr">
        <is>
          <t>Tablero de enchufes</t>
        </is>
      </c>
      <c r="D502" s="2" t="n">
        <v>167</v>
      </c>
      <c r="E502" s="2" t="inlineStr">
        <is>
          <t>CC-2000</t>
        </is>
      </c>
      <c r="F502" s="2" t="inlineStr">
        <is>
          <t>P01</t>
        </is>
      </c>
      <c r="G502" s="2" t="n">
        <v>630000</v>
      </c>
      <c r="H502" s="2" t="inlineStr">
        <is>
          <t>Servicios externos</t>
        </is>
      </c>
      <c r="I502" s="9" t="n">
        <v>2006.63</v>
      </c>
      <c r="J502" s="9" t="n">
        <v>1871.12</v>
      </c>
      <c r="K502" s="9" t="n">
        <v>1979.82</v>
      </c>
      <c r="L502" s="9" t="n">
        <v>2117.59</v>
      </c>
      <c r="M502" s="9" t="n">
        <v>1831.44</v>
      </c>
      <c r="N502" s="9" t="n">
        <v>1997.69</v>
      </c>
      <c r="O502" s="9" t="n">
        <v>1963.33</v>
      </c>
      <c r="P502" s="9" t="n">
        <v>2014.43</v>
      </c>
      <c r="Q502" s="9" t="n">
        <v>1726.84</v>
      </c>
      <c r="R502" s="9" t="n">
        <v>2085.41</v>
      </c>
      <c r="S502" s="9" t="n">
        <v>1795.84</v>
      </c>
      <c r="T502" s="9" t="n">
        <v>2163.7</v>
      </c>
      <c r="U502" s="10">
        <f>SUM(I502:T502)</f>
        <v/>
      </c>
    </row>
    <row r="503">
      <c r="A503" s="2" t="inlineStr">
        <is>
          <t>SN-2000-2200-2210-2210PR0003</t>
        </is>
      </c>
      <c r="B503" s="2" t="inlineStr">
        <is>
          <t>2210PR0003</t>
        </is>
      </c>
      <c r="C503" s="2" t="inlineStr">
        <is>
          <t>Tablero de enchufes</t>
        </is>
      </c>
      <c r="D503" s="2" t="n">
        <v>168</v>
      </c>
      <c r="E503" s="2" t="inlineStr">
        <is>
          <t>CC-2000</t>
        </is>
      </c>
      <c r="F503" s="2" t="inlineStr">
        <is>
          <t>P01</t>
        </is>
      </c>
      <c r="G503" s="2" t="n">
        <v>610000</v>
      </c>
      <c r="H503" s="2" t="inlineStr">
        <is>
          <t>Mano obra interna</t>
        </is>
      </c>
      <c r="I503" s="9" t="n">
        <v>2445.32</v>
      </c>
      <c r="J503" s="9" t="n">
        <v>2269.44</v>
      </c>
      <c r="K503" s="9" t="n">
        <v>2659.74</v>
      </c>
      <c r="L503" s="9" t="n">
        <v>2402.84</v>
      </c>
      <c r="M503" s="9" t="n">
        <v>2256.6</v>
      </c>
      <c r="N503" s="9" t="n">
        <v>2328.34</v>
      </c>
      <c r="O503" s="9" t="n">
        <v>2583.31</v>
      </c>
      <c r="P503" s="9" t="n">
        <v>2217.9</v>
      </c>
      <c r="Q503" s="9" t="n">
        <v>2150.27</v>
      </c>
      <c r="R503" s="9" t="n">
        <v>2782.44</v>
      </c>
      <c r="S503" s="9" t="n">
        <v>2211.13</v>
      </c>
      <c r="T503" s="9" t="n">
        <v>2295.35</v>
      </c>
      <c r="U503" s="10">
        <f>SUM(I503:T503)</f>
        <v/>
      </c>
    </row>
    <row r="504">
      <c r="A504" s="2" t="inlineStr">
        <is>
          <t>SN-2000-2200-2210-2210PR0003</t>
        </is>
      </c>
      <c r="B504" s="2" t="inlineStr">
        <is>
          <t>2210PR0003</t>
        </is>
      </c>
      <c r="C504" s="2" t="inlineStr">
        <is>
          <t>Tablero de enchufes</t>
        </is>
      </c>
      <c r="D504" s="2" t="n">
        <v>168</v>
      </c>
      <c r="E504" s="2" t="inlineStr">
        <is>
          <t>CC-2000</t>
        </is>
      </c>
      <c r="F504" s="2" t="inlineStr">
        <is>
          <t>P01</t>
        </is>
      </c>
      <c r="G504" s="2" t="n">
        <v>620000</v>
      </c>
      <c r="H504" s="2" t="inlineStr">
        <is>
          <t>Materiales</t>
        </is>
      </c>
      <c r="I504" s="9" t="n">
        <v>2344.99</v>
      </c>
      <c r="J504" s="9" t="n">
        <v>2130.68</v>
      </c>
      <c r="K504" s="9" t="n">
        <v>2417.36</v>
      </c>
      <c r="L504" s="9" t="n">
        <v>2282.88</v>
      </c>
      <c r="M504" s="9" t="n">
        <v>2002.49</v>
      </c>
      <c r="N504" s="9" t="n">
        <v>2239.7</v>
      </c>
      <c r="O504" s="9" t="n">
        <v>2140.36</v>
      </c>
      <c r="P504" s="9" t="n">
        <v>2095.96</v>
      </c>
      <c r="Q504" s="9" t="n">
        <v>2040.02</v>
      </c>
      <c r="R504" s="9" t="n">
        <v>2268.36</v>
      </c>
      <c r="S504" s="9" t="n">
        <v>1962.96</v>
      </c>
      <c r="T504" s="9" t="n">
        <v>2027.85</v>
      </c>
      <c r="U504" s="10">
        <f>SUM(I504:T504)</f>
        <v/>
      </c>
    </row>
    <row r="505">
      <c r="A505" s="2" t="inlineStr">
        <is>
          <t>SN-2000-2200-2210-2210PR0003</t>
        </is>
      </c>
      <c r="B505" s="2" t="inlineStr">
        <is>
          <t>2210PR0003</t>
        </is>
      </c>
      <c r="C505" s="2" t="inlineStr">
        <is>
          <t>Tablero de enchufes</t>
        </is>
      </c>
      <c r="D505" s="2" t="n">
        <v>168</v>
      </c>
      <c r="E505" s="2" t="inlineStr">
        <is>
          <t>CC-2000</t>
        </is>
      </c>
      <c r="F505" s="2" t="inlineStr">
        <is>
          <t>P01</t>
        </is>
      </c>
      <c r="G505" s="2" t="n">
        <v>630000</v>
      </c>
      <c r="H505" s="2" t="inlineStr">
        <is>
          <t>Servicios externos</t>
        </is>
      </c>
      <c r="I505" s="9" t="n">
        <v>2229.6</v>
      </c>
      <c r="J505" s="9" t="n">
        <v>2064.61</v>
      </c>
      <c r="K505" s="9" t="n">
        <v>2308.72</v>
      </c>
      <c r="L505" s="9" t="n">
        <v>2045.83</v>
      </c>
      <c r="M505" s="9" t="n">
        <v>1978.9</v>
      </c>
      <c r="N505" s="9" t="n">
        <v>1873.47</v>
      </c>
      <c r="O505" s="9" t="n">
        <v>1961.88</v>
      </c>
      <c r="P505" s="9" t="n">
        <v>1999.66</v>
      </c>
      <c r="Q505" s="9" t="n">
        <v>2019.52</v>
      </c>
      <c r="R505" s="9" t="n">
        <v>2380</v>
      </c>
      <c r="S505" s="9" t="n">
        <v>2158.69</v>
      </c>
      <c r="T505" s="9" t="n">
        <v>2013.06</v>
      </c>
      <c r="U505" s="10">
        <f>SUM(I505:T505)</f>
        <v/>
      </c>
    </row>
    <row r="506">
      <c r="A506" s="2" t="inlineStr">
        <is>
          <t>SN-2000-2200-2210-2210PU0051</t>
        </is>
      </c>
      <c r="B506" s="2" t="inlineStr">
        <is>
          <t>2210PU0051</t>
        </is>
      </c>
      <c r="C506" s="2" t="inlineStr">
        <is>
          <t>Bomba sumidero acopio</t>
        </is>
      </c>
      <c r="D506" s="2" t="n">
        <v>169</v>
      </c>
      <c r="E506" s="2" t="inlineStr">
        <is>
          <t>CC-2000</t>
        </is>
      </c>
      <c r="F506" s="2" t="inlineStr">
        <is>
          <t>P01</t>
        </is>
      </c>
      <c r="G506" s="2" t="n">
        <v>610000</v>
      </c>
      <c r="H506" s="2" t="inlineStr">
        <is>
          <t>Mano obra interna</t>
        </is>
      </c>
      <c r="I506" s="9" t="n">
        <v>2868.41</v>
      </c>
      <c r="J506" s="9" t="n">
        <v>2669.22</v>
      </c>
      <c r="K506" s="9" t="n">
        <v>3157.12</v>
      </c>
      <c r="L506" s="9" t="n">
        <v>3017.23</v>
      </c>
      <c r="M506" s="9" t="n">
        <v>2705.96</v>
      </c>
      <c r="N506" s="9" t="n">
        <v>2731.29</v>
      </c>
      <c r="O506" s="9" t="n">
        <v>2792.15</v>
      </c>
      <c r="P506" s="9" t="n">
        <v>2996.46</v>
      </c>
      <c r="Q506" s="9" t="n">
        <v>2669.47</v>
      </c>
      <c r="R506" s="9" t="n">
        <v>3359.74</v>
      </c>
      <c r="S506" s="9" t="n">
        <v>2597.7</v>
      </c>
      <c r="T506" s="9" t="n">
        <v>2864.11</v>
      </c>
      <c r="U506" s="10">
        <f>SUM(I506:T506)</f>
        <v/>
      </c>
    </row>
    <row r="507">
      <c r="A507" s="2" t="inlineStr">
        <is>
          <t>SN-2000-2200-2210-2210PU0051</t>
        </is>
      </c>
      <c r="B507" s="2" t="inlineStr">
        <is>
          <t>2210PU0051</t>
        </is>
      </c>
      <c r="C507" s="2" t="inlineStr">
        <is>
          <t>Bomba sumidero acopio</t>
        </is>
      </c>
      <c r="D507" s="2" t="n">
        <v>169</v>
      </c>
      <c r="E507" s="2" t="inlineStr">
        <is>
          <t>CC-2000</t>
        </is>
      </c>
      <c r="F507" s="2" t="inlineStr">
        <is>
          <t>P01</t>
        </is>
      </c>
      <c r="G507" s="2" t="n">
        <v>620000</v>
      </c>
      <c r="H507" s="2" t="inlineStr">
        <is>
          <t>Materiales</t>
        </is>
      </c>
      <c r="I507" s="9" t="n">
        <v>2493.23</v>
      </c>
      <c r="J507" s="9" t="n">
        <v>2333.33</v>
      </c>
      <c r="K507" s="9" t="n">
        <v>2610.71</v>
      </c>
      <c r="L507" s="9" t="n">
        <v>2644.51</v>
      </c>
      <c r="M507" s="9" t="n">
        <v>2585.43</v>
      </c>
      <c r="N507" s="9" t="n">
        <v>2447.78</v>
      </c>
      <c r="O507" s="9" t="n">
        <v>2579.19</v>
      </c>
      <c r="P507" s="9" t="n">
        <v>2459</v>
      </c>
      <c r="Q507" s="9" t="n">
        <v>2390.85</v>
      </c>
      <c r="R507" s="9" t="n">
        <v>2549.78</v>
      </c>
      <c r="S507" s="9" t="n">
        <v>2324.75</v>
      </c>
      <c r="T507" s="9" t="n">
        <v>2404.77</v>
      </c>
      <c r="U507" s="10">
        <f>SUM(I507:T507)</f>
        <v/>
      </c>
    </row>
    <row r="508">
      <c r="A508" s="2" t="inlineStr">
        <is>
          <t>SN-2000-2200-2210-2210PU0051</t>
        </is>
      </c>
      <c r="B508" s="2" t="inlineStr">
        <is>
          <t>2210PU0051</t>
        </is>
      </c>
      <c r="C508" s="2" t="inlineStr">
        <is>
          <t>Bomba sumidero acopio</t>
        </is>
      </c>
      <c r="D508" s="2" t="n">
        <v>169</v>
      </c>
      <c r="E508" s="2" t="inlineStr">
        <is>
          <t>CC-2000</t>
        </is>
      </c>
      <c r="F508" s="2" t="inlineStr">
        <is>
          <t>P01</t>
        </is>
      </c>
      <c r="G508" s="2" t="n">
        <v>630000</v>
      </c>
      <c r="H508" s="2" t="inlineStr">
        <is>
          <t>Servicios externos</t>
        </is>
      </c>
      <c r="I508" s="9" t="n">
        <v>2473.14</v>
      </c>
      <c r="J508" s="9" t="n">
        <v>2653.2</v>
      </c>
      <c r="K508" s="9" t="n">
        <v>2510.59</v>
      </c>
      <c r="L508" s="9" t="n">
        <v>2399.11</v>
      </c>
      <c r="M508" s="9" t="n">
        <v>2493.41</v>
      </c>
      <c r="N508" s="9" t="n">
        <v>2228.53</v>
      </c>
      <c r="O508" s="9" t="n">
        <v>2353.44</v>
      </c>
      <c r="P508" s="9" t="n">
        <v>2394.28</v>
      </c>
      <c r="Q508" s="9" t="n">
        <v>2321.97</v>
      </c>
      <c r="R508" s="9" t="n">
        <v>2676.56</v>
      </c>
      <c r="S508" s="9" t="n">
        <v>2545.04</v>
      </c>
      <c r="T508" s="9" t="n">
        <v>2643.5</v>
      </c>
      <c r="U508" s="10">
        <f>SUM(I508:T508)</f>
        <v/>
      </c>
    </row>
    <row r="509">
      <c r="A509" s="2" t="inlineStr">
        <is>
          <t>SN-2000-2200-2210-2210RD0026</t>
        </is>
      </c>
      <c r="B509" s="2" t="inlineStr">
        <is>
          <t>2210RD0026</t>
        </is>
      </c>
      <c r="C509" s="2" t="inlineStr">
        <is>
          <t>Puerta enrollable Stockpile</t>
        </is>
      </c>
      <c r="D509" s="2" t="n">
        <v>170</v>
      </c>
      <c r="E509" s="2" t="inlineStr">
        <is>
          <t>CC-2000</t>
        </is>
      </c>
      <c r="F509" s="2" t="inlineStr">
        <is>
          <t>P01</t>
        </is>
      </c>
      <c r="G509" s="2" t="n">
        <v>610000</v>
      </c>
      <c r="H509" s="2" t="inlineStr">
        <is>
          <t>Mano obra interna</t>
        </is>
      </c>
      <c r="I509" s="9" t="n">
        <v>2130.17</v>
      </c>
      <c r="J509" s="9" t="n">
        <v>2049.25</v>
      </c>
      <c r="K509" s="9" t="n">
        <v>2308.49</v>
      </c>
      <c r="L509" s="9" t="n">
        <v>2033.95</v>
      </c>
      <c r="M509" s="9" t="n">
        <v>1956.17</v>
      </c>
      <c r="N509" s="9" t="n">
        <v>2146.45</v>
      </c>
      <c r="O509" s="9" t="n">
        <v>2136.84</v>
      </c>
      <c r="P509" s="9" t="n">
        <v>2015.6</v>
      </c>
      <c r="Q509" s="9" t="n">
        <v>1911.1</v>
      </c>
      <c r="R509" s="9" t="n">
        <v>2471.81</v>
      </c>
      <c r="S509" s="9" t="n">
        <v>2194.62</v>
      </c>
      <c r="T509" s="9" t="n">
        <v>2248.56</v>
      </c>
      <c r="U509" s="10">
        <f>SUM(I509:T509)</f>
        <v/>
      </c>
    </row>
    <row r="510">
      <c r="A510" s="2" t="inlineStr">
        <is>
          <t>SN-2000-2200-2210-2210RD0026</t>
        </is>
      </c>
      <c r="B510" s="2" t="inlineStr">
        <is>
          <t>2210RD0026</t>
        </is>
      </c>
      <c r="C510" s="2" t="inlineStr">
        <is>
          <t>Puerta enrollable Stockpile</t>
        </is>
      </c>
      <c r="D510" s="2" t="n">
        <v>170</v>
      </c>
      <c r="E510" s="2" t="inlineStr">
        <is>
          <t>CC-2000</t>
        </is>
      </c>
      <c r="F510" s="2" t="inlineStr">
        <is>
          <t>P01</t>
        </is>
      </c>
      <c r="G510" s="2" t="n">
        <v>620000</v>
      </c>
      <c r="H510" s="2" t="inlineStr">
        <is>
          <t>Materiales</t>
        </is>
      </c>
      <c r="I510" s="9" t="n">
        <v>2141.31</v>
      </c>
      <c r="J510" s="9" t="n">
        <v>2215.7</v>
      </c>
      <c r="K510" s="9" t="n">
        <v>2317.68</v>
      </c>
      <c r="L510" s="9" t="n">
        <v>2039.53</v>
      </c>
      <c r="M510" s="9" t="n">
        <v>2172.15</v>
      </c>
      <c r="N510" s="9" t="n">
        <v>1902.1</v>
      </c>
      <c r="O510" s="9" t="n">
        <v>1995.86</v>
      </c>
      <c r="P510" s="9" t="n">
        <v>2148.09</v>
      </c>
      <c r="Q510" s="9" t="n">
        <v>1916.68</v>
      </c>
      <c r="R510" s="9" t="n">
        <v>2410.44</v>
      </c>
      <c r="S510" s="9" t="n">
        <v>1890.92</v>
      </c>
      <c r="T510" s="9" t="n">
        <v>2125.74</v>
      </c>
      <c r="U510" s="10">
        <f>SUM(I510:T510)</f>
        <v/>
      </c>
    </row>
    <row r="511">
      <c r="A511" s="2" t="inlineStr">
        <is>
          <t>SN-2000-2200-2210-2210RD0026</t>
        </is>
      </c>
      <c r="B511" s="2" t="inlineStr">
        <is>
          <t>2210RD0026</t>
        </is>
      </c>
      <c r="C511" s="2" t="inlineStr">
        <is>
          <t>Puerta enrollable Stockpile</t>
        </is>
      </c>
      <c r="D511" s="2" t="n">
        <v>170</v>
      </c>
      <c r="E511" s="2" t="inlineStr">
        <is>
          <t>CC-2000</t>
        </is>
      </c>
      <c r="F511" s="2" t="inlineStr">
        <is>
          <t>P01</t>
        </is>
      </c>
      <c r="G511" s="2" t="n">
        <v>630000</v>
      </c>
      <c r="H511" s="2" t="inlineStr">
        <is>
          <t>Servicios externos</t>
        </is>
      </c>
      <c r="I511" s="9" t="n">
        <v>2607.29</v>
      </c>
      <c r="J511" s="9" t="n">
        <v>2232.78</v>
      </c>
      <c r="K511" s="9" t="n">
        <v>2422.04</v>
      </c>
      <c r="L511" s="9" t="n">
        <v>2498.55</v>
      </c>
      <c r="M511" s="9" t="n">
        <v>2244.74</v>
      </c>
      <c r="N511" s="9" t="n">
        <v>2465.3</v>
      </c>
      <c r="O511" s="9" t="n">
        <v>2559.29</v>
      </c>
      <c r="P511" s="9" t="n">
        <v>2269.41</v>
      </c>
      <c r="Q511" s="9" t="n">
        <v>2097.76</v>
      </c>
      <c r="R511" s="9" t="n">
        <v>2415.46</v>
      </c>
      <c r="S511" s="9" t="n">
        <v>2474.46</v>
      </c>
      <c r="T511" s="9" t="n">
        <v>2315.22</v>
      </c>
      <c r="U511" s="10">
        <f>SUM(I511:T511)</f>
        <v/>
      </c>
    </row>
    <row r="512">
      <c r="A512" s="2" t="inlineStr">
        <is>
          <t>SN-2000-2200-2210-2210RD0027</t>
        </is>
      </c>
      <c r="B512" s="2" t="inlineStr">
        <is>
          <t>2210RD0027</t>
        </is>
      </c>
      <c r="C512" s="2" t="inlineStr">
        <is>
          <t>Puerta enrollable Stockpile</t>
        </is>
      </c>
      <c r="D512" s="2" t="n">
        <v>171</v>
      </c>
      <c r="E512" s="2" t="inlineStr">
        <is>
          <t>CC-2000</t>
        </is>
      </c>
      <c r="F512" s="2" t="inlineStr">
        <is>
          <t>P01</t>
        </is>
      </c>
      <c r="G512" s="2" t="n">
        <v>610000</v>
      </c>
      <c r="H512" s="2" t="inlineStr">
        <is>
          <t>Mano obra interna</t>
        </is>
      </c>
      <c r="I512" s="9" t="n">
        <v>2114.82</v>
      </c>
      <c r="J512" s="9" t="n">
        <v>2089.69</v>
      </c>
      <c r="K512" s="9" t="n">
        <v>2007.17</v>
      </c>
      <c r="L512" s="9" t="n">
        <v>2041.44</v>
      </c>
      <c r="M512" s="9" t="n">
        <v>2209.83</v>
      </c>
      <c r="N512" s="9" t="n">
        <v>2127.46</v>
      </c>
      <c r="O512" s="9" t="n">
        <v>2183.72</v>
      </c>
      <c r="P512" s="9" t="n">
        <v>1926.67</v>
      </c>
      <c r="Q512" s="9" t="n">
        <v>1890.53</v>
      </c>
      <c r="R512" s="9" t="n">
        <v>2298.65</v>
      </c>
      <c r="S512" s="9" t="n">
        <v>1949.29</v>
      </c>
      <c r="T512" s="9" t="n">
        <v>2258.65</v>
      </c>
      <c r="U512" s="10">
        <f>SUM(I512:T512)</f>
        <v/>
      </c>
    </row>
    <row r="513">
      <c r="A513" s="2" t="inlineStr">
        <is>
          <t>SN-2000-2200-2210-2210RD0027</t>
        </is>
      </c>
      <c r="B513" s="2" t="inlineStr">
        <is>
          <t>2210RD0027</t>
        </is>
      </c>
      <c r="C513" s="2" t="inlineStr">
        <is>
          <t>Puerta enrollable Stockpile</t>
        </is>
      </c>
      <c r="D513" s="2" t="n">
        <v>171</v>
      </c>
      <c r="E513" s="2" t="inlineStr">
        <is>
          <t>CC-2000</t>
        </is>
      </c>
      <c r="F513" s="2" t="inlineStr">
        <is>
          <t>P01</t>
        </is>
      </c>
      <c r="G513" s="2" t="n">
        <v>620000</v>
      </c>
      <c r="H513" s="2" t="inlineStr">
        <is>
          <t>Materiales</t>
        </is>
      </c>
      <c r="I513" s="9" t="n">
        <v>2072.02</v>
      </c>
      <c r="J513" s="9" t="n">
        <v>2286.4</v>
      </c>
      <c r="K513" s="9" t="n">
        <v>2412.55</v>
      </c>
      <c r="L513" s="9" t="n">
        <v>2076.53</v>
      </c>
      <c r="M513" s="9" t="n">
        <v>2167.59</v>
      </c>
      <c r="N513" s="9" t="n">
        <v>2017.69</v>
      </c>
      <c r="O513" s="9" t="n">
        <v>2142.57</v>
      </c>
      <c r="P513" s="9" t="n">
        <v>2065.73</v>
      </c>
      <c r="Q513" s="9" t="n">
        <v>2053.68</v>
      </c>
      <c r="R513" s="9" t="n">
        <v>2522.04</v>
      </c>
      <c r="S513" s="9" t="n">
        <v>2110.41</v>
      </c>
      <c r="T513" s="9" t="n">
        <v>2063.74</v>
      </c>
      <c r="U513" s="10">
        <f>SUM(I513:T513)</f>
        <v/>
      </c>
    </row>
    <row r="514">
      <c r="A514" s="2" t="inlineStr">
        <is>
          <t>SN-2000-2200-2210-2210RD0027</t>
        </is>
      </c>
      <c r="B514" s="2" t="inlineStr">
        <is>
          <t>2210RD0027</t>
        </is>
      </c>
      <c r="C514" s="2" t="inlineStr">
        <is>
          <t>Puerta enrollable Stockpile</t>
        </is>
      </c>
      <c r="D514" s="2" t="n">
        <v>171</v>
      </c>
      <c r="E514" s="2" t="inlineStr">
        <is>
          <t>CC-2000</t>
        </is>
      </c>
      <c r="F514" s="2" t="inlineStr">
        <is>
          <t>P01</t>
        </is>
      </c>
      <c r="G514" s="2" t="n">
        <v>630000</v>
      </c>
      <c r="H514" s="2" t="inlineStr">
        <is>
          <t>Servicios externos</t>
        </is>
      </c>
      <c r="I514" s="9" t="n">
        <v>2153.9</v>
      </c>
      <c r="J514" s="9" t="n">
        <v>2253.93</v>
      </c>
      <c r="K514" s="9" t="n">
        <v>2210.44</v>
      </c>
      <c r="L514" s="9" t="n">
        <v>2104.25</v>
      </c>
      <c r="M514" s="9" t="n">
        <v>2036.97</v>
      </c>
      <c r="N514" s="9" t="n">
        <v>2159.17</v>
      </c>
      <c r="O514" s="9" t="n">
        <v>2085.01</v>
      </c>
      <c r="P514" s="9" t="n">
        <v>2256.17</v>
      </c>
      <c r="Q514" s="9" t="n">
        <v>1920.75</v>
      </c>
      <c r="R514" s="9" t="n">
        <v>2268.47</v>
      </c>
      <c r="S514" s="9" t="n">
        <v>2084.55</v>
      </c>
      <c r="T514" s="9" t="n">
        <v>2353.25</v>
      </c>
      <c r="U514" s="10">
        <f>SUM(I514:T514)</f>
        <v/>
      </c>
    </row>
    <row r="515">
      <c r="A515" s="2" t="inlineStr">
        <is>
          <t>SN-3000-3100-3100-3100FP1001</t>
        </is>
      </c>
      <c r="B515" s="2" t="inlineStr">
        <is>
          <t>3100FP1001</t>
        </is>
      </c>
      <c r="C515" s="2" t="inlineStr">
        <is>
          <t>Tablero SCI</t>
        </is>
      </c>
      <c r="D515" s="2" t="n">
        <v>172</v>
      </c>
      <c r="E515" s="2" t="inlineStr">
        <is>
          <t>CC-3000</t>
        </is>
      </c>
      <c r="F515" s="2" t="inlineStr">
        <is>
          <t>P01</t>
        </is>
      </c>
      <c r="G515" s="2" t="n">
        <v>610000</v>
      </c>
      <c r="H515" s="2" t="inlineStr">
        <is>
          <t>Mano obra interna</t>
        </is>
      </c>
      <c r="I515" s="9" t="n">
        <v>207.68</v>
      </c>
      <c r="J515" s="9" t="n">
        <v>205.44</v>
      </c>
      <c r="K515" s="9" t="n">
        <v>207.85</v>
      </c>
      <c r="L515" s="9" t="n">
        <v>218.5</v>
      </c>
      <c r="M515" s="9" t="n">
        <v>209.91</v>
      </c>
      <c r="N515" s="9" t="n">
        <v>217.15</v>
      </c>
      <c r="O515" s="9" t="n">
        <v>228.23</v>
      </c>
      <c r="P515" s="9" t="n">
        <v>209.31</v>
      </c>
      <c r="Q515" s="9" t="n">
        <v>198.43</v>
      </c>
      <c r="R515" s="9" t="n">
        <v>244.78</v>
      </c>
      <c r="S515" s="9" t="n">
        <v>216.77</v>
      </c>
      <c r="T515" s="9" t="n">
        <v>199.41</v>
      </c>
      <c r="U515" s="10">
        <f>SUM(I515:T515)</f>
        <v/>
      </c>
    </row>
    <row r="516">
      <c r="A516" s="2" t="inlineStr">
        <is>
          <t>SN-3000-3100-3100-3100FP1001</t>
        </is>
      </c>
      <c r="B516" s="2" t="inlineStr">
        <is>
          <t>3100FP1001</t>
        </is>
      </c>
      <c r="C516" s="2" t="inlineStr">
        <is>
          <t>Tablero SCI</t>
        </is>
      </c>
      <c r="D516" s="2" t="n">
        <v>172</v>
      </c>
      <c r="E516" s="2" t="inlineStr">
        <is>
          <t>CC-3000</t>
        </is>
      </c>
      <c r="F516" s="2" t="inlineStr">
        <is>
          <t>P01</t>
        </is>
      </c>
      <c r="G516" s="2" t="n">
        <v>620000</v>
      </c>
      <c r="H516" s="2" t="inlineStr">
        <is>
          <t>Materiales</t>
        </is>
      </c>
      <c r="I516" s="9" t="n">
        <v>178.36</v>
      </c>
      <c r="J516" s="9" t="n">
        <v>166.72</v>
      </c>
      <c r="K516" s="9" t="n">
        <v>173.76</v>
      </c>
      <c r="L516" s="9" t="n">
        <v>167.46</v>
      </c>
      <c r="M516" s="9" t="n">
        <v>179.12</v>
      </c>
      <c r="N516" s="9" t="n">
        <v>162.73</v>
      </c>
      <c r="O516" s="9" t="n">
        <v>164.34</v>
      </c>
      <c r="P516" s="9" t="n">
        <v>169.19</v>
      </c>
      <c r="Q516" s="9" t="n">
        <v>172.66</v>
      </c>
      <c r="R516" s="9" t="n">
        <v>201.54</v>
      </c>
      <c r="S516" s="9" t="n">
        <v>170.82</v>
      </c>
      <c r="T516" s="9" t="n">
        <v>177.15</v>
      </c>
      <c r="U516" s="10">
        <f>SUM(I516:T516)</f>
        <v/>
      </c>
    </row>
    <row r="517">
      <c r="A517" s="2" t="inlineStr">
        <is>
          <t>SN-3000-3100-3100-3100FP1001</t>
        </is>
      </c>
      <c r="B517" s="2" t="inlineStr">
        <is>
          <t>3100FP1001</t>
        </is>
      </c>
      <c r="C517" s="2" t="inlineStr">
        <is>
          <t>Tablero SCI</t>
        </is>
      </c>
      <c r="D517" s="2" t="n">
        <v>172</v>
      </c>
      <c r="E517" s="2" t="inlineStr">
        <is>
          <t>CC-3000</t>
        </is>
      </c>
      <c r="F517" s="2" t="inlineStr">
        <is>
          <t>P01</t>
        </is>
      </c>
      <c r="G517" s="2" t="n">
        <v>630000</v>
      </c>
      <c r="H517" s="2" t="inlineStr">
        <is>
          <t>Servicios externos</t>
        </is>
      </c>
      <c r="I517" s="9" t="n">
        <v>207.16</v>
      </c>
      <c r="J517" s="9" t="n">
        <v>200.36</v>
      </c>
      <c r="K517" s="9" t="n">
        <v>212.57</v>
      </c>
      <c r="L517" s="9" t="n">
        <v>206.44</v>
      </c>
      <c r="M517" s="9" t="n">
        <v>206.87</v>
      </c>
      <c r="N517" s="9" t="n">
        <v>217.18</v>
      </c>
      <c r="O517" s="9" t="n">
        <v>217.18</v>
      </c>
      <c r="P517" s="9" t="n">
        <v>209.98</v>
      </c>
      <c r="Q517" s="9" t="n">
        <v>212.2</v>
      </c>
      <c r="R517" s="9" t="n">
        <v>213.25</v>
      </c>
      <c r="S517" s="9" t="n">
        <v>196.77</v>
      </c>
      <c r="T517" s="9" t="n">
        <v>218.59</v>
      </c>
      <c r="U517" s="10">
        <f>SUM(I517:T517)</f>
        <v/>
      </c>
    </row>
    <row r="518">
      <c r="A518" s="2" t="inlineStr">
        <is>
          <t>SN-3000-3100-3100-3100US0001</t>
        </is>
      </c>
      <c r="B518" s="2" t="inlineStr">
        <is>
          <t>3100US0001</t>
        </is>
      </c>
      <c r="C518" s="2" t="inlineStr">
        <is>
          <t>Subestación unitaria Molienda</t>
        </is>
      </c>
      <c r="D518" s="2" t="n">
        <v>173</v>
      </c>
      <c r="E518" s="2" t="inlineStr">
        <is>
          <t>CC-3000</t>
        </is>
      </c>
      <c r="F518" s="2" t="inlineStr">
        <is>
          <t>P01</t>
        </is>
      </c>
      <c r="G518" s="2" t="n">
        <v>610000</v>
      </c>
      <c r="H518" s="2" t="inlineStr">
        <is>
          <t>Mano obra interna</t>
        </is>
      </c>
      <c r="I518" s="9" t="n">
        <v>1147.1</v>
      </c>
      <c r="J518" s="9" t="n">
        <v>1176.14</v>
      </c>
      <c r="K518" s="9" t="n">
        <v>1281.29</v>
      </c>
      <c r="L518" s="9" t="n">
        <v>1279.07</v>
      </c>
      <c r="M518" s="9" t="n">
        <v>1227.03</v>
      </c>
      <c r="N518" s="9" t="n">
        <v>1126.45</v>
      </c>
      <c r="O518" s="9" t="n">
        <v>1134.66</v>
      </c>
      <c r="P518" s="9" t="n">
        <v>1198</v>
      </c>
      <c r="Q518" s="9" t="n">
        <v>1062.12</v>
      </c>
      <c r="R518" s="9" t="n">
        <v>1401.87</v>
      </c>
      <c r="S518" s="9" t="n">
        <v>1169.64</v>
      </c>
      <c r="T518" s="9" t="n">
        <v>1195.06</v>
      </c>
      <c r="U518" s="10">
        <f>SUM(I518:T518)</f>
        <v/>
      </c>
    </row>
    <row r="519">
      <c r="A519" s="2" t="inlineStr">
        <is>
          <t>SN-3000-3100-3100-3100US0001</t>
        </is>
      </c>
      <c r="B519" s="2" t="inlineStr">
        <is>
          <t>3100US0001</t>
        </is>
      </c>
      <c r="C519" s="2" t="inlineStr">
        <is>
          <t>Subestación unitaria Molienda</t>
        </is>
      </c>
      <c r="D519" s="2" t="n">
        <v>173</v>
      </c>
      <c r="E519" s="2" t="inlineStr">
        <is>
          <t>CC-3000</t>
        </is>
      </c>
      <c r="F519" s="2" t="inlineStr">
        <is>
          <t>P01</t>
        </is>
      </c>
      <c r="G519" s="2" t="n">
        <v>620000</v>
      </c>
      <c r="H519" s="2" t="inlineStr">
        <is>
          <t>Materiales</t>
        </is>
      </c>
      <c r="I519" s="9" t="n">
        <v>1243.58</v>
      </c>
      <c r="J519" s="9" t="n">
        <v>1163.65</v>
      </c>
      <c r="K519" s="9" t="n">
        <v>1319.89</v>
      </c>
      <c r="L519" s="9" t="n">
        <v>1318.61</v>
      </c>
      <c r="M519" s="9" t="n">
        <v>1239.36</v>
      </c>
      <c r="N519" s="9" t="n">
        <v>1080.6</v>
      </c>
      <c r="O519" s="9" t="n">
        <v>1232.07</v>
      </c>
      <c r="P519" s="9" t="n">
        <v>1268.97</v>
      </c>
      <c r="Q519" s="9" t="n">
        <v>1068.38</v>
      </c>
      <c r="R519" s="9" t="n">
        <v>1257.1</v>
      </c>
      <c r="S519" s="9" t="n">
        <v>1251.86</v>
      </c>
      <c r="T519" s="9" t="n">
        <v>1141.72</v>
      </c>
      <c r="U519" s="10">
        <f>SUM(I519:T519)</f>
        <v/>
      </c>
    </row>
    <row r="520">
      <c r="A520" s="2" t="inlineStr">
        <is>
          <t>SN-3000-3100-3100-3100US0001</t>
        </is>
      </c>
      <c r="B520" s="2" t="inlineStr">
        <is>
          <t>3100US0001</t>
        </is>
      </c>
      <c r="C520" s="2" t="inlineStr">
        <is>
          <t>Subestación unitaria Molienda</t>
        </is>
      </c>
      <c r="D520" s="2" t="n">
        <v>173</v>
      </c>
      <c r="E520" s="2" t="inlineStr">
        <is>
          <t>CC-3000</t>
        </is>
      </c>
      <c r="F520" s="2" t="inlineStr">
        <is>
          <t>P01</t>
        </is>
      </c>
      <c r="G520" s="2" t="n">
        <v>630000</v>
      </c>
      <c r="H520" s="2" t="inlineStr">
        <is>
          <t>Servicios externos</t>
        </is>
      </c>
      <c r="I520" s="9" t="n">
        <v>1217.61</v>
      </c>
      <c r="J520" s="9" t="n">
        <v>1169.59</v>
      </c>
      <c r="K520" s="9" t="n">
        <v>1138.22</v>
      </c>
      <c r="L520" s="9" t="n">
        <v>1286.74</v>
      </c>
      <c r="M520" s="9" t="n">
        <v>1158.8</v>
      </c>
      <c r="N520" s="9" t="n">
        <v>1152.62</v>
      </c>
      <c r="O520" s="9" t="n">
        <v>1232.31</v>
      </c>
      <c r="P520" s="9" t="n">
        <v>1235.68</v>
      </c>
      <c r="Q520" s="9" t="n">
        <v>1196.32</v>
      </c>
      <c r="R520" s="9" t="n">
        <v>1298.18</v>
      </c>
      <c r="S520" s="9" t="n">
        <v>1140.92</v>
      </c>
      <c r="T520" s="9" t="n">
        <v>1303.8</v>
      </c>
      <c r="U520" s="10">
        <f>SUM(I520:T520)</f>
        <v/>
      </c>
    </row>
    <row r="521">
      <c r="A521" s="2" t="inlineStr">
        <is>
          <t>SN-3000-3100-3100-3100US0002</t>
        </is>
      </c>
      <c r="B521" s="2" t="inlineStr">
        <is>
          <t>3100US0002</t>
        </is>
      </c>
      <c r="C521" s="2" t="inlineStr">
        <is>
          <t>Subestación unitaria Molienda</t>
        </is>
      </c>
      <c r="D521" s="2" t="n">
        <v>174</v>
      </c>
      <c r="E521" s="2" t="inlineStr">
        <is>
          <t>CC-3000</t>
        </is>
      </c>
      <c r="F521" s="2" t="inlineStr">
        <is>
          <t>P01</t>
        </is>
      </c>
      <c r="G521" s="2" t="n">
        <v>610000</v>
      </c>
      <c r="H521" s="2" t="inlineStr">
        <is>
          <t>Mano obra interna</t>
        </is>
      </c>
      <c r="I521" s="9" t="n">
        <v>1303.12</v>
      </c>
      <c r="J521" s="9" t="n">
        <v>1221.49</v>
      </c>
      <c r="K521" s="9" t="n">
        <v>1435.44</v>
      </c>
      <c r="L521" s="9" t="n">
        <v>1318.46</v>
      </c>
      <c r="M521" s="9" t="n">
        <v>1338.99</v>
      </c>
      <c r="N521" s="9" t="n">
        <v>1255.27</v>
      </c>
      <c r="O521" s="9" t="n">
        <v>1256.14</v>
      </c>
      <c r="P521" s="9" t="n">
        <v>1339.57</v>
      </c>
      <c r="Q521" s="9" t="n">
        <v>1141.62</v>
      </c>
      <c r="R521" s="9" t="n">
        <v>1402.84</v>
      </c>
      <c r="S521" s="9" t="n">
        <v>1286.51</v>
      </c>
      <c r="T521" s="9" t="n">
        <v>1325</v>
      </c>
      <c r="U521" s="10">
        <f>SUM(I521:T521)</f>
        <v/>
      </c>
    </row>
    <row r="522">
      <c r="A522" s="2" t="inlineStr">
        <is>
          <t>SN-3000-3100-3100-3100US0002</t>
        </is>
      </c>
      <c r="B522" s="2" t="inlineStr">
        <is>
          <t>3100US0002</t>
        </is>
      </c>
      <c r="C522" s="2" t="inlineStr">
        <is>
          <t>Subestación unitaria Molienda</t>
        </is>
      </c>
      <c r="D522" s="2" t="n">
        <v>174</v>
      </c>
      <c r="E522" s="2" t="inlineStr">
        <is>
          <t>CC-3000</t>
        </is>
      </c>
      <c r="F522" s="2" t="inlineStr">
        <is>
          <t>P01</t>
        </is>
      </c>
      <c r="G522" s="2" t="n">
        <v>620000</v>
      </c>
      <c r="H522" s="2" t="inlineStr">
        <is>
          <t>Materiales</t>
        </is>
      </c>
      <c r="I522" s="9" t="n">
        <v>1394.03</v>
      </c>
      <c r="J522" s="9" t="n">
        <v>1333.3</v>
      </c>
      <c r="K522" s="9" t="n">
        <v>1239.78</v>
      </c>
      <c r="L522" s="9" t="n">
        <v>1261.2</v>
      </c>
      <c r="M522" s="9" t="n">
        <v>1291.59</v>
      </c>
      <c r="N522" s="9" t="n">
        <v>1326.79</v>
      </c>
      <c r="O522" s="9" t="n">
        <v>1367.65</v>
      </c>
      <c r="P522" s="9" t="n">
        <v>1367.58</v>
      </c>
      <c r="Q522" s="9" t="n">
        <v>1169.77</v>
      </c>
      <c r="R522" s="9" t="n">
        <v>1383.45</v>
      </c>
      <c r="S522" s="9" t="n">
        <v>1250.17</v>
      </c>
      <c r="T522" s="9" t="n">
        <v>1244.57</v>
      </c>
      <c r="U522" s="10">
        <f>SUM(I522:T522)</f>
        <v/>
      </c>
    </row>
    <row r="523">
      <c r="A523" s="2" t="inlineStr">
        <is>
          <t>SN-3000-3100-3100-3100US0002</t>
        </is>
      </c>
      <c r="B523" s="2" t="inlineStr">
        <is>
          <t>3100US0002</t>
        </is>
      </c>
      <c r="C523" s="2" t="inlineStr">
        <is>
          <t>Subestación unitaria Molienda</t>
        </is>
      </c>
      <c r="D523" s="2" t="n">
        <v>174</v>
      </c>
      <c r="E523" s="2" t="inlineStr">
        <is>
          <t>CC-3000</t>
        </is>
      </c>
      <c r="F523" s="2" t="inlineStr">
        <is>
          <t>P01</t>
        </is>
      </c>
      <c r="G523" s="2" t="n">
        <v>630000</v>
      </c>
      <c r="H523" s="2" t="inlineStr">
        <is>
          <t>Servicios externos</t>
        </is>
      </c>
      <c r="I523" s="9" t="n">
        <v>1142.5</v>
      </c>
      <c r="J523" s="9" t="n">
        <v>985.99</v>
      </c>
      <c r="K523" s="9" t="n">
        <v>1032.7</v>
      </c>
      <c r="L523" s="9" t="n">
        <v>996.35</v>
      </c>
      <c r="M523" s="9" t="n">
        <v>1104.55</v>
      </c>
      <c r="N523" s="9" t="n">
        <v>1011.33</v>
      </c>
      <c r="O523" s="9" t="n">
        <v>1072.88</v>
      </c>
      <c r="P523" s="9" t="n">
        <v>1112.43</v>
      </c>
      <c r="Q523" s="9" t="n">
        <v>948.27</v>
      </c>
      <c r="R523" s="9" t="n">
        <v>1148.29</v>
      </c>
      <c r="S523" s="9" t="n">
        <v>936.51</v>
      </c>
      <c r="T523" s="9" t="n">
        <v>1006.87</v>
      </c>
      <c r="U523" s="10">
        <f>SUM(I523:T523)</f>
        <v/>
      </c>
    </row>
    <row r="524">
      <c r="A524" s="2" t="inlineStr">
        <is>
          <t>SN-3000-3100-3110-3110BN0011</t>
        </is>
      </c>
      <c r="B524" s="2" t="inlineStr">
        <is>
          <t>3110BN0011</t>
        </is>
      </c>
      <c r="C524" s="2" t="inlineStr">
        <is>
          <t>Tolva bolas SAG</t>
        </is>
      </c>
      <c r="D524" s="2" t="n">
        <v>175</v>
      </c>
      <c r="E524" s="2" t="inlineStr">
        <is>
          <t>CC-3000</t>
        </is>
      </c>
      <c r="F524" s="2" t="inlineStr">
        <is>
          <t>P01</t>
        </is>
      </c>
      <c r="G524" s="2" t="n">
        <v>610000</v>
      </c>
      <c r="H524" s="2" t="inlineStr">
        <is>
          <t>Mano obra interna</t>
        </is>
      </c>
      <c r="I524" s="9" t="n">
        <v>2836.52</v>
      </c>
      <c r="J524" s="9" t="n">
        <v>2561.79</v>
      </c>
      <c r="K524" s="9" t="n">
        <v>2694.99</v>
      </c>
      <c r="L524" s="9" t="n">
        <v>2738.23</v>
      </c>
      <c r="M524" s="9" t="n">
        <v>2426.41</v>
      </c>
      <c r="N524" s="9" t="n">
        <v>2442.3</v>
      </c>
      <c r="O524" s="9" t="n">
        <v>2541.6</v>
      </c>
      <c r="P524" s="9" t="n">
        <v>2556.56</v>
      </c>
      <c r="Q524" s="9" t="n">
        <v>2602.07</v>
      </c>
      <c r="R524" s="9" t="n">
        <v>2772.54</v>
      </c>
      <c r="S524" s="9" t="n">
        <v>2452.42</v>
      </c>
      <c r="T524" s="9" t="n">
        <v>2706.27</v>
      </c>
      <c r="U524" s="10">
        <f>SUM(I524:T524)</f>
        <v/>
      </c>
    </row>
    <row r="525">
      <c r="A525" s="2" t="inlineStr">
        <is>
          <t>SN-3000-3100-3110-3110BN0011</t>
        </is>
      </c>
      <c r="B525" s="2" t="inlineStr">
        <is>
          <t>3110BN0011</t>
        </is>
      </c>
      <c r="C525" s="2" t="inlineStr">
        <is>
          <t>Tolva bolas SAG</t>
        </is>
      </c>
      <c r="D525" s="2" t="n">
        <v>175</v>
      </c>
      <c r="E525" s="2" t="inlineStr">
        <is>
          <t>CC-3000</t>
        </is>
      </c>
      <c r="F525" s="2" t="inlineStr">
        <is>
          <t>P01</t>
        </is>
      </c>
      <c r="G525" s="2" t="n">
        <v>620000</v>
      </c>
      <c r="H525" s="2" t="inlineStr">
        <is>
          <t>Materiales</t>
        </is>
      </c>
      <c r="I525" s="9" t="n">
        <v>2481.77</v>
      </c>
      <c r="J525" s="9" t="n">
        <v>2329.22</v>
      </c>
      <c r="K525" s="9" t="n">
        <v>2556.18</v>
      </c>
      <c r="L525" s="9" t="n">
        <v>2694.66</v>
      </c>
      <c r="M525" s="9" t="n">
        <v>2530.17</v>
      </c>
      <c r="N525" s="9" t="n">
        <v>2547.53</v>
      </c>
      <c r="O525" s="9" t="n">
        <v>2723.77</v>
      </c>
      <c r="P525" s="9" t="n">
        <v>2652.82</v>
      </c>
      <c r="Q525" s="9" t="n">
        <v>2399.96</v>
      </c>
      <c r="R525" s="9" t="n">
        <v>2732.03</v>
      </c>
      <c r="S525" s="9" t="n">
        <v>2274.39</v>
      </c>
      <c r="T525" s="9" t="n">
        <v>2773.14</v>
      </c>
      <c r="U525" s="10">
        <f>SUM(I525:T525)</f>
        <v/>
      </c>
    </row>
    <row r="526">
      <c r="A526" s="2" t="inlineStr">
        <is>
          <t>SN-3000-3100-3110-3110BN0011</t>
        </is>
      </c>
      <c r="B526" s="2" t="inlineStr">
        <is>
          <t>3110BN0011</t>
        </is>
      </c>
      <c r="C526" s="2" t="inlineStr">
        <is>
          <t>Tolva bolas SAG</t>
        </is>
      </c>
      <c r="D526" s="2" t="n">
        <v>175</v>
      </c>
      <c r="E526" s="2" t="inlineStr">
        <is>
          <t>CC-3000</t>
        </is>
      </c>
      <c r="F526" s="2" t="inlineStr">
        <is>
          <t>P01</t>
        </is>
      </c>
      <c r="G526" s="2" t="n">
        <v>630000</v>
      </c>
      <c r="H526" s="2" t="inlineStr">
        <is>
          <t>Servicios externos</t>
        </is>
      </c>
      <c r="I526" s="9" t="n">
        <v>2137.98</v>
      </c>
      <c r="J526" s="9" t="n">
        <v>2242.4</v>
      </c>
      <c r="K526" s="9" t="n">
        <v>2208.93</v>
      </c>
      <c r="L526" s="9" t="n">
        <v>2297.72</v>
      </c>
      <c r="M526" s="9" t="n">
        <v>2225.25</v>
      </c>
      <c r="N526" s="9" t="n">
        <v>2101.88</v>
      </c>
      <c r="O526" s="9" t="n">
        <v>2338.04</v>
      </c>
      <c r="P526" s="9" t="n">
        <v>2132.73</v>
      </c>
      <c r="Q526" s="9" t="n">
        <v>2047.46</v>
      </c>
      <c r="R526" s="9" t="n">
        <v>2406.07</v>
      </c>
      <c r="S526" s="9" t="n">
        <v>2203.1</v>
      </c>
      <c r="T526" s="9" t="n">
        <v>2352.91</v>
      </c>
      <c r="U526" s="10">
        <f>SUM(I526:T526)</f>
        <v/>
      </c>
    </row>
    <row r="527">
      <c r="A527" s="2" t="inlineStr">
        <is>
          <t>SN-3000-3100-3110-3110BX0026</t>
        </is>
      </c>
      <c r="B527" s="2" t="inlineStr">
        <is>
          <t>3110BX0026</t>
        </is>
      </c>
      <c r="C527" s="2" t="inlineStr">
        <is>
          <t>Cajón alimentador hidrociclones</t>
        </is>
      </c>
      <c r="D527" s="2" t="n">
        <v>176</v>
      </c>
      <c r="E527" s="2" t="inlineStr">
        <is>
          <t>CC-3000</t>
        </is>
      </c>
      <c r="F527" s="2" t="inlineStr">
        <is>
          <t>P01</t>
        </is>
      </c>
      <c r="G527" s="2" t="n">
        <v>610000</v>
      </c>
      <c r="H527" s="2" t="inlineStr">
        <is>
          <t>Mano obra interna</t>
        </is>
      </c>
      <c r="I527" s="9" t="n">
        <v>2205.17</v>
      </c>
      <c r="J527" s="9" t="n">
        <v>1962.64</v>
      </c>
      <c r="K527" s="9" t="n">
        <v>2328.35</v>
      </c>
      <c r="L527" s="9" t="n">
        <v>2116.98</v>
      </c>
      <c r="M527" s="9" t="n">
        <v>2165.7</v>
      </c>
      <c r="N527" s="9" t="n">
        <v>1863.21</v>
      </c>
      <c r="O527" s="9" t="n">
        <v>2012.16</v>
      </c>
      <c r="P527" s="9" t="n">
        <v>2104.88</v>
      </c>
      <c r="Q527" s="9" t="n">
        <v>2083.83</v>
      </c>
      <c r="R527" s="9" t="n">
        <v>2286.29</v>
      </c>
      <c r="S527" s="9" t="n">
        <v>2183.95</v>
      </c>
      <c r="T527" s="9" t="n">
        <v>2136.6</v>
      </c>
      <c r="U527" s="10">
        <f>SUM(I527:T527)</f>
        <v/>
      </c>
    </row>
    <row r="528">
      <c r="A528" s="2" t="inlineStr">
        <is>
          <t>SN-3000-3100-3110-3110BX0026</t>
        </is>
      </c>
      <c r="B528" s="2" t="inlineStr">
        <is>
          <t>3110BX0026</t>
        </is>
      </c>
      <c r="C528" s="2" t="inlineStr">
        <is>
          <t>Cajón alimentador hidrociclones</t>
        </is>
      </c>
      <c r="D528" s="2" t="n">
        <v>176</v>
      </c>
      <c r="E528" s="2" t="inlineStr">
        <is>
          <t>CC-3000</t>
        </is>
      </c>
      <c r="F528" s="2" t="inlineStr">
        <is>
          <t>P01</t>
        </is>
      </c>
      <c r="G528" s="2" t="n">
        <v>620000</v>
      </c>
      <c r="H528" s="2" t="inlineStr">
        <is>
          <t>Materiales</t>
        </is>
      </c>
      <c r="I528" s="9" t="n">
        <v>2017.1</v>
      </c>
      <c r="J528" s="9" t="n">
        <v>2172.4</v>
      </c>
      <c r="K528" s="9" t="n">
        <v>2082.61</v>
      </c>
      <c r="L528" s="9" t="n">
        <v>2287.78</v>
      </c>
      <c r="M528" s="9" t="n">
        <v>2219.02</v>
      </c>
      <c r="N528" s="9" t="n">
        <v>2154.16</v>
      </c>
      <c r="O528" s="9" t="n">
        <v>2111.68</v>
      </c>
      <c r="P528" s="9" t="n">
        <v>2161.91</v>
      </c>
      <c r="Q528" s="9" t="n">
        <v>2045.76</v>
      </c>
      <c r="R528" s="9" t="n">
        <v>2134.96</v>
      </c>
      <c r="S528" s="9" t="n">
        <v>2069.62</v>
      </c>
      <c r="T528" s="9" t="n">
        <v>1976.06</v>
      </c>
      <c r="U528" s="10">
        <f>SUM(I528:T528)</f>
        <v/>
      </c>
    </row>
    <row r="529">
      <c r="A529" s="2" t="inlineStr">
        <is>
          <t>SN-3000-3100-3110-3110BX0026</t>
        </is>
      </c>
      <c r="B529" s="2" t="inlineStr">
        <is>
          <t>3110BX0026</t>
        </is>
      </c>
      <c r="C529" s="2" t="inlineStr">
        <is>
          <t>Cajón alimentador hidrociclones</t>
        </is>
      </c>
      <c r="D529" s="2" t="n">
        <v>176</v>
      </c>
      <c r="E529" s="2" t="inlineStr">
        <is>
          <t>CC-3000</t>
        </is>
      </c>
      <c r="F529" s="2" t="inlineStr">
        <is>
          <t>P01</t>
        </is>
      </c>
      <c r="G529" s="2" t="n">
        <v>630000</v>
      </c>
      <c r="H529" s="2" t="inlineStr">
        <is>
          <t>Servicios externos</t>
        </is>
      </c>
      <c r="I529" s="9" t="n">
        <v>2075.51</v>
      </c>
      <c r="J529" s="9" t="n">
        <v>2011.86</v>
      </c>
      <c r="K529" s="9" t="n">
        <v>2172.12</v>
      </c>
      <c r="L529" s="9" t="n">
        <v>2175.63</v>
      </c>
      <c r="M529" s="9" t="n">
        <v>2171.68</v>
      </c>
      <c r="N529" s="9" t="n">
        <v>1917.33</v>
      </c>
      <c r="O529" s="9" t="n">
        <v>2154.21</v>
      </c>
      <c r="P529" s="9" t="n">
        <v>2041.16</v>
      </c>
      <c r="Q529" s="9" t="n">
        <v>2026.93</v>
      </c>
      <c r="R529" s="9" t="n">
        <v>2371.76</v>
      </c>
      <c r="S529" s="9" t="n">
        <v>2102.14</v>
      </c>
      <c r="T529" s="9" t="n">
        <v>2267.19</v>
      </c>
      <c r="U529" s="10">
        <f>SUM(I529:T529)</f>
        <v/>
      </c>
    </row>
    <row r="530">
      <c r="A530" s="2" t="inlineStr">
        <is>
          <t>SN-3000-3100-3110-3110CP0001</t>
        </is>
      </c>
      <c r="B530" s="2" t="inlineStr">
        <is>
          <t>3110CP0001</t>
        </is>
      </c>
      <c r="C530" s="2" t="inlineStr">
        <is>
          <t>Gabinete PLC LRS molino SAG</t>
        </is>
      </c>
      <c r="D530" s="2" t="n">
        <v>177</v>
      </c>
      <c r="E530" s="2" t="inlineStr">
        <is>
          <t>CC-3000</t>
        </is>
      </c>
      <c r="F530" s="2" t="inlineStr">
        <is>
          <t>P01</t>
        </is>
      </c>
      <c r="G530" s="2" t="n">
        <v>610000</v>
      </c>
      <c r="H530" s="2" t="inlineStr">
        <is>
          <t>Mano obra interna</t>
        </is>
      </c>
      <c r="I530" s="9" t="n">
        <v>1613.18</v>
      </c>
      <c r="J530" s="9" t="n">
        <v>1476.93</v>
      </c>
      <c r="K530" s="9" t="n">
        <v>1559.95</v>
      </c>
      <c r="L530" s="9" t="n">
        <v>1586.07</v>
      </c>
      <c r="M530" s="9" t="n">
        <v>1384.65</v>
      </c>
      <c r="N530" s="9" t="n">
        <v>1485.05</v>
      </c>
      <c r="O530" s="9" t="n">
        <v>1545.4</v>
      </c>
      <c r="P530" s="9" t="n">
        <v>1468.72</v>
      </c>
      <c r="Q530" s="9" t="n">
        <v>1317.63</v>
      </c>
      <c r="R530" s="9" t="n">
        <v>1527.83</v>
      </c>
      <c r="S530" s="9" t="n">
        <v>1566.9</v>
      </c>
      <c r="T530" s="9" t="n">
        <v>1585.04</v>
      </c>
      <c r="U530" s="10">
        <f>SUM(I530:T530)</f>
        <v/>
      </c>
    </row>
    <row r="531">
      <c r="A531" s="2" t="inlineStr">
        <is>
          <t>SN-3000-3100-3110-3110CP0001</t>
        </is>
      </c>
      <c r="B531" s="2" t="inlineStr">
        <is>
          <t>3110CP0001</t>
        </is>
      </c>
      <c r="C531" s="2" t="inlineStr">
        <is>
          <t>Gabinete PLC LRS molino SAG</t>
        </is>
      </c>
      <c r="D531" s="2" t="n">
        <v>177</v>
      </c>
      <c r="E531" s="2" t="inlineStr">
        <is>
          <t>CC-3000</t>
        </is>
      </c>
      <c r="F531" s="2" t="inlineStr">
        <is>
          <t>P01</t>
        </is>
      </c>
      <c r="G531" s="2" t="n">
        <v>620000</v>
      </c>
      <c r="H531" s="2" t="inlineStr">
        <is>
          <t>Materiales</t>
        </is>
      </c>
      <c r="I531" s="9" t="n">
        <v>1383.76</v>
      </c>
      <c r="J531" s="9" t="n">
        <v>1386.52</v>
      </c>
      <c r="K531" s="9" t="n">
        <v>1508.05</v>
      </c>
      <c r="L531" s="9" t="n">
        <v>1314.36</v>
      </c>
      <c r="M531" s="9" t="n">
        <v>1315.1</v>
      </c>
      <c r="N531" s="9" t="n">
        <v>1409.07</v>
      </c>
      <c r="O531" s="9" t="n">
        <v>1278.94</v>
      </c>
      <c r="P531" s="9" t="n">
        <v>1320.04</v>
      </c>
      <c r="Q531" s="9" t="n">
        <v>1386.26</v>
      </c>
      <c r="R531" s="9" t="n">
        <v>1523.25</v>
      </c>
      <c r="S531" s="9" t="n">
        <v>1291.79</v>
      </c>
      <c r="T531" s="9" t="n">
        <v>1310.36</v>
      </c>
      <c r="U531" s="10">
        <f>SUM(I531:T531)</f>
        <v/>
      </c>
    </row>
    <row r="532">
      <c r="A532" s="2" t="inlineStr">
        <is>
          <t>SN-3000-3100-3110-3110CP0001</t>
        </is>
      </c>
      <c r="B532" s="2" t="inlineStr">
        <is>
          <t>3110CP0001</t>
        </is>
      </c>
      <c r="C532" s="2" t="inlineStr">
        <is>
          <t>Gabinete PLC LRS molino SAG</t>
        </is>
      </c>
      <c r="D532" s="2" t="n">
        <v>177</v>
      </c>
      <c r="E532" s="2" t="inlineStr">
        <is>
          <t>CC-3000</t>
        </is>
      </c>
      <c r="F532" s="2" t="inlineStr">
        <is>
          <t>P01</t>
        </is>
      </c>
      <c r="G532" s="2" t="n">
        <v>630000</v>
      </c>
      <c r="H532" s="2" t="inlineStr">
        <is>
          <t>Servicios externos</t>
        </is>
      </c>
      <c r="I532" s="9" t="n">
        <v>1282.76</v>
      </c>
      <c r="J532" s="9" t="n">
        <v>1368.99</v>
      </c>
      <c r="K532" s="9" t="n">
        <v>1333.34</v>
      </c>
      <c r="L532" s="9" t="n">
        <v>1386.16</v>
      </c>
      <c r="M532" s="9" t="n">
        <v>1383.29</v>
      </c>
      <c r="N532" s="9" t="n">
        <v>1234.09</v>
      </c>
      <c r="O532" s="9" t="n">
        <v>1245.93</v>
      </c>
      <c r="P532" s="9" t="n">
        <v>1312.68</v>
      </c>
      <c r="Q532" s="9" t="n">
        <v>1299.14</v>
      </c>
      <c r="R532" s="9" t="n">
        <v>1481.62</v>
      </c>
      <c r="S532" s="9" t="n">
        <v>1180.13</v>
      </c>
      <c r="T532" s="9" t="n">
        <v>1370.49</v>
      </c>
      <c r="U532" s="10">
        <f>SUM(I532:T532)</f>
        <v/>
      </c>
    </row>
    <row r="533">
      <c r="A533" s="2" t="inlineStr">
        <is>
          <t>SN-3000-3100-3110-3110CT0001</t>
        </is>
      </c>
      <c r="B533" s="2" t="inlineStr">
        <is>
          <t>3110CT0001</t>
        </is>
      </c>
      <c r="C533" s="2" t="inlineStr">
        <is>
          <t>Sistema CCTV molienda SAG</t>
        </is>
      </c>
      <c r="D533" s="2" t="n">
        <v>178</v>
      </c>
      <c r="E533" s="2" t="inlineStr">
        <is>
          <t>CC-3000</t>
        </is>
      </c>
      <c r="F533" s="2" t="inlineStr">
        <is>
          <t>P01</t>
        </is>
      </c>
      <c r="G533" s="2" t="n">
        <v>610000</v>
      </c>
      <c r="H533" s="2" t="inlineStr">
        <is>
          <t>Mano obra interna</t>
        </is>
      </c>
      <c r="I533" s="9" t="n">
        <v>1808.15</v>
      </c>
      <c r="J533" s="9" t="n">
        <v>1538.72</v>
      </c>
      <c r="K533" s="9" t="n">
        <v>1724.78</v>
      </c>
      <c r="L533" s="9" t="n">
        <v>1802.66</v>
      </c>
      <c r="M533" s="9" t="n">
        <v>1621.93</v>
      </c>
      <c r="N533" s="9" t="n">
        <v>1585.19</v>
      </c>
      <c r="O533" s="9" t="n">
        <v>1549.24</v>
      </c>
      <c r="P533" s="9" t="n">
        <v>1602.6</v>
      </c>
      <c r="Q533" s="9" t="n">
        <v>1504.42</v>
      </c>
      <c r="R533" s="9" t="n">
        <v>1920.94</v>
      </c>
      <c r="S533" s="9" t="n">
        <v>1553.74</v>
      </c>
      <c r="T533" s="9" t="n">
        <v>1676.95</v>
      </c>
      <c r="U533" s="10">
        <f>SUM(I533:T533)</f>
        <v/>
      </c>
    </row>
    <row r="534">
      <c r="A534" s="2" t="inlineStr">
        <is>
          <t>SN-3000-3100-3110-3110CT0001</t>
        </is>
      </c>
      <c r="B534" s="2" t="inlineStr">
        <is>
          <t>3110CT0001</t>
        </is>
      </c>
      <c r="C534" s="2" t="inlineStr">
        <is>
          <t>Sistema CCTV molienda SAG</t>
        </is>
      </c>
      <c r="D534" s="2" t="n">
        <v>178</v>
      </c>
      <c r="E534" s="2" t="inlineStr">
        <is>
          <t>CC-3000</t>
        </is>
      </c>
      <c r="F534" s="2" t="inlineStr">
        <is>
          <t>P01</t>
        </is>
      </c>
      <c r="G534" s="2" t="n">
        <v>620000</v>
      </c>
      <c r="H534" s="2" t="inlineStr">
        <is>
          <t>Materiales</t>
        </is>
      </c>
      <c r="I534" s="9" t="n">
        <v>1582.59</v>
      </c>
      <c r="J534" s="9" t="n">
        <v>1610.54</v>
      </c>
      <c r="K534" s="9" t="n">
        <v>1755.24</v>
      </c>
      <c r="L534" s="9" t="n">
        <v>1773.3</v>
      </c>
      <c r="M534" s="9" t="n">
        <v>1654.67</v>
      </c>
      <c r="N534" s="9" t="n">
        <v>1609.24</v>
      </c>
      <c r="O534" s="9" t="n">
        <v>1541.56</v>
      </c>
      <c r="P534" s="9" t="n">
        <v>1754.43</v>
      </c>
      <c r="Q534" s="9" t="n">
        <v>1435.89</v>
      </c>
      <c r="R534" s="9" t="n">
        <v>1845.05</v>
      </c>
      <c r="S534" s="9" t="n">
        <v>1526.82</v>
      </c>
      <c r="T534" s="9" t="n">
        <v>1778.57</v>
      </c>
      <c r="U534" s="10">
        <f>SUM(I534:T534)</f>
        <v/>
      </c>
    </row>
    <row r="535">
      <c r="A535" s="2" t="inlineStr">
        <is>
          <t>SN-3000-3100-3110-3110CT0001</t>
        </is>
      </c>
      <c r="B535" s="2" t="inlineStr">
        <is>
          <t>3110CT0001</t>
        </is>
      </c>
      <c r="C535" s="2" t="inlineStr">
        <is>
          <t>Sistema CCTV molienda SAG</t>
        </is>
      </c>
      <c r="D535" s="2" t="n">
        <v>178</v>
      </c>
      <c r="E535" s="2" t="inlineStr">
        <is>
          <t>CC-3000</t>
        </is>
      </c>
      <c r="F535" s="2" t="inlineStr">
        <is>
          <t>P01</t>
        </is>
      </c>
      <c r="G535" s="2" t="n">
        <v>630000</v>
      </c>
      <c r="H535" s="2" t="inlineStr">
        <is>
          <t>Servicios externos</t>
        </is>
      </c>
      <c r="I535" s="9" t="n">
        <v>1762.55</v>
      </c>
      <c r="J535" s="9" t="n">
        <v>1560.6</v>
      </c>
      <c r="K535" s="9" t="n">
        <v>1696.08</v>
      </c>
      <c r="L535" s="9" t="n">
        <v>1727.72</v>
      </c>
      <c r="M535" s="9" t="n">
        <v>1712.95</v>
      </c>
      <c r="N535" s="9" t="n">
        <v>1485.77</v>
      </c>
      <c r="O535" s="9" t="n">
        <v>1782.73</v>
      </c>
      <c r="P535" s="9" t="n">
        <v>1761.45</v>
      </c>
      <c r="Q535" s="9" t="n">
        <v>1487.74</v>
      </c>
      <c r="R535" s="9" t="n">
        <v>1881.7</v>
      </c>
      <c r="S535" s="9" t="n">
        <v>1610.9</v>
      </c>
      <c r="T535" s="9" t="n">
        <v>1673.52</v>
      </c>
      <c r="U535" s="10">
        <f>SUM(I535:T535)</f>
        <v/>
      </c>
    </row>
    <row r="536">
      <c r="A536" s="2" t="inlineStr">
        <is>
          <t>SN-3000-3100-3110-3110CV0004</t>
        </is>
      </c>
      <c r="B536" s="2" t="inlineStr">
        <is>
          <t>3110CV0004</t>
        </is>
      </c>
      <c r="C536" s="2" t="inlineStr">
        <is>
          <t>Correa transferencia pebbles</t>
        </is>
      </c>
      <c r="D536" s="2" t="n">
        <v>179</v>
      </c>
      <c r="E536" s="2" t="inlineStr">
        <is>
          <t>CC-3000</t>
        </is>
      </c>
      <c r="F536" s="2" t="inlineStr">
        <is>
          <t>P01</t>
        </is>
      </c>
      <c r="G536" s="2" t="n">
        <v>610000</v>
      </c>
      <c r="H536" s="2" t="inlineStr">
        <is>
          <t>Mano obra interna</t>
        </is>
      </c>
      <c r="I536" s="9" t="n">
        <v>2613.74</v>
      </c>
      <c r="J536" s="9" t="n">
        <v>2580.91</v>
      </c>
      <c r="K536" s="9" t="n">
        <v>2570.44</v>
      </c>
      <c r="L536" s="9" t="n">
        <v>2636.75</v>
      </c>
      <c r="M536" s="9" t="n">
        <v>2581.25</v>
      </c>
      <c r="N536" s="9" t="n">
        <v>2498.21</v>
      </c>
      <c r="O536" s="9" t="n">
        <v>2347.49</v>
      </c>
      <c r="P536" s="9" t="n">
        <v>2671.11</v>
      </c>
      <c r="Q536" s="9" t="n">
        <v>2337.19</v>
      </c>
      <c r="R536" s="9" t="n">
        <v>2622.23</v>
      </c>
      <c r="S536" s="9" t="n">
        <v>2345.8</v>
      </c>
      <c r="T536" s="9" t="n">
        <v>2558.18</v>
      </c>
      <c r="U536" s="10">
        <f>SUM(I536:T536)</f>
        <v/>
      </c>
    </row>
    <row r="537">
      <c r="A537" s="2" t="inlineStr">
        <is>
          <t>SN-3000-3100-3110-3110CV0004</t>
        </is>
      </c>
      <c r="B537" s="2" t="inlineStr">
        <is>
          <t>3110CV0004</t>
        </is>
      </c>
      <c r="C537" s="2" t="inlineStr">
        <is>
          <t>Correa transferencia pebbles</t>
        </is>
      </c>
      <c r="D537" s="2" t="n">
        <v>179</v>
      </c>
      <c r="E537" s="2" t="inlineStr">
        <is>
          <t>CC-3000</t>
        </is>
      </c>
      <c r="F537" s="2" t="inlineStr">
        <is>
          <t>P01</t>
        </is>
      </c>
      <c r="G537" s="2" t="n">
        <v>620000</v>
      </c>
      <c r="H537" s="2" t="inlineStr">
        <is>
          <t>Materiales</t>
        </is>
      </c>
      <c r="I537" s="9" t="n">
        <v>2892.89</v>
      </c>
      <c r="J537" s="9" t="n">
        <v>2960.04</v>
      </c>
      <c r="K537" s="9" t="n">
        <v>2789.19</v>
      </c>
      <c r="L537" s="9" t="n">
        <v>2942.47</v>
      </c>
      <c r="M537" s="9" t="n">
        <v>3085.19</v>
      </c>
      <c r="N537" s="9" t="n">
        <v>2882.67</v>
      </c>
      <c r="O537" s="9" t="n">
        <v>2757.47</v>
      </c>
      <c r="P537" s="9" t="n">
        <v>2888.58</v>
      </c>
      <c r="Q537" s="9" t="n">
        <v>2575.64</v>
      </c>
      <c r="R537" s="9" t="n">
        <v>3071.63</v>
      </c>
      <c r="S537" s="9" t="n">
        <v>2923.16</v>
      </c>
      <c r="T537" s="9" t="n">
        <v>3060.27</v>
      </c>
      <c r="U537" s="10">
        <f>SUM(I537:T537)</f>
        <v/>
      </c>
    </row>
    <row r="538">
      <c r="A538" s="2" t="inlineStr">
        <is>
          <t>SN-3000-3100-3110-3110CV0004</t>
        </is>
      </c>
      <c r="B538" s="2" t="inlineStr">
        <is>
          <t>3110CV0004</t>
        </is>
      </c>
      <c r="C538" s="2" t="inlineStr">
        <is>
          <t>Correa transferencia pebbles</t>
        </is>
      </c>
      <c r="D538" s="2" t="n">
        <v>179</v>
      </c>
      <c r="E538" s="2" t="inlineStr">
        <is>
          <t>CC-3000</t>
        </is>
      </c>
      <c r="F538" s="2" t="inlineStr">
        <is>
          <t>P01</t>
        </is>
      </c>
      <c r="G538" s="2" t="n">
        <v>630000</v>
      </c>
      <c r="H538" s="2" t="inlineStr">
        <is>
          <t>Servicios externos</t>
        </is>
      </c>
      <c r="I538" s="9" t="n">
        <v>2594.83</v>
      </c>
      <c r="J538" s="9" t="n">
        <v>2379.67</v>
      </c>
      <c r="K538" s="9" t="n">
        <v>2409.14</v>
      </c>
      <c r="L538" s="9" t="n">
        <v>2434.24</v>
      </c>
      <c r="M538" s="9" t="n">
        <v>2395.98</v>
      </c>
      <c r="N538" s="9" t="n">
        <v>2298.21</v>
      </c>
      <c r="O538" s="9" t="n">
        <v>2376.89</v>
      </c>
      <c r="P538" s="9" t="n">
        <v>2381.09</v>
      </c>
      <c r="Q538" s="9" t="n">
        <v>2101.66</v>
      </c>
      <c r="R538" s="9" t="n">
        <v>2696.21</v>
      </c>
      <c r="S538" s="9" t="n">
        <v>2320.35</v>
      </c>
      <c r="T538" s="9" t="n">
        <v>2273.72</v>
      </c>
      <c r="U538" s="10">
        <f>SUM(I538:T538)</f>
        <v/>
      </c>
    </row>
    <row r="539">
      <c r="A539" s="2" t="inlineStr">
        <is>
          <t>SN-3000-3100-3110-3110CV0005</t>
        </is>
      </c>
      <c r="B539" s="2" t="inlineStr">
        <is>
          <t>3110CV0005</t>
        </is>
      </c>
      <c r="C539" s="2" t="inlineStr">
        <is>
          <t>Correa retorno pebbles</t>
        </is>
      </c>
      <c r="D539" s="2" t="n">
        <v>180</v>
      </c>
      <c r="E539" s="2" t="inlineStr">
        <is>
          <t>CC-3000</t>
        </is>
      </c>
      <c r="F539" s="2" t="inlineStr">
        <is>
          <t>P01</t>
        </is>
      </c>
      <c r="G539" s="2" t="n">
        <v>610000</v>
      </c>
      <c r="H539" s="2" t="inlineStr">
        <is>
          <t>Mano obra interna</t>
        </is>
      </c>
      <c r="I539" s="9" t="n">
        <v>2096.47</v>
      </c>
      <c r="J539" s="9" t="n">
        <v>2027.06</v>
      </c>
      <c r="K539" s="9" t="n">
        <v>1940.01</v>
      </c>
      <c r="L539" s="9" t="n">
        <v>1848.62</v>
      </c>
      <c r="M539" s="9" t="n">
        <v>1906.49</v>
      </c>
      <c r="N539" s="9" t="n">
        <v>1722.55</v>
      </c>
      <c r="O539" s="9" t="n">
        <v>2055.06</v>
      </c>
      <c r="P539" s="9" t="n">
        <v>1822.15</v>
      </c>
      <c r="Q539" s="9" t="n">
        <v>1717.26</v>
      </c>
      <c r="R539" s="9" t="n">
        <v>2040.45</v>
      </c>
      <c r="S539" s="9" t="n">
        <v>1824.66</v>
      </c>
      <c r="T539" s="9" t="n">
        <v>2041.18</v>
      </c>
      <c r="U539" s="10">
        <f>SUM(I539:T539)</f>
        <v/>
      </c>
    </row>
    <row r="540">
      <c r="A540" s="2" t="inlineStr">
        <is>
          <t>SN-3000-3100-3110-3110CV0005</t>
        </is>
      </c>
      <c r="B540" s="2" t="inlineStr">
        <is>
          <t>3110CV0005</t>
        </is>
      </c>
      <c r="C540" s="2" t="inlineStr">
        <is>
          <t>Correa retorno pebbles</t>
        </is>
      </c>
      <c r="D540" s="2" t="n">
        <v>180</v>
      </c>
      <c r="E540" s="2" t="inlineStr">
        <is>
          <t>CC-3000</t>
        </is>
      </c>
      <c r="F540" s="2" t="inlineStr">
        <is>
          <t>P01</t>
        </is>
      </c>
      <c r="G540" s="2" t="n">
        <v>620000</v>
      </c>
      <c r="H540" s="2" t="inlineStr">
        <is>
          <t>Materiales</t>
        </is>
      </c>
      <c r="I540" s="9" t="n">
        <v>1644.23</v>
      </c>
      <c r="J540" s="9" t="n">
        <v>1612.1</v>
      </c>
      <c r="K540" s="9" t="n">
        <v>1756.57</v>
      </c>
      <c r="L540" s="9" t="n">
        <v>1639.68</v>
      </c>
      <c r="M540" s="9" t="n">
        <v>1712.69</v>
      </c>
      <c r="N540" s="9" t="n">
        <v>1642.62</v>
      </c>
      <c r="O540" s="9" t="n">
        <v>1759.42</v>
      </c>
      <c r="P540" s="9" t="n">
        <v>1817.92</v>
      </c>
      <c r="Q540" s="9" t="n">
        <v>1687.08</v>
      </c>
      <c r="R540" s="9" t="n">
        <v>1964.42</v>
      </c>
      <c r="S540" s="9" t="n">
        <v>1578.69</v>
      </c>
      <c r="T540" s="9" t="n">
        <v>1623.74</v>
      </c>
      <c r="U540" s="10">
        <f>SUM(I540:T540)</f>
        <v/>
      </c>
    </row>
    <row r="541">
      <c r="A541" s="2" t="inlineStr">
        <is>
          <t>SN-3000-3100-3110-3110CV0005</t>
        </is>
      </c>
      <c r="B541" s="2" t="inlineStr">
        <is>
          <t>3110CV0005</t>
        </is>
      </c>
      <c r="C541" s="2" t="inlineStr">
        <is>
          <t>Correa retorno pebbles</t>
        </is>
      </c>
      <c r="D541" s="2" t="n">
        <v>180</v>
      </c>
      <c r="E541" s="2" t="inlineStr">
        <is>
          <t>CC-3000</t>
        </is>
      </c>
      <c r="F541" s="2" t="inlineStr">
        <is>
          <t>P01</t>
        </is>
      </c>
      <c r="G541" s="2" t="n">
        <v>630000</v>
      </c>
      <c r="H541" s="2" t="inlineStr">
        <is>
          <t>Servicios externos</t>
        </is>
      </c>
      <c r="I541" s="9" t="n">
        <v>1760.14</v>
      </c>
      <c r="J541" s="9" t="n">
        <v>1717.75</v>
      </c>
      <c r="K541" s="9" t="n">
        <v>1769.18</v>
      </c>
      <c r="L541" s="9" t="n">
        <v>1554.01</v>
      </c>
      <c r="M541" s="9" t="n">
        <v>1719.8</v>
      </c>
      <c r="N541" s="9" t="n">
        <v>1531.43</v>
      </c>
      <c r="O541" s="9" t="n">
        <v>1495.04</v>
      </c>
      <c r="P541" s="9" t="n">
        <v>1605.53</v>
      </c>
      <c r="Q541" s="9" t="n">
        <v>1399.95</v>
      </c>
      <c r="R541" s="9" t="n">
        <v>1761.14</v>
      </c>
      <c r="S541" s="9" t="n">
        <v>1529.34</v>
      </c>
      <c r="T541" s="9" t="n">
        <v>1638.76</v>
      </c>
      <c r="U541" s="10">
        <f>SUM(I541:T541)</f>
        <v/>
      </c>
    </row>
    <row r="542">
      <c r="A542" s="2" t="inlineStr">
        <is>
          <t>SN-3000-3100-3110-3110HT0011</t>
        </is>
      </c>
      <c r="B542" s="2" t="inlineStr">
        <is>
          <t>3110HT0011</t>
        </is>
      </c>
      <c r="C542" s="2" t="inlineStr">
        <is>
          <t>Tecle removedor pernos</t>
        </is>
      </c>
      <c r="D542" s="2" t="n">
        <v>181</v>
      </c>
      <c r="E542" s="2" t="inlineStr">
        <is>
          <t>CC-3000</t>
        </is>
      </c>
      <c r="F542" s="2" t="inlineStr">
        <is>
          <t>P01</t>
        </is>
      </c>
      <c r="G542" s="2" t="n">
        <v>610000</v>
      </c>
      <c r="H542" s="2" t="inlineStr">
        <is>
          <t>Mano obra interna</t>
        </is>
      </c>
      <c r="I542" s="9" t="n">
        <v>2653.74</v>
      </c>
      <c r="J542" s="9" t="n">
        <v>2480.16</v>
      </c>
      <c r="K542" s="9" t="n">
        <v>2505.65</v>
      </c>
      <c r="L542" s="9" t="n">
        <v>2637.04</v>
      </c>
      <c r="M542" s="9" t="n">
        <v>2586.96</v>
      </c>
      <c r="N542" s="9" t="n">
        <v>2204.08</v>
      </c>
      <c r="O542" s="9" t="n">
        <v>2468.36</v>
      </c>
      <c r="P542" s="9" t="n">
        <v>2368.3</v>
      </c>
      <c r="Q542" s="9" t="n">
        <v>2119.43</v>
      </c>
      <c r="R542" s="9" t="n">
        <v>2718.6</v>
      </c>
      <c r="S542" s="9" t="n">
        <v>2514.24</v>
      </c>
      <c r="T542" s="9" t="n">
        <v>2356.79</v>
      </c>
      <c r="U542" s="10">
        <f>SUM(I542:T542)</f>
        <v/>
      </c>
    </row>
    <row r="543">
      <c r="A543" s="2" t="inlineStr">
        <is>
          <t>SN-3000-3100-3110-3110HT0011</t>
        </is>
      </c>
      <c r="B543" s="2" t="inlineStr">
        <is>
          <t>3110HT0011</t>
        </is>
      </c>
      <c r="C543" s="2" t="inlineStr">
        <is>
          <t>Tecle removedor pernos</t>
        </is>
      </c>
      <c r="D543" s="2" t="n">
        <v>181</v>
      </c>
      <c r="E543" s="2" t="inlineStr">
        <is>
          <t>CC-3000</t>
        </is>
      </c>
      <c r="F543" s="2" t="inlineStr">
        <is>
          <t>P01</t>
        </is>
      </c>
      <c r="G543" s="2" t="n">
        <v>620000</v>
      </c>
      <c r="H543" s="2" t="inlineStr">
        <is>
          <t>Materiales</t>
        </is>
      </c>
      <c r="I543" s="9" t="n">
        <v>2751.69</v>
      </c>
      <c r="J543" s="9" t="n">
        <v>2679.18</v>
      </c>
      <c r="K543" s="9" t="n">
        <v>2533.13</v>
      </c>
      <c r="L543" s="9" t="n">
        <v>2776.01</v>
      </c>
      <c r="M543" s="9" t="n">
        <v>2452.4</v>
      </c>
      <c r="N543" s="9" t="n">
        <v>2459.59</v>
      </c>
      <c r="O543" s="9" t="n">
        <v>2368.83</v>
      </c>
      <c r="P543" s="9" t="n">
        <v>2363.29</v>
      </c>
      <c r="Q543" s="9" t="n">
        <v>2458.63</v>
      </c>
      <c r="R543" s="9" t="n">
        <v>2726.88</v>
      </c>
      <c r="S543" s="9" t="n">
        <v>2373.46</v>
      </c>
      <c r="T543" s="9" t="n">
        <v>2460.87</v>
      </c>
      <c r="U543" s="10">
        <f>SUM(I543:T543)</f>
        <v/>
      </c>
    </row>
    <row r="544">
      <c r="A544" s="2" t="inlineStr">
        <is>
          <t>SN-3000-3100-3110-3110HT0011</t>
        </is>
      </c>
      <c r="B544" s="2" t="inlineStr">
        <is>
          <t>3110HT0011</t>
        </is>
      </c>
      <c r="C544" s="2" t="inlineStr">
        <is>
          <t>Tecle removedor pernos</t>
        </is>
      </c>
      <c r="D544" s="2" t="n">
        <v>181</v>
      </c>
      <c r="E544" s="2" t="inlineStr">
        <is>
          <t>CC-3000</t>
        </is>
      </c>
      <c r="F544" s="2" t="inlineStr">
        <is>
          <t>P01</t>
        </is>
      </c>
      <c r="G544" s="2" t="n">
        <v>630000</v>
      </c>
      <c r="H544" s="2" t="inlineStr">
        <is>
          <t>Servicios externos</t>
        </is>
      </c>
      <c r="I544" s="9" t="n">
        <v>2329.46</v>
      </c>
      <c r="J544" s="9" t="n">
        <v>2562.14</v>
      </c>
      <c r="K544" s="9" t="n">
        <v>2386.38</v>
      </c>
      <c r="L544" s="9" t="n">
        <v>2409.7</v>
      </c>
      <c r="M544" s="9" t="n">
        <v>2409.82</v>
      </c>
      <c r="N544" s="9" t="n">
        <v>2365.45</v>
      </c>
      <c r="O544" s="9" t="n">
        <v>2423.7</v>
      </c>
      <c r="P544" s="9" t="n">
        <v>2407.2</v>
      </c>
      <c r="Q544" s="9" t="n">
        <v>2480.08</v>
      </c>
      <c r="R544" s="9" t="n">
        <v>2735.24</v>
      </c>
      <c r="S544" s="9" t="n">
        <v>2217.87</v>
      </c>
      <c r="T544" s="9" t="n">
        <v>2488.85</v>
      </c>
      <c r="U544" s="10">
        <f>SUM(I544:T544)</f>
        <v/>
      </c>
    </row>
    <row r="545">
      <c r="A545" s="2" t="inlineStr">
        <is>
          <t>SN-3000-3100-3110-3110HT0019</t>
        </is>
      </c>
      <c r="B545" s="2" t="inlineStr">
        <is>
          <t>3110HT0019</t>
        </is>
      </c>
      <c r="C545" s="2" t="inlineStr">
        <is>
          <t>Tecle correas</t>
        </is>
      </c>
      <c r="D545" s="2" t="n">
        <v>182</v>
      </c>
      <c r="E545" s="2" t="inlineStr">
        <is>
          <t>CC-3000</t>
        </is>
      </c>
      <c r="F545" s="2" t="inlineStr">
        <is>
          <t>P01</t>
        </is>
      </c>
      <c r="G545" s="2" t="n">
        <v>610000</v>
      </c>
      <c r="H545" s="2" t="inlineStr">
        <is>
          <t>Mano obra interna</t>
        </is>
      </c>
      <c r="I545" s="9" t="n">
        <v>867.6</v>
      </c>
      <c r="J545" s="9" t="n">
        <v>808.4</v>
      </c>
      <c r="K545" s="9" t="n">
        <v>942.98</v>
      </c>
      <c r="L545" s="9" t="n">
        <v>912.34</v>
      </c>
      <c r="M545" s="9" t="n">
        <v>878.47</v>
      </c>
      <c r="N545" s="9" t="n">
        <v>779.27</v>
      </c>
      <c r="O545" s="9" t="n">
        <v>827.66</v>
      </c>
      <c r="P545" s="9" t="n">
        <v>894.3200000000001</v>
      </c>
      <c r="Q545" s="9" t="n">
        <v>778.9</v>
      </c>
      <c r="R545" s="9" t="n">
        <v>947.23</v>
      </c>
      <c r="S545" s="9" t="n">
        <v>855.84</v>
      </c>
      <c r="T545" s="9" t="n">
        <v>859.95</v>
      </c>
      <c r="U545" s="10">
        <f>SUM(I545:T545)</f>
        <v/>
      </c>
    </row>
    <row r="546">
      <c r="A546" s="2" t="inlineStr">
        <is>
          <t>SN-3000-3100-3110-3110HT0019</t>
        </is>
      </c>
      <c r="B546" s="2" t="inlineStr">
        <is>
          <t>3110HT0019</t>
        </is>
      </c>
      <c r="C546" s="2" t="inlineStr">
        <is>
          <t>Tecle correas</t>
        </is>
      </c>
      <c r="D546" s="2" t="n">
        <v>182</v>
      </c>
      <c r="E546" s="2" t="inlineStr">
        <is>
          <t>CC-3000</t>
        </is>
      </c>
      <c r="F546" s="2" t="inlineStr">
        <is>
          <t>P01</t>
        </is>
      </c>
      <c r="G546" s="2" t="n">
        <v>620000</v>
      </c>
      <c r="H546" s="2" t="inlineStr">
        <is>
          <t>Materiales</t>
        </is>
      </c>
      <c r="I546" s="9" t="n">
        <v>930.46</v>
      </c>
      <c r="J546" s="9" t="n">
        <v>881.3</v>
      </c>
      <c r="K546" s="9" t="n">
        <v>831.26</v>
      </c>
      <c r="L546" s="9" t="n">
        <v>827.5</v>
      </c>
      <c r="M546" s="9" t="n">
        <v>854.1799999999999</v>
      </c>
      <c r="N546" s="9" t="n">
        <v>781.3</v>
      </c>
      <c r="O546" s="9" t="n">
        <v>930.65</v>
      </c>
      <c r="P546" s="9" t="n">
        <v>816.29</v>
      </c>
      <c r="Q546" s="9" t="n">
        <v>802.77</v>
      </c>
      <c r="R546" s="9" t="n">
        <v>911.62</v>
      </c>
      <c r="S546" s="9" t="n">
        <v>855.17</v>
      </c>
      <c r="T546" s="9" t="n">
        <v>824.89</v>
      </c>
      <c r="U546" s="10">
        <f>SUM(I546:T546)</f>
        <v/>
      </c>
    </row>
    <row r="547">
      <c r="A547" s="2" t="inlineStr">
        <is>
          <t>SN-3000-3100-3110-3110HT0019</t>
        </is>
      </c>
      <c r="B547" s="2" t="inlineStr">
        <is>
          <t>3110HT0019</t>
        </is>
      </c>
      <c r="C547" s="2" t="inlineStr">
        <is>
          <t>Tecle correas</t>
        </is>
      </c>
      <c r="D547" s="2" t="n">
        <v>182</v>
      </c>
      <c r="E547" s="2" t="inlineStr">
        <is>
          <t>CC-3000</t>
        </is>
      </c>
      <c r="F547" s="2" t="inlineStr">
        <is>
          <t>P01</t>
        </is>
      </c>
      <c r="G547" s="2" t="n">
        <v>630000</v>
      </c>
      <c r="H547" s="2" t="inlineStr">
        <is>
          <t>Servicios externos</t>
        </is>
      </c>
      <c r="I547" s="9" t="n">
        <v>723.53</v>
      </c>
      <c r="J547" s="9" t="n">
        <v>769.0599999999999</v>
      </c>
      <c r="K547" s="9" t="n">
        <v>702.77</v>
      </c>
      <c r="L547" s="9" t="n">
        <v>801.22</v>
      </c>
      <c r="M547" s="9" t="n">
        <v>766.4299999999999</v>
      </c>
      <c r="N547" s="9" t="n">
        <v>680.1900000000001</v>
      </c>
      <c r="O547" s="9" t="n">
        <v>769.65</v>
      </c>
      <c r="P547" s="9" t="n">
        <v>679.61</v>
      </c>
      <c r="Q547" s="9" t="n">
        <v>735.5700000000001</v>
      </c>
      <c r="R547" s="9" t="n">
        <v>796.3</v>
      </c>
      <c r="S547" s="9" t="n">
        <v>689.38</v>
      </c>
      <c r="T547" s="9" t="n">
        <v>729.77</v>
      </c>
      <c r="U547" s="10">
        <f>SUM(I547:T547)</f>
        <v/>
      </c>
    </row>
    <row r="548">
      <c r="A548" s="2" t="inlineStr">
        <is>
          <t>SN-3000-3100-3110-3110HT0043</t>
        </is>
      </c>
      <c r="B548" s="2" t="inlineStr">
        <is>
          <t>3110HT0043</t>
        </is>
      </c>
      <c r="C548" s="2" t="inlineStr">
        <is>
          <t>Tecle alimentación ciclones</t>
        </is>
      </c>
      <c r="D548" s="2" t="n">
        <v>183</v>
      </c>
      <c r="E548" s="2" t="inlineStr">
        <is>
          <t>CC-3000</t>
        </is>
      </c>
      <c r="F548" s="2" t="inlineStr">
        <is>
          <t>P01</t>
        </is>
      </c>
      <c r="G548" s="2" t="n">
        <v>610000</v>
      </c>
      <c r="H548" s="2" t="inlineStr">
        <is>
          <t>Mano obra interna</t>
        </is>
      </c>
      <c r="I548" s="9" t="n">
        <v>781.41</v>
      </c>
      <c r="J548" s="9" t="n">
        <v>647.59</v>
      </c>
      <c r="K548" s="9" t="n">
        <v>750.49</v>
      </c>
      <c r="L548" s="9" t="n">
        <v>718.88</v>
      </c>
      <c r="M548" s="9" t="n">
        <v>753</v>
      </c>
      <c r="N548" s="9" t="n">
        <v>651.11</v>
      </c>
      <c r="O548" s="9" t="n">
        <v>713.84</v>
      </c>
      <c r="P548" s="9" t="n">
        <v>707.34</v>
      </c>
      <c r="Q548" s="9" t="n">
        <v>682.26</v>
      </c>
      <c r="R548" s="9" t="n">
        <v>712.64</v>
      </c>
      <c r="S548" s="9" t="n">
        <v>653.54</v>
      </c>
      <c r="T548" s="9" t="n">
        <v>687.52</v>
      </c>
      <c r="U548" s="10">
        <f>SUM(I548:T548)</f>
        <v/>
      </c>
    </row>
    <row r="549">
      <c r="A549" s="2" t="inlineStr">
        <is>
          <t>SN-3000-3100-3110-3110HT0043</t>
        </is>
      </c>
      <c r="B549" s="2" t="inlineStr">
        <is>
          <t>3110HT0043</t>
        </is>
      </c>
      <c r="C549" s="2" t="inlineStr">
        <is>
          <t>Tecle alimentación ciclones</t>
        </is>
      </c>
      <c r="D549" s="2" t="n">
        <v>183</v>
      </c>
      <c r="E549" s="2" t="inlineStr">
        <is>
          <t>CC-3000</t>
        </is>
      </c>
      <c r="F549" s="2" t="inlineStr">
        <is>
          <t>P01</t>
        </is>
      </c>
      <c r="G549" s="2" t="n">
        <v>620000</v>
      </c>
      <c r="H549" s="2" t="inlineStr">
        <is>
          <t>Materiales</t>
        </is>
      </c>
      <c r="I549" s="9" t="n">
        <v>824.46</v>
      </c>
      <c r="J549" s="9" t="n">
        <v>846.87</v>
      </c>
      <c r="K549" s="9" t="n">
        <v>836.84</v>
      </c>
      <c r="L549" s="9" t="n">
        <v>918.89</v>
      </c>
      <c r="M549" s="9" t="n">
        <v>900.61</v>
      </c>
      <c r="N549" s="9" t="n">
        <v>814.96</v>
      </c>
      <c r="O549" s="9" t="n">
        <v>830.1900000000001</v>
      </c>
      <c r="P549" s="9" t="n">
        <v>813.12</v>
      </c>
      <c r="Q549" s="9" t="n">
        <v>734.16</v>
      </c>
      <c r="R549" s="9" t="n">
        <v>882.6</v>
      </c>
      <c r="S549" s="9" t="n">
        <v>843.0599999999999</v>
      </c>
      <c r="T549" s="9" t="n">
        <v>867.15</v>
      </c>
      <c r="U549" s="10">
        <f>SUM(I549:T549)</f>
        <v/>
      </c>
    </row>
    <row r="550">
      <c r="A550" s="2" t="inlineStr">
        <is>
          <t>SN-3000-3100-3110-3110HT0043</t>
        </is>
      </c>
      <c r="B550" s="2" t="inlineStr">
        <is>
          <t>3110HT0043</t>
        </is>
      </c>
      <c r="C550" s="2" t="inlineStr">
        <is>
          <t>Tecle alimentación ciclones</t>
        </is>
      </c>
      <c r="D550" s="2" t="n">
        <v>183</v>
      </c>
      <c r="E550" s="2" t="inlineStr">
        <is>
          <t>CC-3000</t>
        </is>
      </c>
      <c r="F550" s="2" t="inlineStr">
        <is>
          <t>P01</t>
        </is>
      </c>
      <c r="G550" s="2" t="n">
        <v>630000</v>
      </c>
      <c r="H550" s="2" t="inlineStr">
        <is>
          <t>Servicios externos</t>
        </is>
      </c>
      <c r="I550" s="9" t="n">
        <v>897.77</v>
      </c>
      <c r="J550" s="9" t="n">
        <v>908.0599999999999</v>
      </c>
      <c r="K550" s="9" t="n">
        <v>921</v>
      </c>
      <c r="L550" s="9" t="n">
        <v>915.84</v>
      </c>
      <c r="M550" s="9" t="n">
        <v>852.15</v>
      </c>
      <c r="N550" s="9" t="n">
        <v>848.83</v>
      </c>
      <c r="O550" s="9" t="n">
        <v>890.51</v>
      </c>
      <c r="P550" s="9" t="n">
        <v>923.16</v>
      </c>
      <c r="Q550" s="9" t="n">
        <v>891.16</v>
      </c>
      <c r="R550" s="9" t="n">
        <v>938.08</v>
      </c>
      <c r="S550" s="9" t="n">
        <v>802.3099999999999</v>
      </c>
      <c r="T550" s="9" t="n">
        <v>907.02</v>
      </c>
      <c r="U550" s="10">
        <f>SUM(I550:T550)</f>
        <v/>
      </c>
    </row>
    <row r="551">
      <c r="A551" s="2" t="inlineStr">
        <is>
          <t>SN-3000-3100-3110-3110IO0001</t>
        </is>
      </c>
      <c r="B551" s="2" t="inlineStr">
        <is>
          <t>3110IO0001</t>
        </is>
      </c>
      <c r="C551" s="2" t="inlineStr">
        <is>
          <t xml:space="preserve">Gabinete RIO  </t>
        </is>
      </c>
      <c r="D551" s="2" t="n">
        <v>184</v>
      </c>
      <c r="E551" s="2" t="inlineStr">
        <is>
          <t>CC-3000</t>
        </is>
      </c>
      <c r="F551" s="2" t="inlineStr">
        <is>
          <t>P01</t>
        </is>
      </c>
      <c r="G551" s="2" t="n">
        <v>610000</v>
      </c>
      <c r="H551" s="2" t="inlineStr">
        <is>
          <t>Mano obra interna</t>
        </is>
      </c>
      <c r="I551" s="9" t="n">
        <v>581.84</v>
      </c>
      <c r="J551" s="9" t="n">
        <v>617.48</v>
      </c>
      <c r="K551" s="9" t="n">
        <v>669.11</v>
      </c>
      <c r="L551" s="9" t="n">
        <v>659.03</v>
      </c>
      <c r="M551" s="9" t="n">
        <v>566.79</v>
      </c>
      <c r="N551" s="9" t="n">
        <v>610</v>
      </c>
      <c r="O551" s="9" t="n">
        <v>621.86</v>
      </c>
      <c r="P551" s="9" t="n">
        <v>597</v>
      </c>
      <c r="Q551" s="9" t="n">
        <v>563.92</v>
      </c>
      <c r="R551" s="9" t="n">
        <v>685.4</v>
      </c>
      <c r="S551" s="9" t="n">
        <v>580.8099999999999</v>
      </c>
      <c r="T551" s="9" t="n">
        <v>598.4299999999999</v>
      </c>
      <c r="U551" s="10">
        <f>SUM(I551:T551)</f>
        <v/>
      </c>
    </row>
    <row r="552">
      <c r="A552" s="2" t="inlineStr">
        <is>
          <t>SN-3000-3100-3110-3110IO0001</t>
        </is>
      </c>
      <c r="B552" s="2" t="inlineStr">
        <is>
          <t>3110IO0001</t>
        </is>
      </c>
      <c r="C552" s="2" t="inlineStr">
        <is>
          <t xml:space="preserve">Gabinete RIO  </t>
        </is>
      </c>
      <c r="D552" s="2" t="n">
        <v>184</v>
      </c>
      <c r="E552" s="2" t="inlineStr">
        <is>
          <t>CC-3000</t>
        </is>
      </c>
      <c r="F552" s="2" t="inlineStr">
        <is>
          <t>P01</t>
        </is>
      </c>
      <c r="G552" s="2" t="n">
        <v>620000</v>
      </c>
      <c r="H552" s="2" t="inlineStr">
        <is>
          <t>Materiales</t>
        </is>
      </c>
      <c r="I552" s="9" t="n">
        <v>609.8099999999999</v>
      </c>
      <c r="J552" s="9" t="n">
        <v>552.0599999999999</v>
      </c>
      <c r="K552" s="9" t="n">
        <v>647.59</v>
      </c>
      <c r="L552" s="9" t="n">
        <v>619.7</v>
      </c>
      <c r="M552" s="9" t="n">
        <v>596.23</v>
      </c>
      <c r="N552" s="9" t="n">
        <v>527.83</v>
      </c>
      <c r="O552" s="9" t="n">
        <v>599.99</v>
      </c>
      <c r="P552" s="9" t="n">
        <v>553.7</v>
      </c>
      <c r="Q552" s="9" t="n">
        <v>512.1</v>
      </c>
      <c r="R552" s="9" t="n">
        <v>638.9299999999999</v>
      </c>
      <c r="S552" s="9" t="n">
        <v>562.17</v>
      </c>
      <c r="T552" s="9" t="n">
        <v>607.15</v>
      </c>
      <c r="U552" s="10">
        <f>SUM(I552:T552)</f>
        <v/>
      </c>
    </row>
    <row r="553">
      <c r="A553" s="2" t="inlineStr">
        <is>
          <t>SN-3000-3100-3110-3110IO0001</t>
        </is>
      </c>
      <c r="B553" s="2" t="inlineStr">
        <is>
          <t>3110IO0001</t>
        </is>
      </c>
      <c r="C553" s="2" t="inlineStr">
        <is>
          <t xml:space="preserve">Gabinete RIO  </t>
        </is>
      </c>
      <c r="D553" s="2" t="n">
        <v>184</v>
      </c>
      <c r="E553" s="2" t="inlineStr">
        <is>
          <t>CC-3000</t>
        </is>
      </c>
      <c r="F553" s="2" t="inlineStr">
        <is>
          <t>P01</t>
        </is>
      </c>
      <c r="G553" s="2" t="n">
        <v>630000</v>
      </c>
      <c r="H553" s="2" t="inlineStr">
        <is>
          <t>Servicios externos</t>
        </is>
      </c>
      <c r="I553" s="9" t="n">
        <v>522.01</v>
      </c>
      <c r="J553" s="9" t="n">
        <v>482.73</v>
      </c>
      <c r="K553" s="9" t="n">
        <v>574.99</v>
      </c>
      <c r="L553" s="9" t="n">
        <v>533.63</v>
      </c>
      <c r="M553" s="9" t="n">
        <v>527.0599999999999</v>
      </c>
      <c r="N553" s="9" t="n">
        <v>480.54</v>
      </c>
      <c r="O553" s="9" t="n">
        <v>483.75</v>
      </c>
      <c r="P553" s="9" t="n">
        <v>556.01</v>
      </c>
      <c r="Q553" s="9" t="n">
        <v>464.86</v>
      </c>
      <c r="R553" s="9" t="n">
        <v>550.8099999999999</v>
      </c>
      <c r="S553" s="9" t="n">
        <v>512.55</v>
      </c>
      <c r="T553" s="9" t="n">
        <v>484.83</v>
      </c>
      <c r="U553" s="10">
        <f>SUM(I553:T553)</f>
        <v/>
      </c>
    </row>
    <row r="554">
      <c r="A554" s="2" t="inlineStr">
        <is>
          <t>SN-3000-3100-3110-3110IO0002</t>
        </is>
      </c>
      <c r="B554" s="2" t="inlineStr">
        <is>
          <t>3110IO0002</t>
        </is>
      </c>
      <c r="C554" s="2" t="inlineStr">
        <is>
          <t xml:space="preserve">Gabinete RIO  </t>
        </is>
      </c>
      <c r="D554" s="2" t="n">
        <v>185</v>
      </c>
      <c r="E554" s="2" t="inlineStr">
        <is>
          <t>CC-3000</t>
        </is>
      </c>
      <c r="F554" s="2" t="inlineStr">
        <is>
          <t>P01</t>
        </is>
      </c>
      <c r="G554" s="2" t="n">
        <v>610000</v>
      </c>
      <c r="H554" s="2" t="inlineStr">
        <is>
          <t>Mano obra interna</t>
        </is>
      </c>
      <c r="I554" s="9" t="n">
        <v>2357.18</v>
      </c>
      <c r="J554" s="9" t="n">
        <v>2180.62</v>
      </c>
      <c r="K554" s="9" t="n">
        <v>2202.13</v>
      </c>
      <c r="L554" s="9" t="n">
        <v>2219.52</v>
      </c>
      <c r="M554" s="9" t="n">
        <v>2415.46</v>
      </c>
      <c r="N554" s="9" t="n">
        <v>2260.08</v>
      </c>
      <c r="O554" s="9" t="n">
        <v>2204.75</v>
      </c>
      <c r="P554" s="9" t="n">
        <v>2134.46</v>
      </c>
      <c r="Q554" s="9" t="n">
        <v>2202.1</v>
      </c>
      <c r="R554" s="9" t="n">
        <v>2504.32</v>
      </c>
      <c r="S554" s="9" t="n">
        <v>2188.35</v>
      </c>
      <c r="T554" s="9" t="n">
        <v>2278.85</v>
      </c>
      <c r="U554" s="10">
        <f>SUM(I554:T554)</f>
        <v/>
      </c>
    </row>
    <row r="555">
      <c r="A555" s="2" t="inlineStr">
        <is>
          <t>SN-3000-3100-3110-3110IO0002</t>
        </is>
      </c>
      <c r="B555" s="2" t="inlineStr">
        <is>
          <t>3110IO0002</t>
        </is>
      </c>
      <c r="C555" s="2" t="inlineStr">
        <is>
          <t xml:space="preserve">Gabinete RIO  </t>
        </is>
      </c>
      <c r="D555" s="2" t="n">
        <v>185</v>
      </c>
      <c r="E555" s="2" t="inlineStr">
        <is>
          <t>CC-3000</t>
        </is>
      </c>
      <c r="F555" s="2" t="inlineStr">
        <is>
          <t>P01</t>
        </is>
      </c>
      <c r="G555" s="2" t="n">
        <v>620000</v>
      </c>
      <c r="H555" s="2" t="inlineStr">
        <is>
          <t>Materiales</t>
        </is>
      </c>
      <c r="I555" s="9" t="n">
        <v>1931.07</v>
      </c>
      <c r="J555" s="9" t="n">
        <v>1950.36</v>
      </c>
      <c r="K555" s="9" t="n">
        <v>1801.35</v>
      </c>
      <c r="L555" s="9" t="n">
        <v>1911.51</v>
      </c>
      <c r="M555" s="9" t="n">
        <v>1800.5</v>
      </c>
      <c r="N555" s="9" t="n">
        <v>1745.73</v>
      </c>
      <c r="O555" s="9" t="n">
        <v>1770.01</v>
      </c>
      <c r="P555" s="9" t="n">
        <v>1936.02</v>
      </c>
      <c r="Q555" s="9" t="n">
        <v>1710.31</v>
      </c>
      <c r="R555" s="9" t="n">
        <v>1999.88</v>
      </c>
      <c r="S555" s="9" t="n">
        <v>1727.15</v>
      </c>
      <c r="T555" s="9" t="n">
        <v>1773.85</v>
      </c>
      <c r="U555" s="10">
        <f>SUM(I555:T555)</f>
        <v/>
      </c>
    </row>
    <row r="556">
      <c r="A556" s="2" t="inlineStr">
        <is>
          <t>SN-3000-3100-3110-3110IO0002</t>
        </is>
      </c>
      <c r="B556" s="2" t="inlineStr">
        <is>
          <t>3110IO0002</t>
        </is>
      </c>
      <c r="C556" s="2" t="inlineStr">
        <is>
          <t xml:space="preserve">Gabinete RIO  </t>
        </is>
      </c>
      <c r="D556" s="2" t="n">
        <v>185</v>
      </c>
      <c r="E556" s="2" t="inlineStr">
        <is>
          <t>CC-3000</t>
        </is>
      </c>
      <c r="F556" s="2" t="inlineStr">
        <is>
          <t>P01</t>
        </is>
      </c>
      <c r="G556" s="2" t="n">
        <v>630000</v>
      </c>
      <c r="H556" s="2" t="inlineStr">
        <is>
          <t>Servicios externos</t>
        </is>
      </c>
      <c r="I556" s="9" t="n">
        <v>1875.37</v>
      </c>
      <c r="J556" s="9" t="n">
        <v>1664.31</v>
      </c>
      <c r="K556" s="9" t="n">
        <v>1888.16</v>
      </c>
      <c r="L556" s="9" t="n">
        <v>1783.54</v>
      </c>
      <c r="M556" s="9" t="n">
        <v>1734.16</v>
      </c>
      <c r="N556" s="9" t="n">
        <v>1689.82</v>
      </c>
      <c r="O556" s="9" t="n">
        <v>1739.41</v>
      </c>
      <c r="P556" s="9" t="n">
        <v>1661.48</v>
      </c>
      <c r="Q556" s="9" t="n">
        <v>1603.08</v>
      </c>
      <c r="R556" s="9" t="n">
        <v>1965.71</v>
      </c>
      <c r="S556" s="9" t="n">
        <v>1765.11</v>
      </c>
      <c r="T556" s="9" t="n">
        <v>1740.94</v>
      </c>
      <c r="U556" s="10">
        <f>SUM(I556:T556)</f>
        <v/>
      </c>
    </row>
    <row r="557">
      <c r="A557" s="2" t="inlineStr">
        <is>
          <t>SN-3000-3100-3110-3110KB0001</t>
        </is>
      </c>
      <c r="B557" s="2" t="inlineStr">
        <is>
          <t>3110KB0001</t>
        </is>
      </c>
      <c r="C557" s="2" t="inlineStr">
        <is>
          <t>Contenedor bolas SAG</t>
        </is>
      </c>
      <c r="D557" s="2" t="n">
        <v>186</v>
      </c>
      <c r="E557" s="2" t="inlineStr">
        <is>
          <t>CC-3000</t>
        </is>
      </c>
      <c r="F557" s="2" t="inlineStr">
        <is>
          <t>P01</t>
        </is>
      </c>
      <c r="G557" s="2" t="n">
        <v>610000</v>
      </c>
      <c r="H557" s="2" t="inlineStr">
        <is>
          <t>Mano obra interna</t>
        </is>
      </c>
      <c r="I557" s="9" t="n">
        <v>2450.47</v>
      </c>
      <c r="J557" s="9" t="n">
        <v>2370.81</v>
      </c>
      <c r="K557" s="9" t="n">
        <v>2405.39</v>
      </c>
      <c r="L557" s="9" t="n">
        <v>2743.66</v>
      </c>
      <c r="M557" s="9" t="n">
        <v>2382.5</v>
      </c>
      <c r="N557" s="9" t="n">
        <v>2308.14</v>
      </c>
      <c r="O557" s="9" t="n">
        <v>2436.33</v>
      </c>
      <c r="P557" s="9" t="n">
        <v>2371.98</v>
      </c>
      <c r="Q557" s="9" t="n">
        <v>2402.11</v>
      </c>
      <c r="R557" s="9" t="n">
        <v>2537.16</v>
      </c>
      <c r="S557" s="9" t="n">
        <v>2300.61</v>
      </c>
      <c r="T557" s="9" t="n">
        <v>2621.05</v>
      </c>
      <c r="U557" s="10">
        <f>SUM(I557:T557)</f>
        <v/>
      </c>
    </row>
    <row r="558">
      <c r="A558" s="2" t="inlineStr">
        <is>
          <t>SN-3000-3100-3110-3110KB0001</t>
        </is>
      </c>
      <c r="B558" s="2" t="inlineStr">
        <is>
          <t>3110KB0001</t>
        </is>
      </c>
      <c r="C558" s="2" t="inlineStr">
        <is>
          <t>Contenedor bolas SAG</t>
        </is>
      </c>
      <c r="D558" s="2" t="n">
        <v>186</v>
      </c>
      <c r="E558" s="2" t="inlineStr">
        <is>
          <t>CC-3000</t>
        </is>
      </c>
      <c r="F558" s="2" t="inlineStr">
        <is>
          <t>P01</t>
        </is>
      </c>
      <c r="G558" s="2" t="n">
        <v>620000</v>
      </c>
      <c r="H558" s="2" t="inlineStr">
        <is>
          <t>Materiales</t>
        </is>
      </c>
      <c r="I558" s="9" t="n">
        <v>2391.6</v>
      </c>
      <c r="J558" s="9" t="n">
        <v>2253.51</v>
      </c>
      <c r="K558" s="9" t="n">
        <v>2247.76</v>
      </c>
      <c r="L558" s="9" t="n">
        <v>2373.23</v>
      </c>
      <c r="M558" s="9" t="n">
        <v>2106.11</v>
      </c>
      <c r="N558" s="9" t="n">
        <v>2180.34</v>
      </c>
      <c r="O558" s="9" t="n">
        <v>2245.54</v>
      </c>
      <c r="P558" s="9" t="n">
        <v>2181.48</v>
      </c>
      <c r="Q558" s="9" t="n">
        <v>2145.72</v>
      </c>
      <c r="R558" s="9" t="n">
        <v>2590.41</v>
      </c>
      <c r="S558" s="9" t="n">
        <v>2370.12</v>
      </c>
      <c r="T558" s="9" t="n">
        <v>2340.66</v>
      </c>
      <c r="U558" s="10">
        <f>SUM(I558:T558)</f>
        <v/>
      </c>
    </row>
    <row r="559">
      <c r="A559" s="2" t="inlineStr">
        <is>
          <t>SN-3000-3100-3110-3110KB0001</t>
        </is>
      </c>
      <c r="B559" s="2" t="inlineStr">
        <is>
          <t>3110KB0001</t>
        </is>
      </c>
      <c r="C559" s="2" t="inlineStr">
        <is>
          <t>Contenedor bolas SAG</t>
        </is>
      </c>
      <c r="D559" s="2" t="n">
        <v>186</v>
      </c>
      <c r="E559" s="2" t="inlineStr">
        <is>
          <t>CC-3000</t>
        </is>
      </c>
      <c r="F559" s="2" t="inlineStr">
        <is>
          <t>P01</t>
        </is>
      </c>
      <c r="G559" s="2" t="n">
        <v>630000</v>
      </c>
      <c r="H559" s="2" t="inlineStr">
        <is>
          <t>Servicios externos</t>
        </is>
      </c>
      <c r="I559" s="9" t="n">
        <v>2283.52</v>
      </c>
      <c r="J559" s="9" t="n">
        <v>2214.78</v>
      </c>
      <c r="K559" s="9" t="n">
        <v>2405.87</v>
      </c>
      <c r="L559" s="9" t="n">
        <v>2340.56</v>
      </c>
      <c r="M559" s="9" t="n">
        <v>2468.88</v>
      </c>
      <c r="N559" s="9" t="n">
        <v>2189.84</v>
      </c>
      <c r="O559" s="9" t="n">
        <v>2293.43</v>
      </c>
      <c r="P559" s="9" t="n">
        <v>2294.45</v>
      </c>
      <c r="Q559" s="9" t="n">
        <v>2295.34</v>
      </c>
      <c r="R559" s="9" t="n">
        <v>2584.14</v>
      </c>
      <c r="S559" s="9" t="n">
        <v>2306.42</v>
      </c>
      <c r="T559" s="9" t="n">
        <v>2311.49</v>
      </c>
      <c r="U559" s="10">
        <f>SUM(I559:T559)</f>
        <v/>
      </c>
    </row>
    <row r="560">
      <c r="A560" s="2" t="inlineStr">
        <is>
          <t>SN-3000-3100-3110-3110LH0001</t>
        </is>
      </c>
      <c r="B560" s="2" t="inlineStr">
        <is>
          <t>3110LH0001</t>
        </is>
      </c>
      <c r="C560" s="2" t="inlineStr">
        <is>
          <t>Manipuladora revestimientos SAG</t>
        </is>
      </c>
      <c r="D560" s="2" t="n">
        <v>187</v>
      </c>
      <c r="E560" s="2" t="inlineStr">
        <is>
          <t>CC-3000</t>
        </is>
      </c>
      <c r="F560" s="2" t="inlineStr">
        <is>
          <t>P01</t>
        </is>
      </c>
      <c r="G560" s="2" t="n">
        <v>610000</v>
      </c>
      <c r="H560" s="2" t="inlineStr">
        <is>
          <t>Mano obra interna</t>
        </is>
      </c>
      <c r="I560" s="9" t="n">
        <v>319.69</v>
      </c>
      <c r="J560" s="9" t="n">
        <v>352.78</v>
      </c>
      <c r="K560" s="9" t="n">
        <v>349.55</v>
      </c>
      <c r="L560" s="9" t="n">
        <v>339.97</v>
      </c>
      <c r="M560" s="9" t="n">
        <v>334.49</v>
      </c>
      <c r="N560" s="9" t="n">
        <v>331.95</v>
      </c>
      <c r="O560" s="9" t="n">
        <v>311.92</v>
      </c>
      <c r="P560" s="9" t="n">
        <v>357.98</v>
      </c>
      <c r="Q560" s="9" t="n">
        <v>312.09</v>
      </c>
      <c r="R560" s="9" t="n">
        <v>355.5</v>
      </c>
      <c r="S560" s="9" t="n">
        <v>308.4</v>
      </c>
      <c r="T560" s="9" t="n">
        <v>339.84</v>
      </c>
      <c r="U560" s="10">
        <f>SUM(I560:T560)</f>
        <v/>
      </c>
    </row>
    <row r="561">
      <c r="A561" s="2" t="inlineStr">
        <is>
          <t>SN-3000-3100-3110-3110LH0001</t>
        </is>
      </c>
      <c r="B561" s="2" t="inlineStr">
        <is>
          <t>3110LH0001</t>
        </is>
      </c>
      <c r="C561" s="2" t="inlineStr">
        <is>
          <t>Manipuladora revestimientos SAG</t>
        </is>
      </c>
      <c r="D561" s="2" t="n">
        <v>187</v>
      </c>
      <c r="E561" s="2" t="inlineStr">
        <is>
          <t>CC-3000</t>
        </is>
      </c>
      <c r="F561" s="2" t="inlineStr">
        <is>
          <t>P01</t>
        </is>
      </c>
      <c r="G561" s="2" t="n">
        <v>620000</v>
      </c>
      <c r="H561" s="2" t="inlineStr">
        <is>
          <t>Materiales</t>
        </is>
      </c>
      <c r="I561" s="9" t="n">
        <v>296.83</v>
      </c>
      <c r="J561" s="9" t="n">
        <v>299.16</v>
      </c>
      <c r="K561" s="9" t="n">
        <v>300.81</v>
      </c>
      <c r="L561" s="9" t="n">
        <v>324.11</v>
      </c>
      <c r="M561" s="9" t="n">
        <v>296.91</v>
      </c>
      <c r="N561" s="9" t="n">
        <v>296.24</v>
      </c>
      <c r="O561" s="9" t="n">
        <v>276.99</v>
      </c>
      <c r="P561" s="9" t="n">
        <v>290.25</v>
      </c>
      <c r="Q561" s="9" t="n">
        <v>267.73</v>
      </c>
      <c r="R561" s="9" t="n">
        <v>322.02</v>
      </c>
      <c r="S561" s="9" t="n">
        <v>302.41</v>
      </c>
      <c r="T561" s="9" t="n">
        <v>279.48</v>
      </c>
      <c r="U561" s="10">
        <f>SUM(I561:T561)</f>
        <v/>
      </c>
    </row>
    <row r="562">
      <c r="A562" s="2" t="inlineStr">
        <is>
          <t>SN-3000-3100-3110-3110LH0001</t>
        </is>
      </c>
      <c r="B562" s="2" t="inlineStr">
        <is>
          <t>3110LH0001</t>
        </is>
      </c>
      <c r="C562" s="2" t="inlineStr">
        <is>
          <t>Manipuladora revestimientos SAG</t>
        </is>
      </c>
      <c r="D562" s="2" t="n">
        <v>187</v>
      </c>
      <c r="E562" s="2" t="inlineStr">
        <is>
          <t>CC-3000</t>
        </is>
      </c>
      <c r="F562" s="2" t="inlineStr">
        <is>
          <t>P01</t>
        </is>
      </c>
      <c r="G562" s="2" t="n">
        <v>630000</v>
      </c>
      <c r="H562" s="2" t="inlineStr">
        <is>
          <t>Servicios externos</t>
        </is>
      </c>
      <c r="I562" s="9" t="n">
        <v>277.84</v>
      </c>
      <c r="J562" s="9" t="n">
        <v>242.16</v>
      </c>
      <c r="K562" s="9" t="n">
        <v>273.06</v>
      </c>
      <c r="L562" s="9" t="n">
        <v>265.21</v>
      </c>
      <c r="M562" s="9" t="n">
        <v>268.64</v>
      </c>
      <c r="N562" s="9" t="n">
        <v>231.62</v>
      </c>
      <c r="O562" s="9" t="n">
        <v>242.57</v>
      </c>
      <c r="P562" s="9" t="n">
        <v>259.87</v>
      </c>
      <c r="Q562" s="9" t="n">
        <v>257.04</v>
      </c>
      <c r="R562" s="9" t="n">
        <v>274.16</v>
      </c>
      <c r="S562" s="9" t="n">
        <v>242.58</v>
      </c>
      <c r="T562" s="9" t="n">
        <v>266.01</v>
      </c>
      <c r="U562" s="10">
        <f>SUM(I562:T562)</f>
        <v/>
      </c>
    </row>
    <row r="563">
      <c r="A563" s="2" t="inlineStr">
        <is>
          <t>SN-3000-3100-3110-3110ME0012</t>
        </is>
      </c>
      <c r="B563" s="2" t="inlineStr">
        <is>
          <t>3110ME0012</t>
        </is>
      </c>
      <c r="C563" s="2" t="inlineStr">
        <is>
          <t>Removedor pernos SAG</t>
        </is>
      </c>
      <c r="D563" s="2" t="n">
        <v>188</v>
      </c>
      <c r="E563" s="2" t="inlineStr">
        <is>
          <t>CC-3000</t>
        </is>
      </c>
      <c r="F563" s="2" t="inlineStr">
        <is>
          <t>P01</t>
        </is>
      </c>
      <c r="G563" s="2" t="n">
        <v>610000</v>
      </c>
      <c r="H563" s="2" t="inlineStr">
        <is>
          <t>Mano obra interna</t>
        </is>
      </c>
      <c r="I563" s="9" t="n">
        <v>331.5</v>
      </c>
      <c r="J563" s="9" t="n">
        <v>327.51</v>
      </c>
      <c r="K563" s="9" t="n">
        <v>293.58</v>
      </c>
      <c r="L563" s="9" t="n">
        <v>295.4</v>
      </c>
      <c r="M563" s="9" t="n">
        <v>310.27</v>
      </c>
      <c r="N563" s="9" t="n">
        <v>309.69</v>
      </c>
      <c r="O563" s="9" t="n">
        <v>297.66</v>
      </c>
      <c r="P563" s="9" t="n">
        <v>295.04</v>
      </c>
      <c r="Q563" s="9" t="n">
        <v>299.99</v>
      </c>
      <c r="R563" s="9" t="n">
        <v>308.7</v>
      </c>
      <c r="S563" s="9" t="n">
        <v>292.04</v>
      </c>
      <c r="T563" s="9" t="n">
        <v>312.98</v>
      </c>
      <c r="U563" s="10">
        <f>SUM(I563:T563)</f>
        <v/>
      </c>
    </row>
    <row r="564">
      <c r="A564" s="2" t="inlineStr">
        <is>
          <t>SN-3000-3100-3110-3110ME0012</t>
        </is>
      </c>
      <c r="B564" s="2" t="inlineStr">
        <is>
          <t>3110ME0012</t>
        </is>
      </c>
      <c r="C564" s="2" t="inlineStr">
        <is>
          <t>Removedor pernos SAG</t>
        </is>
      </c>
      <c r="D564" s="2" t="n">
        <v>188</v>
      </c>
      <c r="E564" s="2" t="inlineStr">
        <is>
          <t>CC-3000</t>
        </is>
      </c>
      <c r="F564" s="2" t="inlineStr">
        <is>
          <t>P01</t>
        </is>
      </c>
      <c r="G564" s="2" t="n">
        <v>620000</v>
      </c>
      <c r="H564" s="2" t="inlineStr">
        <is>
          <t>Materiales</t>
        </is>
      </c>
      <c r="I564" s="9" t="n">
        <v>285.48</v>
      </c>
      <c r="J564" s="9" t="n">
        <v>259.53</v>
      </c>
      <c r="K564" s="9" t="n">
        <v>283.34</v>
      </c>
      <c r="L564" s="9" t="n">
        <v>279.5</v>
      </c>
      <c r="M564" s="9" t="n">
        <v>269.03</v>
      </c>
      <c r="N564" s="9" t="n">
        <v>263.73</v>
      </c>
      <c r="O564" s="9" t="n">
        <v>259.52</v>
      </c>
      <c r="P564" s="9" t="n">
        <v>251.67</v>
      </c>
      <c r="Q564" s="9" t="n">
        <v>235.84</v>
      </c>
      <c r="R564" s="9" t="n">
        <v>278.12</v>
      </c>
      <c r="S564" s="9" t="n">
        <v>261.17</v>
      </c>
      <c r="T564" s="9" t="n">
        <v>288.7</v>
      </c>
      <c r="U564" s="10">
        <f>SUM(I564:T564)</f>
        <v/>
      </c>
    </row>
    <row r="565">
      <c r="A565" s="2" t="inlineStr">
        <is>
          <t>SN-3000-3100-3110-3110ME0012</t>
        </is>
      </c>
      <c r="B565" s="2" t="inlineStr">
        <is>
          <t>3110ME0012</t>
        </is>
      </c>
      <c r="C565" s="2" t="inlineStr">
        <is>
          <t>Removedor pernos SAG</t>
        </is>
      </c>
      <c r="D565" s="2" t="n">
        <v>188</v>
      </c>
      <c r="E565" s="2" t="inlineStr">
        <is>
          <t>CC-3000</t>
        </is>
      </c>
      <c r="F565" s="2" t="inlineStr">
        <is>
          <t>P01</t>
        </is>
      </c>
      <c r="G565" s="2" t="n">
        <v>630000</v>
      </c>
      <c r="H565" s="2" t="inlineStr">
        <is>
          <t>Servicios externos</t>
        </is>
      </c>
      <c r="I565" s="9" t="n">
        <v>302.12</v>
      </c>
      <c r="J565" s="9" t="n">
        <v>271.95</v>
      </c>
      <c r="K565" s="9" t="n">
        <v>287.37</v>
      </c>
      <c r="L565" s="9" t="n">
        <v>284.19</v>
      </c>
      <c r="M565" s="9" t="n">
        <v>266.15</v>
      </c>
      <c r="N565" s="9" t="n">
        <v>251.46</v>
      </c>
      <c r="O565" s="9" t="n">
        <v>287.12</v>
      </c>
      <c r="P565" s="9" t="n">
        <v>304.79</v>
      </c>
      <c r="Q565" s="9" t="n">
        <v>249.28</v>
      </c>
      <c r="R565" s="9" t="n">
        <v>282.93</v>
      </c>
      <c r="S565" s="9" t="n">
        <v>286.09</v>
      </c>
      <c r="T565" s="9" t="n">
        <v>275.71</v>
      </c>
      <c r="U565" s="10">
        <f>SUM(I565:T565)</f>
        <v/>
      </c>
    </row>
    <row r="566">
      <c r="A566" s="2" t="inlineStr">
        <is>
          <t>SN-3000-3100-3110-3110MI0001</t>
        </is>
      </c>
      <c r="B566" s="2" t="inlineStr">
        <is>
          <t>3110MI0001</t>
        </is>
      </c>
      <c r="C566" s="2" t="inlineStr">
        <is>
          <t>Molino SAG</t>
        </is>
      </c>
      <c r="D566" s="2" t="n">
        <v>189</v>
      </c>
      <c r="E566" s="2" t="inlineStr">
        <is>
          <t>CC-3000</t>
        </is>
      </c>
      <c r="F566" s="2" t="inlineStr">
        <is>
          <t>P01</t>
        </is>
      </c>
      <c r="G566" s="2" t="n">
        <v>610000</v>
      </c>
      <c r="H566" s="2" t="inlineStr">
        <is>
          <t>Mano obra interna</t>
        </is>
      </c>
      <c r="I566" s="9" t="n">
        <v>1760.24</v>
      </c>
      <c r="J566" s="9" t="n">
        <v>1761.79</v>
      </c>
      <c r="K566" s="9" t="n">
        <v>1697.54</v>
      </c>
      <c r="L566" s="9" t="n">
        <v>1750.84</v>
      </c>
      <c r="M566" s="9" t="n">
        <v>1643.24</v>
      </c>
      <c r="N566" s="9" t="n">
        <v>1629.8</v>
      </c>
      <c r="O566" s="9" t="n">
        <v>1657.09</v>
      </c>
      <c r="P566" s="9" t="n">
        <v>1585.43</v>
      </c>
      <c r="Q566" s="9" t="n">
        <v>1556.35</v>
      </c>
      <c r="R566" s="9" t="n">
        <v>1809</v>
      </c>
      <c r="S566" s="9" t="n">
        <v>1696.81</v>
      </c>
      <c r="T566" s="9" t="n">
        <v>1758.46</v>
      </c>
      <c r="U566" s="10">
        <f>SUM(I566:T566)</f>
        <v/>
      </c>
    </row>
    <row r="567">
      <c r="A567" s="2" t="inlineStr">
        <is>
          <t>SN-3000-3100-3110-3110MI0001</t>
        </is>
      </c>
      <c r="B567" s="2" t="inlineStr">
        <is>
          <t>3110MI0001</t>
        </is>
      </c>
      <c r="C567" s="2" t="inlineStr">
        <is>
          <t>Molino SAG</t>
        </is>
      </c>
      <c r="D567" s="2" t="n">
        <v>189</v>
      </c>
      <c r="E567" s="2" t="inlineStr">
        <is>
          <t>CC-3000</t>
        </is>
      </c>
      <c r="F567" s="2" t="inlineStr">
        <is>
          <t>P01</t>
        </is>
      </c>
      <c r="G567" s="2" t="n">
        <v>620000</v>
      </c>
      <c r="H567" s="2" t="inlineStr">
        <is>
          <t>Materiales</t>
        </is>
      </c>
      <c r="I567" s="9" t="n">
        <v>1504</v>
      </c>
      <c r="J567" s="9" t="n">
        <v>1601.25</v>
      </c>
      <c r="K567" s="9" t="n">
        <v>1620.2</v>
      </c>
      <c r="L567" s="9" t="n">
        <v>1706.26</v>
      </c>
      <c r="M567" s="9" t="n">
        <v>1658.6</v>
      </c>
      <c r="N567" s="9" t="n">
        <v>1394.58</v>
      </c>
      <c r="O567" s="9" t="n">
        <v>1651.75</v>
      </c>
      <c r="P567" s="9" t="n">
        <v>1453.19</v>
      </c>
      <c r="Q567" s="9" t="n">
        <v>1430.81</v>
      </c>
      <c r="R567" s="9" t="n">
        <v>1705.06</v>
      </c>
      <c r="S567" s="9" t="n">
        <v>1434.68</v>
      </c>
      <c r="T567" s="9" t="n">
        <v>1656.56</v>
      </c>
      <c r="U567" s="10">
        <f>SUM(I567:T567)</f>
        <v/>
      </c>
    </row>
    <row r="568">
      <c r="A568" s="2" t="inlineStr">
        <is>
          <t>SN-3000-3100-3110-3110MI0001</t>
        </is>
      </c>
      <c r="B568" s="2" t="inlineStr">
        <is>
          <t>3110MI0001</t>
        </is>
      </c>
      <c r="C568" s="2" t="inlineStr">
        <is>
          <t>Molino SAG</t>
        </is>
      </c>
      <c r="D568" s="2" t="n">
        <v>189</v>
      </c>
      <c r="E568" s="2" t="inlineStr">
        <is>
          <t>CC-3000</t>
        </is>
      </c>
      <c r="F568" s="2" t="inlineStr">
        <is>
          <t>P01</t>
        </is>
      </c>
      <c r="G568" s="2" t="n">
        <v>630000</v>
      </c>
      <c r="H568" s="2" t="inlineStr">
        <is>
          <t>Servicios externos</t>
        </is>
      </c>
      <c r="I568" s="9" t="n">
        <v>1233.38</v>
      </c>
      <c r="J568" s="9" t="n">
        <v>1272.77</v>
      </c>
      <c r="K568" s="9" t="n">
        <v>1361.36</v>
      </c>
      <c r="L568" s="9" t="n">
        <v>1390.89</v>
      </c>
      <c r="M568" s="9" t="n">
        <v>1304.16</v>
      </c>
      <c r="N568" s="9" t="n">
        <v>1253.32</v>
      </c>
      <c r="O568" s="9" t="n">
        <v>1254.84</v>
      </c>
      <c r="P568" s="9" t="n">
        <v>1173.16</v>
      </c>
      <c r="Q568" s="9" t="n">
        <v>1115.47</v>
      </c>
      <c r="R568" s="9" t="n">
        <v>1383.51</v>
      </c>
      <c r="S568" s="9" t="n">
        <v>1269.7</v>
      </c>
      <c r="T568" s="9" t="n">
        <v>1277.68</v>
      </c>
      <c r="U568" s="10">
        <f>SUM(I568:T568)</f>
        <v/>
      </c>
    </row>
    <row r="569">
      <c r="A569" s="2" t="inlineStr">
        <is>
          <t>SN-3000-3100-3110-3110PL0001</t>
        </is>
      </c>
      <c r="B569" s="2" t="inlineStr">
        <is>
          <t>3110PL0001</t>
        </is>
      </c>
      <c r="C569" s="2" t="inlineStr">
        <is>
          <t>Línea pulpa 3110-0210-ATNA-16"-SL-N</t>
        </is>
      </c>
      <c r="D569" s="2" t="n">
        <v>190</v>
      </c>
      <c r="E569" s="2" t="inlineStr">
        <is>
          <t>CC-3000</t>
        </is>
      </c>
      <c r="F569" s="2" t="inlineStr">
        <is>
          <t>P01</t>
        </is>
      </c>
      <c r="G569" s="2" t="n">
        <v>610000</v>
      </c>
      <c r="H569" s="2" t="inlineStr">
        <is>
          <t>Mano obra interna</t>
        </is>
      </c>
      <c r="I569" s="9" t="n">
        <v>2703.09</v>
      </c>
      <c r="J569" s="9" t="n">
        <v>2421.66</v>
      </c>
      <c r="K569" s="9" t="n">
        <v>2588.02</v>
      </c>
      <c r="L569" s="9" t="n">
        <v>2843.54</v>
      </c>
      <c r="M569" s="9" t="n">
        <v>2705.34</v>
      </c>
      <c r="N569" s="9" t="n">
        <v>2682.08</v>
      </c>
      <c r="O569" s="9" t="n">
        <v>2478.32</v>
      </c>
      <c r="P569" s="9" t="n">
        <v>2843.5</v>
      </c>
      <c r="Q569" s="9" t="n">
        <v>2342.07</v>
      </c>
      <c r="R569" s="9" t="n">
        <v>2623.32</v>
      </c>
      <c r="S569" s="9" t="n">
        <v>2757.69</v>
      </c>
      <c r="T569" s="9" t="n">
        <v>2584.04</v>
      </c>
      <c r="U569" s="10">
        <f>SUM(I569:T569)</f>
        <v/>
      </c>
    </row>
    <row r="570">
      <c r="A570" s="2" t="inlineStr">
        <is>
          <t>SN-3000-3100-3110-3110PL0001</t>
        </is>
      </c>
      <c r="B570" s="2" t="inlineStr">
        <is>
          <t>3110PL0001</t>
        </is>
      </c>
      <c r="C570" s="2" t="inlineStr">
        <is>
          <t>Línea pulpa 3110-0210-ATNA-16"-SL-N</t>
        </is>
      </c>
      <c r="D570" s="2" t="n">
        <v>190</v>
      </c>
      <c r="E570" s="2" t="inlineStr">
        <is>
          <t>CC-3000</t>
        </is>
      </c>
      <c r="F570" s="2" t="inlineStr">
        <is>
          <t>P01</t>
        </is>
      </c>
      <c r="G570" s="2" t="n">
        <v>620000</v>
      </c>
      <c r="H570" s="2" t="inlineStr">
        <is>
          <t>Materiales</t>
        </is>
      </c>
      <c r="I570" s="9" t="n">
        <v>2447.46</v>
      </c>
      <c r="J570" s="9" t="n">
        <v>2521.95</v>
      </c>
      <c r="K570" s="9" t="n">
        <v>2776.88</v>
      </c>
      <c r="L570" s="9" t="n">
        <v>2509.66</v>
      </c>
      <c r="M570" s="9" t="n">
        <v>2570.28</v>
      </c>
      <c r="N570" s="9" t="n">
        <v>2296.5</v>
      </c>
      <c r="O570" s="9" t="n">
        <v>2579.92</v>
      </c>
      <c r="P570" s="9" t="n">
        <v>2460.27</v>
      </c>
      <c r="Q570" s="9" t="n">
        <v>2244.76</v>
      </c>
      <c r="R570" s="9" t="n">
        <v>2645.05</v>
      </c>
      <c r="S570" s="9" t="n">
        <v>2321.76</v>
      </c>
      <c r="T570" s="9" t="n">
        <v>2730.81</v>
      </c>
      <c r="U570" s="10">
        <f>SUM(I570:T570)</f>
        <v/>
      </c>
    </row>
    <row r="571">
      <c r="A571" s="2" t="inlineStr">
        <is>
          <t>SN-3000-3100-3110-3110PL0001</t>
        </is>
      </c>
      <c r="B571" s="2" t="inlineStr">
        <is>
          <t>3110PL0001</t>
        </is>
      </c>
      <c r="C571" s="2" t="inlineStr">
        <is>
          <t>Línea pulpa 3110-0210-ATNA-16"-SL-N</t>
        </is>
      </c>
      <c r="D571" s="2" t="n">
        <v>190</v>
      </c>
      <c r="E571" s="2" t="inlineStr">
        <is>
          <t>CC-3000</t>
        </is>
      </c>
      <c r="F571" s="2" t="inlineStr">
        <is>
          <t>P01</t>
        </is>
      </c>
      <c r="G571" s="2" t="n">
        <v>630000</v>
      </c>
      <c r="H571" s="2" t="inlineStr">
        <is>
          <t>Servicios externos</t>
        </is>
      </c>
      <c r="I571" s="9" t="n">
        <v>2248.03</v>
      </c>
      <c r="J571" s="9" t="n">
        <v>2242.27</v>
      </c>
      <c r="K571" s="9" t="n">
        <v>2300.32</v>
      </c>
      <c r="L571" s="9" t="n">
        <v>2438.06</v>
      </c>
      <c r="M571" s="9" t="n">
        <v>2443.24</v>
      </c>
      <c r="N571" s="9" t="n">
        <v>2173.07</v>
      </c>
      <c r="O571" s="9" t="n">
        <v>2429.4</v>
      </c>
      <c r="P571" s="9" t="n">
        <v>2318.15</v>
      </c>
      <c r="Q571" s="9" t="n">
        <v>2019.81</v>
      </c>
      <c r="R571" s="9" t="n">
        <v>2551.24</v>
      </c>
      <c r="S571" s="9" t="n">
        <v>2227.15</v>
      </c>
      <c r="T571" s="9" t="n">
        <v>2385.92</v>
      </c>
      <c r="U571" s="10">
        <f>SUM(I571:T571)</f>
        <v/>
      </c>
    </row>
    <row r="572">
      <c r="A572" s="2" t="inlineStr">
        <is>
          <t>SN-3000-3100-3110-3110PU0061</t>
        </is>
      </c>
      <c r="B572" s="2" t="inlineStr">
        <is>
          <t>3110PU0061</t>
        </is>
      </c>
      <c r="C572" s="2" t="inlineStr">
        <is>
          <t>Bomba alimentación hidrociclon</t>
        </is>
      </c>
      <c r="D572" s="2" t="n">
        <v>191</v>
      </c>
      <c r="E572" s="2" t="inlineStr">
        <is>
          <t>CC-3000</t>
        </is>
      </c>
      <c r="F572" s="2" t="inlineStr">
        <is>
          <t>P01</t>
        </is>
      </c>
      <c r="G572" s="2" t="n">
        <v>610000</v>
      </c>
      <c r="H572" s="2" t="inlineStr">
        <is>
          <t>Mano obra interna</t>
        </is>
      </c>
      <c r="I572" s="9" t="n">
        <v>3026.03</v>
      </c>
      <c r="J572" s="9" t="n">
        <v>3136.64</v>
      </c>
      <c r="K572" s="9" t="n">
        <v>3211.29</v>
      </c>
      <c r="L572" s="9" t="n">
        <v>3053.16</v>
      </c>
      <c r="M572" s="9" t="n">
        <v>3010.72</v>
      </c>
      <c r="N572" s="9" t="n">
        <v>2781.44</v>
      </c>
      <c r="O572" s="9" t="n">
        <v>3225.79</v>
      </c>
      <c r="P572" s="9" t="n">
        <v>3070.6</v>
      </c>
      <c r="Q572" s="9" t="n">
        <v>2582.57</v>
      </c>
      <c r="R572" s="9" t="n">
        <v>3137.94</v>
      </c>
      <c r="S572" s="9" t="n">
        <v>2954.35</v>
      </c>
      <c r="T572" s="9" t="n">
        <v>2821.6</v>
      </c>
      <c r="U572" s="10">
        <f>SUM(I572:T572)</f>
        <v/>
      </c>
    </row>
    <row r="573">
      <c r="A573" s="2" t="inlineStr">
        <is>
          <t>SN-3000-3100-3110-3110PU0061</t>
        </is>
      </c>
      <c r="B573" s="2" t="inlineStr">
        <is>
          <t>3110PU0061</t>
        </is>
      </c>
      <c r="C573" s="2" t="inlineStr">
        <is>
          <t>Bomba alimentación hidrociclon</t>
        </is>
      </c>
      <c r="D573" s="2" t="n">
        <v>191</v>
      </c>
      <c r="E573" s="2" t="inlineStr">
        <is>
          <t>CC-3000</t>
        </is>
      </c>
      <c r="F573" s="2" t="inlineStr">
        <is>
          <t>P01</t>
        </is>
      </c>
      <c r="G573" s="2" t="n">
        <v>620000</v>
      </c>
      <c r="H573" s="2" t="inlineStr">
        <is>
          <t>Materiales</t>
        </is>
      </c>
      <c r="I573" s="9" t="n">
        <v>2319.94</v>
      </c>
      <c r="J573" s="9" t="n">
        <v>2195.8</v>
      </c>
      <c r="K573" s="9" t="n">
        <v>2340.04</v>
      </c>
      <c r="L573" s="9" t="n">
        <v>2252.49</v>
      </c>
      <c r="M573" s="9" t="n">
        <v>2145.57</v>
      </c>
      <c r="N573" s="9" t="n">
        <v>2256.53</v>
      </c>
      <c r="O573" s="9" t="n">
        <v>2297.27</v>
      </c>
      <c r="P573" s="9" t="n">
        <v>2179.35</v>
      </c>
      <c r="Q573" s="9" t="n">
        <v>2070.98</v>
      </c>
      <c r="R573" s="9" t="n">
        <v>2506.84</v>
      </c>
      <c r="S573" s="9" t="n">
        <v>2065.94</v>
      </c>
      <c r="T573" s="9" t="n">
        <v>2193.76</v>
      </c>
      <c r="U573" s="10">
        <f>SUM(I573:T573)</f>
        <v/>
      </c>
    </row>
    <row r="574">
      <c r="A574" s="2" t="inlineStr">
        <is>
          <t>SN-3000-3100-3110-3110PU0061</t>
        </is>
      </c>
      <c r="B574" s="2" t="inlineStr">
        <is>
          <t>3110PU0061</t>
        </is>
      </c>
      <c r="C574" s="2" t="inlineStr">
        <is>
          <t>Bomba alimentación hidrociclon</t>
        </is>
      </c>
      <c r="D574" s="2" t="n">
        <v>191</v>
      </c>
      <c r="E574" s="2" t="inlineStr">
        <is>
          <t>CC-3000</t>
        </is>
      </c>
      <c r="F574" s="2" t="inlineStr">
        <is>
          <t>P01</t>
        </is>
      </c>
      <c r="G574" s="2" t="n">
        <v>630000</v>
      </c>
      <c r="H574" s="2" t="inlineStr">
        <is>
          <t>Servicios externos</t>
        </is>
      </c>
      <c r="I574" s="9" t="n">
        <v>2401.33</v>
      </c>
      <c r="J574" s="9" t="n">
        <v>2295.53</v>
      </c>
      <c r="K574" s="9" t="n">
        <v>2404.91</v>
      </c>
      <c r="L574" s="9" t="n">
        <v>2368.99</v>
      </c>
      <c r="M574" s="9" t="n">
        <v>2277.26</v>
      </c>
      <c r="N574" s="9" t="n">
        <v>2134.04</v>
      </c>
      <c r="O574" s="9" t="n">
        <v>2292.38</v>
      </c>
      <c r="P574" s="9" t="n">
        <v>2073.32</v>
      </c>
      <c r="Q574" s="9" t="n">
        <v>2126.02</v>
      </c>
      <c r="R574" s="9" t="n">
        <v>2523.46</v>
      </c>
      <c r="S574" s="9" t="n">
        <v>2168.92</v>
      </c>
      <c r="T574" s="9" t="n">
        <v>2221.78</v>
      </c>
      <c r="U574" s="10">
        <f>SUM(I574:T574)</f>
        <v/>
      </c>
    </row>
    <row r="575">
      <c r="A575" s="2" t="inlineStr">
        <is>
          <t>SN-3000-3100-3110-3110PU0062</t>
        </is>
      </c>
      <c r="B575" s="2" t="inlineStr">
        <is>
          <t>3110PU0062</t>
        </is>
      </c>
      <c r="C575" s="2" t="inlineStr">
        <is>
          <t>Bomba alimentación hidrociclon</t>
        </is>
      </c>
      <c r="D575" s="2" t="n">
        <v>192</v>
      </c>
      <c r="E575" s="2" t="inlineStr">
        <is>
          <t>CC-3000</t>
        </is>
      </c>
      <c r="F575" s="2" t="inlineStr">
        <is>
          <t>P01</t>
        </is>
      </c>
      <c r="G575" s="2" t="n">
        <v>610000</v>
      </c>
      <c r="H575" s="2" t="inlineStr">
        <is>
          <t>Mano obra interna</t>
        </is>
      </c>
      <c r="I575" s="9" t="n">
        <v>1866.14</v>
      </c>
      <c r="J575" s="9" t="n">
        <v>1814.43</v>
      </c>
      <c r="K575" s="9" t="n">
        <v>1953.18</v>
      </c>
      <c r="L575" s="9" t="n">
        <v>1780.52</v>
      </c>
      <c r="M575" s="9" t="n">
        <v>1845.06</v>
      </c>
      <c r="N575" s="9" t="n">
        <v>1725.46</v>
      </c>
      <c r="O575" s="9" t="n">
        <v>1897.53</v>
      </c>
      <c r="P575" s="9" t="n">
        <v>1793.81</v>
      </c>
      <c r="Q575" s="9" t="n">
        <v>1668.35</v>
      </c>
      <c r="R575" s="9" t="n">
        <v>1951.38</v>
      </c>
      <c r="S575" s="9" t="n">
        <v>1799.14</v>
      </c>
      <c r="T575" s="9" t="n">
        <v>1948.59</v>
      </c>
      <c r="U575" s="10">
        <f>SUM(I575:T575)</f>
        <v/>
      </c>
    </row>
    <row r="576">
      <c r="A576" s="2" t="inlineStr">
        <is>
          <t>SN-3000-3100-3110-3110PU0062</t>
        </is>
      </c>
      <c r="B576" s="2" t="inlineStr">
        <is>
          <t>3110PU0062</t>
        </is>
      </c>
      <c r="C576" s="2" t="inlineStr">
        <is>
          <t>Bomba alimentación hidrociclon</t>
        </is>
      </c>
      <c r="D576" s="2" t="n">
        <v>192</v>
      </c>
      <c r="E576" s="2" t="inlineStr">
        <is>
          <t>CC-3000</t>
        </is>
      </c>
      <c r="F576" s="2" t="inlineStr">
        <is>
          <t>P01</t>
        </is>
      </c>
      <c r="G576" s="2" t="n">
        <v>620000</v>
      </c>
      <c r="H576" s="2" t="inlineStr">
        <is>
          <t>Materiales</t>
        </is>
      </c>
      <c r="I576" s="9" t="n">
        <v>1585.15</v>
      </c>
      <c r="J576" s="9" t="n">
        <v>1762.25</v>
      </c>
      <c r="K576" s="9" t="n">
        <v>1733.43</v>
      </c>
      <c r="L576" s="9" t="n">
        <v>1740.56</v>
      </c>
      <c r="M576" s="9" t="n">
        <v>1650.32</v>
      </c>
      <c r="N576" s="9" t="n">
        <v>1494.86</v>
      </c>
      <c r="O576" s="9" t="n">
        <v>1744.79</v>
      </c>
      <c r="P576" s="9" t="n">
        <v>1737.12</v>
      </c>
      <c r="Q576" s="9" t="n">
        <v>1509.78</v>
      </c>
      <c r="R576" s="9" t="n">
        <v>1747.51</v>
      </c>
      <c r="S576" s="9" t="n">
        <v>1706.37</v>
      </c>
      <c r="T576" s="9" t="n">
        <v>1580.98</v>
      </c>
      <c r="U576" s="10">
        <f>SUM(I576:T576)</f>
        <v/>
      </c>
    </row>
    <row r="577">
      <c r="A577" s="2" t="inlineStr">
        <is>
          <t>SN-3000-3100-3110-3110PU0062</t>
        </is>
      </c>
      <c r="B577" s="2" t="inlineStr">
        <is>
          <t>3110PU0062</t>
        </is>
      </c>
      <c r="C577" s="2" t="inlineStr">
        <is>
          <t>Bomba alimentación hidrociclon</t>
        </is>
      </c>
      <c r="D577" s="2" t="n">
        <v>192</v>
      </c>
      <c r="E577" s="2" t="inlineStr">
        <is>
          <t>CC-3000</t>
        </is>
      </c>
      <c r="F577" s="2" t="inlineStr">
        <is>
          <t>P01</t>
        </is>
      </c>
      <c r="G577" s="2" t="n">
        <v>630000</v>
      </c>
      <c r="H577" s="2" t="inlineStr">
        <is>
          <t>Servicios externos</t>
        </is>
      </c>
      <c r="I577" s="9" t="n">
        <v>2063.92</v>
      </c>
      <c r="J577" s="9" t="n">
        <v>2102.65</v>
      </c>
      <c r="K577" s="9" t="n">
        <v>2321.64</v>
      </c>
      <c r="L577" s="9" t="n">
        <v>2211.33</v>
      </c>
      <c r="M577" s="9" t="n">
        <v>2053.42</v>
      </c>
      <c r="N577" s="9" t="n">
        <v>2072.25</v>
      </c>
      <c r="O577" s="9" t="n">
        <v>2052.09</v>
      </c>
      <c r="P577" s="9" t="n">
        <v>2027.19</v>
      </c>
      <c r="Q577" s="9" t="n">
        <v>2113.89</v>
      </c>
      <c r="R577" s="9" t="n">
        <v>2359.7</v>
      </c>
      <c r="S577" s="9" t="n">
        <v>2083.65</v>
      </c>
      <c r="T577" s="9" t="n">
        <v>2085.48</v>
      </c>
      <c r="U577" s="10">
        <f>SUM(I577:T577)</f>
        <v/>
      </c>
    </row>
    <row r="578">
      <c r="A578" s="2" t="inlineStr">
        <is>
          <t>SN-3000-3100-3110-3110PU0063</t>
        </is>
      </c>
      <c r="B578" s="2" t="inlineStr">
        <is>
          <t>3110PU0063</t>
        </is>
      </c>
      <c r="C578" s="2" t="inlineStr">
        <is>
          <t>Bomba sumidero molienda</t>
        </is>
      </c>
      <c r="D578" s="2" t="n">
        <v>193</v>
      </c>
      <c r="E578" s="2" t="inlineStr">
        <is>
          <t>CC-3000</t>
        </is>
      </c>
      <c r="F578" s="2" t="inlineStr">
        <is>
          <t>P01</t>
        </is>
      </c>
      <c r="G578" s="2" t="n">
        <v>610000</v>
      </c>
      <c r="H578" s="2" t="inlineStr">
        <is>
          <t>Mano obra interna</t>
        </is>
      </c>
      <c r="I578" s="9" t="n">
        <v>2327.12</v>
      </c>
      <c r="J578" s="9" t="n">
        <v>2448.24</v>
      </c>
      <c r="K578" s="9" t="n">
        <v>2649.09</v>
      </c>
      <c r="L578" s="9" t="n">
        <v>2533.91</v>
      </c>
      <c r="M578" s="9" t="n">
        <v>2572.01</v>
      </c>
      <c r="N578" s="9" t="n">
        <v>2180.34</v>
      </c>
      <c r="O578" s="9" t="n">
        <v>2413.06</v>
      </c>
      <c r="P578" s="9" t="n">
        <v>2359.07</v>
      </c>
      <c r="Q578" s="9" t="n">
        <v>2274.8</v>
      </c>
      <c r="R578" s="9" t="n">
        <v>2475.95</v>
      </c>
      <c r="S578" s="9" t="n">
        <v>2559.16</v>
      </c>
      <c r="T578" s="9" t="n">
        <v>2390.36</v>
      </c>
      <c r="U578" s="10">
        <f>SUM(I578:T578)</f>
        <v/>
      </c>
    </row>
    <row r="579">
      <c r="A579" s="2" t="inlineStr">
        <is>
          <t>SN-3000-3100-3110-3110PU0063</t>
        </is>
      </c>
      <c r="B579" s="2" t="inlineStr">
        <is>
          <t>3110PU0063</t>
        </is>
      </c>
      <c r="C579" s="2" t="inlineStr">
        <is>
          <t>Bomba sumidero molienda</t>
        </is>
      </c>
      <c r="D579" s="2" t="n">
        <v>193</v>
      </c>
      <c r="E579" s="2" t="inlineStr">
        <is>
          <t>CC-3000</t>
        </is>
      </c>
      <c r="F579" s="2" t="inlineStr">
        <is>
          <t>P01</t>
        </is>
      </c>
      <c r="G579" s="2" t="n">
        <v>620000</v>
      </c>
      <c r="H579" s="2" t="inlineStr">
        <is>
          <t>Materiales</t>
        </is>
      </c>
      <c r="I579" s="9" t="n">
        <v>3074.54</v>
      </c>
      <c r="J579" s="9" t="n">
        <v>3234.93</v>
      </c>
      <c r="K579" s="9" t="n">
        <v>3171.53</v>
      </c>
      <c r="L579" s="9" t="n">
        <v>3329.82</v>
      </c>
      <c r="M579" s="9" t="n">
        <v>2777.64</v>
      </c>
      <c r="N579" s="9" t="n">
        <v>3029.73</v>
      </c>
      <c r="O579" s="9" t="n">
        <v>3245.92</v>
      </c>
      <c r="P579" s="9" t="n">
        <v>2870.05</v>
      </c>
      <c r="Q579" s="9" t="n">
        <v>2653.87</v>
      </c>
      <c r="R579" s="9" t="n">
        <v>3247.26</v>
      </c>
      <c r="S579" s="9" t="n">
        <v>3155.29</v>
      </c>
      <c r="T579" s="9" t="n">
        <v>3114.13</v>
      </c>
      <c r="U579" s="10">
        <f>SUM(I579:T579)</f>
        <v/>
      </c>
    </row>
    <row r="580">
      <c r="A580" s="2" t="inlineStr">
        <is>
          <t>SN-3000-3100-3110-3110PU0063</t>
        </is>
      </c>
      <c r="B580" s="2" t="inlineStr">
        <is>
          <t>3110PU0063</t>
        </is>
      </c>
      <c r="C580" s="2" t="inlineStr">
        <is>
          <t>Bomba sumidero molienda</t>
        </is>
      </c>
      <c r="D580" s="2" t="n">
        <v>193</v>
      </c>
      <c r="E580" s="2" t="inlineStr">
        <is>
          <t>CC-3000</t>
        </is>
      </c>
      <c r="F580" s="2" t="inlineStr">
        <is>
          <t>P01</t>
        </is>
      </c>
      <c r="G580" s="2" t="n">
        <v>630000</v>
      </c>
      <c r="H580" s="2" t="inlineStr">
        <is>
          <t>Servicios externos</t>
        </is>
      </c>
      <c r="I580" s="9" t="n">
        <v>2681.79</v>
      </c>
      <c r="J580" s="9" t="n">
        <v>2525.61</v>
      </c>
      <c r="K580" s="9" t="n">
        <v>3017.92</v>
      </c>
      <c r="L580" s="9" t="n">
        <v>2660.53</v>
      </c>
      <c r="M580" s="9" t="n">
        <v>2817.3</v>
      </c>
      <c r="N580" s="9" t="n">
        <v>2841.38</v>
      </c>
      <c r="O580" s="9" t="n">
        <v>2658.34</v>
      </c>
      <c r="P580" s="9" t="n">
        <v>2858.62</v>
      </c>
      <c r="Q580" s="9" t="n">
        <v>2419.52</v>
      </c>
      <c r="R580" s="9" t="n">
        <v>3055.53</v>
      </c>
      <c r="S580" s="9" t="n">
        <v>2552.97</v>
      </c>
      <c r="T580" s="9" t="n">
        <v>2935.22</v>
      </c>
      <c r="U580" s="10">
        <f>SUM(I580:T580)</f>
        <v/>
      </c>
    </row>
    <row r="581">
      <c r="A581" s="2" t="inlineStr">
        <is>
          <t>SN-3000-3100-3110-3110PU0064</t>
        </is>
      </c>
      <c r="B581" s="2" t="inlineStr">
        <is>
          <t>3110PU0064</t>
        </is>
      </c>
      <c r="C581" s="2" t="inlineStr">
        <is>
          <t>Bomba sumidero molienda</t>
        </is>
      </c>
      <c r="D581" s="2" t="n">
        <v>194</v>
      </c>
      <c r="E581" s="2" t="inlineStr">
        <is>
          <t>CC-3000</t>
        </is>
      </c>
      <c r="F581" s="2" t="inlineStr">
        <is>
          <t>P01</t>
        </is>
      </c>
      <c r="G581" s="2" t="n">
        <v>610000</v>
      </c>
      <c r="H581" s="2" t="inlineStr">
        <is>
          <t>Mano obra interna</t>
        </is>
      </c>
      <c r="I581" s="9" t="n">
        <v>1901.32</v>
      </c>
      <c r="J581" s="9" t="n">
        <v>1874.45</v>
      </c>
      <c r="K581" s="9" t="n">
        <v>1831.09</v>
      </c>
      <c r="L581" s="9" t="n">
        <v>1988.79</v>
      </c>
      <c r="M581" s="9" t="n">
        <v>1795.54</v>
      </c>
      <c r="N581" s="9" t="n">
        <v>1837.69</v>
      </c>
      <c r="O581" s="9" t="n">
        <v>1771.84</v>
      </c>
      <c r="P581" s="9" t="n">
        <v>1928.41</v>
      </c>
      <c r="Q581" s="9" t="n">
        <v>1640.22</v>
      </c>
      <c r="R581" s="9" t="n">
        <v>1996.26</v>
      </c>
      <c r="S581" s="9" t="n">
        <v>1740.28</v>
      </c>
      <c r="T581" s="9" t="n">
        <v>1976.84</v>
      </c>
      <c r="U581" s="10">
        <f>SUM(I581:T581)</f>
        <v/>
      </c>
    </row>
    <row r="582">
      <c r="A582" s="2" t="inlineStr">
        <is>
          <t>SN-3000-3100-3110-3110PU0064</t>
        </is>
      </c>
      <c r="B582" s="2" t="inlineStr">
        <is>
          <t>3110PU0064</t>
        </is>
      </c>
      <c r="C582" s="2" t="inlineStr">
        <is>
          <t>Bomba sumidero molienda</t>
        </is>
      </c>
      <c r="D582" s="2" t="n">
        <v>194</v>
      </c>
      <c r="E582" s="2" t="inlineStr">
        <is>
          <t>CC-3000</t>
        </is>
      </c>
      <c r="F582" s="2" t="inlineStr">
        <is>
          <t>P01</t>
        </is>
      </c>
      <c r="G582" s="2" t="n">
        <v>620000</v>
      </c>
      <c r="H582" s="2" t="inlineStr">
        <is>
          <t>Materiales</t>
        </is>
      </c>
      <c r="I582" s="9" t="n">
        <v>1933.43</v>
      </c>
      <c r="J582" s="9" t="n">
        <v>1868.11</v>
      </c>
      <c r="K582" s="9" t="n">
        <v>1751.98</v>
      </c>
      <c r="L582" s="9" t="n">
        <v>1857.52</v>
      </c>
      <c r="M582" s="9" t="n">
        <v>1649.95</v>
      </c>
      <c r="N582" s="9" t="n">
        <v>1676.91</v>
      </c>
      <c r="O582" s="9" t="n">
        <v>1846.69</v>
      </c>
      <c r="P582" s="9" t="n">
        <v>1829.1</v>
      </c>
      <c r="Q582" s="9" t="n">
        <v>1694.71</v>
      </c>
      <c r="R582" s="9" t="n">
        <v>1857.95</v>
      </c>
      <c r="S582" s="9" t="n">
        <v>1694.21</v>
      </c>
      <c r="T582" s="9" t="n">
        <v>1696.36</v>
      </c>
      <c r="U582" s="10">
        <f>SUM(I582:T582)</f>
        <v/>
      </c>
    </row>
    <row r="583">
      <c r="A583" s="2" t="inlineStr">
        <is>
          <t>SN-3000-3100-3110-3110PU0064</t>
        </is>
      </c>
      <c r="B583" s="2" t="inlineStr">
        <is>
          <t>3110PU0064</t>
        </is>
      </c>
      <c r="C583" s="2" t="inlineStr">
        <is>
          <t>Bomba sumidero molienda</t>
        </is>
      </c>
      <c r="D583" s="2" t="n">
        <v>194</v>
      </c>
      <c r="E583" s="2" t="inlineStr">
        <is>
          <t>CC-3000</t>
        </is>
      </c>
      <c r="F583" s="2" t="inlineStr">
        <is>
          <t>P01</t>
        </is>
      </c>
      <c r="G583" s="2" t="n">
        <v>630000</v>
      </c>
      <c r="H583" s="2" t="inlineStr">
        <is>
          <t>Servicios externos</t>
        </is>
      </c>
      <c r="I583" s="9" t="n">
        <v>2110.3</v>
      </c>
      <c r="J583" s="9" t="n">
        <v>2102.61</v>
      </c>
      <c r="K583" s="9" t="n">
        <v>2045.68</v>
      </c>
      <c r="L583" s="9" t="n">
        <v>2052.16</v>
      </c>
      <c r="M583" s="9" t="n">
        <v>1990.32</v>
      </c>
      <c r="N583" s="9" t="n">
        <v>1825.29</v>
      </c>
      <c r="O583" s="9" t="n">
        <v>2014.3</v>
      </c>
      <c r="P583" s="9" t="n">
        <v>2164.56</v>
      </c>
      <c r="Q583" s="9" t="n">
        <v>2045.37</v>
      </c>
      <c r="R583" s="9" t="n">
        <v>2234.44</v>
      </c>
      <c r="S583" s="9" t="n">
        <v>1985.71</v>
      </c>
      <c r="T583" s="9" t="n">
        <v>1939.21</v>
      </c>
      <c r="U583" s="10">
        <f>SUM(I583:T583)</f>
        <v/>
      </c>
    </row>
    <row r="584">
      <c r="A584" s="2" t="inlineStr">
        <is>
          <t>SN-3000-3100-3110-3110SY0005</t>
        </is>
      </c>
      <c r="B584" s="2" t="inlineStr">
        <is>
          <t>3110SY0005</t>
        </is>
      </c>
      <c r="C584" s="2" t="inlineStr">
        <is>
          <t>Lava ojos emergencia</t>
        </is>
      </c>
      <c r="D584" s="2" t="n">
        <v>195</v>
      </c>
      <c r="E584" s="2" t="inlineStr">
        <is>
          <t>CC-3000</t>
        </is>
      </c>
      <c r="F584" s="2" t="inlineStr">
        <is>
          <t>P01</t>
        </is>
      </c>
      <c r="G584" s="2" t="n">
        <v>610000</v>
      </c>
      <c r="H584" s="2" t="inlineStr">
        <is>
          <t>Mano obra interna</t>
        </is>
      </c>
      <c r="I584" s="9" t="n">
        <v>2638.96</v>
      </c>
      <c r="J584" s="9" t="n">
        <v>2957.55</v>
      </c>
      <c r="K584" s="9" t="n">
        <v>2887.24</v>
      </c>
      <c r="L584" s="9" t="n">
        <v>2792.86</v>
      </c>
      <c r="M584" s="9" t="n">
        <v>2962.84</v>
      </c>
      <c r="N584" s="9" t="n">
        <v>2476.39</v>
      </c>
      <c r="O584" s="9" t="n">
        <v>2841.33</v>
      </c>
      <c r="P584" s="9" t="n">
        <v>2823.36</v>
      </c>
      <c r="Q584" s="9" t="n">
        <v>2492.53</v>
      </c>
      <c r="R584" s="9" t="n">
        <v>2988.99</v>
      </c>
      <c r="S584" s="9" t="n">
        <v>2780.1</v>
      </c>
      <c r="T584" s="9" t="n">
        <v>2948.54</v>
      </c>
      <c r="U584" s="10">
        <f>SUM(I584:T584)</f>
        <v/>
      </c>
    </row>
    <row r="585">
      <c r="A585" s="2" t="inlineStr">
        <is>
          <t>SN-3000-3100-3110-3110SY0005</t>
        </is>
      </c>
      <c r="B585" s="2" t="inlineStr">
        <is>
          <t>3110SY0005</t>
        </is>
      </c>
      <c r="C585" s="2" t="inlineStr">
        <is>
          <t>Lava ojos emergencia</t>
        </is>
      </c>
      <c r="D585" s="2" t="n">
        <v>195</v>
      </c>
      <c r="E585" s="2" t="inlineStr">
        <is>
          <t>CC-3000</t>
        </is>
      </c>
      <c r="F585" s="2" t="inlineStr">
        <is>
          <t>P01</t>
        </is>
      </c>
      <c r="G585" s="2" t="n">
        <v>620000</v>
      </c>
      <c r="H585" s="2" t="inlineStr">
        <is>
          <t>Materiales</t>
        </is>
      </c>
      <c r="I585" s="9" t="n">
        <v>2300.34</v>
      </c>
      <c r="J585" s="9" t="n">
        <v>1962.93</v>
      </c>
      <c r="K585" s="9" t="n">
        <v>2080.18</v>
      </c>
      <c r="L585" s="9" t="n">
        <v>2071.13</v>
      </c>
      <c r="M585" s="9" t="n">
        <v>1930.24</v>
      </c>
      <c r="N585" s="9" t="n">
        <v>1892.18</v>
      </c>
      <c r="O585" s="9" t="n">
        <v>2271.08</v>
      </c>
      <c r="P585" s="9" t="n">
        <v>2042.36</v>
      </c>
      <c r="Q585" s="9" t="n">
        <v>1839.9</v>
      </c>
      <c r="R585" s="9" t="n">
        <v>2128.51</v>
      </c>
      <c r="S585" s="9" t="n">
        <v>2110.49</v>
      </c>
      <c r="T585" s="9" t="n">
        <v>2258.69</v>
      </c>
      <c r="U585" s="10">
        <f>SUM(I585:T585)</f>
        <v/>
      </c>
    </row>
    <row r="586">
      <c r="A586" s="2" t="inlineStr">
        <is>
          <t>SN-3000-3100-3110-3110SY0005</t>
        </is>
      </c>
      <c r="B586" s="2" t="inlineStr">
        <is>
          <t>3110SY0005</t>
        </is>
      </c>
      <c r="C586" s="2" t="inlineStr">
        <is>
          <t>Lava ojos emergencia</t>
        </is>
      </c>
      <c r="D586" s="2" t="n">
        <v>195</v>
      </c>
      <c r="E586" s="2" t="inlineStr">
        <is>
          <t>CC-3000</t>
        </is>
      </c>
      <c r="F586" s="2" t="inlineStr">
        <is>
          <t>P01</t>
        </is>
      </c>
      <c r="G586" s="2" t="n">
        <v>630000</v>
      </c>
      <c r="H586" s="2" t="inlineStr">
        <is>
          <t>Servicios externos</t>
        </is>
      </c>
      <c r="I586" s="9" t="n">
        <v>2173.27</v>
      </c>
      <c r="J586" s="9" t="n">
        <v>2170.11</v>
      </c>
      <c r="K586" s="9" t="n">
        <v>2209.8</v>
      </c>
      <c r="L586" s="9" t="n">
        <v>2206.92</v>
      </c>
      <c r="M586" s="9" t="n">
        <v>2256.77</v>
      </c>
      <c r="N586" s="9" t="n">
        <v>2109.08</v>
      </c>
      <c r="O586" s="9" t="n">
        <v>2312.55</v>
      </c>
      <c r="P586" s="9" t="n">
        <v>2213.04</v>
      </c>
      <c r="Q586" s="9" t="n">
        <v>2297.53</v>
      </c>
      <c r="R586" s="9" t="n">
        <v>2647.94</v>
      </c>
      <c r="S586" s="9" t="n">
        <v>2255.85</v>
      </c>
      <c r="T586" s="9" t="n">
        <v>2285.36</v>
      </c>
      <c r="U586" s="10">
        <f>SUM(I586:T586)</f>
        <v/>
      </c>
    </row>
    <row r="587">
      <c r="A587" s="2" t="inlineStr">
        <is>
          <t>SN-3000-3100-3120-3120BN0012</t>
        </is>
      </c>
      <c r="B587" s="2" t="inlineStr">
        <is>
          <t>3120BN0012</t>
        </is>
      </c>
      <c r="C587" s="2" t="inlineStr">
        <is>
          <t>Tolva bolas Molino Bolas</t>
        </is>
      </c>
      <c r="D587" s="2" t="n">
        <v>196</v>
      </c>
      <c r="E587" s="2" t="inlineStr">
        <is>
          <t>CC-3000</t>
        </is>
      </c>
      <c r="F587" s="2" t="inlineStr">
        <is>
          <t>P01</t>
        </is>
      </c>
      <c r="G587" s="2" t="n">
        <v>610000</v>
      </c>
      <c r="H587" s="2" t="inlineStr">
        <is>
          <t>Mano obra interna</t>
        </is>
      </c>
      <c r="I587" s="9" t="n">
        <v>2007.61</v>
      </c>
      <c r="J587" s="9" t="n">
        <v>2036.08</v>
      </c>
      <c r="K587" s="9" t="n">
        <v>2041.94</v>
      </c>
      <c r="L587" s="9" t="n">
        <v>2155.08</v>
      </c>
      <c r="M587" s="9" t="n">
        <v>2114.38</v>
      </c>
      <c r="N587" s="9" t="n">
        <v>1857.05</v>
      </c>
      <c r="O587" s="9" t="n">
        <v>2015.03</v>
      </c>
      <c r="P587" s="9" t="n">
        <v>1864.11</v>
      </c>
      <c r="Q587" s="9" t="n">
        <v>1767.87</v>
      </c>
      <c r="R587" s="9" t="n">
        <v>2121.4</v>
      </c>
      <c r="S587" s="9" t="n">
        <v>1840.27</v>
      </c>
      <c r="T587" s="9" t="n">
        <v>2146.33</v>
      </c>
      <c r="U587" s="10">
        <f>SUM(I587:T587)</f>
        <v/>
      </c>
    </row>
    <row r="588">
      <c r="A588" s="2" t="inlineStr">
        <is>
          <t>SN-3000-3100-3120-3120BN0012</t>
        </is>
      </c>
      <c r="B588" s="2" t="inlineStr">
        <is>
          <t>3120BN0012</t>
        </is>
      </c>
      <c r="C588" s="2" t="inlineStr">
        <is>
          <t>Tolva bolas Molino Bolas</t>
        </is>
      </c>
      <c r="D588" s="2" t="n">
        <v>196</v>
      </c>
      <c r="E588" s="2" t="inlineStr">
        <is>
          <t>CC-3000</t>
        </is>
      </c>
      <c r="F588" s="2" t="inlineStr">
        <is>
          <t>P01</t>
        </is>
      </c>
      <c r="G588" s="2" t="n">
        <v>620000</v>
      </c>
      <c r="H588" s="2" t="inlineStr">
        <is>
          <t>Materiales</t>
        </is>
      </c>
      <c r="I588" s="9" t="n">
        <v>1808.95</v>
      </c>
      <c r="J588" s="9" t="n">
        <v>1787.37</v>
      </c>
      <c r="K588" s="9" t="n">
        <v>1897.66</v>
      </c>
      <c r="L588" s="9" t="n">
        <v>1789.89</v>
      </c>
      <c r="M588" s="9" t="n">
        <v>1870.52</v>
      </c>
      <c r="N588" s="9" t="n">
        <v>1724.92</v>
      </c>
      <c r="O588" s="9" t="n">
        <v>1768.2</v>
      </c>
      <c r="P588" s="9" t="n">
        <v>1659.86</v>
      </c>
      <c r="Q588" s="9" t="n">
        <v>1651.92</v>
      </c>
      <c r="R588" s="9" t="n">
        <v>2023.41</v>
      </c>
      <c r="S588" s="9" t="n">
        <v>1759.34</v>
      </c>
      <c r="T588" s="9" t="n">
        <v>1907.43</v>
      </c>
      <c r="U588" s="10">
        <f>SUM(I588:T588)</f>
        <v/>
      </c>
    </row>
    <row r="589">
      <c r="A589" s="2" t="inlineStr">
        <is>
          <t>SN-3000-3100-3120-3120BN0012</t>
        </is>
      </c>
      <c r="B589" s="2" t="inlineStr">
        <is>
          <t>3120BN0012</t>
        </is>
      </c>
      <c r="C589" s="2" t="inlineStr">
        <is>
          <t>Tolva bolas Molino Bolas</t>
        </is>
      </c>
      <c r="D589" s="2" t="n">
        <v>196</v>
      </c>
      <c r="E589" s="2" t="inlineStr">
        <is>
          <t>CC-3000</t>
        </is>
      </c>
      <c r="F589" s="2" t="inlineStr">
        <is>
          <t>P01</t>
        </is>
      </c>
      <c r="G589" s="2" t="n">
        <v>630000</v>
      </c>
      <c r="H589" s="2" t="inlineStr">
        <is>
          <t>Servicios externos</t>
        </is>
      </c>
      <c r="I589" s="9" t="n">
        <v>1973.67</v>
      </c>
      <c r="J589" s="9" t="n">
        <v>1870.09</v>
      </c>
      <c r="K589" s="9" t="n">
        <v>2057.34</v>
      </c>
      <c r="L589" s="9" t="n">
        <v>2171.13</v>
      </c>
      <c r="M589" s="9" t="n">
        <v>2132.41</v>
      </c>
      <c r="N589" s="9" t="n">
        <v>1904.28</v>
      </c>
      <c r="O589" s="9" t="n">
        <v>2058.57</v>
      </c>
      <c r="P589" s="9" t="n">
        <v>2031.56</v>
      </c>
      <c r="Q589" s="9" t="n">
        <v>1889.3</v>
      </c>
      <c r="R589" s="9" t="n">
        <v>2125.1</v>
      </c>
      <c r="S589" s="9" t="n">
        <v>1877.34</v>
      </c>
      <c r="T589" s="9" t="n">
        <v>1988.23</v>
      </c>
      <c r="U589" s="10">
        <f>SUM(I589:T589)</f>
        <v/>
      </c>
    </row>
    <row r="590">
      <c r="A590" s="2" t="inlineStr">
        <is>
          <t>SN-3000-3100-3120-3120CN0006</t>
        </is>
      </c>
      <c r="B590" s="2" t="inlineStr">
        <is>
          <t>3120CN0006</t>
        </is>
      </c>
      <c r="C590" s="2" t="inlineStr">
        <is>
          <t>Puente grúa hidrociclones</t>
        </is>
      </c>
      <c r="D590" s="2" t="n">
        <v>197</v>
      </c>
      <c r="E590" s="2" t="inlineStr">
        <is>
          <t>CC-3000</t>
        </is>
      </c>
      <c r="F590" s="2" t="inlineStr">
        <is>
          <t>P01</t>
        </is>
      </c>
      <c r="G590" s="2" t="n">
        <v>610000</v>
      </c>
      <c r="H590" s="2" t="inlineStr">
        <is>
          <t>Mano obra interna</t>
        </is>
      </c>
      <c r="I590" s="9" t="n">
        <v>684.0599999999999</v>
      </c>
      <c r="J590" s="9" t="n">
        <v>638.99</v>
      </c>
      <c r="K590" s="9" t="n">
        <v>741.17</v>
      </c>
      <c r="L590" s="9" t="n">
        <v>698.48</v>
      </c>
      <c r="M590" s="9" t="n">
        <v>749.5700000000001</v>
      </c>
      <c r="N590" s="9" t="n">
        <v>640.1799999999999</v>
      </c>
      <c r="O590" s="9" t="n">
        <v>687.05</v>
      </c>
      <c r="P590" s="9" t="n">
        <v>687.5700000000001</v>
      </c>
      <c r="Q590" s="9" t="n">
        <v>603.89</v>
      </c>
      <c r="R590" s="9" t="n">
        <v>800.53</v>
      </c>
      <c r="S590" s="9" t="n">
        <v>630.58</v>
      </c>
      <c r="T590" s="9" t="n">
        <v>764.88</v>
      </c>
      <c r="U590" s="10">
        <f>SUM(I590:T590)</f>
        <v/>
      </c>
    </row>
    <row r="591">
      <c r="A591" s="2" t="inlineStr">
        <is>
          <t>SN-3000-3100-3120-3120CN0006</t>
        </is>
      </c>
      <c r="B591" s="2" t="inlineStr">
        <is>
          <t>3120CN0006</t>
        </is>
      </c>
      <c r="C591" s="2" t="inlineStr">
        <is>
          <t>Puente grúa hidrociclones</t>
        </is>
      </c>
      <c r="D591" s="2" t="n">
        <v>197</v>
      </c>
      <c r="E591" s="2" t="inlineStr">
        <is>
          <t>CC-3000</t>
        </is>
      </c>
      <c r="F591" s="2" t="inlineStr">
        <is>
          <t>P01</t>
        </is>
      </c>
      <c r="G591" s="2" t="n">
        <v>620000</v>
      </c>
      <c r="H591" s="2" t="inlineStr">
        <is>
          <t>Materiales</t>
        </is>
      </c>
      <c r="I591" s="9" t="n">
        <v>894.91</v>
      </c>
      <c r="J591" s="9" t="n">
        <v>864.47</v>
      </c>
      <c r="K591" s="9" t="n">
        <v>921.39</v>
      </c>
      <c r="L591" s="9" t="n">
        <v>874.8</v>
      </c>
      <c r="M591" s="9" t="n">
        <v>882.98</v>
      </c>
      <c r="N591" s="9" t="n">
        <v>772.6799999999999</v>
      </c>
      <c r="O591" s="9" t="n">
        <v>809.85</v>
      </c>
      <c r="P591" s="9" t="n">
        <v>865.0700000000001</v>
      </c>
      <c r="Q591" s="9" t="n">
        <v>817.87</v>
      </c>
      <c r="R591" s="9" t="n">
        <v>998.37</v>
      </c>
      <c r="S591" s="9" t="n">
        <v>790.46</v>
      </c>
      <c r="T591" s="9" t="n">
        <v>930.29</v>
      </c>
      <c r="U591" s="10">
        <f>SUM(I591:T591)</f>
        <v/>
      </c>
    </row>
    <row r="592">
      <c r="A592" s="2" t="inlineStr">
        <is>
          <t>SN-3000-3100-3120-3120CN0006</t>
        </is>
      </c>
      <c r="B592" s="2" t="inlineStr">
        <is>
          <t>3120CN0006</t>
        </is>
      </c>
      <c r="C592" s="2" t="inlineStr">
        <is>
          <t>Puente grúa hidrociclones</t>
        </is>
      </c>
      <c r="D592" s="2" t="n">
        <v>197</v>
      </c>
      <c r="E592" s="2" t="inlineStr">
        <is>
          <t>CC-3000</t>
        </is>
      </c>
      <c r="F592" s="2" t="inlineStr">
        <is>
          <t>P01</t>
        </is>
      </c>
      <c r="G592" s="2" t="n">
        <v>630000</v>
      </c>
      <c r="H592" s="2" t="inlineStr">
        <is>
          <t>Servicios externos</t>
        </is>
      </c>
      <c r="I592" s="9" t="n">
        <v>714.49</v>
      </c>
      <c r="J592" s="9" t="n">
        <v>680.61</v>
      </c>
      <c r="K592" s="9" t="n">
        <v>722.76</v>
      </c>
      <c r="L592" s="9" t="n">
        <v>686.97</v>
      </c>
      <c r="M592" s="9" t="n">
        <v>705</v>
      </c>
      <c r="N592" s="9" t="n">
        <v>713.54</v>
      </c>
      <c r="O592" s="9" t="n">
        <v>705.63</v>
      </c>
      <c r="P592" s="9" t="n">
        <v>710.37</v>
      </c>
      <c r="Q592" s="9" t="n">
        <v>699.74</v>
      </c>
      <c r="R592" s="9" t="n">
        <v>793.12</v>
      </c>
      <c r="S592" s="9" t="n">
        <v>688.1799999999999</v>
      </c>
      <c r="T592" s="9" t="n">
        <v>694.53</v>
      </c>
      <c r="U592" s="10">
        <f>SUM(I592:T592)</f>
        <v/>
      </c>
    </row>
    <row r="593">
      <c r="A593" s="2" t="inlineStr">
        <is>
          <t>SN-3000-3100-3120-3120CP0001</t>
        </is>
      </c>
      <c r="B593" s="2" t="inlineStr">
        <is>
          <t>3120CP0001</t>
        </is>
      </c>
      <c r="C593" s="2" t="inlineStr">
        <is>
          <t>Gabinete PLC LRS molino bolas</t>
        </is>
      </c>
      <c r="D593" s="2" t="n">
        <v>198</v>
      </c>
      <c r="E593" s="2" t="inlineStr">
        <is>
          <t>CC-3000</t>
        </is>
      </c>
      <c r="F593" s="2" t="inlineStr">
        <is>
          <t>P01</t>
        </is>
      </c>
      <c r="G593" s="2" t="n">
        <v>610000</v>
      </c>
      <c r="H593" s="2" t="inlineStr">
        <is>
          <t>Mano obra interna</t>
        </is>
      </c>
      <c r="I593" s="9" t="n">
        <v>2203.96</v>
      </c>
      <c r="J593" s="9" t="n">
        <v>2006.67</v>
      </c>
      <c r="K593" s="9" t="n">
        <v>2118.88</v>
      </c>
      <c r="L593" s="9" t="n">
        <v>2285.41</v>
      </c>
      <c r="M593" s="9" t="n">
        <v>1956.68</v>
      </c>
      <c r="N593" s="9" t="n">
        <v>2199.52</v>
      </c>
      <c r="O593" s="9" t="n">
        <v>2007.45</v>
      </c>
      <c r="P593" s="9" t="n">
        <v>2232.04</v>
      </c>
      <c r="Q593" s="9" t="n">
        <v>1951.84</v>
      </c>
      <c r="R593" s="9" t="n">
        <v>2297.07</v>
      </c>
      <c r="S593" s="9" t="n">
        <v>2190.31</v>
      </c>
      <c r="T593" s="9" t="n">
        <v>2134.19</v>
      </c>
      <c r="U593" s="10">
        <f>SUM(I593:T593)</f>
        <v/>
      </c>
    </row>
    <row r="594">
      <c r="A594" s="2" t="inlineStr">
        <is>
          <t>SN-3000-3100-3120-3120CP0001</t>
        </is>
      </c>
      <c r="B594" s="2" t="inlineStr">
        <is>
          <t>3120CP0001</t>
        </is>
      </c>
      <c r="C594" s="2" t="inlineStr">
        <is>
          <t>Gabinete PLC LRS molino bolas</t>
        </is>
      </c>
      <c r="D594" s="2" t="n">
        <v>198</v>
      </c>
      <c r="E594" s="2" t="inlineStr">
        <is>
          <t>CC-3000</t>
        </is>
      </c>
      <c r="F594" s="2" t="inlineStr">
        <is>
          <t>P01</t>
        </is>
      </c>
      <c r="G594" s="2" t="n">
        <v>620000</v>
      </c>
      <c r="H594" s="2" t="inlineStr">
        <is>
          <t>Materiales</t>
        </is>
      </c>
      <c r="I594" s="9" t="n">
        <v>1821.7</v>
      </c>
      <c r="J594" s="9" t="n">
        <v>1743.25</v>
      </c>
      <c r="K594" s="9" t="n">
        <v>1903.02</v>
      </c>
      <c r="L594" s="9" t="n">
        <v>2022.37</v>
      </c>
      <c r="M594" s="9" t="n">
        <v>1787.96</v>
      </c>
      <c r="N594" s="9" t="n">
        <v>1725.07</v>
      </c>
      <c r="O594" s="9" t="n">
        <v>1896.64</v>
      </c>
      <c r="P594" s="9" t="n">
        <v>1967.2</v>
      </c>
      <c r="Q594" s="9" t="n">
        <v>1850.99</v>
      </c>
      <c r="R594" s="9" t="n">
        <v>1967.31</v>
      </c>
      <c r="S594" s="9" t="n">
        <v>1736.53</v>
      </c>
      <c r="T594" s="9" t="n">
        <v>2089.26</v>
      </c>
      <c r="U594" s="10">
        <f>SUM(I594:T594)</f>
        <v/>
      </c>
    </row>
    <row r="595">
      <c r="A595" s="2" t="inlineStr">
        <is>
          <t>SN-3000-3100-3120-3120CP0001</t>
        </is>
      </c>
      <c r="B595" s="2" t="inlineStr">
        <is>
          <t>3120CP0001</t>
        </is>
      </c>
      <c r="C595" s="2" t="inlineStr">
        <is>
          <t>Gabinete PLC LRS molino bolas</t>
        </is>
      </c>
      <c r="D595" s="2" t="n">
        <v>198</v>
      </c>
      <c r="E595" s="2" t="inlineStr">
        <is>
          <t>CC-3000</t>
        </is>
      </c>
      <c r="F595" s="2" t="inlineStr">
        <is>
          <t>P01</t>
        </is>
      </c>
      <c r="G595" s="2" t="n">
        <v>630000</v>
      </c>
      <c r="H595" s="2" t="inlineStr">
        <is>
          <t>Servicios externos</t>
        </is>
      </c>
      <c r="I595" s="9" t="n">
        <v>1841.93</v>
      </c>
      <c r="J595" s="9" t="n">
        <v>1779.72</v>
      </c>
      <c r="K595" s="9" t="n">
        <v>1838.62</v>
      </c>
      <c r="L595" s="9" t="n">
        <v>1652.93</v>
      </c>
      <c r="M595" s="9" t="n">
        <v>1777.12</v>
      </c>
      <c r="N595" s="9" t="n">
        <v>1703.08</v>
      </c>
      <c r="O595" s="9" t="n">
        <v>1734.98</v>
      </c>
      <c r="P595" s="9" t="n">
        <v>1662.04</v>
      </c>
      <c r="Q595" s="9" t="n">
        <v>1529.31</v>
      </c>
      <c r="R595" s="9" t="n">
        <v>1730.28</v>
      </c>
      <c r="S595" s="9" t="n">
        <v>1655.81</v>
      </c>
      <c r="T595" s="9" t="n">
        <v>1756.76</v>
      </c>
      <c r="U595" s="10">
        <f>SUM(I595:T595)</f>
        <v/>
      </c>
    </row>
    <row r="596">
      <c r="A596" s="2" t="inlineStr">
        <is>
          <t>SN-3000-3100-3120-3120CT0001</t>
        </is>
      </c>
      <c r="B596" s="2" t="inlineStr">
        <is>
          <t>3120CT0001</t>
        </is>
      </c>
      <c r="C596" s="2" t="inlineStr">
        <is>
          <t>Sistema CCTV molienda bolas</t>
        </is>
      </c>
      <c r="D596" s="2" t="n">
        <v>199</v>
      </c>
      <c r="E596" s="2" t="inlineStr">
        <is>
          <t>CC-3000</t>
        </is>
      </c>
      <c r="F596" s="2" t="inlineStr">
        <is>
          <t>P01</t>
        </is>
      </c>
      <c r="G596" s="2" t="n">
        <v>610000</v>
      </c>
      <c r="H596" s="2" t="inlineStr">
        <is>
          <t>Mano obra interna</t>
        </is>
      </c>
      <c r="I596" s="9" t="n">
        <v>2625.17</v>
      </c>
      <c r="J596" s="9" t="n">
        <v>2487.12</v>
      </c>
      <c r="K596" s="9" t="n">
        <v>2723.52</v>
      </c>
      <c r="L596" s="9" t="n">
        <v>2808.06</v>
      </c>
      <c r="M596" s="9" t="n">
        <v>2417.64</v>
      </c>
      <c r="N596" s="9" t="n">
        <v>2421.48</v>
      </c>
      <c r="O596" s="9" t="n">
        <v>2434.49</v>
      </c>
      <c r="P596" s="9" t="n">
        <v>2631.38</v>
      </c>
      <c r="Q596" s="9" t="n">
        <v>2491.29</v>
      </c>
      <c r="R596" s="9" t="n">
        <v>2976.62</v>
      </c>
      <c r="S596" s="9" t="n">
        <v>2410.86</v>
      </c>
      <c r="T596" s="9" t="n">
        <v>2808.81</v>
      </c>
      <c r="U596" s="10">
        <f>SUM(I596:T596)</f>
        <v/>
      </c>
    </row>
    <row r="597">
      <c r="A597" s="2" t="inlineStr">
        <is>
          <t>SN-3000-3100-3120-3120CT0001</t>
        </is>
      </c>
      <c r="B597" s="2" t="inlineStr">
        <is>
          <t>3120CT0001</t>
        </is>
      </c>
      <c r="C597" s="2" t="inlineStr">
        <is>
          <t>Sistema CCTV molienda bolas</t>
        </is>
      </c>
      <c r="D597" s="2" t="n">
        <v>199</v>
      </c>
      <c r="E597" s="2" t="inlineStr">
        <is>
          <t>CC-3000</t>
        </is>
      </c>
      <c r="F597" s="2" t="inlineStr">
        <is>
          <t>P01</t>
        </is>
      </c>
      <c r="G597" s="2" t="n">
        <v>620000</v>
      </c>
      <c r="H597" s="2" t="inlineStr">
        <is>
          <t>Materiales</t>
        </is>
      </c>
      <c r="I597" s="9" t="n">
        <v>2393.76</v>
      </c>
      <c r="J597" s="9" t="n">
        <v>2110.94</v>
      </c>
      <c r="K597" s="9" t="n">
        <v>2529.79</v>
      </c>
      <c r="L597" s="9" t="n">
        <v>2368.96</v>
      </c>
      <c r="M597" s="9" t="n">
        <v>2344.86</v>
      </c>
      <c r="N597" s="9" t="n">
        <v>2322.52</v>
      </c>
      <c r="O597" s="9" t="n">
        <v>2178.78</v>
      </c>
      <c r="P597" s="9" t="n">
        <v>2134.96</v>
      </c>
      <c r="Q597" s="9" t="n">
        <v>2277.58</v>
      </c>
      <c r="R597" s="9" t="n">
        <v>2414.11</v>
      </c>
      <c r="S597" s="9" t="n">
        <v>2100.62</v>
      </c>
      <c r="T597" s="9" t="n">
        <v>2329.3</v>
      </c>
      <c r="U597" s="10">
        <f>SUM(I597:T597)</f>
        <v/>
      </c>
    </row>
    <row r="598">
      <c r="A598" s="2" t="inlineStr">
        <is>
          <t>SN-3000-3100-3120-3120CT0001</t>
        </is>
      </c>
      <c r="B598" s="2" t="inlineStr">
        <is>
          <t>3120CT0001</t>
        </is>
      </c>
      <c r="C598" s="2" t="inlineStr">
        <is>
          <t>Sistema CCTV molienda bolas</t>
        </is>
      </c>
      <c r="D598" s="2" t="n">
        <v>199</v>
      </c>
      <c r="E598" s="2" t="inlineStr">
        <is>
          <t>CC-3000</t>
        </is>
      </c>
      <c r="F598" s="2" t="inlineStr">
        <is>
          <t>P01</t>
        </is>
      </c>
      <c r="G598" s="2" t="n">
        <v>630000</v>
      </c>
      <c r="H598" s="2" t="inlineStr">
        <is>
          <t>Servicios externos</t>
        </is>
      </c>
      <c r="I598" s="9" t="n">
        <v>2569.04</v>
      </c>
      <c r="J598" s="9" t="n">
        <v>2583.06</v>
      </c>
      <c r="K598" s="9" t="n">
        <v>2597.03</v>
      </c>
      <c r="L598" s="9" t="n">
        <v>2745.3</v>
      </c>
      <c r="M598" s="9" t="n">
        <v>2862.84</v>
      </c>
      <c r="N598" s="9" t="n">
        <v>2802.11</v>
      </c>
      <c r="O598" s="9" t="n">
        <v>2781.68</v>
      </c>
      <c r="P598" s="9" t="n">
        <v>2571.54</v>
      </c>
      <c r="Q598" s="9" t="n">
        <v>2697.16</v>
      </c>
      <c r="R598" s="9" t="n">
        <v>2941.77</v>
      </c>
      <c r="S598" s="9" t="n">
        <v>2487.96</v>
      </c>
      <c r="T598" s="9" t="n">
        <v>2947.47</v>
      </c>
      <c r="U598" s="10">
        <f>SUM(I598:T598)</f>
        <v/>
      </c>
    </row>
    <row r="599">
      <c r="A599" s="2" t="inlineStr">
        <is>
          <t>SN-3000-3100-3120-3120CT0002</t>
        </is>
      </c>
      <c r="B599" s="2" t="inlineStr">
        <is>
          <t>3120CT0002</t>
        </is>
      </c>
      <c r="C599" s="2" t="inlineStr">
        <is>
          <t>Sistema CCTV Batería ciclones</t>
        </is>
      </c>
      <c r="D599" s="2" t="n">
        <v>200</v>
      </c>
      <c r="E599" s="2" t="inlineStr">
        <is>
          <t>CC-3000</t>
        </is>
      </c>
      <c r="F599" s="2" t="inlineStr">
        <is>
          <t>P01</t>
        </is>
      </c>
      <c r="G599" s="2" t="n">
        <v>610000</v>
      </c>
      <c r="H599" s="2" t="inlineStr">
        <is>
          <t>Mano obra interna</t>
        </is>
      </c>
      <c r="I599" s="9" t="n">
        <v>3097.4</v>
      </c>
      <c r="J599" s="9" t="n">
        <v>2977.82</v>
      </c>
      <c r="K599" s="9" t="n">
        <v>2873.55</v>
      </c>
      <c r="L599" s="9" t="n">
        <v>2851.92</v>
      </c>
      <c r="M599" s="9" t="n">
        <v>2982.65</v>
      </c>
      <c r="N599" s="9" t="n">
        <v>2671.72</v>
      </c>
      <c r="O599" s="9" t="n">
        <v>2898.29</v>
      </c>
      <c r="P599" s="9" t="n">
        <v>3055.41</v>
      </c>
      <c r="Q599" s="9" t="n">
        <v>2847.19</v>
      </c>
      <c r="R599" s="9" t="n">
        <v>3131.54</v>
      </c>
      <c r="S599" s="9" t="n">
        <v>2964.66</v>
      </c>
      <c r="T599" s="9" t="n">
        <v>3129.99</v>
      </c>
      <c r="U599" s="10">
        <f>SUM(I599:T599)</f>
        <v/>
      </c>
    </row>
    <row r="600">
      <c r="A600" s="2" t="inlineStr">
        <is>
          <t>SN-3000-3100-3120-3120CT0002</t>
        </is>
      </c>
      <c r="B600" s="2" t="inlineStr">
        <is>
          <t>3120CT0002</t>
        </is>
      </c>
      <c r="C600" s="2" t="inlineStr">
        <is>
          <t>Sistema CCTV Batería ciclones</t>
        </is>
      </c>
      <c r="D600" s="2" t="n">
        <v>200</v>
      </c>
      <c r="E600" s="2" t="inlineStr">
        <is>
          <t>CC-3000</t>
        </is>
      </c>
      <c r="F600" s="2" t="inlineStr">
        <is>
          <t>P01</t>
        </is>
      </c>
      <c r="G600" s="2" t="n">
        <v>620000</v>
      </c>
      <c r="H600" s="2" t="inlineStr">
        <is>
          <t>Materiales</t>
        </is>
      </c>
      <c r="I600" s="9" t="n">
        <v>2781.57</v>
      </c>
      <c r="J600" s="9" t="n">
        <v>2703.98</v>
      </c>
      <c r="K600" s="9" t="n">
        <v>2851.62</v>
      </c>
      <c r="L600" s="9" t="n">
        <v>2732.85</v>
      </c>
      <c r="M600" s="9" t="n">
        <v>2716.77</v>
      </c>
      <c r="N600" s="9" t="n">
        <v>2596.83</v>
      </c>
      <c r="O600" s="9" t="n">
        <v>2829.47</v>
      </c>
      <c r="P600" s="9" t="n">
        <v>3032.43</v>
      </c>
      <c r="Q600" s="9" t="n">
        <v>2483.84</v>
      </c>
      <c r="R600" s="9" t="n">
        <v>3180.21</v>
      </c>
      <c r="S600" s="9" t="n">
        <v>2840.21</v>
      </c>
      <c r="T600" s="9" t="n">
        <v>2703.86</v>
      </c>
      <c r="U600" s="10">
        <f>SUM(I600:T600)</f>
        <v/>
      </c>
    </row>
    <row r="601">
      <c r="A601" s="2" t="inlineStr">
        <is>
          <t>SN-3000-3100-3120-3120CT0002</t>
        </is>
      </c>
      <c r="B601" s="2" t="inlineStr">
        <is>
          <t>3120CT0002</t>
        </is>
      </c>
      <c r="C601" s="2" t="inlineStr">
        <is>
          <t>Sistema CCTV Batería ciclones</t>
        </is>
      </c>
      <c r="D601" s="2" t="n">
        <v>200</v>
      </c>
      <c r="E601" s="2" t="inlineStr">
        <is>
          <t>CC-3000</t>
        </is>
      </c>
      <c r="F601" s="2" t="inlineStr">
        <is>
          <t>P01</t>
        </is>
      </c>
      <c r="G601" s="2" t="n">
        <v>630000</v>
      </c>
      <c r="H601" s="2" t="inlineStr">
        <is>
          <t>Servicios externos</t>
        </is>
      </c>
      <c r="I601" s="9" t="n">
        <v>3087.8</v>
      </c>
      <c r="J601" s="9" t="n">
        <v>2882.41</v>
      </c>
      <c r="K601" s="9" t="n">
        <v>3213.33</v>
      </c>
      <c r="L601" s="9" t="n">
        <v>2939.21</v>
      </c>
      <c r="M601" s="9" t="n">
        <v>3052.7</v>
      </c>
      <c r="N601" s="9" t="n">
        <v>2649.86</v>
      </c>
      <c r="O601" s="9" t="n">
        <v>3155.87</v>
      </c>
      <c r="P601" s="9" t="n">
        <v>2964.94</v>
      </c>
      <c r="Q601" s="9" t="n">
        <v>2846.07</v>
      </c>
      <c r="R601" s="9" t="n">
        <v>3082.7</v>
      </c>
      <c r="S601" s="9" t="n">
        <v>2978.47</v>
      </c>
      <c r="T601" s="9" t="n">
        <v>3168.65</v>
      </c>
      <c r="U601" s="10">
        <f>SUM(I601:T601)</f>
        <v/>
      </c>
    </row>
    <row r="602">
      <c r="A602" s="2" t="inlineStr">
        <is>
          <t>SN-3000-3100-3120-3120CY0001</t>
        </is>
      </c>
      <c r="B602" s="2" t="inlineStr">
        <is>
          <t>3120CY0001</t>
        </is>
      </c>
      <c r="C602" s="2" t="inlineStr">
        <is>
          <t>Hidrociclón molienda</t>
        </is>
      </c>
      <c r="D602" s="2" t="n">
        <v>201</v>
      </c>
      <c r="E602" s="2" t="inlineStr">
        <is>
          <t>CC-3000</t>
        </is>
      </c>
      <c r="F602" s="2" t="inlineStr">
        <is>
          <t>P01</t>
        </is>
      </c>
      <c r="G602" s="2" t="n">
        <v>610000</v>
      </c>
      <c r="H602" s="2" t="inlineStr">
        <is>
          <t>Mano obra interna</t>
        </is>
      </c>
      <c r="I602" s="9" t="n">
        <v>2233.09</v>
      </c>
      <c r="J602" s="9" t="n">
        <v>2099.76</v>
      </c>
      <c r="K602" s="9" t="n">
        <v>2354.65</v>
      </c>
      <c r="L602" s="9" t="n">
        <v>2193.63</v>
      </c>
      <c r="M602" s="9" t="n">
        <v>2241.04</v>
      </c>
      <c r="N602" s="9" t="n">
        <v>2151.7</v>
      </c>
      <c r="O602" s="9" t="n">
        <v>2117.26</v>
      </c>
      <c r="P602" s="9" t="n">
        <v>2052.79</v>
      </c>
      <c r="Q602" s="9" t="n">
        <v>1968.6</v>
      </c>
      <c r="R602" s="9" t="n">
        <v>2436.28</v>
      </c>
      <c r="S602" s="9" t="n">
        <v>1987.9</v>
      </c>
      <c r="T602" s="9" t="n">
        <v>2187.44</v>
      </c>
      <c r="U602" s="10">
        <f>SUM(I602:T602)</f>
        <v/>
      </c>
    </row>
    <row r="603">
      <c r="A603" s="2" t="inlineStr">
        <is>
          <t>SN-3000-3100-3120-3120CY0001</t>
        </is>
      </c>
      <c r="B603" s="2" t="inlineStr">
        <is>
          <t>3120CY0001</t>
        </is>
      </c>
      <c r="C603" s="2" t="inlineStr">
        <is>
          <t>Hidrociclón molienda</t>
        </is>
      </c>
      <c r="D603" s="2" t="n">
        <v>201</v>
      </c>
      <c r="E603" s="2" t="inlineStr">
        <is>
          <t>CC-3000</t>
        </is>
      </c>
      <c r="F603" s="2" t="inlineStr">
        <is>
          <t>P01</t>
        </is>
      </c>
      <c r="G603" s="2" t="n">
        <v>620000</v>
      </c>
      <c r="H603" s="2" t="inlineStr">
        <is>
          <t>Materiales</t>
        </is>
      </c>
      <c r="I603" s="9" t="n">
        <v>2311.48</v>
      </c>
      <c r="J603" s="9" t="n">
        <v>2335.48</v>
      </c>
      <c r="K603" s="9" t="n">
        <v>2294.65</v>
      </c>
      <c r="L603" s="9" t="n">
        <v>2221.6</v>
      </c>
      <c r="M603" s="9" t="n">
        <v>2402.73</v>
      </c>
      <c r="N603" s="9" t="n">
        <v>2074.53</v>
      </c>
      <c r="O603" s="9" t="n">
        <v>2234.83</v>
      </c>
      <c r="P603" s="9" t="n">
        <v>2448.54</v>
      </c>
      <c r="Q603" s="9" t="n">
        <v>2105.34</v>
      </c>
      <c r="R603" s="9" t="n">
        <v>2689.73</v>
      </c>
      <c r="S603" s="9" t="n">
        <v>2416.87</v>
      </c>
      <c r="T603" s="9" t="n">
        <v>2265.82</v>
      </c>
      <c r="U603" s="10">
        <f>SUM(I603:T603)</f>
        <v/>
      </c>
    </row>
    <row r="604">
      <c r="A604" s="2" t="inlineStr">
        <is>
          <t>SN-3000-3100-3120-3120CY0001</t>
        </is>
      </c>
      <c r="B604" s="2" t="inlineStr">
        <is>
          <t>3120CY0001</t>
        </is>
      </c>
      <c r="C604" s="2" t="inlineStr">
        <is>
          <t>Hidrociclón molienda</t>
        </is>
      </c>
      <c r="D604" s="2" t="n">
        <v>201</v>
      </c>
      <c r="E604" s="2" t="inlineStr">
        <is>
          <t>CC-3000</t>
        </is>
      </c>
      <c r="F604" s="2" t="inlineStr">
        <is>
          <t>P01</t>
        </is>
      </c>
      <c r="G604" s="2" t="n">
        <v>630000</v>
      </c>
      <c r="H604" s="2" t="inlineStr">
        <is>
          <t>Servicios externos</t>
        </is>
      </c>
      <c r="I604" s="9" t="n">
        <v>1934.68</v>
      </c>
      <c r="J604" s="9" t="n">
        <v>1793.02</v>
      </c>
      <c r="K604" s="9" t="n">
        <v>1772.11</v>
      </c>
      <c r="L604" s="9" t="n">
        <v>1937.7</v>
      </c>
      <c r="M604" s="9" t="n">
        <v>1679.77</v>
      </c>
      <c r="N604" s="9" t="n">
        <v>1858.27</v>
      </c>
      <c r="O604" s="9" t="n">
        <v>1729.67</v>
      </c>
      <c r="P604" s="9" t="n">
        <v>1724.26</v>
      </c>
      <c r="Q604" s="9" t="n">
        <v>1619.49</v>
      </c>
      <c r="R604" s="9" t="n">
        <v>2124.61</v>
      </c>
      <c r="S604" s="9" t="n">
        <v>1831.27</v>
      </c>
      <c r="T604" s="9" t="n">
        <v>1952.01</v>
      </c>
      <c r="U604" s="10">
        <f>SUM(I604:T604)</f>
        <v/>
      </c>
    </row>
    <row r="605">
      <c r="A605" s="2" t="inlineStr">
        <is>
          <t>SN-3000-3100-3120-3120KB0002</t>
        </is>
      </c>
      <c r="B605" s="2" t="inlineStr">
        <is>
          <t>3120KB0002</t>
        </is>
      </c>
      <c r="C605" s="2" t="inlineStr">
        <is>
          <t>Contenedor bolas</t>
        </is>
      </c>
      <c r="D605" s="2" t="n">
        <v>202</v>
      </c>
      <c r="E605" s="2" t="inlineStr">
        <is>
          <t>CC-3000</t>
        </is>
      </c>
      <c r="F605" s="2" t="inlineStr">
        <is>
          <t>P01</t>
        </is>
      </c>
      <c r="G605" s="2" t="n">
        <v>610000</v>
      </c>
      <c r="H605" s="2" t="inlineStr">
        <is>
          <t>Mano obra interna</t>
        </is>
      </c>
      <c r="I605" s="9" t="n">
        <v>779.65</v>
      </c>
      <c r="J605" s="9" t="n">
        <v>739.58</v>
      </c>
      <c r="K605" s="9" t="n">
        <v>806.58</v>
      </c>
      <c r="L605" s="9" t="n">
        <v>808.21</v>
      </c>
      <c r="M605" s="9" t="n">
        <v>792.52</v>
      </c>
      <c r="N605" s="9" t="n">
        <v>720.6799999999999</v>
      </c>
      <c r="O605" s="9" t="n">
        <v>840.95</v>
      </c>
      <c r="P605" s="9" t="n">
        <v>742.28</v>
      </c>
      <c r="Q605" s="9" t="n">
        <v>784.45</v>
      </c>
      <c r="R605" s="9" t="n">
        <v>780.13</v>
      </c>
      <c r="S605" s="9" t="n">
        <v>756.9299999999999</v>
      </c>
      <c r="T605" s="9" t="n">
        <v>774.7</v>
      </c>
      <c r="U605" s="10">
        <f>SUM(I605:T605)</f>
        <v/>
      </c>
    </row>
    <row r="606">
      <c r="A606" s="2" t="inlineStr">
        <is>
          <t>SN-3000-3100-3120-3120KB0002</t>
        </is>
      </c>
      <c r="B606" s="2" t="inlineStr">
        <is>
          <t>3120KB0002</t>
        </is>
      </c>
      <c r="C606" s="2" t="inlineStr">
        <is>
          <t>Contenedor bolas</t>
        </is>
      </c>
      <c r="D606" s="2" t="n">
        <v>202</v>
      </c>
      <c r="E606" s="2" t="inlineStr">
        <is>
          <t>CC-3000</t>
        </is>
      </c>
      <c r="F606" s="2" t="inlineStr">
        <is>
          <t>P01</t>
        </is>
      </c>
      <c r="G606" s="2" t="n">
        <v>620000</v>
      </c>
      <c r="H606" s="2" t="inlineStr">
        <is>
          <t>Materiales</t>
        </is>
      </c>
      <c r="I606" s="9" t="n">
        <v>788.7</v>
      </c>
      <c r="J606" s="9" t="n">
        <v>744.63</v>
      </c>
      <c r="K606" s="9" t="n">
        <v>777.39</v>
      </c>
      <c r="L606" s="9" t="n">
        <v>809.87</v>
      </c>
      <c r="M606" s="9" t="n">
        <v>778.54</v>
      </c>
      <c r="N606" s="9" t="n">
        <v>769.34</v>
      </c>
      <c r="O606" s="9" t="n">
        <v>733.72</v>
      </c>
      <c r="P606" s="9" t="n">
        <v>776.76</v>
      </c>
      <c r="Q606" s="9" t="n">
        <v>720.84</v>
      </c>
      <c r="R606" s="9" t="n">
        <v>806.7</v>
      </c>
      <c r="S606" s="9" t="n">
        <v>737.91</v>
      </c>
      <c r="T606" s="9" t="n">
        <v>752.2</v>
      </c>
      <c r="U606" s="10">
        <f>SUM(I606:T606)</f>
        <v/>
      </c>
    </row>
    <row r="607">
      <c r="A607" s="2" t="inlineStr">
        <is>
          <t>SN-3000-3100-3120-3120KB0002</t>
        </is>
      </c>
      <c r="B607" s="2" t="inlineStr">
        <is>
          <t>3120KB0002</t>
        </is>
      </c>
      <c r="C607" s="2" t="inlineStr">
        <is>
          <t>Contenedor bolas</t>
        </is>
      </c>
      <c r="D607" s="2" t="n">
        <v>202</v>
      </c>
      <c r="E607" s="2" t="inlineStr">
        <is>
          <t>CC-3000</t>
        </is>
      </c>
      <c r="F607" s="2" t="inlineStr">
        <is>
          <t>P01</t>
        </is>
      </c>
      <c r="G607" s="2" t="n">
        <v>630000</v>
      </c>
      <c r="H607" s="2" t="inlineStr">
        <is>
          <t>Servicios externos</t>
        </is>
      </c>
      <c r="I607" s="9" t="n">
        <v>666.89</v>
      </c>
      <c r="J607" s="9" t="n">
        <v>631.6900000000001</v>
      </c>
      <c r="K607" s="9" t="n">
        <v>726.97</v>
      </c>
      <c r="L607" s="9" t="n">
        <v>717.7</v>
      </c>
      <c r="M607" s="9" t="n">
        <v>726.39</v>
      </c>
      <c r="N607" s="9" t="n">
        <v>678.59</v>
      </c>
      <c r="O607" s="9" t="n">
        <v>635.84</v>
      </c>
      <c r="P607" s="9" t="n">
        <v>726.17</v>
      </c>
      <c r="Q607" s="9" t="n">
        <v>674.28</v>
      </c>
      <c r="R607" s="9" t="n">
        <v>731.61</v>
      </c>
      <c r="S607" s="9" t="n">
        <v>671.86</v>
      </c>
      <c r="T607" s="9" t="n">
        <v>747.71</v>
      </c>
      <c r="U607" s="10">
        <f>SUM(I607:T607)</f>
        <v/>
      </c>
    </row>
    <row r="608">
      <c r="A608" s="2" t="inlineStr">
        <is>
          <t>SN-3000-3100-3120-3120ME0013</t>
        </is>
      </c>
      <c r="B608" s="2" t="inlineStr">
        <is>
          <t>3120ME0013</t>
        </is>
      </c>
      <c r="C608" s="2" t="inlineStr">
        <is>
          <t>Removedor pernos Molino Bolas</t>
        </is>
      </c>
      <c r="D608" s="2" t="n">
        <v>203</v>
      </c>
      <c r="E608" s="2" t="inlineStr">
        <is>
          <t>CC-3000</t>
        </is>
      </c>
      <c r="F608" s="2" t="inlineStr">
        <is>
          <t>P01</t>
        </is>
      </c>
      <c r="G608" s="2" t="n">
        <v>610000</v>
      </c>
      <c r="H608" s="2" t="inlineStr">
        <is>
          <t>Mano obra interna</t>
        </is>
      </c>
      <c r="I608" s="9" t="n">
        <v>2896.68</v>
      </c>
      <c r="J608" s="9" t="n">
        <v>2449.29</v>
      </c>
      <c r="K608" s="9" t="n">
        <v>2613.15</v>
      </c>
      <c r="L608" s="9" t="n">
        <v>2697.65</v>
      </c>
      <c r="M608" s="9" t="n">
        <v>2672.92</v>
      </c>
      <c r="N608" s="9" t="n">
        <v>2676.55</v>
      </c>
      <c r="O608" s="9" t="n">
        <v>2874.19</v>
      </c>
      <c r="P608" s="9" t="n">
        <v>2615.37</v>
      </c>
      <c r="Q608" s="9" t="n">
        <v>2300.9</v>
      </c>
      <c r="R608" s="9" t="n">
        <v>3012.18</v>
      </c>
      <c r="S608" s="9" t="n">
        <v>2622.7</v>
      </c>
      <c r="T608" s="9" t="n">
        <v>2573.85</v>
      </c>
      <c r="U608" s="10">
        <f>SUM(I608:T608)</f>
        <v/>
      </c>
    </row>
    <row r="609">
      <c r="A609" s="2" t="inlineStr">
        <is>
          <t>SN-3000-3100-3120-3120ME0013</t>
        </is>
      </c>
      <c r="B609" s="2" t="inlineStr">
        <is>
          <t>3120ME0013</t>
        </is>
      </c>
      <c r="C609" s="2" t="inlineStr">
        <is>
          <t>Removedor pernos Molino Bolas</t>
        </is>
      </c>
      <c r="D609" s="2" t="n">
        <v>203</v>
      </c>
      <c r="E609" s="2" t="inlineStr">
        <is>
          <t>CC-3000</t>
        </is>
      </c>
      <c r="F609" s="2" t="inlineStr">
        <is>
          <t>P01</t>
        </is>
      </c>
      <c r="G609" s="2" t="n">
        <v>620000</v>
      </c>
      <c r="H609" s="2" t="inlineStr">
        <is>
          <t>Materiales</t>
        </is>
      </c>
      <c r="I609" s="9" t="n">
        <v>2705.18</v>
      </c>
      <c r="J609" s="9" t="n">
        <v>2621.11</v>
      </c>
      <c r="K609" s="9" t="n">
        <v>2631.6</v>
      </c>
      <c r="L609" s="9" t="n">
        <v>2526.02</v>
      </c>
      <c r="M609" s="9" t="n">
        <v>2716.01</v>
      </c>
      <c r="N609" s="9" t="n">
        <v>2502.71</v>
      </c>
      <c r="O609" s="9" t="n">
        <v>2514.72</v>
      </c>
      <c r="P609" s="9" t="n">
        <v>2459.59</v>
      </c>
      <c r="Q609" s="9" t="n">
        <v>2462.51</v>
      </c>
      <c r="R609" s="9" t="n">
        <v>2637.62</v>
      </c>
      <c r="S609" s="9" t="n">
        <v>2339.85</v>
      </c>
      <c r="T609" s="9" t="n">
        <v>2601.27</v>
      </c>
      <c r="U609" s="10">
        <f>SUM(I609:T609)</f>
        <v/>
      </c>
    </row>
    <row r="610">
      <c r="A610" s="2" t="inlineStr">
        <is>
          <t>SN-3000-3100-3120-3120ME0013</t>
        </is>
      </c>
      <c r="B610" s="2" t="inlineStr">
        <is>
          <t>3120ME0013</t>
        </is>
      </c>
      <c r="C610" s="2" t="inlineStr">
        <is>
          <t>Removedor pernos Molino Bolas</t>
        </is>
      </c>
      <c r="D610" s="2" t="n">
        <v>203</v>
      </c>
      <c r="E610" s="2" t="inlineStr">
        <is>
          <t>CC-3000</t>
        </is>
      </c>
      <c r="F610" s="2" t="inlineStr">
        <is>
          <t>P01</t>
        </is>
      </c>
      <c r="G610" s="2" t="n">
        <v>630000</v>
      </c>
      <c r="H610" s="2" t="inlineStr">
        <is>
          <t>Servicios externos</t>
        </is>
      </c>
      <c r="I610" s="9" t="n">
        <v>2494.31</v>
      </c>
      <c r="J610" s="9" t="n">
        <v>2213.62</v>
      </c>
      <c r="K610" s="9" t="n">
        <v>2530.97</v>
      </c>
      <c r="L610" s="9" t="n">
        <v>2361.94</v>
      </c>
      <c r="M610" s="9" t="n">
        <v>2179.79</v>
      </c>
      <c r="N610" s="9" t="n">
        <v>2152.2</v>
      </c>
      <c r="O610" s="9" t="n">
        <v>2561.25</v>
      </c>
      <c r="P610" s="9" t="n">
        <v>2532.81</v>
      </c>
      <c r="Q610" s="9" t="n">
        <v>2133.53</v>
      </c>
      <c r="R610" s="9" t="n">
        <v>2696.74</v>
      </c>
      <c r="S610" s="9" t="n">
        <v>2357.8</v>
      </c>
      <c r="T610" s="9" t="n">
        <v>2612.6</v>
      </c>
      <c r="U610" s="10">
        <f>SUM(I610:T610)</f>
        <v/>
      </c>
    </row>
    <row r="611">
      <c r="A611" s="2" t="inlineStr">
        <is>
          <t>SN-3000-3100-3120-3120ME0080</t>
        </is>
      </c>
      <c r="B611" s="2" t="inlineStr">
        <is>
          <t>3120ME0080</t>
        </is>
      </c>
      <c r="C611" s="2" t="inlineStr">
        <is>
          <t>Removedor pernos Molino Bolas</t>
        </is>
      </c>
      <c r="D611" s="2" t="n">
        <v>204</v>
      </c>
      <c r="E611" s="2" t="inlineStr">
        <is>
          <t>CC-3000</t>
        </is>
      </c>
      <c r="F611" s="2" t="inlineStr">
        <is>
          <t>P01</t>
        </is>
      </c>
      <c r="G611" s="2" t="n">
        <v>610000</v>
      </c>
      <c r="H611" s="2" t="inlineStr">
        <is>
          <t>Mano obra interna</t>
        </is>
      </c>
      <c r="I611" s="9" t="n">
        <v>1856.39</v>
      </c>
      <c r="J611" s="9" t="n">
        <v>1618.87</v>
      </c>
      <c r="K611" s="9" t="n">
        <v>1792.83</v>
      </c>
      <c r="L611" s="9" t="n">
        <v>1940.16</v>
      </c>
      <c r="M611" s="9" t="n">
        <v>1759.8</v>
      </c>
      <c r="N611" s="9" t="n">
        <v>1632.2</v>
      </c>
      <c r="O611" s="9" t="n">
        <v>1660.56</v>
      </c>
      <c r="P611" s="9" t="n">
        <v>1823.36</v>
      </c>
      <c r="Q611" s="9" t="n">
        <v>1683.15</v>
      </c>
      <c r="R611" s="9" t="n">
        <v>1867.33</v>
      </c>
      <c r="S611" s="9" t="n">
        <v>1834.17</v>
      </c>
      <c r="T611" s="9" t="n">
        <v>1656.31</v>
      </c>
      <c r="U611" s="10">
        <f>SUM(I611:T611)</f>
        <v/>
      </c>
    </row>
    <row r="612">
      <c r="A612" s="2" t="inlineStr">
        <is>
          <t>SN-3000-3100-3120-3120ME0080</t>
        </is>
      </c>
      <c r="B612" s="2" t="inlineStr">
        <is>
          <t>3120ME0080</t>
        </is>
      </c>
      <c r="C612" s="2" t="inlineStr">
        <is>
          <t>Removedor pernos Molino Bolas</t>
        </is>
      </c>
      <c r="D612" s="2" t="n">
        <v>204</v>
      </c>
      <c r="E612" s="2" t="inlineStr">
        <is>
          <t>CC-3000</t>
        </is>
      </c>
      <c r="F612" s="2" t="inlineStr">
        <is>
          <t>P01</t>
        </is>
      </c>
      <c r="G612" s="2" t="n">
        <v>620000</v>
      </c>
      <c r="H612" s="2" t="inlineStr">
        <is>
          <t>Materiales</t>
        </is>
      </c>
      <c r="I612" s="9" t="n">
        <v>1811.19</v>
      </c>
      <c r="J612" s="9" t="n">
        <v>1590.15</v>
      </c>
      <c r="K612" s="9" t="n">
        <v>1646.84</v>
      </c>
      <c r="L612" s="9" t="n">
        <v>1708.17</v>
      </c>
      <c r="M612" s="9" t="n">
        <v>1730.25</v>
      </c>
      <c r="N612" s="9" t="n">
        <v>1488.29</v>
      </c>
      <c r="O612" s="9" t="n">
        <v>1780.85</v>
      </c>
      <c r="P612" s="9" t="n">
        <v>1739.4</v>
      </c>
      <c r="Q612" s="9" t="n">
        <v>1468.41</v>
      </c>
      <c r="R612" s="9" t="n">
        <v>1853.39</v>
      </c>
      <c r="S612" s="9" t="n">
        <v>1579.52</v>
      </c>
      <c r="T612" s="9" t="n">
        <v>1660.53</v>
      </c>
      <c r="U612" s="10">
        <f>SUM(I612:T612)</f>
        <v/>
      </c>
    </row>
    <row r="613">
      <c r="A613" s="2" t="inlineStr">
        <is>
          <t>SN-3000-3100-3120-3120ME0080</t>
        </is>
      </c>
      <c r="B613" s="2" t="inlineStr">
        <is>
          <t>3120ME0080</t>
        </is>
      </c>
      <c r="C613" s="2" t="inlineStr">
        <is>
          <t>Removedor pernos Molino Bolas</t>
        </is>
      </c>
      <c r="D613" s="2" t="n">
        <v>204</v>
      </c>
      <c r="E613" s="2" t="inlineStr">
        <is>
          <t>CC-3000</t>
        </is>
      </c>
      <c r="F613" s="2" t="inlineStr">
        <is>
          <t>P01</t>
        </is>
      </c>
      <c r="G613" s="2" t="n">
        <v>630000</v>
      </c>
      <c r="H613" s="2" t="inlineStr">
        <is>
          <t>Servicios externos</t>
        </is>
      </c>
      <c r="I613" s="9" t="n">
        <v>2121.42</v>
      </c>
      <c r="J613" s="9" t="n">
        <v>1791.71</v>
      </c>
      <c r="K613" s="9" t="n">
        <v>1970.71</v>
      </c>
      <c r="L613" s="9" t="n">
        <v>1971.46</v>
      </c>
      <c r="M613" s="9" t="n">
        <v>1876.92</v>
      </c>
      <c r="N613" s="9" t="n">
        <v>1809.34</v>
      </c>
      <c r="O613" s="9" t="n">
        <v>1797.04</v>
      </c>
      <c r="P613" s="9" t="n">
        <v>1990.78</v>
      </c>
      <c r="Q613" s="9" t="n">
        <v>1782.71</v>
      </c>
      <c r="R613" s="9" t="n">
        <v>1984.68</v>
      </c>
      <c r="S613" s="9" t="n">
        <v>1967.75</v>
      </c>
      <c r="T613" s="9" t="n">
        <v>2058.62</v>
      </c>
      <c r="U613" s="10">
        <f>SUM(I613:T613)</f>
        <v/>
      </c>
    </row>
    <row r="614">
      <c r="A614" s="2" t="inlineStr">
        <is>
          <t>SN-3000-3100-3120-3120ME0081</t>
        </is>
      </c>
      <c r="B614" s="2" t="inlineStr">
        <is>
          <t>3120ME0081</t>
        </is>
      </c>
      <c r="C614" s="2" t="inlineStr">
        <is>
          <t>Removedor pernos Molino Bolas</t>
        </is>
      </c>
      <c r="D614" s="2" t="n">
        <v>205</v>
      </c>
      <c r="E614" s="2" t="inlineStr">
        <is>
          <t>CC-3000</t>
        </is>
      </c>
      <c r="F614" s="2" t="inlineStr">
        <is>
          <t>P01</t>
        </is>
      </c>
      <c r="G614" s="2" t="n">
        <v>610000</v>
      </c>
      <c r="H614" s="2" t="inlineStr">
        <is>
          <t>Mano obra interna</t>
        </is>
      </c>
      <c r="I614" s="9" t="n">
        <v>1239.88</v>
      </c>
      <c r="J614" s="9" t="n">
        <v>1263.34</v>
      </c>
      <c r="K614" s="9" t="n">
        <v>1250.86</v>
      </c>
      <c r="L614" s="9" t="n">
        <v>1228.52</v>
      </c>
      <c r="M614" s="9" t="n">
        <v>1287.86</v>
      </c>
      <c r="N614" s="9" t="n">
        <v>1111.65</v>
      </c>
      <c r="O614" s="9" t="n">
        <v>1174.19</v>
      </c>
      <c r="P614" s="9" t="n">
        <v>1155.13</v>
      </c>
      <c r="Q614" s="9" t="n">
        <v>1103.41</v>
      </c>
      <c r="R614" s="9" t="n">
        <v>1260.12</v>
      </c>
      <c r="S614" s="9" t="n">
        <v>1311.33</v>
      </c>
      <c r="T614" s="9" t="n">
        <v>1230.63</v>
      </c>
      <c r="U614" s="10">
        <f>SUM(I614:T614)</f>
        <v/>
      </c>
    </row>
    <row r="615">
      <c r="A615" s="2" t="inlineStr">
        <is>
          <t>SN-3000-3100-3120-3120ME0081</t>
        </is>
      </c>
      <c r="B615" s="2" t="inlineStr">
        <is>
          <t>3120ME0081</t>
        </is>
      </c>
      <c r="C615" s="2" t="inlineStr">
        <is>
          <t>Removedor pernos Molino Bolas</t>
        </is>
      </c>
      <c r="D615" s="2" t="n">
        <v>205</v>
      </c>
      <c r="E615" s="2" t="inlineStr">
        <is>
          <t>CC-3000</t>
        </is>
      </c>
      <c r="F615" s="2" t="inlineStr">
        <is>
          <t>P01</t>
        </is>
      </c>
      <c r="G615" s="2" t="n">
        <v>620000</v>
      </c>
      <c r="H615" s="2" t="inlineStr">
        <is>
          <t>Materiales</t>
        </is>
      </c>
      <c r="I615" s="9" t="n">
        <v>1046.55</v>
      </c>
      <c r="J615" s="9" t="n">
        <v>1126.81</v>
      </c>
      <c r="K615" s="9" t="n">
        <v>1106.9</v>
      </c>
      <c r="L615" s="9" t="n">
        <v>1069.44</v>
      </c>
      <c r="M615" s="9" t="n">
        <v>1121.67</v>
      </c>
      <c r="N615" s="9" t="n">
        <v>1005.34</v>
      </c>
      <c r="O615" s="9" t="n">
        <v>1041.74</v>
      </c>
      <c r="P615" s="9" t="n">
        <v>1018.65</v>
      </c>
      <c r="Q615" s="9" t="n">
        <v>976.11</v>
      </c>
      <c r="R615" s="9" t="n">
        <v>1119.55</v>
      </c>
      <c r="S615" s="9" t="n">
        <v>1064.72</v>
      </c>
      <c r="T615" s="9" t="n">
        <v>1048.84</v>
      </c>
      <c r="U615" s="10">
        <f>SUM(I615:T615)</f>
        <v/>
      </c>
    </row>
    <row r="616">
      <c r="A616" s="2" t="inlineStr">
        <is>
          <t>SN-3000-3100-3120-3120ME0081</t>
        </is>
      </c>
      <c r="B616" s="2" t="inlineStr">
        <is>
          <t>3120ME0081</t>
        </is>
      </c>
      <c r="C616" s="2" t="inlineStr">
        <is>
          <t>Removedor pernos Molino Bolas</t>
        </is>
      </c>
      <c r="D616" s="2" t="n">
        <v>205</v>
      </c>
      <c r="E616" s="2" t="inlineStr">
        <is>
          <t>CC-3000</t>
        </is>
      </c>
      <c r="F616" s="2" t="inlineStr">
        <is>
          <t>P01</t>
        </is>
      </c>
      <c r="G616" s="2" t="n">
        <v>630000</v>
      </c>
      <c r="H616" s="2" t="inlineStr">
        <is>
          <t>Servicios externos</t>
        </is>
      </c>
      <c r="I616" s="9" t="n">
        <v>1189.97</v>
      </c>
      <c r="J616" s="9" t="n">
        <v>1172.77</v>
      </c>
      <c r="K616" s="9" t="n">
        <v>1273.16</v>
      </c>
      <c r="L616" s="9" t="n">
        <v>1369.8</v>
      </c>
      <c r="M616" s="9" t="n">
        <v>1215.37</v>
      </c>
      <c r="N616" s="9" t="n">
        <v>1229.08</v>
      </c>
      <c r="O616" s="9" t="n">
        <v>1204.13</v>
      </c>
      <c r="P616" s="9" t="n">
        <v>1177.04</v>
      </c>
      <c r="Q616" s="9" t="n">
        <v>1083.72</v>
      </c>
      <c r="R616" s="9" t="n">
        <v>1308.86</v>
      </c>
      <c r="S616" s="9" t="n">
        <v>1146.24</v>
      </c>
      <c r="T616" s="9" t="n">
        <v>1204.97</v>
      </c>
      <c r="U616" s="10">
        <f>SUM(I616:T616)</f>
        <v/>
      </c>
    </row>
    <row r="617">
      <c r="A617" s="2" t="inlineStr">
        <is>
          <t>SN-3000-3100-3120-3120MI0002</t>
        </is>
      </c>
      <c r="B617" s="2" t="inlineStr">
        <is>
          <t>3120MI0002</t>
        </is>
      </c>
      <c r="C617" s="2" t="inlineStr">
        <is>
          <t>Molino bolas</t>
        </is>
      </c>
      <c r="D617" s="2" t="n">
        <v>206</v>
      </c>
      <c r="E617" s="2" t="inlineStr">
        <is>
          <t>CC-3000</t>
        </is>
      </c>
      <c r="F617" s="2" t="inlineStr">
        <is>
          <t>P01</t>
        </is>
      </c>
      <c r="G617" s="2" t="n">
        <v>610000</v>
      </c>
      <c r="H617" s="2" t="inlineStr">
        <is>
          <t>Mano obra interna</t>
        </is>
      </c>
      <c r="I617" s="9" t="n">
        <v>1131.79</v>
      </c>
      <c r="J617" s="9" t="n">
        <v>1194.52</v>
      </c>
      <c r="K617" s="9" t="n">
        <v>1215.89</v>
      </c>
      <c r="L617" s="9" t="n">
        <v>1229.55</v>
      </c>
      <c r="M617" s="9" t="n">
        <v>1201.3</v>
      </c>
      <c r="N617" s="9" t="n">
        <v>1114.67</v>
      </c>
      <c r="O617" s="9" t="n">
        <v>1162.9</v>
      </c>
      <c r="P617" s="9" t="n">
        <v>1245.72</v>
      </c>
      <c r="Q617" s="9" t="n">
        <v>1185.16</v>
      </c>
      <c r="R617" s="9" t="n">
        <v>1232.27</v>
      </c>
      <c r="S617" s="9" t="n">
        <v>1088.49</v>
      </c>
      <c r="T617" s="9" t="n">
        <v>1297.24</v>
      </c>
      <c r="U617" s="10">
        <f>SUM(I617:T617)</f>
        <v/>
      </c>
    </row>
    <row r="618">
      <c r="A618" s="2" t="inlineStr">
        <is>
          <t>SN-3000-3100-3120-3120MI0002</t>
        </is>
      </c>
      <c r="B618" s="2" t="inlineStr">
        <is>
          <t>3120MI0002</t>
        </is>
      </c>
      <c r="C618" s="2" t="inlineStr">
        <is>
          <t>Molino bolas</t>
        </is>
      </c>
      <c r="D618" s="2" t="n">
        <v>206</v>
      </c>
      <c r="E618" s="2" t="inlineStr">
        <is>
          <t>CC-3000</t>
        </is>
      </c>
      <c r="F618" s="2" t="inlineStr">
        <is>
          <t>P01</t>
        </is>
      </c>
      <c r="G618" s="2" t="n">
        <v>620000</v>
      </c>
      <c r="H618" s="2" t="inlineStr">
        <is>
          <t>Materiales</t>
        </is>
      </c>
      <c r="I618" s="9" t="n">
        <v>1061.49</v>
      </c>
      <c r="J618" s="9" t="n">
        <v>992.9</v>
      </c>
      <c r="K618" s="9" t="n">
        <v>1000.28</v>
      </c>
      <c r="L618" s="9" t="n">
        <v>1069.15</v>
      </c>
      <c r="M618" s="9" t="n">
        <v>1024.78</v>
      </c>
      <c r="N618" s="9" t="n">
        <v>939.1799999999999</v>
      </c>
      <c r="O618" s="9" t="n">
        <v>1023.87</v>
      </c>
      <c r="P618" s="9" t="n">
        <v>1079.54</v>
      </c>
      <c r="Q618" s="9" t="n">
        <v>973.95</v>
      </c>
      <c r="R618" s="9" t="n">
        <v>1040.5</v>
      </c>
      <c r="S618" s="9" t="n">
        <v>1006.08</v>
      </c>
      <c r="T618" s="9" t="n">
        <v>1080.61</v>
      </c>
      <c r="U618" s="10">
        <f>SUM(I618:T618)</f>
        <v/>
      </c>
    </row>
    <row r="619">
      <c r="A619" s="2" t="inlineStr">
        <is>
          <t>SN-3000-3100-3120-3120MI0002</t>
        </is>
      </c>
      <c r="B619" s="2" t="inlineStr">
        <is>
          <t>3120MI0002</t>
        </is>
      </c>
      <c r="C619" s="2" t="inlineStr">
        <is>
          <t>Molino bolas</t>
        </is>
      </c>
      <c r="D619" s="2" t="n">
        <v>206</v>
      </c>
      <c r="E619" s="2" t="inlineStr">
        <is>
          <t>CC-3000</t>
        </is>
      </c>
      <c r="F619" s="2" t="inlineStr">
        <is>
          <t>P01</t>
        </is>
      </c>
      <c r="G619" s="2" t="n">
        <v>630000</v>
      </c>
      <c r="H619" s="2" t="inlineStr">
        <is>
          <t>Servicios externos</t>
        </is>
      </c>
      <c r="I619" s="9" t="n">
        <v>1213.32</v>
      </c>
      <c r="J619" s="9" t="n">
        <v>1083.12</v>
      </c>
      <c r="K619" s="9" t="n">
        <v>1241.74</v>
      </c>
      <c r="L619" s="9" t="n">
        <v>1223.93</v>
      </c>
      <c r="M619" s="9" t="n">
        <v>1064.75</v>
      </c>
      <c r="N619" s="9" t="n">
        <v>1097.61</v>
      </c>
      <c r="O619" s="9" t="n">
        <v>1133.88</v>
      </c>
      <c r="P619" s="9" t="n">
        <v>1195.16</v>
      </c>
      <c r="Q619" s="9" t="n">
        <v>1034.76</v>
      </c>
      <c r="R619" s="9" t="n">
        <v>1274.08</v>
      </c>
      <c r="S619" s="9" t="n">
        <v>1201.83</v>
      </c>
      <c r="T619" s="9" t="n">
        <v>1238.09</v>
      </c>
      <c r="U619" s="10">
        <f>SUM(I619:T619)</f>
        <v/>
      </c>
    </row>
    <row r="620">
      <c r="A620" s="2" t="inlineStr">
        <is>
          <t>SN-3000-3100-3120-3120SA0004</t>
        </is>
      </c>
      <c r="B620" s="2" t="inlineStr">
        <is>
          <t>3120SA0004</t>
        </is>
      </c>
      <c r="C620" s="2" t="inlineStr">
        <is>
          <t>Muestreador transversal</t>
        </is>
      </c>
      <c r="D620" s="2" t="n">
        <v>207</v>
      </c>
      <c r="E620" s="2" t="inlineStr">
        <is>
          <t>CC-3000</t>
        </is>
      </c>
      <c r="F620" s="2" t="inlineStr">
        <is>
          <t>P01</t>
        </is>
      </c>
      <c r="G620" s="2" t="n">
        <v>610000</v>
      </c>
      <c r="H620" s="2" t="inlineStr">
        <is>
          <t>Mano obra interna</t>
        </is>
      </c>
      <c r="I620" s="9" t="n">
        <v>592.8200000000001</v>
      </c>
      <c r="J620" s="9" t="n">
        <v>489.65</v>
      </c>
      <c r="K620" s="9" t="n">
        <v>567.41</v>
      </c>
      <c r="L620" s="9" t="n">
        <v>543.62</v>
      </c>
      <c r="M620" s="9" t="n">
        <v>564.5700000000001</v>
      </c>
      <c r="N620" s="9" t="n">
        <v>495.24</v>
      </c>
      <c r="O620" s="9" t="n">
        <v>581.1900000000001</v>
      </c>
      <c r="P620" s="9" t="n">
        <v>548.8200000000001</v>
      </c>
      <c r="Q620" s="9" t="n">
        <v>525.71</v>
      </c>
      <c r="R620" s="9" t="n">
        <v>543.15</v>
      </c>
      <c r="S620" s="9" t="n">
        <v>495.74</v>
      </c>
      <c r="T620" s="9" t="n">
        <v>570.05</v>
      </c>
      <c r="U620" s="10">
        <f>SUM(I620:T620)</f>
        <v/>
      </c>
    </row>
    <row r="621">
      <c r="A621" s="2" t="inlineStr">
        <is>
          <t>SN-3000-3100-3120-3120SA0004</t>
        </is>
      </c>
      <c r="B621" s="2" t="inlineStr">
        <is>
          <t>3120SA0004</t>
        </is>
      </c>
      <c r="C621" s="2" t="inlineStr">
        <is>
          <t>Muestreador transversal</t>
        </is>
      </c>
      <c r="D621" s="2" t="n">
        <v>207</v>
      </c>
      <c r="E621" s="2" t="inlineStr">
        <is>
          <t>CC-3000</t>
        </is>
      </c>
      <c r="F621" s="2" t="inlineStr">
        <is>
          <t>P01</t>
        </is>
      </c>
      <c r="G621" s="2" t="n">
        <v>620000</v>
      </c>
      <c r="H621" s="2" t="inlineStr">
        <is>
          <t>Materiales</t>
        </is>
      </c>
      <c r="I621" s="9" t="n">
        <v>432.54</v>
      </c>
      <c r="J621" s="9" t="n">
        <v>366.27</v>
      </c>
      <c r="K621" s="9" t="n">
        <v>426.48</v>
      </c>
      <c r="L621" s="9" t="n">
        <v>403.26</v>
      </c>
      <c r="M621" s="9" t="n">
        <v>406.21</v>
      </c>
      <c r="N621" s="9" t="n">
        <v>397.64</v>
      </c>
      <c r="O621" s="9" t="n">
        <v>393.28</v>
      </c>
      <c r="P621" s="9" t="n">
        <v>377.69</v>
      </c>
      <c r="Q621" s="9" t="n">
        <v>349.54</v>
      </c>
      <c r="R621" s="9" t="n">
        <v>441.08</v>
      </c>
      <c r="S621" s="9" t="n">
        <v>391.68</v>
      </c>
      <c r="T621" s="9" t="n">
        <v>425.11</v>
      </c>
      <c r="U621" s="10">
        <f>SUM(I621:T621)</f>
        <v/>
      </c>
    </row>
    <row r="622">
      <c r="A622" s="2" t="inlineStr">
        <is>
          <t>SN-3000-3100-3120-3120SA0004</t>
        </is>
      </c>
      <c r="B622" s="2" t="inlineStr">
        <is>
          <t>3120SA0004</t>
        </is>
      </c>
      <c r="C622" s="2" t="inlineStr">
        <is>
          <t>Muestreador transversal</t>
        </is>
      </c>
      <c r="D622" s="2" t="n">
        <v>207</v>
      </c>
      <c r="E622" s="2" t="inlineStr">
        <is>
          <t>CC-3000</t>
        </is>
      </c>
      <c r="F622" s="2" t="inlineStr">
        <is>
          <t>P01</t>
        </is>
      </c>
      <c r="G622" s="2" t="n">
        <v>630000</v>
      </c>
      <c r="H622" s="2" t="inlineStr">
        <is>
          <t>Servicios externos</t>
        </is>
      </c>
      <c r="I622" s="9" t="n">
        <v>477.99</v>
      </c>
      <c r="J622" s="9" t="n">
        <v>459.32</v>
      </c>
      <c r="K622" s="9" t="n">
        <v>452.05</v>
      </c>
      <c r="L622" s="9" t="n">
        <v>471.81</v>
      </c>
      <c r="M622" s="9" t="n">
        <v>504.94</v>
      </c>
      <c r="N622" s="9" t="n">
        <v>480.37</v>
      </c>
      <c r="O622" s="9" t="n">
        <v>461.37</v>
      </c>
      <c r="P622" s="9" t="n">
        <v>480.41</v>
      </c>
      <c r="Q622" s="9" t="n">
        <v>465.86</v>
      </c>
      <c r="R622" s="9" t="n">
        <v>506.49</v>
      </c>
      <c r="S622" s="9" t="n">
        <v>423.57</v>
      </c>
      <c r="T622" s="9" t="n">
        <v>448.39</v>
      </c>
      <c r="U622" s="10">
        <f>SUM(I622:T622)</f>
        <v/>
      </c>
    </row>
    <row r="623">
      <c r="A623" s="2" t="inlineStr">
        <is>
          <t>SN-3000-3100-3120-3120SN0008</t>
        </is>
      </c>
      <c r="B623" s="2" t="inlineStr">
        <is>
          <t>3120SN0008</t>
        </is>
      </c>
      <c r="C623" s="2" t="inlineStr">
        <is>
          <t>Harnero seguridad</t>
        </is>
      </c>
      <c r="D623" s="2" t="n">
        <v>208</v>
      </c>
      <c r="E623" s="2" t="inlineStr">
        <is>
          <t>CC-3000</t>
        </is>
      </c>
      <c r="F623" s="2" t="inlineStr">
        <is>
          <t>P01</t>
        </is>
      </c>
      <c r="G623" s="2" t="n">
        <v>610000</v>
      </c>
      <c r="H623" s="2" t="inlineStr">
        <is>
          <t>Mano obra interna</t>
        </is>
      </c>
      <c r="I623" s="9" t="n">
        <v>2444.61</v>
      </c>
      <c r="J623" s="9" t="n">
        <v>2261.47</v>
      </c>
      <c r="K623" s="9" t="n">
        <v>2140.11</v>
      </c>
      <c r="L623" s="9" t="n">
        <v>2163.34</v>
      </c>
      <c r="M623" s="9" t="n">
        <v>2300.04</v>
      </c>
      <c r="N623" s="9" t="n">
        <v>2245.87</v>
      </c>
      <c r="O623" s="9" t="n">
        <v>2270.36</v>
      </c>
      <c r="P623" s="9" t="n">
        <v>2277.16</v>
      </c>
      <c r="Q623" s="9" t="n">
        <v>1916.95</v>
      </c>
      <c r="R623" s="9" t="n">
        <v>2528.34</v>
      </c>
      <c r="S623" s="9" t="n">
        <v>2255.71</v>
      </c>
      <c r="T623" s="9" t="n">
        <v>2173.31</v>
      </c>
      <c r="U623" s="10">
        <f>SUM(I623:T623)</f>
        <v/>
      </c>
    </row>
    <row r="624">
      <c r="A624" s="2" t="inlineStr">
        <is>
          <t>SN-3000-3100-3120-3120SN0008</t>
        </is>
      </c>
      <c r="B624" s="2" t="inlineStr">
        <is>
          <t>3120SN0008</t>
        </is>
      </c>
      <c r="C624" s="2" t="inlineStr">
        <is>
          <t>Harnero seguridad</t>
        </is>
      </c>
      <c r="D624" s="2" t="n">
        <v>208</v>
      </c>
      <c r="E624" s="2" t="inlineStr">
        <is>
          <t>CC-3000</t>
        </is>
      </c>
      <c r="F624" s="2" t="inlineStr">
        <is>
          <t>P01</t>
        </is>
      </c>
      <c r="G624" s="2" t="n">
        <v>620000</v>
      </c>
      <c r="H624" s="2" t="inlineStr">
        <is>
          <t>Materiales</t>
        </is>
      </c>
      <c r="I624" s="9" t="n">
        <v>2325.63</v>
      </c>
      <c r="J624" s="9" t="n">
        <v>2178</v>
      </c>
      <c r="K624" s="9" t="n">
        <v>2344.82</v>
      </c>
      <c r="L624" s="9" t="n">
        <v>2314.23</v>
      </c>
      <c r="M624" s="9" t="n">
        <v>2301.03</v>
      </c>
      <c r="N624" s="9" t="n">
        <v>2252.4</v>
      </c>
      <c r="O624" s="9" t="n">
        <v>2391.39</v>
      </c>
      <c r="P624" s="9" t="n">
        <v>2376.4</v>
      </c>
      <c r="Q624" s="9" t="n">
        <v>2140.52</v>
      </c>
      <c r="R624" s="9" t="n">
        <v>2380.33</v>
      </c>
      <c r="S624" s="9" t="n">
        <v>2349.68</v>
      </c>
      <c r="T624" s="9" t="n">
        <v>2382.08</v>
      </c>
      <c r="U624" s="10">
        <f>SUM(I624:T624)</f>
        <v/>
      </c>
    </row>
    <row r="625">
      <c r="A625" s="2" t="inlineStr">
        <is>
          <t>SN-3000-3100-3120-3120SN0008</t>
        </is>
      </c>
      <c r="B625" s="2" t="inlineStr">
        <is>
          <t>3120SN0008</t>
        </is>
      </c>
      <c r="C625" s="2" t="inlineStr">
        <is>
          <t>Harnero seguridad</t>
        </is>
      </c>
      <c r="D625" s="2" t="n">
        <v>208</v>
      </c>
      <c r="E625" s="2" t="inlineStr">
        <is>
          <t>CC-3000</t>
        </is>
      </c>
      <c r="F625" s="2" t="inlineStr">
        <is>
          <t>P01</t>
        </is>
      </c>
      <c r="G625" s="2" t="n">
        <v>630000</v>
      </c>
      <c r="H625" s="2" t="inlineStr">
        <is>
          <t>Servicios externos</t>
        </is>
      </c>
      <c r="I625" s="9" t="n">
        <v>2196.46</v>
      </c>
      <c r="J625" s="9" t="n">
        <v>2080.54</v>
      </c>
      <c r="K625" s="9" t="n">
        <v>2216.62</v>
      </c>
      <c r="L625" s="9" t="n">
        <v>2075.43</v>
      </c>
      <c r="M625" s="9" t="n">
        <v>1892.51</v>
      </c>
      <c r="N625" s="9" t="n">
        <v>2004.01</v>
      </c>
      <c r="O625" s="9" t="n">
        <v>1937.6</v>
      </c>
      <c r="P625" s="9" t="n">
        <v>2011.68</v>
      </c>
      <c r="Q625" s="9" t="n">
        <v>1760.15</v>
      </c>
      <c r="R625" s="9" t="n">
        <v>2305.76</v>
      </c>
      <c r="S625" s="9" t="n">
        <v>1849.64</v>
      </c>
      <c r="T625" s="9" t="n">
        <v>2195.49</v>
      </c>
      <c r="U625" s="10">
        <f>SUM(I625:T625)</f>
        <v/>
      </c>
    </row>
    <row r="626">
      <c r="A626" s="2" t="inlineStr">
        <is>
          <t>SN-3000-3100-3120-3120SN0009</t>
        </is>
      </c>
      <c r="B626" s="2" t="inlineStr">
        <is>
          <t>3120SN0009</t>
        </is>
      </c>
      <c r="C626" s="2" t="inlineStr">
        <is>
          <t>Harnero seguridad</t>
        </is>
      </c>
      <c r="D626" s="2" t="n">
        <v>209</v>
      </c>
      <c r="E626" s="2" t="inlineStr">
        <is>
          <t>CC-3000</t>
        </is>
      </c>
      <c r="F626" s="2" t="inlineStr">
        <is>
          <t>P01</t>
        </is>
      </c>
      <c r="G626" s="2" t="n">
        <v>610000</v>
      </c>
      <c r="H626" s="2" t="inlineStr">
        <is>
          <t>Mano obra interna</t>
        </is>
      </c>
      <c r="I626" s="9" t="n">
        <v>2902.54</v>
      </c>
      <c r="J626" s="9" t="n">
        <v>2926.28</v>
      </c>
      <c r="K626" s="9" t="n">
        <v>3006.33</v>
      </c>
      <c r="L626" s="9" t="n">
        <v>3064.23</v>
      </c>
      <c r="M626" s="9" t="n">
        <v>2799.02</v>
      </c>
      <c r="N626" s="9" t="n">
        <v>2858.86</v>
      </c>
      <c r="O626" s="9" t="n">
        <v>2843.58</v>
      </c>
      <c r="P626" s="9" t="n">
        <v>3058.93</v>
      </c>
      <c r="Q626" s="9" t="n">
        <v>2656.01</v>
      </c>
      <c r="R626" s="9" t="n">
        <v>3065.28</v>
      </c>
      <c r="S626" s="9" t="n">
        <v>2894.41</v>
      </c>
      <c r="T626" s="9" t="n">
        <v>3051.24</v>
      </c>
      <c r="U626" s="10">
        <f>SUM(I626:T626)</f>
        <v/>
      </c>
    </row>
    <row r="627">
      <c r="A627" s="2" t="inlineStr">
        <is>
          <t>SN-3000-3100-3120-3120SN0009</t>
        </is>
      </c>
      <c r="B627" s="2" t="inlineStr">
        <is>
          <t>3120SN0009</t>
        </is>
      </c>
      <c r="C627" s="2" t="inlineStr">
        <is>
          <t>Harnero seguridad</t>
        </is>
      </c>
      <c r="D627" s="2" t="n">
        <v>209</v>
      </c>
      <c r="E627" s="2" t="inlineStr">
        <is>
          <t>CC-3000</t>
        </is>
      </c>
      <c r="F627" s="2" t="inlineStr">
        <is>
          <t>P01</t>
        </is>
      </c>
      <c r="G627" s="2" t="n">
        <v>620000</v>
      </c>
      <c r="H627" s="2" t="inlineStr">
        <is>
          <t>Materiales</t>
        </is>
      </c>
      <c r="I627" s="9" t="n">
        <v>2502.85</v>
      </c>
      <c r="J627" s="9" t="n">
        <v>2531.88</v>
      </c>
      <c r="K627" s="9" t="n">
        <v>2865.55</v>
      </c>
      <c r="L627" s="9" t="n">
        <v>2748.01</v>
      </c>
      <c r="M627" s="9" t="n">
        <v>2684.73</v>
      </c>
      <c r="N627" s="9" t="n">
        <v>2285.93</v>
      </c>
      <c r="O627" s="9" t="n">
        <v>2572.01</v>
      </c>
      <c r="P627" s="9" t="n">
        <v>2642.78</v>
      </c>
      <c r="Q627" s="9" t="n">
        <v>2532.53</v>
      </c>
      <c r="R627" s="9" t="n">
        <v>2585.82</v>
      </c>
      <c r="S627" s="9" t="n">
        <v>2642.67</v>
      </c>
      <c r="T627" s="9" t="n">
        <v>2642.81</v>
      </c>
      <c r="U627" s="10">
        <f>SUM(I627:T627)</f>
        <v/>
      </c>
    </row>
    <row r="628">
      <c r="A628" s="2" t="inlineStr">
        <is>
          <t>SN-3000-3100-3120-3120SN0009</t>
        </is>
      </c>
      <c r="B628" s="2" t="inlineStr">
        <is>
          <t>3120SN0009</t>
        </is>
      </c>
      <c r="C628" s="2" t="inlineStr">
        <is>
          <t>Harnero seguridad</t>
        </is>
      </c>
      <c r="D628" s="2" t="n">
        <v>209</v>
      </c>
      <c r="E628" s="2" t="inlineStr">
        <is>
          <t>CC-3000</t>
        </is>
      </c>
      <c r="F628" s="2" t="inlineStr">
        <is>
          <t>P01</t>
        </is>
      </c>
      <c r="G628" s="2" t="n">
        <v>630000</v>
      </c>
      <c r="H628" s="2" t="inlineStr">
        <is>
          <t>Servicios externos</t>
        </is>
      </c>
      <c r="I628" s="9" t="n">
        <v>2349.78</v>
      </c>
      <c r="J628" s="9" t="n">
        <v>2253.74</v>
      </c>
      <c r="K628" s="9" t="n">
        <v>2458.23</v>
      </c>
      <c r="L628" s="9" t="n">
        <v>2249.56</v>
      </c>
      <c r="M628" s="9" t="n">
        <v>2218.39</v>
      </c>
      <c r="N628" s="9" t="n">
        <v>2380.37</v>
      </c>
      <c r="O628" s="9" t="n">
        <v>2232.75</v>
      </c>
      <c r="P628" s="9" t="n">
        <v>2268.28</v>
      </c>
      <c r="Q628" s="9" t="n">
        <v>2190.76</v>
      </c>
      <c r="R628" s="9" t="n">
        <v>2564.09</v>
      </c>
      <c r="S628" s="9" t="n">
        <v>2392.21</v>
      </c>
      <c r="T628" s="9" t="n">
        <v>2386.05</v>
      </c>
      <c r="U628" s="10">
        <f>SUM(I628:T628)</f>
        <v/>
      </c>
    </row>
    <row r="629">
      <c r="A629" s="2" t="inlineStr">
        <is>
          <t>SN-3000-3100-3140-3140FP1001</t>
        </is>
      </c>
      <c r="B629" s="2" t="inlineStr">
        <is>
          <t>3140FP1001</t>
        </is>
      </c>
      <c r="C629" s="2" t="inlineStr">
        <is>
          <t>Tablero SCI</t>
        </is>
      </c>
      <c r="D629" s="2" t="n">
        <v>210</v>
      </c>
      <c r="E629" s="2" t="inlineStr">
        <is>
          <t>CC-3000</t>
        </is>
      </c>
      <c r="F629" s="2" t="inlineStr">
        <is>
          <t>P01</t>
        </is>
      </c>
      <c r="G629" s="2" t="n">
        <v>610000</v>
      </c>
      <c r="H629" s="2" t="inlineStr">
        <is>
          <t>Mano obra interna</t>
        </is>
      </c>
      <c r="I629" s="9" t="n">
        <v>244.71</v>
      </c>
      <c r="J629" s="9" t="n">
        <v>217.36</v>
      </c>
      <c r="K629" s="9" t="n">
        <v>229.36</v>
      </c>
      <c r="L629" s="9" t="n">
        <v>238.03</v>
      </c>
      <c r="M629" s="9" t="n">
        <v>228.99</v>
      </c>
      <c r="N629" s="9" t="n">
        <v>233.69</v>
      </c>
      <c r="O629" s="9" t="n">
        <v>238.41</v>
      </c>
      <c r="P629" s="9" t="n">
        <v>230.88</v>
      </c>
      <c r="Q629" s="9" t="n">
        <v>207.46</v>
      </c>
      <c r="R629" s="9" t="n">
        <v>242.62</v>
      </c>
      <c r="S629" s="9" t="n">
        <v>230.5</v>
      </c>
      <c r="T629" s="9" t="n">
        <v>235.83</v>
      </c>
      <c r="U629" s="10">
        <f>SUM(I629:T629)</f>
        <v/>
      </c>
    </row>
    <row r="630">
      <c r="A630" s="2" t="inlineStr">
        <is>
          <t>SN-3000-3100-3140-3140FP1001</t>
        </is>
      </c>
      <c r="B630" s="2" t="inlineStr">
        <is>
          <t>3140FP1001</t>
        </is>
      </c>
      <c r="C630" s="2" t="inlineStr">
        <is>
          <t>Tablero SCI</t>
        </is>
      </c>
      <c r="D630" s="2" t="n">
        <v>210</v>
      </c>
      <c r="E630" s="2" t="inlineStr">
        <is>
          <t>CC-3000</t>
        </is>
      </c>
      <c r="F630" s="2" t="inlineStr">
        <is>
          <t>P01</t>
        </is>
      </c>
      <c r="G630" s="2" t="n">
        <v>620000</v>
      </c>
      <c r="H630" s="2" t="inlineStr">
        <is>
          <t>Materiales</t>
        </is>
      </c>
      <c r="I630" s="9" t="n">
        <v>200.53</v>
      </c>
      <c r="J630" s="9" t="n">
        <v>209.54</v>
      </c>
      <c r="K630" s="9" t="n">
        <v>225.99</v>
      </c>
      <c r="L630" s="9" t="n">
        <v>203.72</v>
      </c>
      <c r="M630" s="9" t="n">
        <v>204.93</v>
      </c>
      <c r="N630" s="9" t="n">
        <v>213.33</v>
      </c>
      <c r="O630" s="9" t="n">
        <v>201.92</v>
      </c>
      <c r="P630" s="9" t="n">
        <v>210.35</v>
      </c>
      <c r="Q630" s="9" t="n">
        <v>180.37</v>
      </c>
      <c r="R630" s="9" t="n">
        <v>227.41</v>
      </c>
      <c r="S630" s="9" t="n">
        <v>187.56</v>
      </c>
      <c r="T630" s="9" t="n">
        <v>225.9</v>
      </c>
      <c r="U630" s="10">
        <f>SUM(I630:T630)</f>
        <v/>
      </c>
    </row>
    <row r="631">
      <c r="A631" s="2" t="inlineStr">
        <is>
          <t>SN-3000-3100-3140-3140FP1001</t>
        </is>
      </c>
      <c r="B631" s="2" t="inlineStr">
        <is>
          <t>3140FP1001</t>
        </is>
      </c>
      <c r="C631" s="2" t="inlineStr">
        <is>
          <t>Tablero SCI</t>
        </is>
      </c>
      <c r="D631" s="2" t="n">
        <v>210</v>
      </c>
      <c r="E631" s="2" t="inlineStr">
        <is>
          <t>CC-3000</t>
        </is>
      </c>
      <c r="F631" s="2" t="inlineStr">
        <is>
          <t>P01</t>
        </is>
      </c>
      <c r="G631" s="2" t="n">
        <v>630000</v>
      </c>
      <c r="H631" s="2" t="inlineStr">
        <is>
          <t>Servicios externos</t>
        </is>
      </c>
      <c r="I631" s="9" t="n">
        <v>230.35</v>
      </c>
      <c r="J631" s="9" t="n">
        <v>219.38</v>
      </c>
      <c r="K631" s="9" t="n">
        <v>225.73</v>
      </c>
      <c r="L631" s="9" t="n">
        <v>218.69</v>
      </c>
      <c r="M631" s="9" t="n">
        <v>225.72</v>
      </c>
      <c r="N631" s="9" t="n">
        <v>221.3</v>
      </c>
      <c r="O631" s="9" t="n">
        <v>215.77</v>
      </c>
      <c r="P631" s="9" t="n">
        <v>230.43</v>
      </c>
      <c r="Q631" s="9" t="n">
        <v>203.47</v>
      </c>
      <c r="R631" s="9" t="n">
        <v>234.05</v>
      </c>
      <c r="S631" s="9" t="n">
        <v>207.3</v>
      </c>
      <c r="T631" s="9" t="n">
        <v>208.73</v>
      </c>
      <c r="U631" s="10">
        <f>SUM(I631:T631)</f>
        <v/>
      </c>
    </row>
    <row r="632">
      <c r="A632" s="2" t="inlineStr">
        <is>
          <t>SN-3000-3100-3140-3140PR0001</t>
        </is>
      </c>
      <c r="B632" s="2" t="inlineStr">
        <is>
          <t>3140PR0001</t>
        </is>
      </c>
      <c r="C632" s="2" t="inlineStr">
        <is>
          <t>Tablero de enchufes</t>
        </is>
      </c>
      <c r="D632" s="2" t="n">
        <v>211</v>
      </c>
      <c r="E632" s="2" t="inlineStr">
        <is>
          <t>CC-3000</t>
        </is>
      </c>
      <c r="F632" s="2" t="inlineStr">
        <is>
          <t>P01</t>
        </is>
      </c>
      <c r="G632" s="2" t="n">
        <v>610000</v>
      </c>
      <c r="H632" s="2" t="inlineStr">
        <is>
          <t>Mano obra interna</t>
        </is>
      </c>
      <c r="I632" s="9" t="n">
        <v>2272.35</v>
      </c>
      <c r="J632" s="9" t="n">
        <v>2290.38</v>
      </c>
      <c r="K632" s="9" t="n">
        <v>2349.44</v>
      </c>
      <c r="L632" s="9" t="n">
        <v>2353.61</v>
      </c>
      <c r="M632" s="9" t="n">
        <v>2474.69</v>
      </c>
      <c r="N632" s="9" t="n">
        <v>2166.79</v>
      </c>
      <c r="O632" s="9" t="n">
        <v>2305.26</v>
      </c>
      <c r="P632" s="9" t="n">
        <v>2184.19</v>
      </c>
      <c r="Q632" s="9" t="n">
        <v>2005.15</v>
      </c>
      <c r="R632" s="9" t="n">
        <v>2614.43</v>
      </c>
      <c r="S632" s="9" t="n">
        <v>2273.25</v>
      </c>
      <c r="T632" s="9" t="n">
        <v>2454.75</v>
      </c>
      <c r="U632" s="10">
        <f>SUM(I632:T632)</f>
        <v/>
      </c>
    </row>
    <row r="633">
      <c r="A633" s="2" t="inlineStr">
        <is>
          <t>SN-3000-3100-3140-3140PR0001</t>
        </is>
      </c>
      <c r="B633" s="2" t="inlineStr">
        <is>
          <t>3140PR0001</t>
        </is>
      </c>
      <c r="C633" s="2" t="inlineStr">
        <is>
          <t>Tablero de enchufes</t>
        </is>
      </c>
      <c r="D633" s="2" t="n">
        <v>211</v>
      </c>
      <c r="E633" s="2" t="inlineStr">
        <is>
          <t>CC-3000</t>
        </is>
      </c>
      <c r="F633" s="2" t="inlineStr">
        <is>
          <t>P01</t>
        </is>
      </c>
      <c r="G633" s="2" t="n">
        <v>620000</v>
      </c>
      <c r="H633" s="2" t="inlineStr">
        <is>
          <t>Materiales</t>
        </is>
      </c>
      <c r="I633" s="9" t="n">
        <v>2509.87</v>
      </c>
      <c r="J633" s="9" t="n">
        <v>2299.52</v>
      </c>
      <c r="K633" s="9" t="n">
        <v>2398.49</v>
      </c>
      <c r="L633" s="9" t="n">
        <v>2290.11</v>
      </c>
      <c r="M633" s="9" t="n">
        <v>2263.26</v>
      </c>
      <c r="N633" s="9" t="n">
        <v>2252.98</v>
      </c>
      <c r="O633" s="9" t="n">
        <v>2282.71</v>
      </c>
      <c r="P633" s="9" t="n">
        <v>2617.68</v>
      </c>
      <c r="Q633" s="9" t="n">
        <v>2193.38</v>
      </c>
      <c r="R633" s="9" t="n">
        <v>2466.26</v>
      </c>
      <c r="S633" s="9" t="n">
        <v>2239.76</v>
      </c>
      <c r="T633" s="9" t="n">
        <v>2501.39</v>
      </c>
      <c r="U633" s="10">
        <f>SUM(I633:T633)</f>
        <v/>
      </c>
    </row>
    <row r="634">
      <c r="A634" s="2" t="inlineStr">
        <is>
          <t>SN-3000-3100-3140-3140PR0001</t>
        </is>
      </c>
      <c r="B634" s="2" t="inlineStr">
        <is>
          <t>3140PR0001</t>
        </is>
      </c>
      <c r="C634" s="2" t="inlineStr">
        <is>
          <t>Tablero de enchufes</t>
        </is>
      </c>
      <c r="D634" s="2" t="n">
        <v>211</v>
      </c>
      <c r="E634" s="2" t="inlineStr">
        <is>
          <t>CC-3000</t>
        </is>
      </c>
      <c r="F634" s="2" t="inlineStr">
        <is>
          <t>P01</t>
        </is>
      </c>
      <c r="G634" s="2" t="n">
        <v>630000</v>
      </c>
      <c r="H634" s="2" t="inlineStr">
        <is>
          <t>Servicios externos</t>
        </is>
      </c>
      <c r="I634" s="9" t="n">
        <v>2497.61</v>
      </c>
      <c r="J634" s="9" t="n">
        <v>2445.66</v>
      </c>
      <c r="K634" s="9" t="n">
        <v>2289.01</v>
      </c>
      <c r="L634" s="9" t="n">
        <v>2344.61</v>
      </c>
      <c r="M634" s="9" t="n">
        <v>2113.6</v>
      </c>
      <c r="N634" s="9" t="n">
        <v>2260.69</v>
      </c>
      <c r="O634" s="9" t="n">
        <v>2281.69</v>
      </c>
      <c r="P634" s="9" t="n">
        <v>2225.76</v>
      </c>
      <c r="Q634" s="9" t="n">
        <v>2051.69</v>
      </c>
      <c r="R634" s="9" t="n">
        <v>2555.32</v>
      </c>
      <c r="S634" s="9" t="n">
        <v>2208.64</v>
      </c>
      <c r="T634" s="9" t="n">
        <v>2226.55</v>
      </c>
      <c r="U634" s="10">
        <f>SUM(I634:T634)</f>
        <v/>
      </c>
    </row>
    <row r="635">
      <c r="A635" s="2" t="inlineStr">
        <is>
          <t>SN-3000-3100-3140-3140PR0002</t>
        </is>
      </c>
      <c r="B635" s="2" t="inlineStr">
        <is>
          <t>3140PR0002</t>
        </is>
      </c>
      <c r="C635" s="2" t="inlineStr">
        <is>
          <t>Tablero de enchufes</t>
        </is>
      </c>
      <c r="D635" s="2" t="n">
        <v>212</v>
      </c>
      <c r="E635" s="2" t="inlineStr">
        <is>
          <t>CC-3000</t>
        </is>
      </c>
      <c r="F635" s="2" t="inlineStr">
        <is>
          <t>P01</t>
        </is>
      </c>
      <c r="G635" s="2" t="n">
        <v>610000</v>
      </c>
      <c r="H635" s="2" t="inlineStr">
        <is>
          <t>Mano obra interna</t>
        </is>
      </c>
      <c r="I635" s="9" t="n">
        <v>2553.66</v>
      </c>
      <c r="J635" s="9" t="n">
        <v>2578.18</v>
      </c>
      <c r="K635" s="9" t="n">
        <v>2397.76</v>
      </c>
      <c r="L635" s="9" t="n">
        <v>2645.97</v>
      </c>
      <c r="M635" s="9" t="n">
        <v>2518.16</v>
      </c>
      <c r="N635" s="9" t="n">
        <v>2221.18</v>
      </c>
      <c r="O635" s="9" t="n">
        <v>2554.07</v>
      </c>
      <c r="P635" s="9" t="n">
        <v>2450.75</v>
      </c>
      <c r="Q635" s="9" t="n">
        <v>2468.69</v>
      </c>
      <c r="R635" s="9" t="n">
        <v>2516.8</v>
      </c>
      <c r="S635" s="9" t="n">
        <v>2451.45</v>
      </c>
      <c r="T635" s="9" t="n">
        <v>2465.06</v>
      </c>
      <c r="U635" s="10">
        <f>SUM(I635:T635)</f>
        <v/>
      </c>
    </row>
    <row r="636">
      <c r="A636" s="2" t="inlineStr">
        <is>
          <t>SN-3000-3100-3140-3140PR0002</t>
        </is>
      </c>
      <c r="B636" s="2" t="inlineStr">
        <is>
          <t>3140PR0002</t>
        </is>
      </c>
      <c r="C636" s="2" t="inlineStr">
        <is>
          <t>Tablero de enchufes</t>
        </is>
      </c>
      <c r="D636" s="2" t="n">
        <v>212</v>
      </c>
      <c r="E636" s="2" t="inlineStr">
        <is>
          <t>CC-3000</t>
        </is>
      </c>
      <c r="F636" s="2" t="inlineStr">
        <is>
          <t>P01</t>
        </is>
      </c>
      <c r="G636" s="2" t="n">
        <v>620000</v>
      </c>
      <c r="H636" s="2" t="inlineStr">
        <is>
          <t>Materiales</t>
        </is>
      </c>
      <c r="I636" s="9" t="n">
        <v>2579.09</v>
      </c>
      <c r="J636" s="9" t="n">
        <v>2746.9</v>
      </c>
      <c r="K636" s="9" t="n">
        <v>2851.37</v>
      </c>
      <c r="L636" s="9" t="n">
        <v>2556.82</v>
      </c>
      <c r="M636" s="9" t="n">
        <v>2695.04</v>
      </c>
      <c r="N636" s="9" t="n">
        <v>2679.88</v>
      </c>
      <c r="O636" s="9" t="n">
        <v>2495.43</v>
      </c>
      <c r="P636" s="9" t="n">
        <v>2568.89</v>
      </c>
      <c r="Q636" s="9" t="n">
        <v>2425.37</v>
      </c>
      <c r="R636" s="9" t="n">
        <v>2708.86</v>
      </c>
      <c r="S636" s="9" t="n">
        <v>2319.15</v>
      </c>
      <c r="T636" s="9" t="n">
        <v>2517.62</v>
      </c>
      <c r="U636" s="10">
        <f>SUM(I636:T636)</f>
        <v/>
      </c>
    </row>
    <row r="637">
      <c r="A637" s="2" t="inlineStr">
        <is>
          <t>SN-3000-3100-3140-3140PR0002</t>
        </is>
      </c>
      <c r="B637" s="2" t="inlineStr">
        <is>
          <t>3140PR0002</t>
        </is>
      </c>
      <c r="C637" s="2" t="inlineStr">
        <is>
          <t>Tablero de enchufes</t>
        </is>
      </c>
      <c r="D637" s="2" t="n">
        <v>212</v>
      </c>
      <c r="E637" s="2" t="inlineStr">
        <is>
          <t>CC-3000</t>
        </is>
      </c>
      <c r="F637" s="2" t="inlineStr">
        <is>
          <t>P01</t>
        </is>
      </c>
      <c r="G637" s="2" t="n">
        <v>630000</v>
      </c>
      <c r="H637" s="2" t="inlineStr">
        <is>
          <t>Servicios externos</t>
        </is>
      </c>
      <c r="I637" s="9" t="n">
        <v>2139.36</v>
      </c>
      <c r="J637" s="9" t="n">
        <v>1973.13</v>
      </c>
      <c r="K637" s="9" t="n">
        <v>2311.96</v>
      </c>
      <c r="L637" s="9" t="n">
        <v>2232.24</v>
      </c>
      <c r="M637" s="9" t="n">
        <v>1953.98</v>
      </c>
      <c r="N637" s="9" t="n">
        <v>2070.41</v>
      </c>
      <c r="O637" s="9" t="n">
        <v>2167.73</v>
      </c>
      <c r="P637" s="9" t="n">
        <v>2267.43</v>
      </c>
      <c r="Q637" s="9" t="n">
        <v>1812.04</v>
      </c>
      <c r="R637" s="9" t="n">
        <v>2188.63</v>
      </c>
      <c r="S637" s="9" t="n">
        <v>2187.34</v>
      </c>
      <c r="T637" s="9" t="n">
        <v>2294.54</v>
      </c>
      <c r="U637" s="10">
        <f>SUM(I637:T637)</f>
        <v/>
      </c>
    </row>
    <row r="638">
      <c r="A638" s="2" t="inlineStr">
        <is>
          <t>SN-3000-3100-3140-3140PR0003</t>
        </is>
      </c>
      <c r="B638" s="2" t="inlineStr">
        <is>
          <t>3140PR0003</t>
        </is>
      </c>
      <c r="C638" s="2" t="inlineStr">
        <is>
          <t>Tablero de enchufes</t>
        </is>
      </c>
      <c r="D638" s="2" t="n">
        <v>213</v>
      </c>
      <c r="E638" s="2" t="inlineStr">
        <is>
          <t>CC-3000</t>
        </is>
      </c>
      <c r="F638" s="2" t="inlineStr">
        <is>
          <t>P01</t>
        </is>
      </c>
      <c r="G638" s="2" t="n">
        <v>610000</v>
      </c>
      <c r="H638" s="2" t="inlineStr">
        <is>
          <t>Mano obra interna</t>
        </is>
      </c>
      <c r="I638" s="9" t="n">
        <v>3066.28</v>
      </c>
      <c r="J638" s="9" t="n">
        <v>2652.06</v>
      </c>
      <c r="K638" s="9" t="n">
        <v>2978.92</v>
      </c>
      <c r="L638" s="9" t="n">
        <v>2818.2</v>
      </c>
      <c r="M638" s="9" t="n">
        <v>2705.92</v>
      </c>
      <c r="N638" s="9" t="n">
        <v>2891.34</v>
      </c>
      <c r="O638" s="9" t="n">
        <v>2714.14</v>
      </c>
      <c r="P638" s="9" t="n">
        <v>2864.56</v>
      </c>
      <c r="Q638" s="9" t="n">
        <v>2870.2</v>
      </c>
      <c r="R638" s="9" t="n">
        <v>2950.92</v>
      </c>
      <c r="S638" s="9" t="n">
        <v>3002.45</v>
      </c>
      <c r="T638" s="9" t="n">
        <v>3155.17</v>
      </c>
      <c r="U638" s="10">
        <f>SUM(I638:T638)</f>
        <v/>
      </c>
    </row>
    <row r="639">
      <c r="A639" s="2" t="inlineStr">
        <is>
          <t>SN-3000-3100-3140-3140PR0003</t>
        </is>
      </c>
      <c r="B639" s="2" t="inlineStr">
        <is>
          <t>3140PR0003</t>
        </is>
      </c>
      <c r="C639" s="2" t="inlineStr">
        <is>
          <t>Tablero de enchufes</t>
        </is>
      </c>
      <c r="D639" s="2" t="n">
        <v>213</v>
      </c>
      <c r="E639" s="2" t="inlineStr">
        <is>
          <t>CC-3000</t>
        </is>
      </c>
      <c r="F639" s="2" t="inlineStr">
        <is>
          <t>P01</t>
        </is>
      </c>
      <c r="G639" s="2" t="n">
        <v>620000</v>
      </c>
      <c r="H639" s="2" t="inlineStr">
        <is>
          <t>Materiales</t>
        </is>
      </c>
      <c r="I639" s="9" t="n">
        <v>2615.78</v>
      </c>
      <c r="J639" s="9" t="n">
        <v>2585.79</v>
      </c>
      <c r="K639" s="9" t="n">
        <v>2757.02</v>
      </c>
      <c r="L639" s="9" t="n">
        <v>2680.43</v>
      </c>
      <c r="M639" s="9" t="n">
        <v>2583.19</v>
      </c>
      <c r="N639" s="9" t="n">
        <v>2781.71</v>
      </c>
      <c r="O639" s="9" t="n">
        <v>2556.26</v>
      </c>
      <c r="P639" s="9" t="n">
        <v>2804.03</v>
      </c>
      <c r="Q639" s="9" t="n">
        <v>2316.86</v>
      </c>
      <c r="R639" s="9" t="n">
        <v>2962.18</v>
      </c>
      <c r="S639" s="9" t="n">
        <v>2793.03</v>
      </c>
      <c r="T639" s="9" t="n">
        <v>2652.15</v>
      </c>
      <c r="U639" s="10">
        <f>SUM(I639:T639)</f>
        <v/>
      </c>
    </row>
    <row r="640">
      <c r="A640" s="2" t="inlineStr">
        <is>
          <t>SN-3000-3100-3140-3140PR0003</t>
        </is>
      </c>
      <c r="B640" s="2" t="inlineStr">
        <is>
          <t>3140PR0003</t>
        </is>
      </c>
      <c r="C640" s="2" t="inlineStr">
        <is>
          <t>Tablero de enchufes</t>
        </is>
      </c>
      <c r="D640" s="2" t="n">
        <v>213</v>
      </c>
      <c r="E640" s="2" t="inlineStr">
        <is>
          <t>CC-3000</t>
        </is>
      </c>
      <c r="F640" s="2" t="inlineStr">
        <is>
          <t>P01</t>
        </is>
      </c>
      <c r="G640" s="2" t="n">
        <v>630000</v>
      </c>
      <c r="H640" s="2" t="inlineStr">
        <is>
          <t>Servicios externos</t>
        </is>
      </c>
      <c r="I640" s="9" t="n">
        <v>2465.19</v>
      </c>
      <c r="J640" s="9" t="n">
        <v>2400.91</v>
      </c>
      <c r="K640" s="9" t="n">
        <v>2505.4</v>
      </c>
      <c r="L640" s="9" t="n">
        <v>2339.94</v>
      </c>
      <c r="M640" s="9" t="n">
        <v>2240.74</v>
      </c>
      <c r="N640" s="9" t="n">
        <v>2418.48</v>
      </c>
      <c r="O640" s="9" t="n">
        <v>2518.45</v>
      </c>
      <c r="P640" s="9" t="n">
        <v>2339.78</v>
      </c>
      <c r="Q640" s="9" t="n">
        <v>2316.23</v>
      </c>
      <c r="R640" s="9" t="n">
        <v>2523.13</v>
      </c>
      <c r="S640" s="9" t="n">
        <v>2254.73</v>
      </c>
      <c r="T640" s="9" t="n">
        <v>2261.24</v>
      </c>
      <c r="U640" s="10">
        <f>SUM(I640:T640)</f>
        <v/>
      </c>
    </row>
    <row r="641">
      <c r="A641" s="2" t="inlineStr">
        <is>
          <t>SN-3000-3100-3150-3150CN0005</t>
        </is>
      </c>
      <c r="B641" s="2" t="inlineStr">
        <is>
          <t>3150CN0005</t>
        </is>
      </c>
      <c r="C641" s="2" t="inlineStr">
        <is>
          <t>Puente grúa área molienda</t>
        </is>
      </c>
      <c r="D641" s="2" t="n">
        <v>214</v>
      </c>
      <c r="E641" s="2" t="inlineStr">
        <is>
          <t>CC-3000</t>
        </is>
      </c>
      <c r="F641" s="2" t="inlineStr">
        <is>
          <t>P01</t>
        </is>
      </c>
      <c r="G641" s="2" t="n">
        <v>610000</v>
      </c>
      <c r="H641" s="2" t="inlineStr">
        <is>
          <t>Mano obra interna</t>
        </is>
      </c>
      <c r="I641" s="9" t="n">
        <v>610.9400000000001</v>
      </c>
      <c r="J641" s="9" t="n">
        <v>541.13</v>
      </c>
      <c r="K641" s="9" t="n">
        <v>608.24</v>
      </c>
      <c r="L641" s="9" t="n">
        <v>635.39</v>
      </c>
      <c r="M641" s="9" t="n">
        <v>605.71</v>
      </c>
      <c r="N641" s="9" t="n">
        <v>581.0700000000001</v>
      </c>
      <c r="O641" s="9" t="n">
        <v>634.17</v>
      </c>
      <c r="P641" s="9" t="n">
        <v>548.62</v>
      </c>
      <c r="Q641" s="9" t="n">
        <v>558.84</v>
      </c>
      <c r="R641" s="9" t="n">
        <v>671.0599999999999</v>
      </c>
      <c r="S641" s="9" t="n">
        <v>579.71</v>
      </c>
      <c r="T641" s="9" t="n">
        <v>586.73</v>
      </c>
      <c r="U641" s="10">
        <f>SUM(I641:T641)</f>
        <v/>
      </c>
    </row>
    <row r="642">
      <c r="A642" s="2" t="inlineStr">
        <is>
          <t>SN-3000-3100-3150-3150CN0005</t>
        </is>
      </c>
      <c r="B642" s="2" t="inlineStr">
        <is>
          <t>3150CN0005</t>
        </is>
      </c>
      <c r="C642" s="2" t="inlineStr">
        <is>
          <t>Puente grúa área molienda</t>
        </is>
      </c>
      <c r="D642" s="2" t="n">
        <v>214</v>
      </c>
      <c r="E642" s="2" t="inlineStr">
        <is>
          <t>CC-3000</t>
        </is>
      </c>
      <c r="F642" s="2" t="inlineStr">
        <is>
          <t>P01</t>
        </is>
      </c>
      <c r="G642" s="2" t="n">
        <v>620000</v>
      </c>
      <c r="H642" s="2" t="inlineStr">
        <is>
          <t>Materiales</t>
        </is>
      </c>
      <c r="I642" s="9" t="n">
        <v>561.24</v>
      </c>
      <c r="J642" s="9" t="n">
        <v>507.45</v>
      </c>
      <c r="K642" s="9" t="n">
        <v>566.37</v>
      </c>
      <c r="L642" s="9" t="n">
        <v>536.36</v>
      </c>
      <c r="M642" s="9" t="n">
        <v>526.6</v>
      </c>
      <c r="N642" s="9" t="n">
        <v>519.03</v>
      </c>
      <c r="O642" s="9" t="n">
        <v>531.1</v>
      </c>
      <c r="P642" s="9" t="n">
        <v>508.85</v>
      </c>
      <c r="Q642" s="9" t="n">
        <v>482.94</v>
      </c>
      <c r="R642" s="9" t="n">
        <v>585.35</v>
      </c>
      <c r="S642" s="9" t="n">
        <v>491.01</v>
      </c>
      <c r="T642" s="9" t="n">
        <v>515.96</v>
      </c>
      <c r="U642" s="10">
        <f>SUM(I642:T642)</f>
        <v/>
      </c>
    </row>
    <row r="643">
      <c r="A643" s="2" t="inlineStr">
        <is>
          <t>SN-3000-3100-3150-3150CN0005</t>
        </is>
      </c>
      <c r="B643" s="2" t="inlineStr">
        <is>
          <t>3150CN0005</t>
        </is>
      </c>
      <c r="C643" s="2" t="inlineStr">
        <is>
          <t>Puente grúa área molienda</t>
        </is>
      </c>
      <c r="D643" s="2" t="n">
        <v>214</v>
      </c>
      <c r="E643" s="2" t="inlineStr">
        <is>
          <t>CC-3000</t>
        </is>
      </c>
      <c r="F643" s="2" t="inlineStr">
        <is>
          <t>P01</t>
        </is>
      </c>
      <c r="G643" s="2" t="n">
        <v>630000</v>
      </c>
      <c r="H643" s="2" t="inlineStr">
        <is>
          <t>Servicios externos</t>
        </is>
      </c>
      <c r="I643" s="9" t="n">
        <v>562.85</v>
      </c>
      <c r="J643" s="9" t="n">
        <v>475.91</v>
      </c>
      <c r="K643" s="9" t="n">
        <v>546.0700000000001</v>
      </c>
      <c r="L643" s="9" t="n">
        <v>521.12</v>
      </c>
      <c r="M643" s="9" t="n">
        <v>503.98</v>
      </c>
      <c r="N643" s="9" t="n">
        <v>508.54</v>
      </c>
      <c r="O643" s="9" t="n">
        <v>481.46</v>
      </c>
      <c r="P643" s="9" t="n">
        <v>524.42</v>
      </c>
      <c r="Q643" s="9" t="n">
        <v>502.27</v>
      </c>
      <c r="R643" s="9" t="n">
        <v>586.89</v>
      </c>
      <c r="S643" s="9" t="n">
        <v>474.16</v>
      </c>
      <c r="T643" s="9" t="n">
        <v>558.1</v>
      </c>
      <c r="U643" s="10">
        <f>SUM(I643:T643)</f>
        <v/>
      </c>
    </row>
    <row r="644">
      <c r="A644" s="2" t="inlineStr">
        <is>
          <t>SN-3000-3100-3150-3150IO0001</t>
        </is>
      </c>
      <c r="B644" s="2" t="inlineStr">
        <is>
          <t>3150IO0001</t>
        </is>
      </c>
      <c r="C644" s="2" t="inlineStr">
        <is>
          <t xml:space="preserve">Gabinete RIO  </t>
        </is>
      </c>
      <c r="D644" s="2" t="n">
        <v>215</v>
      </c>
      <c r="E644" s="2" t="inlineStr">
        <is>
          <t>CC-3000</t>
        </is>
      </c>
      <c r="F644" s="2" t="inlineStr">
        <is>
          <t>P01</t>
        </is>
      </c>
      <c r="G644" s="2" t="n">
        <v>610000</v>
      </c>
      <c r="H644" s="2" t="inlineStr">
        <is>
          <t>Mano obra interna</t>
        </is>
      </c>
      <c r="I644" s="9" t="n">
        <v>1242.55</v>
      </c>
      <c r="J644" s="9" t="n">
        <v>1127.06</v>
      </c>
      <c r="K644" s="9" t="n">
        <v>1191.35</v>
      </c>
      <c r="L644" s="9" t="n">
        <v>1250.98</v>
      </c>
      <c r="M644" s="9" t="n">
        <v>1207.86</v>
      </c>
      <c r="N644" s="9" t="n">
        <v>1087.6</v>
      </c>
      <c r="O644" s="9" t="n">
        <v>1106.19</v>
      </c>
      <c r="P644" s="9" t="n">
        <v>1126.64</v>
      </c>
      <c r="Q644" s="9" t="n">
        <v>1048.63</v>
      </c>
      <c r="R644" s="9" t="n">
        <v>1194.87</v>
      </c>
      <c r="S644" s="9" t="n">
        <v>1069.34</v>
      </c>
      <c r="T644" s="9" t="n">
        <v>1231.37</v>
      </c>
      <c r="U644" s="10">
        <f>SUM(I644:T644)</f>
        <v/>
      </c>
    </row>
    <row r="645">
      <c r="A645" s="2" t="inlineStr">
        <is>
          <t>SN-3000-3100-3150-3150IO0001</t>
        </is>
      </c>
      <c r="B645" s="2" t="inlineStr">
        <is>
          <t>3150IO0001</t>
        </is>
      </c>
      <c r="C645" s="2" t="inlineStr">
        <is>
          <t xml:space="preserve">Gabinete RIO  </t>
        </is>
      </c>
      <c r="D645" s="2" t="n">
        <v>215</v>
      </c>
      <c r="E645" s="2" t="inlineStr">
        <is>
          <t>CC-3000</t>
        </is>
      </c>
      <c r="F645" s="2" t="inlineStr">
        <is>
          <t>P01</t>
        </is>
      </c>
      <c r="G645" s="2" t="n">
        <v>620000</v>
      </c>
      <c r="H645" s="2" t="inlineStr">
        <is>
          <t>Materiales</t>
        </is>
      </c>
      <c r="I645" s="9" t="n">
        <v>981.8200000000001</v>
      </c>
      <c r="J645" s="9" t="n">
        <v>872.8200000000001</v>
      </c>
      <c r="K645" s="9" t="n">
        <v>940.78</v>
      </c>
      <c r="L645" s="9" t="n">
        <v>888.76</v>
      </c>
      <c r="M645" s="9" t="n">
        <v>891.46</v>
      </c>
      <c r="N645" s="9" t="n">
        <v>932.51</v>
      </c>
      <c r="O645" s="9" t="n">
        <v>993.25</v>
      </c>
      <c r="P645" s="9" t="n">
        <v>892.86</v>
      </c>
      <c r="Q645" s="9" t="n">
        <v>865.47</v>
      </c>
      <c r="R645" s="9" t="n">
        <v>1003.75</v>
      </c>
      <c r="S645" s="9" t="n">
        <v>959.4400000000001</v>
      </c>
      <c r="T645" s="9" t="n">
        <v>988.99</v>
      </c>
      <c r="U645" s="10">
        <f>SUM(I645:T645)</f>
        <v/>
      </c>
    </row>
    <row r="646">
      <c r="A646" s="2" t="inlineStr">
        <is>
          <t>SN-3000-3100-3150-3150IO0001</t>
        </is>
      </c>
      <c r="B646" s="2" t="inlineStr">
        <is>
          <t>3150IO0001</t>
        </is>
      </c>
      <c r="C646" s="2" t="inlineStr">
        <is>
          <t xml:space="preserve">Gabinete RIO  </t>
        </is>
      </c>
      <c r="D646" s="2" t="n">
        <v>215</v>
      </c>
      <c r="E646" s="2" t="inlineStr">
        <is>
          <t>CC-3000</t>
        </is>
      </c>
      <c r="F646" s="2" t="inlineStr">
        <is>
          <t>P01</t>
        </is>
      </c>
      <c r="G646" s="2" t="n">
        <v>630000</v>
      </c>
      <c r="H646" s="2" t="inlineStr">
        <is>
          <t>Servicios externos</t>
        </is>
      </c>
      <c r="I646" s="9" t="n">
        <v>1121.29</v>
      </c>
      <c r="J646" s="9" t="n">
        <v>1111.51</v>
      </c>
      <c r="K646" s="9" t="n">
        <v>1016.45</v>
      </c>
      <c r="L646" s="9" t="n">
        <v>1075.77</v>
      </c>
      <c r="M646" s="9" t="n">
        <v>1127.07</v>
      </c>
      <c r="N646" s="9" t="n">
        <v>1061.51</v>
      </c>
      <c r="O646" s="9" t="n">
        <v>1077</v>
      </c>
      <c r="P646" s="9" t="n">
        <v>1073.45</v>
      </c>
      <c r="Q646" s="9" t="n">
        <v>971.03</v>
      </c>
      <c r="R646" s="9" t="n">
        <v>1156.82</v>
      </c>
      <c r="S646" s="9" t="n">
        <v>1060.77</v>
      </c>
      <c r="T646" s="9" t="n">
        <v>1070.88</v>
      </c>
      <c r="U646" s="10">
        <f>SUM(I646:T646)</f>
        <v/>
      </c>
    </row>
    <row r="647">
      <c r="A647" s="2" t="inlineStr">
        <is>
          <t>SN-3000-3100-3150-3150IO0002</t>
        </is>
      </c>
      <c r="B647" s="2" t="inlineStr">
        <is>
          <t>3150IO0002</t>
        </is>
      </c>
      <c r="C647" s="2" t="inlineStr">
        <is>
          <t xml:space="preserve">Gabinete RIO  </t>
        </is>
      </c>
      <c r="D647" s="2" t="n">
        <v>216</v>
      </c>
      <c r="E647" s="2" t="inlineStr">
        <is>
          <t>CC-3000</t>
        </is>
      </c>
      <c r="F647" s="2" t="inlineStr">
        <is>
          <t>P01</t>
        </is>
      </c>
      <c r="G647" s="2" t="n">
        <v>610000</v>
      </c>
      <c r="H647" s="2" t="inlineStr">
        <is>
          <t>Mano obra interna</t>
        </is>
      </c>
      <c r="I647" s="9" t="n">
        <v>1849.52</v>
      </c>
      <c r="J647" s="9" t="n">
        <v>1593.63</v>
      </c>
      <c r="K647" s="9" t="n">
        <v>1753.25</v>
      </c>
      <c r="L647" s="9" t="n">
        <v>1724.75</v>
      </c>
      <c r="M647" s="9" t="n">
        <v>1745.88</v>
      </c>
      <c r="N647" s="9" t="n">
        <v>1571.98</v>
      </c>
      <c r="O647" s="9" t="n">
        <v>1751.98</v>
      </c>
      <c r="P647" s="9" t="n">
        <v>1814.85</v>
      </c>
      <c r="Q647" s="9" t="n">
        <v>1573.48</v>
      </c>
      <c r="R647" s="9" t="n">
        <v>1968.55</v>
      </c>
      <c r="S647" s="9" t="n">
        <v>1788.89</v>
      </c>
      <c r="T647" s="9" t="n">
        <v>1628.64</v>
      </c>
      <c r="U647" s="10">
        <f>SUM(I647:T647)</f>
        <v/>
      </c>
    </row>
    <row r="648">
      <c r="A648" s="2" t="inlineStr">
        <is>
          <t>SN-3000-3100-3150-3150IO0002</t>
        </is>
      </c>
      <c r="B648" s="2" t="inlineStr">
        <is>
          <t>3150IO0002</t>
        </is>
      </c>
      <c r="C648" s="2" t="inlineStr">
        <is>
          <t xml:space="preserve">Gabinete RIO  </t>
        </is>
      </c>
      <c r="D648" s="2" t="n">
        <v>216</v>
      </c>
      <c r="E648" s="2" t="inlineStr">
        <is>
          <t>CC-3000</t>
        </is>
      </c>
      <c r="F648" s="2" t="inlineStr">
        <is>
          <t>P01</t>
        </is>
      </c>
      <c r="G648" s="2" t="n">
        <v>620000</v>
      </c>
      <c r="H648" s="2" t="inlineStr">
        <is>
          <t>Materiales</t>
        </is>
      </c>
      <c r="I648" s="9" t="n">
        <v>1599.82</v>
      </c>
      <c r="J648" s="9" t="n">
        <v>1545.25</v>
      </c>
      <c r="K648" s="9" t="n">
        <v>1411</v>
      </c>
      <c r="L648" s="9" t="n">
        <v>1378.1</v>
      </c>
      <c r="M648" s="9" t="n">
        <v>1368.25</v>
      </c>
      <c r="N648" s="9" t="n">
        <v>1508.51</v>
      </c>
      <c r="O648" s="9" t="n">
        <v>1387.6</v>
      </c>
      <c r="P648" s="9" t="n">
        <v>1461.32</v>
      </c>
      <c r="Q648" s="9" t="n">
        <v>1436.63</v>
      </c>
      <c r="R648" s="9" t="n">
        <v>1455.49</v>
      </c>
      <c r="S648" s="9" t="n">
        <v>1438.79</v>
      </c>
      <c r="T648" s="9" t="n">
        <v>1430.59</v>
      </c>
      <c r="U648" s="10">
        <f>SUM(I648:T648)</f>
        <v/>
      </c>
    </row>
    <row r="649">
      <c r="A649" s="2" t="inlineStr">
        <is>
          <t>SN-3000-3100-3150-3150IO0002</t>
        </is>
      </c>
      <c r="B649" s="2" t="inlineStr">
        <is>
          <t>3150IO0002</t>
        </is>
      </c>
      <c r="C649" s="2" t="inlineStr">
        <is>
          <t xml:space="preserve">Gabinete RIO  </t>
        </is>
      </c>
      <c r="D649" s="2" t="n">
        <v>216</v>
      </c>
      <c r="E649" s="2" t="inlineStr">
        <is>
          <t>CC-3000</t>
        </is>
      </c>
      <c r="F649" s="2" t="inlineStr">
        <is>
          <t>P01</t>
        </is>
      </c>
      <c r="G649" s="2" t="n">
        <v>630000</v>
      </c>
      <c r="H649" s="2" t="inlineStr">
        <is>
          <t>Servicios externos</t>
        </is>
      </c>
      <c r="I649" s="9" t="n">
        <v>1728.16</v>
      </c>
      <c r="J649" s="9" t="n">
        <v>1778.69</v>
      </c>
      <c r="K649" s="9" t="n">
        <v>1859.55</v>
      </c>
      <c r="L649" s="9" t="n">
        <v>1712.43</v>
      </c>
      <c r="M649" s="9" t="n">
        <v>1606.32</v>
      </c>
      <c r="N649" s="9" t="n">
        <v>1652.25</v>
      </c>
      <c r="O649" s="9" t="n">
        <v>1695.25</v>
      </c>
      <c r="P649" s="9" t="n">
        <v>1838.95</v>
      </c>
      <c r="Q649" s="9" t="n">
        <v>1710.87</v>
      </c>
      <c r="R649" s="9" t="n">
        <v>1878.16</v>
      </c>
      <c r="S649" s="9" t="n">
        <v>1726.56</v>
      </c>
      <c r="T649" s="9" t="n">
        <v>1809.36</v>
      </c>
      <c r="U649" s="10">
        <f>SUM(I649:T649)</f>
        <v/>
      </c>
    </row>
    <row r="650">
      <c r="A650" s="2" t="inlineStr">
        <is>
          <t>SN-3000-3100-3150-3150IO0003</t>
        </is>
      </c>
      <c r="B650" s="2" t="inlineStr">
        <is>
          <t>3150IO0003</t>
        </is>
      </c>
      <c r="C650" s="2" t="inlineStr">
        <is>
          <t xml:space="preserve">Gabinete RIO  </t>
        </is>
      </c>
      <c r="D650" s="2" t="n">
        <v>217</v>
      </c>
      <c r="E650" s="2" t="inlineStr">
        <is>
          <t>CC-3000</t>
        </is>
      </c>
      <c r="F650" s="2" t="inlineStr">
        <is>
          <t>P01</t>
        </is>
      </c>
      <c r="G650" s="2" t="n">
        <v>610000</v>
      </c>
      <c r="H650" s="2" t="inlineStr">
        <is>
          <t>Mano obra interna</t>
        </is>
      </c>
      <c r="I650" s="9" t="n">
        <v>2637.17</v>
      </c>
      <c r="J650" s="9" t="n">
        <v>2482.59</v>
      </c>
      <c r="K650" s="9" t="n">
        <v>2596.02</v>
      </c>
      <c r="L650" s="9" t="n">
        <v>2687.81</v>
      </c>
      <c r="M650" s="9" t="n">
        <v>2566.6</v>
      </c>
      <c r="N650" s="9" t="n">
        <v>2475.88</v>
      </c>
      <c r="O650" s="9" t="n">
        <v>2444.76</v>
      </c>
      <c r="P650" s="9" t="n">
        <v>2704.13</v>
      </c>
      <c r="Q650" s="9" t="n">
        <v>2322.48</v>
      </c>
      <c r="R650" s="9" t="n">
        <v>2683.03</v>
      </c>
      <c r="S650" s="9" t="n">
        <v>2495.86</v>
      </c>
      <c r="T650" s="9" t="n">
        <v>2537.94</v>
      </c>
      <c r="U650" s="10">
        <f>SUM(I650:T650)</f>
        <v/>
      </c>
    </row>
    <row r="651">
      <c r="A651" s="2" t="inlineStr">
        <is>
          <t>SN-3000-3100-3150-3150IO0003</t>
        </is>
      </c>
      <c r="B651" s="2" t="inlineStr">
        <is>
          <t>3150IO0003</t>
        </is>
      </c>
      <c r="C651" s="2" t="inlineStr">
        <is>
          <t xml:space="preserve">Gabinete RIO  </t>
        </is>
      </c>
      <c r="D651" s="2" t="n">
        <v>217</v>
      </c>
      <c r="E651" s="2" t="inlineStr">
        <is>
          <t>CC-3000</t>
        </is>
      </c>
      <c r="F651" s="2" t="inlineStr">
        <is>
          <t>P01</t>
        </is>
      </c>
      <c r="G651" s="2" t="n">
        <v>620000</v>
      </c>
      <c r="H651" s="2" t="inlineStr">
        <is>
          <t>Materiales</t>
        </is>
      </c>
      <c r="I651" s="9" t="n">
        <v>2341.4</v>
      </c>
      <c r="J651" s="9" t="n">
        <v>2287.44</v>
      </c>
      <c r="K651" s="9" t="n">
        <v>2430.22</v>
      </c>
      <c r="L651" s="9" t="n">
        <v>2279.85</v>
      </c>
      <c r="M651" s="9" t="n">
        <v>2189.88</v>
      </c>
      <c r="N651" s="9" t="n">
        <v>2375.15</v>
      </c>
      <c r="O651" s="9" t="n">
        <v>2317.97</v>
      </c>
      <c r="P651" s="9" t="n">
        <v>2307.09</v>
      </c>
      <c r="Q651" s="9" t="n">
        <v>2017.91</v>
      </c>
      <c r="R651" s="9" t="n">
        <v>2524.59</v>
      </c>
      <c r="S651" s="9" t="n">
        <v>2286.61</v>
      </c>
      <c r="T651" s="9" t="n">
        <v>2398.9</v>
      </c>
      <c r="U651" s="10">
        <f>SUM(I651:T651)</f>
        <v/>
      </c>
    </row>
    <row r="652">
      <c r="A652" s="2" t="inlineStr">
        <is>
          <t>SN-3000-3100-3150-3150IO0003</t>
        </is>
      </c>
      <c r="B652" s="2" t="inlineStr">
        <is>
          <t>3150IO0003</t>
        </is>
      </c>
      <c r="C652" s="2" t="inlineStr">
        <is>
          <t xml:space="preserve">Gabinete RIO  </t>
        </is>
      </c>
      <c r="D652" s="2" t="n">
        <v>217</v>
      </c>
      <c r="E652" s="2" t="inlineStr">
        <is>
          <t>CC-3000</t>
        </is>
      </c>
      <c r="F652" s="2" t="inlineStr">
        <is>
          <t>P01</t>
        </is>
      </c>
      <c r="G652" s="2" t="n">
        <v>630000</v>
      </c>
      <c r="H652" s="2" t="inlineStr">
        <is>
          <t>Servicios externos</t>
        </is>
      </c>
      <c r="I652" s="9" t="n">
        <v>2358.27</v>
      </c>
      <c r="J652" s="9" t="n">
        <v>2303.82</v>
      </c>
      <c r="K652" s="9" t="n">
        <v>2637.81</v>
      </c>
      <c r="L652" s="9" t="n">
        <v>2667.62</v>
      </c>
      <c r="M652" s="9" t="n">
        <v>2270.19</v>
      </c>
      <c r="N652" s="9" t="n">
        <v>2327.92</v>
      </c>
      <c r="O652" s="9" t="n">
        <v>2325.47</v>
      </c>
      <c r="P652" s="9" t="n">
        <v>2262.66</v>
      </c>
      <c r="Q652" s="9" t="n">
        <v>2204.13</v>
      </c>
      <c r="R652" s="9" t="n">
        <v>2477.08</v>
      </c>
      <c r="S652" s="9" t="n">
        <v>2437.22</v>
      </c>
      <c r="T652" s="9" t="n">
        <v>2485.31</v>
      </c>
      <c r="U652" s="10">
        <f>SUM(I652:T652)</f>
        <v/>
      </c>
    </row>
    <row r="653">
      <c r="A653" s="2" t="inlineStr">
        <is>
          <t>SN-3000-3100-3150-3150IO0004</t>
        </is>
      </c>
      <c r="B653" s="2" t="inlineStr">
        <is>
          <t>3150IO0004</t>
        </is>
      </c>
      <c r="C653" s="2" t="inlineStr">
        <is>
          <t xml:space="preserve">Gabinete RIO  </t>
        </is>
      </c>
      <c r="D653" s="2" t="n">
        <v>218</v>
      </c>
      <c r="E653" s="2" t="inlineStr">
        <is>
          <t>CC-3000</t>
        </is>
      </c>
      <c r="F653" s="2" t="inlineStr">
        <is>
          <t>P01</t>
        </is>
      </c>
      <c r="G653" s="2" t="n">
        <v>610000</v>
      </c>
      <c r="H653" s="2" t="inlineStr">
        <is>
          <t>Mano obra interna</t>
        </is>
      </c>
      <c r="I653" s="9" t="n">
        <v>1699.73</v>
      </c>
      <c r="J653" s="9" t="n">
        <v>1867.28</v>
      </c>
      <c r="K653" s="9" t="n">
        <v>1767.5</v>
      </c>
      <c r="L653" s="9" t="n">
        <v>1878.12</v>
      </c>
      <c r="M653" s="9" t="n">
        <v>1741.56</v>
      </c>
      <c r="N653" s="9" t="n">
        <v>1751.15</v>
      </c>
      <c r="O653" s="9" t="n">
        <v>1754.4</v>
      </c>
      <c r="P653" s="9" t="n">
        <v>1686.23</v>
      </c>
      <c r="Q653" s="9" t="n">
        <v>1607.45</v>
      </c>
      <c r="R653" s="9" t="n">
        <v>1851.36</v>
      </c>
      <c r="S653" s="9" t="n">
        <v>1729.05</v>
      </c>
      <c r="T653" s="9" t="n">
        <v>1880.17</v>
      </c>
      <c r="U653" s="10">
        <f>SUM(I653:T653)</f>
        <v/>
      </c>
    </row>
    <row r="654">
      <c r="A654" s="2" t="inlineStr">
        <is>
          <t>SN-3000-3100-3150-3150IO0004</t>
        </is>
      </c>
      <c r="B654" s="2" t="inlineStr">
        <is>
          <t>3150IO0004</t>
        </is>
      </c>
      <c r="C654" s="2" t="inlineStr">
        <is>
          <t xml:space="preserve">Gabinete RIO  </t>
        </is>
      </c>
      <c r="D654" s="2" t="n">
        <v>218</v>
      </c>
      <c r="E654" s="2" t="inlineStr">
        <is>
          <t>CC-3000</t>
        </is>
      </c>
      <c r="F654" s="2" t="inlineStr">
        <is>
          <t>P01</t>
        </is>
      </c>
      <c r="G654" s="2" t="n">
        <v>620000</v>
      </c>
      <c r="H654" s="2" t="inlineStr">
        <is>
          <t>Materiales</t>
        </is>
      </c>
      <c r="I654" s="9" t="n">
        <v>1674</v>
      </c>
      <c r="J654" s="9" t="n">
        <v>1757.06</v>
      </c>
      <c r="K654" s="9" t="n">
        <v>1866.01</v>
      </c>
      <c r="L654" s="9" t="n">
        <v>1952.52</v>
      </c>
      <c r="M654" s="9" t="n">
        <v>1785.48</v>
      </c>
      <c r="N654" s="9" t="n">
        <v>1692.7</v>
      </c>
      <c r="O654" s="9" t="n">
        <v>1800.38</v>
      </c>
      <c r="P654" s="9" t="n">
        <v>1899.04</v>
      </c>
      <c r="Q654" s="9" t="n">
        <v>1742.73</v>
      </c>
      <c r="R654" s="9" t="n">
        <v>1863.85</v>
      </c>
      <c r="S654" s="9" t="n">
        <v>1649.49</v>
      </c>
      <c r="T654" s="9" t="n">
        <v>1736.53</v>
      </c>
      <c r="U654" s="10">
        <f>SUM(I654:T654)</f>
        <v/>
      </c>
    </row>
    <row r="655">
      <c r="A655" s="2" t="inlineStr">
        <is>
          <t>SN-3000-3100-3150-3150IO0004</t>
        </is>
      </c>
      <c r="B655" s="2" t="inlineStr">
        <is>
          <t>3150IO0004</t>
        </is>
      </c>
      <c r="C655" s="2" t="inlineStr">
        <is>
          <t xml:space="preserve">Gabinete RIO  </t>
        </is>
      </c>
      <c r="D655" s="2" t="n">
        <v>218</v>
      </c>
      <c r="E655" s="2" t="inlineStr">
        <is>
          <t>CC-3000</t>
        </is>
      </c>
      <c r="F655" s="2" t="inlineStr">
        <is>
          <t>P01</t>
        </is>
      </c>
      <c r="G655" s="2" t="n">
        <v>630000</v>
      </c>
      <c r="H655" s="2" t="inlineStr">
        <is>
          <t>Servicios externos</t>
        </is>
      </c>
      <c r="I655" s="9" t="n">
        <v>2009.3</v>
      </c>
      <c r="J655" s="9" t="n">
        <v>1866.58</v>
      </c>
      <c r="K655" s="9" t="n">
        <v>1819.1</v>
      </c>
      <c r="L655" s="9" t="n">
        <v>2005.32</v>
      </c>
      <c r="M655" s="9" t="n">
        <v>1966.48</v>
      </c>
      <c r="N655" s="9" t="n">
        <v>1750.08</v>
      </c>
      <c r="O655" s="9" t="n">
        <v>1944.92</v>
      </c>
      <c r="P655" s="9" t="n">
        <v>1870.65</v>
      </c>
      <c r="Q655" s="9" t="n">
        <v>1873.15</v>
      </c>
      <c r="R655" s="9" t="n">
        <v>2155.7</v>
      </c>
      <c r="S655" s="9" t="n">
        <v>1841.27</v>
      </c>
      <c r="T655" s="9" t="n">
        <v>1981.33</v>
      </c>
      <c r="U655" s="10">
        <f>SUM(I655:T655)</f>
        <v/>
      </c>
    </row>
    <row r="656">
      <c r="A656" s="2" t="inlineStr">
        <is>
          <t>SN-3000-3100-3150-3150LU0004</t>
        </is>
      </c>
      <c r="B656" s="2" t="inlineStr">
        <is>
          <t>3150LU0004</t>
        </is>
      </c>
      <c r="C656" s="2" t="inlineStr">
        <is>
          <t>Sistema lubricación rodamientos M Sag</t>
        </is>
      </c>
      <c r="D656" s="2" t="n">
        <v>219</v>
      </c>
      <c r="E656" s="2" t="inlineStr">
        <is>
          <t>CC-3000</t>
        </is>
      </c>
      <c r="F656" s="2" t="inlineStr">
        <is>
          <t>P01</t>
        </is>
      </c>
      <c r="G656" s="2" t="n">
        <v>610000</v>
      </c>
      <c r="H656" s="2" t="inlineStr">
        <is>
          <t>Mano obra interna</t>
        </is>
      </c>
      <c r="I656" s="9" t="n">
        <v>1715.76</v>
      </c>
      <c r="J656" s="9" t="n">
        <v>1606.92</v>
      </c>
      <c r="K656" s="9" t="n">
        <v>1805.52</v>
      </c>
      <c r="L656" s="9" t="n">
        <v>1641.97</v>
      </c>
      <c r="M656" s="9" t="n">
        <v>1634.8</v>
      </c>
      <c r="N656" s="9" t="n">
        <v>1702.09</v>
      </c>
      <c r="O656" s="9" t="n">
        <v>1743.06</v>
      </c>
      <c r="P656" s="9" t="n">
        <v>1654.76</v>
      </c>
      <c r="Q656" s="9" t="n">
        <v>1494.17</v>
      </c>
      <c r="R656" s="9" t="n">
        <v>1771.99</v>
      </c>
      <c r="S656" s="9" t="n">
        <v>1571.93</v>
      </c>
      <c r="T656" s="9" t="n">
        <v>1618.39</v>
      </c>
      <c r="U656" s="10">
        <f>SUM(I656:T656)</f>
        <v/>
      </c>
    </row>
    <row r="657">
      <c r="A657" s="2" t="inlineStr">
        <is>
          <t>SN-3000-3100-3150-3150LU0004</t>
        </is>
      </c>
      <c r="B657" s="2" t="inlineStr">
        <is>
          <t>3150LU0004</t>
        </is>
      </c>
      <c r="C657" s="2" t="inlineStr">
        <is>
          <t>Sistema lubricación rodamientos M Sag</t>
        </is>
      </c>
      <c r="D657" s="2" t="n">
        <v>219</v>
      </c>
      <c r="E657" s="2" t="inlineStr">
        <is>
          <t>CC-3000</t>
        </is>
      </c>
      <c r="F657" s="2" t="inlineStr">
        <is>
          <t>P01</t>
        </is>
      </c>
      <c r="G657" s="2" t="n">
        <v>620000</v>
      </c>
      <c r="H657" s="2" t="inlineStr">
        <is>
          <t>Materiales</t>
        </is>
      </c>
      <c r="I657" s="9" t="n">
        <v>1549.71</v>
      </c>
      <c r="J657" s="9" t="n">
        <v>1545.42</v>
      </c>
      <c r="K657" s="9" t="n">
        <v>1601.01</v>
      </c>
      <c r="L657" s="9" t="n">
        <v>1740.24</v>
      </c>
      <c r="M657" s="9" t="n">
        <v>1537.16</v>
      </c>
      <c r="N657" s="9" t="n">
        <v>1409.76</v>
      </c>
      <c r="O657" s="9" t="n">
        <v>1477.7</v>
      </c>
      <c r="P657" s="9" t="n">
        <v>1602.53</v>
      </c>
      <c r="Q657" s="9" t="n">
        <v>1494.9</v>
      </c>
      <c r="R657" s="9" t="n">
        <v>1682.59</v>
      </c>
      <c r="S657" s="9" t="n">
        <v>1513.6</v>
      </c>
      <c r="T657" s="9" t="n">
        <v>1489.75</v>
      </c>
      <c r="U657" s="10">
        <f>SUM(I657:T657)</f>
        <v/>
      </c>
    </row>
    <row r="658">
      <c r="A658" s="2" t="inlineStr">
        <is>
          <t>SN-3000-3100-3150-3150LU0004</t>
        </is>
      </c>
      <c r="B658" s="2" t="inlineStr">
        <is>
          <t>3150LU0004</t>
        </is>
      </c>
      <c r="C658" s="2" t="inlineStr">
        <is>
          <t>Sistema lubricación rodamientos M Sag</t>
        </is>
      </c>
      <c r="D658" s="2" t="n">
        <v>219</v>
      </c>
      <c r="E658" s="2" t="inlineStr">
        <is>
          <t>CC-3000</t>
        </is>
      </c>
      <c r="F658" s="2" t="inlineStr">
        <is>
          <t>P01</t>
        </is>
      </c>
      <c r="G658" s="2" t="n">
        <v>630000</v>
      </c>
      <c r="H658" s="2" t="inlineStr">
        <is>
          <t>Servicios externos</t>
        </is>
      </c>
      <c r="I658" s="9" t="n">
        <v>1521.84</v>
      </c>
      <c r="J658" s="9" t="n">
        <v>1384.82</v>
      </c>
      <c r="K658" s="9" t="n">
        <v>1439.36</v>
      </c>
      <c r="L658" s="9" t="n">
        <v>1430.78</v>
      </c>
      <c r="M658" s="9" t="n">
        <v>1380.12</v>
      </c>
      <c r="N658" s="9" t="n">
        <v>1449.19</v>
      </c>
      <c r="O658" s="9" t="n">
        <v>1417.94</v>
      </c>
      <c r="P658" s="9" t="n">
        <v>1429.32</v>
      </c>
      <c r="Q658" s="9" t="n">
        <v>1314.24</v>
      </c>
      <c r="R658" s="9" t="n">
        <v>1724.14</v>
      </c>
      <c r="S658" s="9" t="n">
        <v>1523.88</v>
      </c>
      <c r="T658" s="9" t="n">
        <v>1446.56</v>
      </c>
      <c r="U658" s="10">
        <f>SUM(I658:T658)</f>
        <v/>
      </c>
    </row>
    <row r="659">
      <c r="A659" s="2" t="inlineStr">
        <is>
          <t>SN-3000-3100-3150-3150LU0006</t>
        </is>
      </c>
      <c r="B659" s="2" t="inlineStr">
        <is>
          <t>3150LU0006</t>
        </is>
      </c>
      <c r="C659" s="2" t="inlineStr">
        <is>
          <t>Sistema lubricación rodamientos M Bolas</t>
        </is>
      </c>
      <c r="D659" s="2" t="n">
        <v>220</v>
      </c>
      <c r="E659" s="2" t="inlineStr">
        <is>
          <t>CC-3000</t>
        </is>
      </c>
      <c r="F659" s="2" t="inlineStr">
        <is>
          <t>P01</t>
        </is>
      </c>
      <c r="G659" s="2" t="n">
        <v>610000</v>
      </c>
      <c r="H659" s="2" t="inlineStr">
        <is>
          <t>Mano obra interna</t>
        </is>
      </c>
      <c r="I659" s="9" t="n">
        <v>1793.26</v>
      </c>
      <c r="J659" s="9" t="n">
        <v>1811.9</v>
      </c>
      <c r="K659" s="9" t="n">
        <v>1754.36</v>
      </c>
      <c r="L659" s="9" t="n">
        <v>1934.38</v>
      </c>
      <c r="M659" s="9" t="n">
        <v>1829.85</v>
      </c>
      <c r="N659" s="9" t="n">
        <v>1873.55</v>
      </c>
      <c r="O659" s="9" t="n">
        <v>1744.02</v>
      </c>
      <c r="P659" s="9" t="n">
        <v>1930.34</v>
      </c>
      <c r="Q659" s="9" t="n">
        <v>1794.92</v>
      </c>
      <c r="R659" s="9" t="n">
        <v>1868.11</v>
      </c>
      <c r="S659" s="9" t="n">
        <v>1754.37</v>
      </c>
      <c r="T659" s="9" t="n">
        <v>1770.83</v>
      </c>
      <c r="U659" s="10">
        <f>SUM(I659:T659)</f>
        <v/>
      </c>
    </row>
    <row r="660">
      <c r="A660" s="2" t="inlineStr">
        <is>
          <t>SN-3000-3100-3150-3150LU0006</t>
        </is>
      </c>
      <c r="B660" s="2" t="inlineStr">
        <is>
          <t>3150LU0006</t>
        </is>
      </c>
      <c r="C660" s="2" t="inlineStr">
        <is>
          <t>Sistema lubricación rodamientos M Bolas</t>
        </is>
      </c>
      <c r="D660" s="2" t="n">
        <v>220</v>
      </c>
      <c r="E660" s="2" t="inlineStr">
        <is>
          <t>CC-3000</t>
        </is>
      </c>
      <c r="F660" s="2" t="inlineStr">
        <is>
          <t>P01</t>
        </is>
      </c>
      <c r="G660" s="2" t="n">
        <v>620000</v>
      </c>
      <c r="H660" s="2" t="inlineStr">
        <is>
          <t>Materiales</t>
        </is>
      </c>
      <c r="I660" s="9" t="n">
        <v>1699.59</v>
      </c>
      <c r="J660" s="9" t="n">
        <v>1719.57</v>
      </c>
      <c r="K660" s="9" t="n">
        <v>1759.89</v>
      </c>
      <c r="L660" s="9" t="n">
        <v>1895.28</v>
      </c>
      <c r="M660" s="9" t="n">
        <v>1610.16</v>
      </c>
      <c r="N660" s="9" t="n">
        <v>1779.81</v>
      </c>
      <c r="O660" s="9" t="n">
        <v>1656.61</v>
      </c>
      <c r="P660" s="9" t="n">
        <v>1804.64</v>
      </c>
      <c r="Q660" s="9" t="n">
        <v>1569.32</v>
      </c>
      <c r="R660" s="9" t="n">
        <v>1759.58</v>
      </c>
      <c r="S660" s="9" t="n">
        <v>1771.1</v>
      </c>
      <c r="T660" s="9" t="n">
        <v>1702.43</v>
      </c>
      <c r="U660" s="10">
        <f>SUM(I660:T660)</f>
        <v/>
      </c>
    </row>
    <row r="661">
      <c r="A661" s="2" t="inlineStr">
        <is>
          <t>SN-3000-3100-3150-3150LU0006</t>
        </is>
      </c>
      <c r="B661" s="2" t="inlineStr">
        <is>
          <t>3150LU0006</t>
        </is>
      </c>
      <c r="C661" s="2" t="inlineStr">
        <is>
          <t>Sistema lubricación rodamientos M Bolas</t>
        </is>
      </c>
      <c r="D661" s="2" t="n">
        <v>220</v>
      </c>
      <c r="E661" s="2" t="inlineStr">
        <is>
          <t>CC-3000</t>
        </is>
      </c>
      <c r="F661" s="2" t="inlineStr">
        <is>
          <t>P01</t>
        </is>
      </c>
      <c r="G661" s="2" t="n">
        <v>630000</v>
      </c>
      <c r="H661" s="2" t="inlineStr">
        <is>
          <t>Servicios externos</t>
        </is>
      </c>
      <c r="I661" s="9" t="n">
        <v>2023.35</v>
      </c>
      <c r="J661" s="9" t="n">
        <v>1922.76</v>
      </c>
      <c r="K661" s="9" t="n">
        <v>2021.88</v>
      </c>
      <c r="L661" s="9" t="n">
        <v>2078.9</v>
      </c>
      <c r="M661" s="9" t="n">
        <v>1812.88</v>
      </c>
      <c r="N661" s="9" t="n">
        <v>1925.48</v>
      </c>
      <c r="O661" s="9" t="n">
        <v>2086.33</v>
      </c>
      <c r="P661" s="9" t="n">
        <v>1821.06</v>
      </c>
      <c r="Q661" s="9" t="n">
        <v>1720.65</v>
      </c>
      <c r="R661" s="9" t="n">
        <v>2188.3</v>
      </c>
      <c r="S661" s="9" t="n">
        <v>1879.5</v>
      </c>
      <c r="T661" s="9" t="n">
        <v>1959.59</v>
      </c>
      <c r="U661" s="10">
        <f>SUM(I661:T661)</f>
        <v/>
      </c>
    </row>
    <row r="662">
      <c r="A662" s="2" t="inlineStr">
        <is>
          <t>SN-3000-3100-3150-3150LU0008</t>
        </is>
      </c>
      <c r="B662" s="2" t="inlineStr">
        <is>
          <t>3150LU0008</t>
        </is>
      </c>
      <c r="C662" s="2" t="inlineStr">
        <is>
          <t>Sistema Spray Grasa Engranaje - Molino SAG</t>
        </is>
      </c>
      <c r="D662" s="2" t="n">
        <v>221</v>
      </c>
      <c r="E662" s="2" t="inlineStr">
        <is>
          <t>CC-3000</t>
        </is>
      </c>
      <c r="F662" s="2" t="inlineStr">
        <is>
          <t>P01</t>
        </is>
      </c>
      <c r="G662" s="2" t="n">
        <v>610000</v>
      </c>
      <c r="H662" s="2" t="inlineStr">
        <is>
          <t>Mano obra interna</t>
        </is>
      </c>
      <c r="I662" s="9" t="n">
        <v>1105.26</v>
      </c>
      <c r="J662" s="9" t="n">
        <v>1001.5</v>
      </c>
      <c r="K662" s="9" t="n">
        <v>1111.57</v>
      </c>
      <c r="L662" s="9" t="n">
        <v>1151.98</v>
      </c>
      <c r="M662" s="9" t="n">
        <v>1028.93</v>
      </c>
      <c r="N662" s="9" t="n">
        <v>1030.83</v>
      </c>
      <c r="O662" s="9" t="n">
        <v>1167.19</v>
      </c>
      <c r="P662" s="9" t="n">
        <v>1112.98</v>
      </c>
      <c r="Q662" s="9" t="n">
        <v>1061.75</v>
      </c>
      <c r="R662" s="9" t="n">
        <v>1150.45</v>
      </c>
      <c r="S662" s="9" t="n">
        <v>1091.85</v>
      </c>
      <c r="T662" s="9" t="n">
        <v>1016.88</v>
      </c>
      <c r="U662" s="10">
        <f>SUM(I662:T662)</f>
        <v/>
      </c>
    </row>
    <row r="663">
      <c r="A663" s="2" t="inlineStr">
        <is>
          <t>SN-3000-3100-3150-3150LU0008</t>
        </is>
      </c>
      <c r="B663" s="2" t="inlineStr">
        <is>
          <t>3150LU0008</t>
        </is>
      </c>
      <c r="C663" s="2" t="inlineStr">
        <is>
          <t>Sistema Spray Grasa Engranaje - Molino SAG</t>
        </is>
      </c>
      <c r="D663" s="2" t="n">
        <v>221</v>
      </c>
      <c r="E663" s="2" t="inlineStr">
        <is>
          <t>CC-3000</t>
        </is>
      </c>
      <c r="F663" s="2" t="inlineStr">
        <is>
          <t>P01</t>
        </is>
      </c>
      <c r="G663" s="2" t="n">
        <v>620000</v>
      </c>
      <c r="H663" s="2" t="inlineStr">
        <is>
          <t>Materiales</t>
        </is>
      </c>
      <c r="I663" s="9" t="n">
        <v>1018.95</v>
      </c>
      <c r="J663" s="9" t="n">
        <v>1015.87</v>
      </c>
      <c r="K663" s="9" t="n">
        <v>1140.89</v>
      </c>
      <c r="L663" s="9" t="n">
        <v>1044.68</v>
      </c>
      <c r="M663" s="9" t="n">
        <v>1062.75</v>
      </c>
      <c r="N663" s="9" t="n">
        <v>1035.44</v>
      </c>
      <c r="O663" s="9" t="n">
        <v>1062.86</v>
      </c>
      <c r="P663" s="9" t="n">
        <v>1023.23</v>
      </c>
      <c r="Q663" s="9" t="n">
        <v>987.52</v>
      </c>
      <c r="R663" s="9" t="n">
        <v>1101.59</v>
      </c>
      <c r="S663" s="9" t="n">
        <v>946.92</v>
      </c>
      <c r="T663" s="9" t="n">
        <v>1147.34</v>
      </c>
      <c r="U663" s="10">
        <f>SUM(I663:T663)</f>
        <v/>
      </c>
    </row>
    <row r="664">
      <c r="A664" s="2" t="inlineStr">
        <is>
          <t>SN-3000-3100-3150-3150LU0008</t>
        </is>
      </c>
      <c r="B664" s="2" t="inlineStr">
        <is>
          <t>3150LU0008</t>
        </is>
      </c>
      <c r="C664" s="2" t="inlineStr">
        <is>
          <t>Sistema Spray Grasa Engranaje - Molino SAG</t>
        </is>
      </c>
      <c r="D664" s="2" t="n">
        <v>221</v>
      </c>
      <c r="E664" s="2" t="inlineStr">
        <is>
          <t>CC-3000</t>
        </is>
      </c>
      <c r="F664" s="2" t="inlineStr">
        <is>
          <t>P01</t>
        </is>
      </c>
      <c r="G664" s="2" t="n">
        <v>630000</v>
      </c>
      <c r="H664" s="2" t="inlineStr">
        <is>
          <t>Servicios externos</t>
        </is>
      </c>
      <c r="I664" s="9" t="n">
        <v>1001.51</v>
      </c>
      <c r="J664" s="9" t="n">
        <v>1099.99</v>
      </c>
      <c r="K664" s="9" t="n">
        <v>1051.99</v>
      </c>
      <c r="L664" s="9" t="n">
        <v>1102.22</v>
      </c>
      <c r="M664" s="9" t="n">
        <v>1013.71</v>
      </c>
      <c r="N664" s="9" t="n">
        <v>989.37</v>
      </c>
      <c r="O664" s="9" t="n">
        <v>1013.49</v>
      </c>
      <c r="P664" s="9" t="n">
        <v>1025.9</v>
      </c>
      <c r="Q664" s="9" t="n">
        <v>966.3200000000001</v>
      </c>
      <c r="R664" s="9" t="n">
        <v>1175.76</v>
      </c>
      <c r="S664" s="9" t="n">
        <v>1021.37</v>
      </c>
      <c r="T664" s="9" t="n">
        <v>1144.6</v>
      </c>
      <c r="U664" s="10">
        <f>SUM(I664:T664)</f>
        <v/>
      </c>
    </row>
    <row r="665">
      <c r="A665" s="2" t="inlineStr">
        <is>
          <t>SN-3000-3100-3150-3150LU0009</t>
        </is>
      </c>
      <c r="B665" s="2" t="inlineStr">
        <is>
          <t>3150LU0009</t>
        </is>
      </c>
      <c r="C665" s="2" t="inlineStr">
        <is>
          <t>Sistema Spray Grasa Engranaje - Molino Bolas</t>
        </is>
      </c>
      <c r="D665" s="2" t="n">
        <v>222</v>
      </c>
      <c r="E665" s="2" t="inlineStr">
        <is>
          <t>CC-3000</t>
        </is>
      </c>
      <c r="F665" s="2" t="inlineStr">
        <is>
          <t>P01</t>
        </is>
      </c>
      <c r="G665" s="2" t="n">
        <v>610000</v>
      </c>
      <c r="H665" s="2" t="inlineStr">
        <is>
          <t>Mano obra interna</t>
        </is>
      </c>
      <c r="I665" s="9" t="n">
        <v>1475.26</v>
      </c>
      <c r="J665" s="9" t="n">
        <v>1441.73</v>
      </c>
      <c r="K665" s="9" t="n">
        <v>1590.32</v>
      </c>
      <c r="L665" s="9" t="n">
        <v>1369.78</v>
      </c>
      <c r="M665" s="9" t="n">
        <v>1446.3</v>
      </c>
      <c r="N665" s="9" t="n">
        <v>1459.11</v>
      </c>
      <c r="O665" s="9" t="n">
        <v>1385.41</v>
      </c>
      <c r="P665" s="9" t="n">
        <v>1530.25</v>
      </c>
      <c r="Q665" s="9" t="n">
        <v>1241.11</v>
      </c>
      <c r="R665" s="9" t="n">
        <v>1615.64</v>
      </c>
      <c r="S665" s="9" t="n">
        <v>1495.2</v>
      </c>
      <c r="T665" s="9" t="n">
        <v>1502.74</v>
      </c>
      <c r="U665" s="10">
        <f>SUM(I665:T665)</f>
        <v/>
      </c>
    </row>
    <row r="666">
      <c r="A666" s="2" t="inlineStr">
        <is>
          <t>SN-3000-3100-3150-3150LU0009</t>
        </is>
      </c>
      <c r="B666" s="2" t="inlineStr">
        <is>
          <t>3150LU0009</t>
        </is>
      </c>
      <c r="C666" s="2" t="inlineStr">
        <is>
          <t>Sistema Spray Grasa Engranaje - Molino Bolas</t>
        </is>
      </c>
      <c r="D666" s="2" t="n">
        <v>222</v>
      </c>
      <c r="E666" s="2" t="inlineStr">
        <is>
          <t>CC-3000</t>
        </is>
      </c>
      <c r="F666" s="2" t="inlineStr">
        <is>
          <t>P01</t>
        </is>
      </c>
      <c r="G666" s="2" t="n">
        <v>620000</v>
      </c>
      <c r="H666" s="2" t="inlineStr">
        <is>
          <t>Materiales</t>
        </is>
      </c>
      <c r="I666" s="9" t="n">
        <v>1555.81</v>
      </c>
      <c r="J666" s="9" t="n">
        <v>1727.66</v>
      </c>
      <c r="K666" s="9" t="n">
        <v>1687.68</v>
      </c>
      <c r="L666" s="9" t="n">
        <v>1553.36</v>
      </c>
      <c r="M666" s="9" t="n">
        <v>1676.14</v>
      </c>
      <c r="N666" s="9" t="n">
        <v>1566.95</v>
      </c>
      <c r="O666" s="9" t="n">
        <v>1545.63</v>
      </c>
      <c r="P666" s="9" t="n">
        <v>1567.41</v>
      </c>
      <c r="Q666" s="9" t="n">
        <v>1423.49</v>
      </c>
      <c r="R666" s="9" t="n">
        <v>1793.71</v>
      </c>
      <c r="S666" s="9" t="n">
        <v>1622.31</v>
      </c>
      <c r="T666" s="9" t="n">
        <v>1669.67</v>
      </c>
      <c r="U666" s="10">
        <f>SUM(I666:T666)</f>
        <v/>
      </c>
    </row>
    <row r="667">
      <c r="A667" s="2" t="inlineStr">
        <is>
          <t>SN-3000-3100-3150-3150LU0009</t>
        </is>
      </c>
      <c r="B667" s="2" t="inlineStr">
        <is>
          <t>3150LU0009</t>
        </is>
      </c>
      <c r="C667" s="2" t="inlineStr">
        <is>
          <t>Sistema Spray Grasa Engranaje - Molino Bolas</t>
        </is>
      </c>
      <c r="D667" s="2" t="n">
        <v>222</v>
      </c>
      <c r="E667" s="2" t="inlineStr">
        <is>
          <t>CC-3000</t>
        </is>
      </c>
      <c r="F667" s="2" t="inlineStr">
        <is>
          <t>P01</t>
        </is>
      </c>
      <c r="G667" s="2" t="n">
        <v>630000</v>
      </c>
      <c r="H667" s="2" t="inlineStr">
        <is>
          <t>Servicios externos</t>
        </is>
      </c>
      <c r="I667" s="9" t="n">
        <v>1951.61</v>
      </c>
      <c r="J667" s="9" t="n">
        <v>1812.93</v>
      </c>
      <c r="K667" s="9" t="n">
        <v>1719.19</v>
      </c>
      <c r="L667" s="9" t="n">
        <v>1904.91</v>
      </c>
      <c r="M667" s="9" t="n">
        <v>1765.2</v>
      </c>
      <c r="N667" s="9" t="n">
        <v>1746.09</v>
      </c>
      <c r="O667" s="9" t="n">
        <v>1851.31</v>
      </c>
      <c r="P667" s="9" t="n">
        <v>1762.74</v>
      </c>
      <c r="Q667" s="9" t="n">
        <v>1794.71</v>
      </c>
      <c r="R667" s="9" t="n">
        <v>1834.96</v>
      </c>
      <c r="S667" s="9" t="n">
        <v>1797.66</v>
      </c>
      <c r="T667" s="9" t="n">
        <v>1688.74</v>
      </c>
      <c r="U667" s="10">
        <f>SUM(I667:T667)</f>
        <v/>
      </c>
    </row>
    <row r="668">
      <c r="A668" s="2" t="inlineStr">
        <is>
          <t>SN-3000-3100-3150-3150LU0010</t>
        </is>
      </c>
      <c r="B668" s="2" t="inlineStr">
        <is>
          <t>3150LU0010</t>
        </is>
      </c>
      <c r="C668" s="2" t="inlineStr">
        <is>
          <t>Sistema lubrica reductor y piñón M Sag</t>
        </is>
      </c>
      <c r="D668" s="2" t="n">
        <v>223</v>
      </c>
      <c r="E668" s="2" t="inlineStr">
        <is>
          <t>CC-3000</t>
        </is>
      </c>
      <c r="F668" s="2" t="inlineStr">
        <is>
          <t>P01</t>
        </is>
      </c>
      <c r="G668" s="2" t="n">
        <v>610000</v>
      </c>
      <c r="H668" s="2" t="inlineStr">
        <is>
          <t>Mano obra interna</t>
        </is>
      </c>
      <c r="I668" s="9" t="n">
        <v>2436.72</v>
      </c>
      <c r="J668" s="9" t="n">
        <v>2343.75</v>
      </c>
      <c r="K668" s="9" t="n">
        <v>2555.11</v>
      </c>
      <c r="L668" s="9" t="n">
        <v>2548.22</v>
      </c>
      <c r="M668" s="9" t="n">
        <v>2403.29</v>
      </c>
      <c r="N668" s="9" t="n">
        <v>2466.07</v>
      </c>
      <c r="O668" s="9" t="n">
        <v>2522.63</v>
      </c>
      <c r="P668" s="9" t="n">
        <v>2353.31</v>
      </c>
      <c r="Q668" s="9" t="n">
        <v>2300.48</v>
      </c>
      <c r="R668" s="9" t="n">
        <v>2880.61</v>
      </c>
      <c r="S668" s="9" t="n">
        <v>2538.23</v>
      </c>
      <c r="T668" s="9" t="n">
        <v>2675.43</v>
      </c>
      <c r="U668" s="10">
        <f>SUM(I668:T668)</f>
        <v/>
      </c>
    </row>
    <row r="669">
      <c r="A669" s="2" t="inlineStr">
        <is>
          <t>SN-3000-3100-3150-3150LU0010</t>
        </is>
      </c>
      <c r="B669" s="2" t="inlineStr">
        <is>
          <t>3150LU0010</t>
        </is>
      </c>
      <c r="C669" s="2" t="inlineStr">
        <is>
          <t>Sistema lubrica reductor y piñón M Sag</t>
        </is>
      </c>
      <c r="D669" s="2" t="n">
        <v>223</v>
      </c>
      <c r="E669" s="2" t="inlineStr">
        <is>
          <t>CC-3000</t>
        </is>
      </c>
      <c r="F669" s="2" t="inlineStr">
        <is>
          <t>P01</t>
        </is>
      </c>
      <c r="G669" s="2" t="n">
        <v>620000</v>
      </c>
      <c r="H669" s="2" t="inlineStr">
        <is>
          <t>Materiales</t>
        </is>
      </c>
      <c r="I669" s="9" t="n">
        <v>2287.31</v>
      </c>
      <c r="J669" s="9" t="n">
        <v>2129.75</v>
      </c>
      <c r="K669" s="9" t="n">
        <v>2296.82</v>
      </c>
      <c r="L669" s="9" t="n">
        <v>2486.78</v>
      </c>
      <c r="M669" s="9" t="n">
        <v>2462.37</v>
      </c>
      <c r="N669" s="9" t="n">
        <v>2206.81</v>
      </c>
      <c r="O669" s="9" t="n">
        <v>2130.2</v>
      </c>
      <c r="P669" s="9" t="n">
        <v>2175.79</v>
      </c>
      <c r="Q669" s="9" t="n">
        <v>2089.55</v>
      </c>
      <c r="R669" s="9" t="n">
        <v>2523.02</v>
      </c>
      <c r="S669" s="9" t="n">
        <v>2084.64</v>
      </c>
      <c r="T669" s="9" t="n">
        <v>2511.12</v>
      </c>
      <c r="U669" s="10">
        <f>SUM(I669:T669)</f>
        <v/>
      </c>
    </row>
    <row r="670">
      <c r="A670" s="2" t="inlineStr">
        <is>
          <t>SN-3000-3100-3150-3150LU0010</t>
        </is>
      </c>
      <c r="B670" s="2" t="inlineStr">
        <is>
          <t>3150LU0010</t>
        </is>
      </c>
      <c r="C670" s="2" t="inlineStr">
        <is>
          <t>Sistema lubrica reductor y piñón M Sag</t>
        </is>
      </c>
      <c r="D670" s="2" t="n">
        <v>223</v>
      </c>
      <c r="E670" s="2" t="inlineStr">
        <is>
          <t>CC-3000</t>
        </is>
      </c>
      <c r="F670" s="2" t="inlineStr">
        <is>
          <t>P01</t>
        </is>
      </c>
      <c r="G670" s="2" t="n">
        <v>630000</v>
      </c>
      <c r="H670" s="2" t="inlineStr">
        <is>
          <t>Servicios externos</t>
        </is>
      </c>
      <c r="I670" s="9" t="n">
        <v>2167.09</v>
      </c>
      <c r="J670" s="9" t="n">
        <v>2049.25</v>
      </c>
      <c r="K670" s="9" t="n">
        <v>2138.35</v>
      </c>
      <c r="L670" s="9" t="n">
        <v>2070.03</v>
      </c>
      <c r="M670" s="9" t="n">
        <v>2010.76</v>
      </c>
      <c r="N670" s="9" t="n">
        <v>1945.93</v>
      </c>
      <c r="O670" s="9" t="n">
        <v>2033.31</v>
      </c>
      <c r="P670" s="9" t="n">
        <v>2007</v>
      </c>
      <c r="Q670" s="9" t="n">
        <v>1998</v>
      </c>
      <c r="R670" s="9" t="n">
        <v>2227.37</v>
      </c>
      <c r="S670" s="9" t="n">
        <v>2013.21</v>
      </c>
      <c r="T670" s="9" t="n">
        <v>2141.38</v>
      </c>
      <c r="U670" s="10">
        <f>SUM(I670:T670)</f>
        <v/>
      </c>
    </row>
    <row r="671">
      <c r="A671" s="2" t="inlineStr">
        <is>
          <t>SN-3000-3100-3150-3150LU0011</t>
        </is>
      </c>
      <c r="B671" s="2" t="inlineStr">
        <is>
          <t>3150LU0011</t>
        </is>
      </c>
      <c r="C671" s="2" t="inlineStr">
        <is>
          <t>Sistema lubrica reductor y piñón M Bolas</t>
        </is>
      </c>
      <c r="D671" s="2" t="n">
        <v>224</v>
      </c>
      <c r="E671" s="2" t="inlineStr">
        <is>
          <t>CC-3000</t>
        </is>
      </c>
      <c r="F671" s="2" t="inlineStr">
        <is>
          <t>P01</t>
        </is>
      </c>
      <c r="G671" s="2" t="n">
        <v>610000</v>
      </c>
      <c r="H671" s="2" t="inlineStr">
        <is>
          <t>Mano obra interna</t>
        </is>
      </c>
      <c r="I671" s="9" t="n">
        <v>795.33</v>
      </c>
      <c r="J671" s="9" t="n">
        <v>819.78</v>
      </c>
      <c r="K671" s="9" t="n">
        <v>863.02</v>
      </c>
      <c r="L671" s="9" t="n">
        <v>898</v>
      </c>
      <c r="M671" s="9" t="n">
        <v>818.6</v>
      </c>
      <c r="N671" s="9" t="n">
        <v>807.05</v>
      </c>
      <c r="O671" s="9" t="n">
        <v>838.66</v>
      </c>
      <c r="P671" s="9" t="n">
        <v>772.42</v>
      </c>
      <c r="Q671" s="9" t="n">
        <v>791.3</v>
      </c>
      <c r="R671" s="9" t="n">
        <v>947.37</v>
      </c>
      <c r="S671" s="9" t="n">
        <v>763.73</v>
      </c>
      <c r="T671" s="9" t="n">
        <v>859.84</v>
      </c>
      <c r="U671" s="10">
        <f>SUM(I671:T671)</f>
        <v/>
      </c>
    </row>
    <row r="672">
      <c r="A672" s="2" t="inlineStr">
        <is>
          <t>SN-3000-3100-3150-3150LU0011</t>
        </is>
      </c>
      <c r="B672" s="2" t="inlineStr">
        <is>
          <t>3150LU0011</t>
        </is>
      </c>
      <c r="C672" s="2" t="inlineStr">
        <is>
          <t>Sistema lubrica reductor y piñón M Bolas</t>
        </is>
      </c>
      <c r="D672" s="2" t="n">
        <v>224</v>
      </c>
      <c r="E672" s="2" t="inlineStr">
        <is>
          <t>CC-3000</t>
        </is>
      </c>
      <c r="F672" s="2" t="inlineStr">
        <is>
          <t>P01</t>
        </is>
      </c>
      <c r="G672" s="2" t="n">
        <v>620000</v>
      </c>
      <c r="H672" s="2" t="inlineStr">
        <is>
          <t>Materiales</t>
        </is>
      </c>
      <c r="I672" s="9" t="n">
        <v>884.1799999999999</v>
      </c>
      <c r="J672" s="9" t="n">
        <v>847.14</v>
      </c>
      <c r="K672" s="9" t="n">
        <v>1016.79</v>
      </c>
      <c r="L672" s="9" t="n">
        <v>919.5700000000001</v>
      </c>
      <c r="M672" s="9" t="n">
        <v>866.33</v>
      </c>
      <c r="N672" s="9" t="n">
        <v>829.0700000000001</v>
      </c>
      <c r="O672" s="9" t="n">
        <v>940.27</v>
      </c>
      <c r="P672" s="9" t="n">
        <v>930.64</v>
      </c>
      <c r="Q672" s="9" t="n">
        <v>871.6</v>
      </c>
      <c r="R672" s="9" t="n">
        <v>922.02</v>
      </c>
      <c r="S672" s="9" t="n">
        <v>941.86</v>
      </c>
      <c r="T672" s="9" t="n">
        <v>912.4400000000001</v>
      </c>
      <c r="U672" s="10">
        <f>SUM(I672:T672)</f>
        <v/>
      </c>
    </row>
    <row r="673">
      <c r="A673" s="2" t="inlineStr">
        <is>
          <t>SN-3000-3100-3150-3150LU0011</t>
        </is>
      </c>
      <c r="B673" s="2" t="inlineStr">
        <is>
          <t>3150LU0011</t>
        </is>
      </c>
      <c r="C673" s="2" t="inlineStr">
        <is>
          <t>Sistema lubrica reductor y piñón M Bolas</t>
        </is>
      </c>
      <c r="D673" s="2" t="n">
        <v>224</v>
      </c>
      <c r="E673" s="2" t="inlineStr">
        <is>
          <t>CC-3000</t>
        </is>
      </c>
      <c r="F673" s="2" t="inlineStr">
        <is>
          <t>P01</t>
        </is>
      </c>
      <c r="G673" s="2" t="n">
        <v>630000</v>
      </c>
      <c r="H673" s="2" t="inlineStr">
        <is>
          <t>Servicios externos</t>
        </is>
      </c>
      <c r="I673" s="9" t="n">
        <v>828.65</v>
      </c>
      <c r="J673" s="9" t="n">
        <v>790.14</v>
      </c>
      <c r="K673" s="9" t="n">
        <v>891.5</v>
      </c>
      <c r="L673" s="9" t="n">
        <v>891.98</v>
      </c>
      <c r="M673" s="9" t="n">
        <v>782.79</v>
      </c>
      <c r="N673" s="9" t="n">
        <v>826.24</v>
      </c>
      <c r="O673" s="9" t="n">
        <v>853.8200000000001</v>
      </c>
      <c r="P673" s="9" t="n">
        <v>872.29</v>
      </c>
      <c r="Q673" s="9" t="n">
        <v>729.28</v>
      </c>
      <c r="R673" s="9" t="n">
        <v>891.54</v>
      </c>
      <c r="S673" s="9" t="n">
        <v>762.05</v>
      </c>
      <c r="T673" s="9" t="n">
        <v>871.75</v>
      </c>
      <c r="U673" s="10">
        <f>SUM(I673:T673)</f>
        <v/>
      </c>
    </row>
    <row r="674">
      <c r="A674" s="2" t="inlineStr">
        <is>
          <t>SN-3000-3100-3150-3150PR0001</t>
        </is>
      </c>
      <c r="B674" s="2" t="inlineStr">
        <is>
          <t>3150PR0001</t>
        </is>
      </c>
      <c r="C674" s="2" t="inlineStr">
        <is>
          <t>Tablero de enchufes</t>
        </is>
      </c>
      <c r="D674" s="2" t="n">
        <v>225</v>
      </c>
      <c r="E674" s="2" t="inlineStr">
        <is>
          <t>CC-3000</t>
        </is>
      </c>
      <c r="F674" s="2" t="inlineStr">
        <is>
          <t>P01</t>
        </is>
      </c>
      <c r="G674" s="2" t="n">
        <v>610000</v>
      </c>
      <c r="H674" s="2" t="inlineStr">
        <is>
          <t>Mano obra interna</t>
        </is>
      </c>
      <c r="I674" s="9" t="n">
        <v>301.82</v>
      </c>
      <c r="J674" s="9" t="n">
        <v>280.78</v>
      </c>
      <c r="K674" s="9" t="n">
        <v>293.32</v>
      </c>
      <c r="L674" s="9" t="n">
        <v>306.01</v>
      </c>
      <c r="M674" s="9" t="n">
        <v>305.89</v>
      </c>
      <c r="N674" s="9" t="n">
        <v>284.66</v>
      </c>
      <c r="O674" s="9" t="n">
        <v>309.3</v>
      </c>
      <c r="P674" s="9" t="n">
        <v>281.39</v>
      </c>
      <c r="Q674" s="9" t="n">
        <v>273.25</v>
      </c>
      <c r="R674" s="9" t="n">
        <v>313.08</v>
      </c>
      <c r="S674" s="9" t="n">
        <v>261.15</v>
      </c>
      <c r="T674" s="9" t="n">
        <v>299.67</v>
      </c>
      <c r="U674" s="10">
        <f>SUM(I674:T674)</f>
        <v/>
      </c>
    </row>
    <row r="675">
      <c r="A675" s="2" t="inlineStr">
        <is>
          <t>SN-3000-3100-3150-3150PR0001</t>
        </is>
      </c>
      <c r="B675" s="2" t="inlineStr">
        <is>
          <t>3150PR0001</t>
        </is>
      </c>
      <c r="C675" s="2" t="inlineStr">
        <is>
          <t>Tablero de enchufes</t>
        </is>
      </c>
      <c r="D675" s="2" t="n">
        <v>225</v>
      </c>
      <c r="E675" s="2" t="inlineStr">
        <is>
          <t>CC-3000</t>
        </is>
      </c>
      <c r="F675" s="2" t="inlineStr">
        <is>
          <t>P01</t>
        </is>
      </c>
      <c r="G675" s="2" t="n">
        <v>620000</v>
      </c>
      <c r="H675" s="2" t="inlineStr">
        <is>
          <t>Materiales</t>
        </is>
      </c>
      <c r="I675" s="9" t="n">
        <v>366.7</v>
      </c>
      <c r="J675" s="9" t="n">
        <v>361.83</v>
      </c>
      <c r="K675" s="9" t="n">
        <v>369.38</v>
      </c>
      <c r="L675" s="9" t="n">
        <v>336.73</v>
      </c>
      <c r="M675" s="9" t="n">
        <v>328.84</v>
      </c>
      <c r="N675" s="9" t="n">
        <v>343.68</v>
      </c>
      <c r="O675" s="9" t="n">
        <v>341.41</v>
      </c>
      <c r="P675" s="9" t="n">
        <v>329.95</v>
      </c>
      <c r="Q675" s="9" t="n">
        <v>325.82</v>
      </c>
      <c r="R675" s="9" t="n">
        <v>385.09</v>
      </c>
      <c r="S675" s="9" t="n">
        <v>333.31</v>
      </c>
      <c r="T675" s="9" t="n">
        <v>371.93</v>
      </c>
      <c r="U675" s="10">
        <f>SUM(I675:T675)</f>
        <v/>
      </c>
    </row>
    <row r="676">
      <c r="A676" s="2" t="inlineStr">
        <is>
          <t>SN-3000-3100-3150-3150PR0001</t>
        </is>
      </c>
      <c r="B676" s="2" t="inlineStr">
        <is>
          <t>3150PR0001</t>
        </is>
      </c>
      <c r="C676" s="2" t="inlineStr">
        <is>
          <t>Tablero de enchufes</t>
        </is>
      </c>
      <c r="D676" s="2" t="n">
        <v>225</v>
      </c>
      <c r="E676" s="2" t="inlineStr">
        <is>
          <t>CC-3000</t>
        </is>
      </c>
      <c r="F676" s="2" t="inlineStr">
        <is>
          <t>P01</t>
        </is>
      </c>
      <c r="G676" s="2" t="n">
        <v>630000</v>
      </c>
      <c r="H676" s="2" t="inlineStr">
        <is>
          <t>Servicios externos</t>
        </is>
      </c>
      <c r="I676" s="9" t="n">
        <v>342.78</v>
      </c>
      <c r="J676" s="9" t="n">
        <v>353.64</v>
      </c>
      <c r="K676" s="9" t="n">
        <v>364.39</v>
      </c>
      <c r="L676" s="9" t="n">
        <v>360.37</v>
      </c>
      <c r="M676" s="9" t="n">
        <v>344.36</v>
      </c>
      <c r="N676" s="9" t="n">
        <v>304.06</v>
      </c>
      <c r="O676" s="9" t="n">
        <v>356.02</v>
      </c>
      <c r="P676" s="9" t="n">
        <v>337.91</v>
      </c>
      <c r="Q676" s="9" t="n">
        <v>343.9</v>
      </c>
      <c r="R676" s="9" t="n">
        <v>391</v>
      </c>
      <c r="S676" s="9" t="n">
        <v>338.68</v>
      </c>
      <c r="T676" s="9" t="n">
        <v>336.25</v>
      </c>
      <c r="U676" s="10">
        <f>SUM(I676:T676)</f>
        <v/>
      </c>
    </row>
    <row r="677">
      <c r="A677" s="2" t="inlineStr">
        <is>
          <t>SN-3000-3100-3150-3150PR0002</t>
        </is>
      </c>
      <c r="B677" s="2" t="inlineStr">
        <is>
          <t>3150PR0002</t>
        </is>
      </c>
      <c r="C677" s="2" t="inlineStr">
        <is>
          <t>Tablero de enchufes</t>
        </is>
      </c>
      <c r="D677" s="2" t="n">
        <v>226</v>
      </c>
      <c r="E677" s="2" t="inlineStr">
        <is>
          <t>CC-3000</t>
        </is>
      </c>
      <c r="F677" s="2" t="inlineStr">
        <is>
          <t>P01</t>
        </is>
      </c>
      <c r="G677" s="2" t="n">
        <v>610000</v>
      </c>
      <c r="H677" s="2" t="inlineStr">
        <is>
          <t>Mano obra interna</t>
        </is>
      </c>
      <c r="I677" s="9" t="n">
        <v>461.87</v>
      </c>
      <c r="J677" s="9" t="n">
        <v>455.55</v>
      </c>
      <c r="K677" s="9" t="n">
        <v>463.36</v>
      </c>
      <c r="L677" s="9" t="n">
        <v>475.66</v>
      </c>
      <c r="M677" s="9" t="n">
        <v>434.89</v>
      </c>
      <c r="N677" s="9" t="n">
        <v>477.83</v>
      </c>
      <c r="O677" s="9" t="n">
        <v>435.37</v>
      </c>
      <c r="P677" s="9" t="n">
        <v>496.01</v>
      </c>
      <c r="Q677" s="9" t="n">
        <v>460.8</v>
      </c>
      <c r="R677" s="9" t="n">
        <v>502.74</v>
      </c>
      <c r="S677" s="9" t="n">
        <v>465.64</v>
      </c>
      <c r="T677" s="9" t="n">
        <v>466.37</v>
      </c>
      <c r="U677" s="10">
        <f>SUM(I677:T677)</f>
        <v/>
      </c>
    </row>
    <row r="678">
      <c r="A678" s="2" t="inlineStr">
        <is>
          <t>SN-3000-3100-3150-3150PR0002</t>
        </is>
      </c>
      <c r="B678" s="2" t="inlineStr">
        <is>
          <t>3150PR0002</t>
        </is>
      </c>
      <c r="C678" s="2" t="inlineStr">
        <is>
          <t>Tablero de enchufes</t>
        </is>
      </c>
      <c r="D678" s="2" t="n">
        <v>226</v>
      </c>
      <c r="E678" s="2" t="inlineStr">
        <is>
          <t>CC-3000</t>
        </is>
      </c>
      <c r="F678" s="2" t="inlineStr">
        <is>
          <t>P01</t>
        </is>
      </c>
      <c r="G678" s="2" t="n">
        <v>620000</v>
      </c>
      <c r="H678" s="2" t="inlineStr">
        <is>
          <t>Materiales</t>
        </is>
      </c>
      <c r="I678" s="9" t="n">
        <v>530.96</v>
      </c>
      <c r="J678" s="9" t="n">
        <v>508.93</v>
      </c>
      <c r="K678" s="9" t="n">
        <v>557.51</v>
      </c>
      <c r="L678" s="9" t="n">
        <v>545.34</v>
      </c>
      <c r="M678" s="9" t="n">
        <v>534.9400000000001</v>
      </c>
      <c r="N678" s="9" t="n">
        <v>492.87</v>
      </c>
      <c r="O678" s="9" t="n">
        <v>522.61</v>
      </c>
      <c r="P678" s="9" t="n">
        <v>497.83</v>
      </c>
      <c r="Q678" s="9" t="n">
        <v>461.25</v>
      </c>
      <c r="R678" s="9" t="n">
        <v>552.89</v>
      </c>
      <c r="S678" s="9" t="n">
        <v>481.49</v>
      </c>
      <c r="T678" s="9" t="n">
        <v>507.32</v>
      </c>
      <c r="U678" s="10">
        <f>SUM(I678:T678)</f>
        <v/>
      </c>
    </row>
    <row r="679">
      <c r="A679" s="2" t="inlineStr">
        <is>
          <t>SN-3000-3100-3150-3150PR0002</t>
        </is>
      </c>
      <c r="B679" s="2" t="inlineStr">
        <is>
          <t>3150PR0002</t>
        </is>
      </c>
      <c r="C679" s="2" t="inlineStr">
        <is>
          <t>Tablero de enchufes</t>
        </is>
      </c>
      <c r="D679" s="2" t="n">
        <v>226</v>
      </c>
      <c r="E679" s="2" t="inlineStr">
        <is>
          <t>CC-3000</t>
        </is>
      </c>
      <c r="F679" s="2" t="inlineStr">
        <is>
          <t>P01</t>
        </is>
      </c>
      <c r="G679" s="2" t="n">
        <v>630000</v>
      </c>
      <c r="H679" s="2" t="inlineStr">
        <is>
          <t>Servicios externos</t>
        </is>
      </c>
      <c r="I679" s="9" t="n">
        <v>516.84</v>
      </c>
      <c r="J679" s="9" t="n">
        <v>552.03</v>
      </c>
      <c r="K679" s="9" t="n">
        <v>543.39</v>
      </c>
      <c r="L679" s="9" t="n">
        <v>591.88</v>
      </c>
      <c r="M679" s="9" t="n">
        <v>539.67</v>
      </c>
      <c r="N679" s="9" t="n">
        <v>506.35</v>
      </c>
      <c r="O679" s="9" t="n">
        <v>548.41</v>
      </c>
      <c r="P679" s="9" t="n">
        <v>535.89</v>
      </c>
      <c r="Q679" s="9" t="n">
        <v>514.0700000000001</v>
      </c>
      <c r="R679" s="9" t="n">
        <v>553.13</v>
      </c>
      <c r="S679" s="9" t="n">
        <v>571.24</v>
      </c>
      <c r="T679" s="9" t="n">
        <v>548.13</v>
      </c>
      <c r="U679" s="10">
        <f>SUM(I679:T679)</f>
        <v/>
      </c>
    </row>
    <row r="680">
      <c r="A680" s="2" t="inlineStr">
        <is>
          <t>SN-3000-3100-3150-3150PR0003</t>
        </is>
      </c>
      <c r="B680" s="2" t="inlineStr">
        <is>
          <t>3150PR0003</t>
        </is>
      </c>
      <c r="C680" s="2" t="inlineStr">
        <is>
          <t>Tablero de enchufes</t>
        </is>
      </c>
      <c r="D680" s="2" t="n">
        <v>227</v>
      </c>
      <c r="E680" s="2" t="inlineStr">
        <is>
          <t>CC-3000</t>
        </is>
      </c>
      <c r="F680" s="2" t="inlineStr">
        <is>
          <t>P01</t>
        </is>
      </c>
      <c r="G680" s="2" t="n">
        <v>610000</v>
      </c>
      <c r="H680" s="2" t="inlineStr">
        <is>
          <t>Mano obra interna</t>
        </is>
      </c>
      <c r="I680" s="9" t="n">
        <v>1638.39</v>
      </c>
      <c r="J680" s="9" t="n">
        <v>1495.9</v>
      </c>
      <c r="K680" s="9" t="n">
        <v>1687.25</v>
      </c>
      <c r="L680" s="9" t="n">
        <v>1575.33</v>
      </c>
      <c r="M680" s="9" t="n">
        <v>1590.63</v>
      </c>
      <c r="N680" s="9" t="n">
        <v>1391.26</v>
      </c>
      <c r="O680" s="9" t="n">
        <v>1639.44</v>
      </c>
      <c r="P680" s="9" t="n">
        <v>1610.06</v>
      </c>
      <c r="Q680" s="9" t="n">
        <v>1378.71</v>
      </c>
      <c r="R680" s="9" t="n">
        <v>1579.45</v>
      </c>
      <c r="S680" s="9" t="n">
        <v>1458.94</v>
      </c>
      <c r="T680" s="9" t="n">
        <v>1695.79</v>
      </c>
      <c r="U680" s="10">
        <f>SUM(I680:T680)</f>
        <v/>
      </c>
    </row>
    <row r="681">
      <c r="A681" s="2" t="inlineStr">
        <is>
          <t>SN-3000-3100-3150-3150PR0003</t>
        </is>
      </c>
      <c r="B681" s="2" t="inlineStr">
        <is>
          <t>3150PR0003</t>
        </is>
      </c>
      <c r="C681" s="2" t="inlineStr">
        <is>
          <t>Tablero de enchufes</t>
        </is>
      </c>
      <c r="D681" s="2" t="n">
        <v>227</v>
      </c>
      <c r="E681" s="2" t="inlineStr">
        <is>
          <t>CC-3000</t>
        </is>
      </c>
      <c r="F681" s="2" t="inlineStr">
        <is>
          <t>P01</t>
        </is>
      </c>
      <c r="G681" s="2" t="n">
        <v>620000</v>
      </c>
      <c r="H681" s="2" t="inlineStr">
        <is>
          <t>Materiales</t>
        </is>
      </c>
      <c r="I681" s="9" t="n">
        <v>1488.95</v>
      </c>
      <c r="J681" s="9" t="n">
        <v>1337.83</v>
      </c>
      <c r="K681" s="9" t="n">
        <v>1490.41</v>
      </c>
      <c r="L681" s="9" t="n">
        <v>1518.37</v>
      </c>
      <c r="M681" s="9" t="n">
        <v>1559.05</v>
      </c>
      <c r="N681" s="9" t="n">
        <v>1408.09</v>
      </c>
      <c r="O681" s="9" t="n">
        <v>1544.55</v>
      </c>
      <c r="P681" s="9" t="n">
        <v>1478.83</v>
      </c>
      <c r="Q681" s="9" t="n">
        <v>1266.86</v>
      </c>
      <c r="R681" s="9" t="n">
        <v>1537.17</v>
      </c>
      <c r="S681" s="9" t="n">
        <v>1439.13</v>
      </c>
      <c r="T681" s="9" t="n">
        <v>1598.13</v>
      </c>
      <c r="U681" s="10">
        <f>SUM(I681:T681)</f>
        <v/>
      </c>
    </row>
    <row r="682">
      <c r="A682" s="2" t="inlineStr">
        <is>
          <t>SN-3000-3100-3150-3150PR0003</t>
        </is>
      </c>
      <c r="B682" s="2" t="inlineStr">
        <is>
          <t>3150PR0003</t>
        </is>
      </c>
      <c r="C682" s="2" t="inlineStr">
        <is>
          <t>Tablero de enchufes</t>
        </is>
      </c>
      <c r="D682" s="2" t="n">
        <v>227</v>
      </c>
      <c r="E682" s="2" t="inlineStr">
        <is>
          <t>CC-3000</t>
        </is>
      </c>
      <c r="F682" s="2" t="inlineStr">
        <is>
          <t>P01</t>
        </is>
      </c>
      <c r="G682" s="2" t="n">
        <v>630000</v>
      </c>
      <c r="H682" s="2" t="inlineStr">
        <is>
          <t>Servicios externos</t>
        </is>
      </c>
      <c r="I682" s="9" t="n">
        <v>1734.27</v>
      </c>
      <c r="J682" s="9" t="n">
        <v>1670.83</v>
      </c>
      <c r="K682" s="9" t="n">
        <v>1744.64</v>
      </c>
      <c r="L682" s="9" t="n">
        <v>1937.91</v>
      </c>
      <c r="M682" s="9" t="n">
        <v>1856.86</v>
      </c>
      <c r="N682" s="9" t="n">
        <v>1772.71</v>
      </c>
      <c r="O682" s="9" t="n">
        <v>1746.36</v>
      </c>
      <c r="P682" s="9" t="n">
        <v>1775.97</v>
      </c>
      <c r="Q682" s="9" t="n">
        <v>1643.85</v>
      </c>
      <c r="R682" s="9" t="n">
        <v>1839.77</v>
      </c>
      <c r="S682" s="9" t="n">
        <v>1720.71</v>
      </c>
      <c r="T682" s="9" t="n">
        <v>1667.02</v>
      </c>
      <c r="U682" s="10">
        <f>SUM(I682:T682)</f>
        <v/>
      </c>
    </row>
    <row r="683">
      <c r="A683" s="2" t="inlineStr">
        <is>
          <t>SN-3000-3100-3150-3150PR0004</t>
        </is>
      </c>
      <c r="B683" s="2" t="inlineStr">
        <is>
          <t>3150PR0004</t>
        </is>
      </c>
      <c r="C683" s="2" t="inlineStr">
        <is>
          <t>Tablero de enchufes</t>
        </is>
      </c>
      <c r="D683" s="2" t="n">
        <v>228</v>
      </c>
      <c r="E683" s="2" t="inlineStr">
        <is>
          <t>CC-3000</t>
        </is>
      </c>
      <c r="F683" s="2" t="inlineStr">
        <is>
          <t>P01</t>
        </is>
      </c>
      <c r="G683" s="2" t="n">
        <v>610000</v>
      </c>
      <c r="H683" s="2" t="inlineStr">
        <is>
          <t>Mano obra interna</t>
        </is>
      </c>
      <c r="I683" s="9" t="n">
        <v>1470.02</v>
      </c>
      <c r="J683" s="9" t="n">
        <v>1389.37</v>
      </c>
      <c r="K683" s="9" t="n">
        <v>1381.77</v>
      </c>
      <c r="L683" s="9" t="n">
        <v>1389.82</v>
      </c>
      <c r="M683" s="9" t="n">
        <v>1314.18</v>
      </c>
      <c r="N683" s="9" t="n">
        <v>1346.49</v>
      </c>
      <c r="O683" s="9" t="n">
        <v>1418.43</v>
      </c>
      <c r="P683" s="9" t="n">
        <v>1412.19</v>
      </c>
      <c r="Q683" s="9" t="n">
        <v>1307.35</v>
      </c>
      <c r="R683" s="9" t="n">
        <v>1393.33</v>
      </c>
      <c r="S683" s="9" t="n">
        <v>1278.78</v>
      </c>
      <c r="T683" s="9" t="n">
        <v>1369.62</v>
      </c>
      <c r="U683" s="10">
        <f>SUM(I683:T683)</f>
        <v/>
      </c>
    </row>
    <row r="684">
      <c r="A684" s="2" t="inlineStr">
        <is>
          <t>SN-3000-3100-3150-3150PR0004</t>
        </is>
      </c>
      <c r="B684" s="2" t="inlineStr">
        <is>
          <t>3150PR0004</t>
        </is>
      </c>
      <c r="C684" s="2" t="inlineStr">
        <is>
          <t>Tablero de enchufes</t>
        </is>
      </c>
      <c r="D684" s="2" t="n">
        <v>228</v>
      </c>
      <c r="E684" s="2" t="inlineStr">
        <is>
          <t>CC-3000</t>
        </is>
      </c>
      <c r="F684" s="2" t="inlineStr">
        <is>
          <t>P01</t>
        </is>
      </c>
      <c r="G684" s="2" t="n">
        <v>620000</v>
      </c>
      <c r="H684" s="2" t="inlineStr">
        <is>
          <t>Materiales</t>
        </is>
      </c>
      <c r="I684" s="9" t="n">
        <v>1517.52</v>
      </c>
      <c r="J684" s="9" t="n">
        <v>1368.24</v>
      </c>
      <c r="K684" s="9" t="n">
        <v>1388.17</v>
      </c>
      <c r="L684" s="9" t="n">
        <v>1436.17</v>
      </c>
      <c r="M684" s="9" t="n">
        <v>1522.03</v>
      </c>
      <c r="N684" s="9" t="n">
        <v>1305.63</v>
      </c>
      <c r="O684" s="9" t="n">
        <v>1454.56</v>
      </c>
      <c r="P684" s="9" t="n">
        <v>1411.9</v>
      </c>
      <c r="Q684" s="9" t="n">
        <v>1238.29</v>
      </c>
      <c r="R684" s="9" t="n">
        <v>1537.29</v>
      </c>
      <c r="S684" s="9" t="n">
        <v>1427.38</v>
      </c>
      <c r="T684" s="9" t="n">
        <v>1452.54</v>
      </c>
      <c r="U684" s="10">
        <f>SUM(I684:T684)</f>
        <v/>
      </c>
    </row>
    <row r="685">
      <c r="A685" s="2" t="inlineStr">
        <is>
          <t>SN-3000-3100-3150-3150PR0004</t>
        </is>
      </c>
      <c r="B685" s="2" t="inlineStr">
        <is>
          <t>3150PR0004</t>
        </is>
      </c>
      <c r="C685" s="2" t="inlineStr">
        <is>
          <t>Tablero de enchufes</t>
        </is>
      </c>
      <c r="D685" s="2" t="n">
        <v>228</v>
      </c>
      <c r="E685" s="2" t="inlineStr">
        <is>
          <t>CC-3000</t>
        </is>
      </c>
      <c r="F685" s="2" t="inlineStr">
        <is>
          <t>P01</t>
        </is>
      </c>
      <c r="G685" s="2" t="n">
        <v>630000</v>
      </c>
      <c r="H685" s="2" t="inlineStr">
        <is>
          <t>Servicios externos</t>
        </is>
      </c>
      <c r="I685" s="9" t="n">
        <v>1653.48</v>
      </c>
      <c r="J685" s="9" t="n">
        <v>1541.65</v>
      </c>
      <c r="K685" s="9" t="n">
        <v>1850.16</v>
      </c>
      <c r="L685" s="9" t="n">
        <v>1679.89</v>
      </c>
      <c r="M685" s="9" t="n">
        <v>1679.27</v>
      </c>
      <c r="N685" s="9" t="n">
        <v>1677.56</v>
      </c>
      <c r="O685" s="9" t="n">
        <v>1629.94</v>
      </c>
      <c r="P685" s="9" t="n">
        <v>1733.01</v>
      </c>
      <c r="Q685" s="9" t="n">
        <v>1469.43</v>
      </c>
      <c r="R685" s="9" t="n">
        <v>1747.42</v>
      </c>
      <c r="S685" s="9" t="n">
        <v>1530.54</v>
      </c>
      <c r="T685" s="9" t="n">
        <v>1785.93</v>
      </c>
      <c r="U685" s="10">
        <f>SUM(I685:T685)</f>
        <v/>
      </c>
    </row>
    <row r="686">
      <c r="A686" s="2" t="inlineStr">
        <is>
          <t>SN-3000-3100-3150-3150PR0005</t>
        </is>
      </c>
      <c r="B686" s="2" t="inlineStr">
        <is>
          <t>3150PR0005</t>
        </is>
      </c>
      <c r="C686" s="2" t="inlineStr">
        <is>
          <t>Tablero de enchufes</t>
        </is>
      </c>
      <c r="D686" s="2" t="n">
        <v>229</v>
      </c>
      <c r="E686" s="2" t="inlineStr">
        <is>
          <t>CC-3000</t>
        </is>
      </c>
      <c r="F686" s="2" t="inlineStr">
        <is>
          <t>P01</t>
        </is>
      </c>
      <c r="G686" s="2" t="n">
        <v>610000</v>
      </c>
      <c r="H686" s="2" t="inlineStr">
        <is>
          <t>Mano obra interna</t>
        </is>
      </c>
      <c r="I686" s="9" t="n">
        <v>2026.85</v>
      </c>
      <c r="J686" s="9" t="n">
        <v>2023.7</v>
      </c>
      <c r="K686" s="9" t="n">
        <v>1988.23</v>
      </c>
      <c r="L686" s="9" t="n">
        <v>1973.58</v>
      </c>
      <c r="M686" s="9" t="n">
        <v>1887.04</v>
      </c>
      <c r="N686" s="9" t="n">
        <v>1783.32</v>
      </c>
      <c r="O686" s="9" t="n">
        <v>1912.11</v>
      </c>
      <c r="P686" s="9" t="n">
        <v>1948.83</v>
      </c>
      <c r="Q686" s="9" t="n">
        <v>1924.98</v>
      </c>
      <c r="R686" s="9" t="n">
        <v>2214.13</v>
      </c>
      <c r="S686" s="9" t="n">
        <v>1965.07</v>
      </c>
      <c r="T686" s="9" t="n">
        <v>2068.44</v>
      </c>
      <c r="U686" s="10">
        <f>SUM(I686:T686)</f>
        <v/>
      </c>
    </row>
    <row r="687">
      <c r="A687" s="2" t="inlineStr">
        <is>
          <t>SN-3000-3100-3150-3150PR0005</t>
        </is>
      </c>
      <c r="B687" s="2" t="inlineStr">
        <is>
          <t>3150PR0005</t>
        </is>
      </c>
      <c r="C687" s="2" t="inlineStr">
        <is>
          <t>Tablero de enchufes</t>
        </is>
      </c>
      <c r="D687" s="2" t="n">
        <v>229</v>
      </c>
      <c r="E687" s="2" t="inlineStr">
        <is>
          <t>CC-3000</t>
        </is>
      </c>
      <c r="F687" s="2" t="inlineStr">
        <is>
          <t>P01</t>
        </is>
      </c>
      <c r="G687" s="2" t="n">
        <v>620000</v>
      </c>
      <c r="H687" s="2" t="inlineStr">
        <is>
          <t>Materiales</t>
        </is>
      </c>
      <c r="I687" s="9" t="n">
        <v>2129.46</v>
      </c>
      <c r="J687" s="9" t="n">
        <v>2130.58</v>
      </c>
      <c r="K687" s="9" t="n">
        <v>2063.15</v>
      </c>
      <c r="L687" s="9" t="n">
        <v>2233.22</v>
      </c>
      <c r="M687" s="9" t="n">
        <v>1986.54</v>
      </c>
      <c r="N687" s="9" t="n">
        <v>1976.79</v>
      </c>
      <c r="O687" s="9" t="n">
        <v>2103.98</v>
      </c>
      <c r="P687" s="9" t="n">
        <v>2179.79</v>
      </c>
      <c r="Q687" s="9" t="n">
        <v>1816.68</v>
      </c>
      <c r="R687" s="9" t="n">
        <v>2280.71</v>
      </c>
      <c r="S687" s="9" t="n">
        <v>1976.3</v>
      </c>
      <c r="T687" s="9" t="n">
        <v>1988.47</v>
      </c>
      <c r="U687" s="10">
        <f>SUM(I687:T687)</f>
        <v/>
      </c>
    </row>
    <row r="688">
      <c r="A688" s="2" t="inlineStr">
        <is>
          <t>SN-3000-3100-3150-3150PR0005</t>
        </is>
      </c>
      <c r="B688" s="2" t="inlineStr">
        <is>
          <t>3150PR0005</t>
        </is>
      </c>
      <c r="C688" s="2" t="inlineStr">
        <is>
          <t>Tablero de enchufes</t>
        </is>
      </c>
      <c r="D688" s="2" t="n">
        <v>229</v>
      </c>
      <c r="E688" s="2" t="inlineStr">
        <is>
          <t>CC-3000</t>
        </is>
      </c>
      <c r="F688" s="2" t="inlineStr">
        <is>
          <t>P01</t>
        </is>
      </c>
      <c r="G688" s="2" t="n">
        <v>630000</v>
      </c>
      <c r="H688" s="2" t="inlineStr">
        <is>
          <t>Servicios externos</t>
        </is>
      </c>
      <c r="I688" s="9" t="n">
        <v>2326.12</v>
      </c>
      <c r="J688" s="9" t="n">
        <v>2282.84</v>
      </c>
      <c r="K688" s="9" t="n">
        <v>2265.18</v>
      </c>
      <c r="L688" s="9" t="n">
        <v>2302.63</v>
      </c>
      <c r="M688" s="9" t="n">
        <v>2278.35</v>
      </c>
      <c r="N688" s="9" t="n">
        <v>2127.59</v>
      </c>
      <c r="O688" s="9" t="n">
        <v>2151.65</v>
      </c>
      <c r="P688" s="9" t="n">
        <v>2424.83</v>
      </c>
      <c r="Q688" s="9" t="n">
        <v>2107.4</v>
      </c>
      <c r="R688" s="9" t="n">
        <v>2528.17</v>
      </c>
      <c r="S688" s="9" t="n">
        <v>2156.44</v>
      </c>
      <c r="T688" s="9" t="n">
        <v>2240.13</v>
      </c>
      <c r="U688" s="10">
        <f>SUM(I688:T688)</f>
        <v/>
      </c>
    </row>
    <row r="689">
      <c r="A689" s="2" t="inlineStr">
        <is>
          <t>SN-3000-3100-3150-3150RD0021</t>
        </is>
      </c>
      <c r="B689" s="2" t="inlineStr">
        <is>
          <t>3150RD0021</t>
        </is>
      </c>
      <c r="C689" s="2" t="inlineStr">
        <is>
          <t>Puerta enrollable Molienda</t>
        </is>
      </c>
      <c r="D689" s="2" t="n">
        <v>230</v>
      </c>
      <c r="E689" s="2" t="inlineStr">
        <is>
          <t>CC-3000</t>
        </is>
      </c>
      <c r="F689" s="2" t="inlineStr">
        <is>
          <t>P01</t>
        </is>
      </c>
      <c r="G689" s="2" t="n">
        <v>610000</v>
      </c>
      <c r="H689" s="2" t="inlineStr">
        <is>
          <t>Mano obra interna</t>
        </is>
      </c>
      <c r="I689" s="9" t="n">
        <v>1044.3</v>
      </c>
      <c r="J689" s="9" t="n">
        <v>1029.56</v>
      </c>
      <c r="K689" s="9" t="n">
        <v>1078.35</v>
      </c>
      <c r="L689" s="9" t="n">
        <v>1060.45</v>
      </c>
      <c r="M689" s="9" t="n">
        <v>967.29</v>
      </c>
      <c r="N689" s="9" t="n">
        <v>991.83</v>
      </c>
      <c r="O689" s="9" t="n">
        <v>983.54</v>
      </c>
      <c r="P689" s="9" t="n">
        <v>975.23</v>
      </c>
      <c r="Q689" s="9" t="n">
        <v>1033.19</v>
      </c>
      <c r="R689" s="9" t="n">
        <v>1138.26</v>
      </c>
      <c r="S689" s="9" t="n">
        <v>1030.55</v>
      </c>
      <c r="T689" s="9" t="n">
        <v>1036.91</v>
      </c>
      <c r="U689" s="10">
        <f>SUM(I689:T689)</f>
        <v/>
      </c>
    </row>
    <row r="690">
      <c r="A690" s="2" t="inlineStr">
        <is>
          <t>SN-3000-3100-3150-3150RD0021</t>
        </is>
      </c>
      <c r="B690" s="2" t="inlineStr">
        <is>
          <t>3150RD0021</t>
        </is>
      </c>
      <c r="C690" s="2" t="inlineStr">
        <is>
          <t>Puerta enrollable Molienda</t>
        </is>
      </c>
      <c r="D690" s="2" t="n">
        <v>230</v>
      </c>
      <c r="E690" s="2" t="inlineStr">
        <is>
          <t>CC-3000</t>
        </is>
      </c>
      <c r="F690" s="2" t="inlineStr">
        <is>
          <t>P01</t>
        </is>
      </c>
      <c r="G690" s="2" t="n">
        <v>620000</v>
      </c>
      <c r="H690" s="2" t="inlineStr">
        <is>
          <t>Materiales</t>
        </is>
      </c>
      <c r="I690" s="9" t="n">
        <v>1201.62</v>
      </c>
      <c r="J690" s="9" t="n">
        <v>1183.08</v>
      </c>
      <c r="K690" s="9" t="n">
        <v>1163.12</v>
      </c>
      <c r="L690" s="9" t="n">
        <v>1263.69</v>
      </c>
      <c r="M690" s="9" t="n">
        <v>1198.2</v>
      </c>
      <c r="N690" s="9" t="n">
        <v>1163.43</v>
      </c>
      <c r="O690" s="9" t="n">
        <v>1091.76</v>
      </c>
      <c r="P690" s="9" t="n">
        <v>1108.64</v>
      </c>
      <c r="Q690" s="9" t="n">
        <v>1035.29</v>
      </c>
      <c r="R690" s="9" t="n">
        <v>1196.46</v>
      </c>
      <c r="S690" s="9" t="n">
        <v>1178.29</v>
      </c>
      <c r="T690" s="9" t="n">
        <v>1081.23</v>
      </c>
      <c r="U690" s="10">
        <f>SUM(I690:T690)</f>
        <v/>
      </c>
    </row>
    <row r="691">
      <c r="A691" s="2" t="inlineStr">
        <is>
          <t>SN-3000-3100-3150-3150RD0021</t>
        </is>
      </c>
      <c r="B691" s="2" t="inlineStr">
        <is>
          <t>3150RD0021</t>
        </is>
      </c>
      <c r="C691" s="2" t="inlineStr">
        <is>
          <t>Puerta enrollable Molienda</t>
        </is>
      </c>
      <c r="D691" s="2" t="n">
        <v>230</v>
      </c>
      <c r="E691" s="2" t="inlineStr">
        <is>
          <t>CC-3000</t>
        </is>
      </c>
      <c r="F691" s="2" t="inlineStr">
        <is>
          <t>P01</t>
        </is>
      </c>
      <c r="G691" s="2" t="n">
        <v>630000</v>
      </c>
      <c r="H691" s="2" t="inlineStr">
        <is>
          <t>Servicios externos</t>
        </is>
      </c>
      <c r="I691" s="9" t="n">
        <v>893.8200000000001</v>
      </c>
      <c r="J691" s="9" t="n">
        <v>851.71</v>
      </c>
      <c r="K691" s="9" t="n">
        <v>896.96</v>
      </c>
      <c r="L691" s="9" t="n">
        <v>972.71</v>
      </c>
      <c r="M691" s="9" t="n">
        <v>908.11</v>
      </c>
      <c r="N691" s="9" t="n">
        <v>799.84</v>
      </c>
      <c r="O691" s="9" t="n">
        <v>898.5599999999999</v>
      </c>
      <c r="P691" s="9" t="n">
        <v>894.37</v>
      </c>
      <c r="Q691" s="9" t="n">
        <v>793.4</v>
      </c>
      <c r="R691" s="9" t="n">
        <v>1007.28</v>
      </c>
      <c r="S691" s="9" t="n">
        <v>907.85</v>
      </c>
      <c r="T691" s="9" t="n">
        <v>954.5</v>
      </c>
      <c r="U691" s="10">
        <f>SUM(I691:T691)</f>
        <v/>
      </c>
    </row>
    <row r="692">
      <c r="A692" s="2" t="inlineStr">
        <is>
          <t>SN-3000-3100-3150-3150RD0023</t>
        </is>
      </c>
      <c r="B692" s="2" t="inlineStr">
        <is>
          <t>3150RD0023</t>
        </is>
      </c>
      <c r="C692" s="2" t="inlineStr">
        <is>
          <t>Puerta plegable vertical</t>
        </is>
      </c>
      <c r="D692" s="2" t="n">
        <v>231</v>
      </c>
      <c r="E692" s="2" t="inlineStr">
        <is>
          <t>CC-3000</t>
        </is>
      </c>
      <c r="F692" s="2" t="inlineStr">
        <is>
          <t>P01</t>
        </is>
      </c>
      <c r="G692" s="2" t="n">
        <v>610000</v>
      </c>
      <c r="H692" s="2" t="inlineStr">
        <is>
          <t>Mano obra interna</t>
        </is>
      </c>
      <c r="I692" s="9" t="n">
        <v>1969.28</v>
      </c>
      <c r="J692" s="9" t="n">
        <v>2215.02</v>
      </c>
      <c r="K692" s="9" t="n">
        <v>2271.89</v>
      </c>
      <c r="L692" s="9" t="n">
        <v>2281.54</v>
      </c>
      <c r="M692" s="9" t="n">
        <v>1914.29</v>
      </c>
      <c r="N692" s="9" t="n">
        <v>2143.84</v>
      </c>
      <c r="O692" s="9" t="n">
        <v>2201.72</v>
      </c>
      <c r="P692" s="9" t="n">
        <v>2208.28</v>
      </c>
      <c r="Q692" s="9" t="n">
        <v>1824.84</v>
      </c>
      <c r="R692" s="9" t="n">
        <v>2347.63</v>
      </c>
      <c r="S692" s="9" t="n">
        <v>2179.2</v>
      </c>
      <c r="T692" s="9" t="n">
        <v>2188.72</v>
      </c>
      <c r="U692" s="10">
        <f>SUM(I692:T692)</f>
        <v/>
      </c>
    </row>
    <row r="693">
      <c r="A693" s="2" t="inlineStr">
        <is>
          <t>SN-3000-3100-3150-3150RD0023</t>
        </is>
      </c>
      <c r="B693" s="2" t="inlineStr">
        <is>
          <t>3150RD0023</t>
        </is>
      </c>
      <c r="C693" s="2" t="inlineStr">
        <is>
          <t>Puerta plegable vertical</t>
        </is>
      </c>
      <c r="D693" s="2" t="n">
        <v>231</v>
      </c>
      <c r="E693" s="2" t="inlineStr">
        <is>
          <t>CC-3000</t>
        </is>
      </c>
      <c r="F693" s="2" t="inlineStr">
        <is>
          <t>P01</t>
        </is>
      </c>
      <c r="G693" s="2" t="n">
        <v>620000</v>
      </c>
      <c r="H693" s="2" t="inlineStr">
        <is>
          <t>Materiales</t>
        </is>
      </c>
      <c r="I693" s="9" t="n">
        <v>2123.34</v>
      </c>
      <c r="J693" s="9" t="n">
        <v>1894.7</v>
      </c>
      <c r="K693" s="9" t="n">
        <v>2034.81</v>
      </c>
      <c r="L693" s="9" t="n">
        <v>1976.84</v>
      </c>
      <c r="M693" s="9" t="n">
        <v>2054.54</v>
      </c>
      <c r="N693" s="9" t="n">
        <v>1730.35</v>
      </c>
      <c r="O693" s="9" t="n">
        <v>1942.78</v>
      </c>
      <c r="P693" s="9" t="n">
        <v>1998.14</v>
      </c>
      <c r="Q693" s="9" t="n">
        <v>1891.76</v>
      </c>
      <c r="R693" s="9" t="n">
        <v>2121.63</v>
      </c>
      <c r="S693" s="9" t="n">
        <v>2002.52</v>
      </c>
      <c r="T693" s="9" t="n">
        <v>2109.72</v>
      </c>
      <c r="U693" s="10">
        <f>SUM(I693:T693)</f>
        <v/>
      </c>
    </row>
    <row r="694">
      <c r="A694" s="2" t="inlineStr">
        <is>
          <t>SN-3000-3100-3150-3150RD0023</t>
        </is>
      </c>
      <c r="B694" s="2" t="inlineStr">
        <is>
          <t>3150RD0023</t>
        </is>
      </c>
      <c r="C694" s="2" t="inlineStr">
        <is>
          <t>Puerta plegable vertical</t>
        </is>
      </c>
      <c r="D694" s="2" t="n">
        <v>231</v>
      </c>
      <c r="E694" s="2" t="inlineStr">
        <is>
          <t>CC-3000</t>
        </is>
      </c>
      <c r="F694" s="2" t="inlineStr">
        <is>
          <t>P01</t>
        </is>
      </c>
      <c r="G694" s="2" t="n">
        <v>630000</v>
      </c>
      <c r="H694" s="2" t="inlineStr">
        <is>
          <t>Servicios externos</t>
        </is>
      </c>
      <c r="I694" s="9" t="n">
        <v>1713.16</v>
      </c>
      <c r="J694" s="9" t="n">
        <v>1550.98</v>
      </c>
      <c r="K694" s="9" t="n">
        <v>1710.75</v>
      </c>
      <c r="L694" s="9" t="n">
        <v>1752.67</v>
      </c>
      <c r="M694" s="9" t="n">
        <v>1798.07</v>
      </c>
      <c r="N694" s="9" t="n">
        <v>1720.29</v>
      </c>
      <c r="O694" s="9" t="n">
        <v>1603.93</v>
      </c>
      <c r="P694" s="9" t="n">
        <v>1592.61</v>
      </c>
      <c r="Q694" s="9" t="n">
        <v>1609.63</v>
      </c>
      <c r="R694" s="9" t="n">
        <v>1847.96</v>
      </c>
      <c r="S694" s="9" t="n">
        <v>1588.67</v>
      </c>
      <c r="T694" s="9" t="n">
        <v>1840.7</v>
      </c>
      <c r="U694" s="10">
        <f>SUM(I694:T694)</f>
        <v/>
      </c>
    </row>
    <row r="695">
      <c r="A695" s="2" t="inlineStr">
        <is>
          <t>SN-3000-3100-3150-3150XM0018</t>
        </is>
      </c>
      <c r="B695" s="2" t="inlineStr">
        <is>
          <t>3150XM0018</t>
        </is>
      </c>
      <c r="C695" s="2" t="inlineStr">
        <is>
          <t>Celosía molienda</t>
        </is>
      </c>
      <c r="D695" s="2" t="n">
        <v>232</v>
      </c>
      <c r="E695" s="2" t="inlineStr">
        <is>
          <t>CC-3000</t>
        </is>
      </c>
      <c r="F695" s="2" t="inlineStr">
        <is>
          <t>P01</t>
        </is>
      </c>
      <c r="G695" s="2" t="n">
        <v>610000</v>
      </c>
      <c r="H695" s="2" t="inlineStr">
        <is>
          <t>Mano obra interna</t>
        </is>
      </c>
      <c r="I695" s="9" t="n">
        <v>1324.03</v>
      </c>
      <c r="J695" s="9" t="n">
        <v>1378.61</v>
      </c>
      <c r="K695" s="9" t="n">
        <v>1333.98</v>
      </c>
      <c r="L695" s="9" t="n">
        <v>1397.59</v>
      </c>
      <c r="M695" s="9" t="n">
        <v>1298.88</v>
      </c>
      <c r="N695" s="9" t="n">
        <v>1183.58</v>
      </c>
      <c r="O695" s="9" t="n">
        <v>1408.37</v>
      </c>
      <c r="P695" s="9" t="n">
        <v>1306.87</v>
      </c>
      <c r="Q695" s="9" t="n">
        <v>1272.47</v>
      </c>
      <c r="R695" s="9" t="n">
        <v>1390.66</v>
      </c>
      <c r="S695" s="9" t="n">
        <v>1177.27</v>
      </c>
      <c r="T695" s="9" t="n">
        <v>1251.63</v>
      </c>
      <c r="U695" s="10">
        <f>SUM(I695:T695)</f>
        <v/>
      </c>
    </row>
    <row r="696">
      <c r="A696" s="2" t="inlineStr">
        <is>
          <t>SN-3000-3100-3150-3150XM0018</t>
        </is>
      </c>
      <c r="B696" s="2" t="inlineStr">
        <is>
          <t>3150XM0018</t>
        </is>
      </c>
      <c r="C696" s="2" t="inlineStr">
        <is>
          <t>Celosía molienda</t>
        </is>
      </c>
      <c r="D696" s="2" t="n">
        <v>232</v>
      </c>
      <c r="E696" s="2" t="inlineStr">
        <is>
          <t>CC-3000</t>
        </is>
      </c>
      <c r="F696" s="2" t="inlineStr">
        <is>
          <t>P01</t>
        </is>
      </c>
      <c r="G696" s="2" t="n">
        <v>620000</v>
      </c>
      <c r="H696" s="2" t="inlineStr">
        <is>
          <t>Materiales</t>
        </is>
      </c>
      <c r="I696" s="9" t="n">
        <v>1184.47</v>
      </c>
      <c r="J696" s="9" t="n">
        <v>1079.68</v>
      </c>
      <c r="K696" s="9" t="n">
        <v>1198.02</v>
      </c>
      <c r="L696" s="9" t="n">
        <v>1187.46</v>
      </c>
      <c r="M696" s="9" t="n">
        <v>1150.77</v>
      </c>
      <c r="N696" s="9" t="n">
        <v>1075.3</v>
      </c>
      <c r="O696" s="9" t="n">
        <v>1201.35</v>
      </c>
      <c r="P696" s="9" t="n">
        <v>1123.27</v>
      </c>
      <c r="Q696" s="9" t="n">
        <v>1039.88</v>
      </c>
      <c r="R696" s="9" t="n">
        <v>1155.96</v>
      </c>
      <c r="S696" s="9" t="n">
        <v>1056.55</v>
      </c>
      <c r="T696" s="9" t="n">
        <v>1059.1</v>
      </c>
      <c r="U696" s="10">
        <f>SUM(I696:T696)</f>
        <v/>
      </c>
    </row>
    <row r="697">
      <c r="A697" s="2" t="inlineStr">
        <is>
          <t>SN-3000-3100-3150-3150XM0018</t>
        </is>
      </c>
      <c r="B697" s="2" t="inlineStr">
        <is>
          <t>3150XM0018</t>
        </is>
      </c>
      <c r="C697" s="2" t="inlineStr">
        <is>
          <t>Celosía molienda</t>
        </is>
      </c>
      <c r="D697" s="2" t="n">
        <v>232</v>
      </c>
      <c r="E697" s="2" t="inlineStr">
        <is>
          <t>CC-3000</t>
        </is>
      </c>
      <c r="F697" s="2" t="inlineStr">
        <is>
          <t>P01</t>
        </is>
      </c>
      <c r="G697" s="2" t="n">
        <v>630000</v>
      </c>
      <c r="H697" s="2" t="inlineStr">
        <is>
          <t>Servicios externos</t>
        </is>
      </c>
      <c r="I697" s="9" t="n">
        <v>1160.32</v>
      </c>
      <c r="J697" s="9" t="n">
        <v>1129.8</v>
      </c>
      <c r="K697" s="9" t="n">
        <v>1274.69</v>
      </c>
      <c r="L697" s="9" t="n">
        <v>1176.92</v>
      </c>
      <c r="M697" s="9" t="n">
        <v>1123.68</v>
      </c>
      <c r="N697" s="9" t="n">
        <v>1072.3</v>
      </c>
      <c r="O697" s="9" t="n">
        <v>1236.92</v>
      </c>
      <c r="P697" s="9" t="n">
        <v>1113.28</v>
      </c>
      <c r="Q697" s="9" t="n">
        <v>1094.26</v>
      </c>
      <c r="R697" s="9" t="n">
        <v>1278.57</v>
      </c>
      <c r="S697" s="9" t="n">
        <v>1180.83</v>
      </c>
      <c r="T697" s="9" t="n">
        <v>1227.49</v>
      </c>
      <c r="U697" s="10">
        <f>SUM(I697:T697)</f>
        <v/>
      </c>
    </row>
    <row r="698">
      <c r="A698" s="2" t="inlineStr">
        <is>
          <t>SN-3000-3100-3150-3150XM0019</t>
        </is>
      </c>
      <c r="B698" s="2" t="inlineStr">
        <is>
          <t>3150XM0019</t>
        </is>
      </c>
      <c r="C698" s="2" t="inlineStr">
        <is>
          <t>Celosía molienda</t>
        </is>
      </c>
      <c r="D698" s="2" t="n">
        <v>233</v>
      </c>
      <c r="E698" s="2" t="inlineStr">
        <is>
          <t>CC-3000</t>
        </is>
      </c>
      <c r="F698" s="2" t="inlineStr">
        <is>
          <t>P01</t>
        </is>
      </c>
      <c r="G698" s="2" t="n">
        <v>610000</v>
      </c>
      <c r="H698" s="2" t="inlineStr">
        <is>
          <t>Mano obra interna</t>
        </is>
      </c>
      <c r="I698" s="9" t="n">
        <v>2916.54</v>
      </c>
      <c r="J698" s="9" t="n">
        <v>2935.94</v>
      </c>
      <c r="K698" s="9" t="n">
        <v>3067.11</v>
      </c>
      <c r="L698" s="9" t="n">
        <v>2971</v>
      </c>
      <c r="M698" s="9" t="n">
        <v>2946.7</v>
      </c>
      <c r="N698" s="9" t="n">
        <v>2856.4</v>
      </c>
      <c r="O698" s="9" t="n">
        <v>3093.63</v>
      </c>
      <c r="P698" s="9" t="n">
        <v>3159.79</v>
      </c>
      <c r="Q698" s="9" t="n">
        <v>2813.87</v>
      </c>
      <c r="R698" s="9" t="n">
        <v>3439.8</v>
      </c>
      <c r="S698" s="9" t="n">
        <v>2904.83</v>
      </c>
      <c r="T698" s="9" t="n">
        <v>3022.26</v>
      </c>
      <c r="U698" s="10">
        <f>SUM(I698:T698)</f>
        <v/>
      </c>
    </row>
    <row r="699">
      <c r="A699" s="2" t="inlineStr">
        <is>
          <t>SN-3000-3100-3150-3150XM0019</t>
        </is>
      </c>
      <c r="B699" s="2" t="inlineStr">
        <is>
          <t>3150XM0019</t>
        </is>
      </c>
      <c r="C699" s="2" t="inlineStr">
        <is>
          <t>Celosía molienda</t>
        </is>
      </c>
      <c r="D699" s="2" t="n">
        <v>233</v>
      </c>
      <c r="E699" s="2" t="inlineStr">
        <is>
          <t>CC-3000</t>
        </is>
      </c>
      <c r="F699" s="2" t="inlineStr">
        <is>
          <t>P01</t>
        </is>
      </c>
      <c r="G699" s="2" t="n">
        <v>620000</v>
      </c>
      <c r="H699" s="2" t="inlineStr">
        <is>
          <t>Materiales</t>
        </is>
      </c>
      <c r="I699" s="9" t="n">
        <v>2554.37</v>
      </c>
      <c r="J699" s="9" t="n">
        <v>2488.25</v>
      </c>
      <c r="K699" s="9" t="n">
        <v>2757.65</v>
      </c>
      <c r="L699" s="9" t="n">
        <v>2964.51</v>
      </c>
      <c r="M699" s="9" t="n">
        <v>2775.61</v>
      </c>
      <c r="N699" s="9" t="n">
        <v>2418.97</v>
      </c>
      <c r="O699" s="9" t="n">
        <v>2860</v>
      </c>
      <c r="P699" s="9" t="n">
        <v>2807.2</v>
      </c>
      <c r="Q699" s="9" t="n">
        <v>2566.15</v>
      </c>
      <c r="R699" s="9" t="n">
        <v>3070.74</v>
      </c>
      <c r="S699" s="9" t="n">
        <v>2581.89</v>
      </c>
      <c r="T699" s="9" t="n">
        <v>2626.35</v>
      </c>
      <c r="U699" s="10">
        <f>SUM(I699:T699)</f>
        <v/>
      </c>
    </row>
    <row r="700">
      <c r="A700" s="2" t="inlineStr">
        <is>
          <t>SN-3000-3100-3150-3150XM0019</t>
        </is>
      </c>
      <c r="B700" s="2" t="inlineStr">
        <is>
          <t>3150XM0019</t>
        </is>
      </c>
      <c r="C700" s="2" t="inlineStr">
        <is>
          <t>Celosía molienda</t>
        </is>
      </c>
      <c r="D700" s="2" t="n">
        <v>233</v>
      </c>
      <c r="E700" s="2" t="inlineStr">
        <is>
          <t>CC-3000</t>
        </is>
      </c>
      <c r="F700" s="2" t="inlineStr">
        <is>
          <t>P01</t>
        </is>
      </c>
      <c r="G700" s="2" t="n">
        <v>630000</v>
      </c>
      <c r="H700" s="2" t="inlineStr">
        <is>
          <t>Servicios externos</t>
        </is>
      </c>
      <c r="I700" s="9" t="n">
        <v>2694.64</v>
      </c>
      <c r="J700" s="9" t="n">
        <v>2595.31</v>
      </c>
      <c r="K700" s="9" t="n">
        <v>2730.16</v>
      </c>
      <c r="L700" s="9" t="n">
        <v>2869.07</v>
      </c>
      <c r="M700" s="9" t="n">
        <v>2758.88</v>
      </c>
      <c r="N700" s="9" t="n">
        <v>2654.62</v>
      </c>
      <c r="O700" s="9" t="n">
        <v>2746.7</v>
      </c>
      <c r="P700" s="9" t="n">
        <v>2802.88</v>
      </c>
      <c r="Q700" s="9" t="n">
        <v>2281.48</v>
      </c>
      <c r="R700" s="9" t="n">
        <v>2718.41</v>
      </c>
      <c r="S700" s="9" t="n">
        <v>2533.5</v>
      </c>
      <c r="T700" s="9" t="n">
        <v>2805.41</v>
      </c>
      <c r="U700" s="10">
        <f>SUM(I700:T700)</f>
        <v/>
      </c>
    </row>
    <row r="701">
      <c r="A701" s="2" t="inlineStr">
        <is>
          <t>SN-3000-3100-3150-3150XM0020</t>
        </is>
      </c>
      <c r="B701" s="2" t="inlineStr">
        <is>
          <t>3150XM0020</t>
        </is>
      </c>
      <c r="C701" s="2" t="inlineStr">
        <is>
          <t>Celosía molienda</t>
        </is>
      </c>
      <c r="D701" s="2" t="n">
        <v>234</v>
      </c>
      <c r="E701" s="2" t="inlineStr">
        <is>
          <t>CC-3000</t>
        </is>
      </c>
      <c r="F701" s="2" t="inlineStr">
        <is>
          <t>P01</t>
        </is>
      </c>
      <c r="G701" s="2" t="n">
        <v>610000</v>
      </c>
      <c r="H701" s="2" t="inlineStr">
        <is>
          <t>Mano obra interna</t>
        </is>
      </c>
      <c r="I701" s="9" t="n">
        <v>2053.72</v>
      </c>
      <c r="J701" s="9" t="n">
        <v>1795.61</v>
      </c>
      <c r="K701" s="9" t="n">
        <v>1917.14</v>
      </c>
      <c r="L701" s="9" t="n">
        <v>2050.99</v>
      </c>
      <c r="M701" s="9" t="n">
        <v>1812.25</v>
      </c>
      <c r="N701" s="9" t="n">
        <v>1805.99</v>
      </c>
      <c r="O701" s="9" t="n">
        <v>1863.04</v>
      </c>
      <c r="P701" s="9" t="n">
        <v>1887.1</v>
      </c>
      <c r="Q701" s="9" t="n">
        <v>1861.28</v>
      </c>
      <c r="R701" s="9" t="n">
        <v>2042.62</v>
      </c>
      <c r="S701" s="9" t="n">
        <v>1889.76</v>
      </c>
      <c r="T701" s="9" t="n">
        <v>1838.02</v>
      </c>
      <c r="U701" s="10">
        <f>SUM(I701:T701)</f>
        <v/>
      </c>
    </row>
    <row r="702">
      <c r="A702" s="2" t="inlineStr">
        <is>
          <t>SN-3000-3100-3150-3150XM0020</t>
        </is>
      </c>
      <c r="B702" s="2" t="inlineStr">
        <is>
          <t>3150XM0020</t>
        </is>
      </c>
      <c r="C702" s="2" t="inlineStr">
        <is>
          <t>Celosía molienda</t>
        </is>
      </c>
      <c r="D702" s="2" t="n">
        <v>234</v>
      </c>
      <c r="E702" s="2" t="inlineStr">
        <is>
          <t>CC-3000</t>
        </is>
      </c>
      <c r="F702" s="2" t="inlineStr">
        <is>
          <t>P01</t>
        </is>
      </c>
      <c r="G702" s="2" t="n">
        <v>620000</v>
      </c>
      <c r="H702" s="2" t="inlineStr">
        <is>
          <t>Materiales</t>
        </is>
      </c>
      <c r="I702" s="9" t="n">
        <v>2003.18</v>
      </c>
      <c r="J702" s="9" t="n">
        <v>2020.55</v>
      </c>
      <c r="K702" s="9" t="n">
        <v>2141.96</v>
      </c>
      <c r="L702" s="9" t="n">
        <v>1953.02</v>
      </c>
      <c r="M702" s="9" t="n">
        <v>2105.33</v>
      </c>
      <c r="N702" s="9" t="n">
        <v>1951.58</v>
      </c>
      <c r="O702" s="9" t="n">
        <v>1982.04</v>
      </c>
      <c r="P702" s="9" t="n">
        <v>1900.72</v>
      </c>
      <c r="Q702" s="9" t="n">
        <v>1997.49</v>
      </c>
      <c r="R702" s="9" t="n">
        <v>2249.36</v>
      </c>
      <c r="S702" s="9" t="n">
        <v>1849.36</v>
      </c>
      <c r="T702" s="9" t="n">
        <v>1980.94</v>
      </c>
      <c r="U702" s="10">
        <f>SUM(I702:T702)</f>
        <v/>
      </c>
    </row>
    <row r="703">
      <c r="A703" s="2" t="inlineStr">
        <is>
          <t>SN-3000-3100-3150-3150XM0020</t>
        </is>
      </c>
      <c r="B703" s="2" t="inlineStr">
        <is>
          <t>3150XM0020</t>
        </is>
      </c>
      <c r="C703" s="2" t="inlineStr">
        <is>
          <t>Celosía molienda</t>
        </is>
      </c>
      <c r="D703" s="2" t="n">
        <v>234</v>
      </c>
      <c r="E703" s="2" t="inlineStr">
        <is>
          <t>CC-3000</t>
        </is>
      </c>
      <c r="F703" s="2" t="inlineStr">
        <is>
          <t>P01</t>
        </is>
      </c>
      <c r="G703" s="2" t="n">
        <v>630000</v>
      </c>
      <c r="H703" s="2" t="inlineStr">
        <is>
          <t>Servicios externos</t>
        </is>
      </c>
      <c r="I703" s="9" t="n">
        <v>2097.4</v>
      </c>
      <c r="J703" s="9" t="n">
        <v>2045.47</v>
      </c>
      <c r="K703" s="9" t="n">
        <v>2035.9</v>
      </c>
      <c r="L703" s="9" t="n">
        <v>2106.64</v>
      </c>
      <c r="M703" s="9" t="n">
        <v>1935.79</v>
      </c>
      <c r="N703" s="9" t="n">
        <v>1816.69</v>
      </c>
      <c r="O703" s="9" t="n">
        <v>2035.41</v>
      </c>
      <c r="P703" s="9" t="n">
        <v>2142.33</v>
      </c>
      <c r="Q703" s="9" t="n">
        <v>1798.29</v>
      </c>
      <c r="R703" s="9" t="n">
        <v>2135.02</v>
      </c>
      <c r="S703" s="9" t="n">
        <v>1982.27</v>
      </c>
      <c r="T703" s="9" t="n">
        <v>2035.2</v>
      </c>
      <c r="U703" s="10">
        <f>SUM(I703:T703)</f>
        <v/>
      </c>
    </row>
    <row r="704">
      <c r="A704" s="2" t="inlineStr">
        <is>
          <t>SN-3000-3100-3150-3150XM0023</t>
        </is>
      </c>
      <c r="B704" s="2" t="inlineStr">
        <is>
          <t>3150XM0023</t>
        </is>
      </c>
      <c r="C704" s="2" t="inlineStr">
        <is>
          <t>Celosía molienda</t>
        </is>
      </c>
      <c r="D704" s="2" t="n">
        <v>235</v>
      </c>
      <c r="E704" s="2" t="inlineStr">
        <is>
          <t>CC-3000</t>
        </is>
      </c>
      <c r="F704" s="2" t="inlineStr">
        <is>
          <t>P01</t>
        </is>
      </c>
      <c r="G704" s="2" t="n">
        <v>610000</v>
      </c>
      <c r="H704" s="2" t="inlineStr">
        <is>
          <t>Mano obra interna</t>
        </is>
      </c>
      <c r="I704" s="9" t="n">
        <v>2734.2</v>
      </c>
      <c r="J704" s="9" t="n">
        <v>2352.85</v>
      </c>
      <c r="K704" s="9" t="n">
        <v>2863.54</v>
      </c>
      <c r="L704" s="9" t="n">
        <v>2733.48</v>
      </c>
      <c r="M704" s="9" t="n">
        <v>2692.24</v>
      </c>
      <c r="N704" s="9" t="n">
        <v>2517.23</v>
      </c>
      <c r="O704" s="9" t="n">
        <v>2718.48</v>
      </c>
      <c r="P704" s="9" t="n">
        <v>2409.47</v>
      </c>
      <c r="Q704" s="9" t="n">
        <v>2334.71</v>
      </c>
      <c r="R704" s="9" t="n">
        <v>2939.28</v>
      </c>
      <c r="S704" s="9" t="n">
        <v>2369.81</v>
      </c>
      <c r="T704" s="9" t="n">
        <v>2432.82</v>
      </c>
      <c r="U704" s="10">
        <f>SUM(I704:T704)</f>
        <v/>
      </c>
    </row>
    <row r="705">
      <c r="A705" s="2" t="inlineStr">
        <is>
          <t>SN-3000-3100-3150-3150XM0023</t>
        </is>
      </c>
      <c r="B705" s="2" t="inlineStr">
        <is>
          <t>3150XM0023</t>
        </is>
      </c>
      <c r="C705" s="2" t="inlineStr">
        <is>
          <t>Celosía molienda</t>
        </is>
      </c>
      <c r="D705" s="2" t="n">
        <v>235</v>
      </c>
      <c r="E705" s="2" t="inlineStr">
        <is>
          <t>CC-3000</t>
        </is>
      </c>
      <c r="F705" s="2" t="inlineStr">
        <is>
          <t>P01</t>
        </is>
      </c>
      <c r="G705" s="2" t="n">
        <v>620000</v>
      </c>
      <c r="H705" s="2" t="inlineStr">
        <is>
          <t>Materiales</t>
        </is>
      </c>
      <c r="I705" s="9" t="n">
        <v>2642.2</v>
      </c>
      <c r="J705" s="9" t="n">
        <v>2288.62</v>
      </c>
      <c r="K705" s="9" t="n">
        <v>2677.79</v>
      </c>
      <c r="L705" s="9" t="n">
        <v>2585.57</v>
      </c>
      <c r="M705" s="9" t="n">
        <v>2438.8</v>
      </c>
      <c r="N705" s="9" t="n">
        <v>2472.57</v>
      </c>
      <c r="O705" s="9" t="n">
        <v>2425.76</v>
      </c>
      <c r="P705" s="9" t="n">
        <v>2334.38</v>
      </c>
      <c r="Q705" s="9" t="n">
        <v>2207.89</v>
      </c>
      <c r="R705" s="9" t="n">
        <v>2651.23</v>
      </c>
      <c r="S705" s="9" t="n">
        <v>2389.87</v>
      </c>
      <c r="T705" s="9" t="n">
        <v>2614.75</v>
      </c>
      <c r="U705" s="10">
        <f>SUM(I705:T705)</f>
        <v/>
      </c>
    </row>
    <row r="706">
      <c r="A706" s="2" t="inlineStr">
        <is>
          <t>SN-3000-3100-3150-3150XM0023</t>
        </is>
      </c>
      <c r="B706" s="2" t="inlineStr">
        <is>
          <t>3150XM0023</t>
        </is>
      </c>
      <c r="C706" s="2" t="inlineStr">
        <is>
          <t>Celosía molienda</t>
        </is>
      </c>
      <c r="D706" s="2" t="n">
        <v>235</v>
      </c>
      <c r="E706" s="2" t="inlineStr">
        <is>
          <t>CC-3000</t>
        </is>
      </c>
      <c r="F706" s="2" t="inlineStr">
        <is>
          <t>P01</t>
        </is>
      </c>
      <c r="G706" s="2" t="n">
        <v>630000</v>
      </c>
      <c r="H706" s="2" t="inlineStr">
        <is>
          <t>Servicios externos</t>
        </is>
      </c>
      <c r="I706" s="9" t="n">
        <v>2595.47</v>
      </c>
      <c r="J706" s="9" t="n">
        <v>2582.84</v>
      </c>
      <c r="K706" s="9" t="n">
        <v>2461.52</v>
      </c>
      <c r="L706" s="9" t="n">
        <v>2380.46</v>
      </c>
      <c r="M706" s="9" t="n">
        <v>2632.32</v>
      </c>
      <c r="N706" s="9" t="n">
        <v>2236.58</v>
      </c>
      <c r="O706" s="9" t="n">
        <v>2409.17</v>
      </c>
      <c r="P706" s="9" t="n">
        <v>2586.3</v>
      </c>
      <c r="Q706" s="9" t="n">
        <v>2302.46</v>
      </c>
      <c r="R706" s="9" t="n">
        <v>2869.6</v>
      </c>
      <c r="S706" s="9" t="n">
        <v>2351.11</v>
      </c>
      <c r="T706" s="9" t="n">
        <v>2348.14</v>
      </c>
      <c r="U706" s="10">
        <f>SUM(I706:T706)</f>
        <v/>
      </c>
    </row>
    <row r="707">
      <c r="A707" s="2" t="inlineStr">
        <is>
          <t>SN-3000-3100-3150-3150XM0024</t>
        </is>
      </c>
      <c r="B707" s="2" t="inlineStr">
        <is>
          <t>3150XM0024</t>
        </is>
      </c>
      <c r="C707" s="2" t="inlineStr">
        <is>
          <t>Celosía molienda</t>
        </is>
      </c>
      <c r="D707" s="2" t="n">
        <v>236</v>
      </c>
      <c r="E707" s="2" t="inlineStr">
        <is>
          <t>CC-3000</t>
        </is>
      </c>
      <c r="F707" s="2" t="inlineStr">
        <is>
          <t>P01</t>
        </is>
      </c>
      <c r="G707" s="2" t="n">
        <v>610000</v>
      </c>
      <c r="H707" s="2" t="inlineStr">
        <is>
          <t>Mano obra interna</t>
        </is>
      </c>
      <c r="I707" s="9" t="n">
        <v>2507.8</v>
      </c>
      <c r="J707" s="9" t="n">
        <v>2342.11</v>
      </c>
      <c r="K707" s="9" t="n">
        <v>2517.02</v>
      </c>
      <c r="L707" s="9" t="n">
        <v>2629.19</v>
      </c>
      <c r="M707" s="9" t="n">
        <v>2559.66</v>
      </c>
      <c r="N707" s="9" t="n">
        <v>2232.83</v>
      </c>
      <c r="O707" s="9" t="n">
        <v>2412.68</v>
      </c>
      <c r="P707" s="9" t="n">
        <v>2443.54</v>
      </c>
      <c r="Q707" s="9" t="n">
        <v>2420.87</v>
      </c>
      <c r="R707" s="9" t="n">
        <v>2825.31</v>
      </c>
      <c r="S707" s="9" t="n">
        <v>2249.36</v>
      </c>
      <c r="T707" s="9" t="n">
        <v>2551.73</v>
      </c>
      <c r="U707" s="10">
        <f>SUM(I707:T707)</f>
        <v/>
      </c>
    </row>
    <row r="708">
      <c r="A708" s="2" t="inlineStr">
        <is>
          <t>SN-3000-3100-3150-3150XM0024</t>
        </is>
      </c>
      <c r="B708" s="2" t="inlineStr">
        <is>
          <t>3150XM0024</t>
        </is>
      </c>
      <c r="C708" s="2" t="inlineStr">
        <is>
          <t>Celosía molienda</t>
        </is>
      </c>
      <c r="D708" s="2" t="n">
        <v>236</v>
      </c>
      <c r="E708" s="2" t="inlineStr">
        <is>
          <t>CC-3000</t>
        </is>
      </c>
      <c r="F708" s="2" t="inlineStr">
        <is>
          <t>P01</t>
        </is>
      </c>
      <c r="G708" s="2" t="n">
        <v>620000</v>
      </c>
      <c r="H708" s="2" t="inlineStr">
        <is>
          <t>Materiales</t>
        </is>
      </c>
      <c r="I708" s="9" t="n">
        <v>2391.04</v>
      </c>
      <c r="J708" s="9" t="n">
        <v>2307.21</v>
      </c>
      <c r="K708" s="9" t="n">
        <v>2606.19</v>
      </c>
      <c r="L708" s="9" t="n">
        <v>2593.49</v>
      </c>
      <c r="M708" s="9" t="n">
        <v>2323.81</v>
      </c>
      <c r="N708" s="9" t="n">
        <v>2503.31</v>
      </c>
      <c r="O708" s="9" t="n">
        <v>2459.62</v>
      </c>
      <c r="P708" s="9" t="n">
        <v>2564.74</v>
      </c>
      <c r="Q708" s="9" t="n">
        <v>2291.18</v>
      </c>
      <c r="R708" s="9" t="n">
        <v>2595.66</v>
      </c>
      <c r="S708" s="9" t="n">
        <v>2424.55</v>
      </c>
      <c r="T708" s="9" t="n">
        <v>2469.53</v>
      </c>
      <c r="U708" s="10">
        <f>SUM(I708:T708)</f>
        <v/>
      </c>
    </row>
    <row r="709">
      <c r="A709" s="2" t="inlineStr">
        <is>
          <t>SN-3000-3100-3150-3150XM0024</t>
        </is>
      </c>
      <c r="B709" s="2" t="inlineStr">
        <is>
          <t>3150XM0024</t>
        </is>
      </c>
      <c r="C709" s="2" t="inlineStr">
        <is>
          <t>Celosía molienda</t>
        </is>
      </c>
      <c r="D709" s="2" t="n">
        <v>236</v>
      </c>
      <c r="E709" s="2" t="inlineStr">
        <is>
          <t>CC-3000</t>
        </is>
      </c>
      <c r="F709" s="2" t="inlineStr">
        <is>
          <t>P01</t>
        </is>
      </c>
      <c r="G709" s="2" t="n">
        <v>630000</v>
      </c>
      <c r="H709" s="2" t="inlineStr">
        <is>
          <t>Servicios externos</t>
        </is>
      </c>
      <c r="I709" s="9" t="n">
        <v>2548.5</v>
      </c>
      <c r="J709" s="9" t="n">
        <v>2586.61</v>
      </c>
      <c r="K709" s="9" t="n">
        <v>2557.51</v>
      </c>
      <c r="L709" s="9" t="n">
        <v>2754</v>
      </c>
      <c r="M709" s="9" t="n">
        <v>2701.18</v>
      </c>
      <c r="N709" s="9" t="n">
        <v>2351.3</v>
      </c>
      <c r="O709" s="9" t="n">
        <v>2610.52</v>
      </c>
      <c r="P709" s="9" t="n">
        <v>2440.94</v>
      </c>
      <c r="Q709" s="9" t="n">
        <v>2479.9</v>
      </c>
      <c r="R709" s="9" t="n">
        <v>2721.92</v>
      </c>
      <c r="S709" s="9" t="n">
        <v>2550.31</v>
      </c>
      <c r="T709" s="9" t="n">
        <v>2669.23</v>
      </c>
      <c r="U709" s="10">
        <f>SUM(I709:T709)</f>
        <v/>
      </c>
    </row>
    <row r="710">
      <c r="A710" s="2" t="inlineStr">
        <is>
          <t>SN-3000-3100-31ER-2200MC0011</t>
        </is>
      </c>
      <c r="B710" s="2" t="inlineStr">
        <is>
          <t>2200MC0011</t>
        </is>
      </c>
      <c r="C710" s="2" t="inlineStr">
        <is>
          <t>Centro control motores 400V/1200A/65kA</t>
        </is>
      </c>
      <c r="D710" s="2" t="n">
        <v>237</v>
      </c>
      <c r="E710" s="2" t="inlineStr">
        <is>
          <t>CC-3000</t>
        </is>
      </c>
      <c r="F710" s="2" t="inlineStr">
        <is>
          <t>P01</t>
        </is>
      </c>
      <c r="G710" s="2" t="n">
        <v>610000</v>
      </c>
      <c r="H710" s="2" t="inlineStr">
        <is>
          <t>Mano obra interna</t>
        </is>
      </c>
      <c r="I710" s="9" t="n">
        <v>2054.02</v>
      </c>
      <c r="J710" s="9" t="n">
        <v>1992.28</v>
      </c>
      <c r="K710" s="9" t="n">
        <v>2027.16</v>
      </c>
      <c r="L710" s="9" t="n">
        <v>2187.02</v>
      </c>
      <c r="M710" s="9" t="n">
        <v>2063.37</v>
      </c>
      <c r="N710" s="9" t="n">
        <v>1843.16</v>
      </c>
      <c r="O710" s="9" t="n">
        <v>2107.3</v>
      </c>
      <c r="P710" s="9" t="n">
        <v>1973.33</v>
      </c>
      <c r="Q710" s="9" t="n">
        <v>1956.13</v>
      </c>
      <c r="R710" s="9" t="n">
        <v>2264.2</v>
      </c>
      <c r="S710" s="9" t="n">
        <v>1836.43</v>
      </c>
      <c r="T710" s="9" t="n">
        <v>2091.25</v>
      </c>
      <c r="U710" s="10">
        <f>SUM(I710:T710)</f>
        <v/>
      </c>
    </row>
    <row r="711">
      <c r="A711" s="2" t="inlineStr">
        <is>
          <t>SN-3000-3100-31ER-2200MC0011</t>
        </is>
      </c>
      <c r="B711" s="2" t="inlineStr">
        <is>
          <t>2200MC0011</t>
        </is>
      </c>
      <c r="C711" s="2" t="inlineStr">
        <is>
          <t>Centro control motores 400V/1200A/65kA</t>
        </is>
      </c>
      <c r="D711" s="2" t="n">
        <v>237</v>
      </c>
      <c r="E711" s="2" t="inlineStr">
        <is>
          <t>CC-3000</t>
        </is>
      </c>
      <c r="F711" s="2" t="inlineStr">
        <is>
          <t>P01</t>
        </is>
      </c>
      <c r="G711" s="2" t="n">
        <v>620000</v>
      </c>
      <c r="H711" s="2" t="inlineStr">
        <is>
          <t>Materiales</t>
        </is>
      </c>
      <c r="I711" s="9" t="n">
        <v>1672.56</v>
      </c>
      <c r="J711" s="9" t="n">
        <v>1613.29</v>
      </c>
      <c r="K711" s="9" t="n">
        <v>1809.89</v>
      </c>
      <c r="L711" s="9" t="n">
        <v>1655.78</v>
      </c>
      <c r="M711" s="9" t="n">
        <v>1541.93</v>
      </c>
      <c r="N711" s="9" t="n">
        <v>1674.63</v>
      </c>
      <c r="O711" s="9" t="n">
        <v>1604.91</v>
      </c>
      <c r="P711" s="9" t="n">
        <v>1584.93</v>
      </c>
      <c r="Q711" s="9" t="n">
        <v>1510.02</v>
      </c>
      <c r="R711" s="9" t="n">
        <v>1790.97</v>
      </c>
      <c r="S711" s="9" t="n">
        <v>1632.87</v>
      </c>
      <c r="T711" s="9" t="n">
        <v>1593.19</v>
      </c>
      <c r="U711" s="10">
        <f>SUM(I711:T711)</f>
        <v/>
      </c>
    </row>
    <row r="712">
      <c r="A712" s="2" t="inlineStr">
        <is>
          <t>SN-3000-3100-31ER-2200MC0011</t>
        </is>
      </c>
      <c r="B712" s="2" t="inlineStr">
        <is>
          <t>2200MC0011</t>
        </is>
      </c>
      <c r="C712" s="2" t="inlineStr">
        <is>
          <t>Centro control motores 400V/1200A/65kA</t>
        </is>
      </c>
      <c r="D712" s="2" t="n">
        <v>237</v>
      </c>
      <c r="E712" s="2" t="inlineStr">
        <is>
          <t>CC-3000</t>
        </is>
      </c>
      <c r="F712" s="2" t="inlineStr">
        <is>
          <t>P01</t>
        </is>
      </c>
      <c r="G712" s="2" t="n">
        <v>630000</v>
      </c>
      <c r="H712" s="2" t="inlineStr">
        <is>
          <t>Servicios externos</t>
        </is>
      </c>
      <c r="I712" s="9" t="n">
        <v>2115.45</v>
      </c>
      <c r="J712" s="9" t="n">
        <v>1916.87</v>
      </c>
      <c r="K712" s="9" t="n">
        <v>2006.44</v>
      </c>
      <c r="L712" s="9" t="n">
        <v>2030.31</v>
      </c>
      <c r="M712" s="9" t="n">
        <v>2022.33</v>
      </c>
      <c r="N712" s="9" t="n">
        <v>1806.66</v>
      </c>
      <c r="O712" s="9" t="n">
        <v>1904.17</v>
      </c>
      <c r="P712" s="9" t="n">
        <v>2116.61</v>
      </c>
      <c r="Q712" s="9" t="n">
        <v>1791.83</v>
      </c>
      <c r="R712" s="9" t="n">
        <v>2118.68</v>
      </c>
      <c r="S712" s="9" t="n">
        <v>2054.22</v>
      </c>
      <c r="T712" s="9" t="n">
        <v>2085.81</v>
      </c>
      <c r="U712" s="10">
        <f>SUM(I712:T712)</f>
        <v/>
      </c>
    </row>
    <row r="713">
      <c r="A713" s="2" t="inlineStr">
        <is>
          <t>SN-3000-3100-31ER-2210VF0001</t>
        </is>
      </c>
      <c r="B713" s="2" t="inlineStr">
        <is>
          <t>2210VF0001</t>
        </is>
      </c>
      <c r="C713" s="2" t="inlineStr">
        <is>
          <t>Variador frecuencia 2210FE0001M1VF</t>
        </is>
      </c>
      <c r="D713" s="2" t="n">
        <v>238</v>
      </c>
      <c r="E713" s="2" t="inlineStr">
        <is>
          <t>CC-3000</t>
        </is>
      </c>
      <c r="F713" s="2" t="inlineStr">
        <is>
          <t>P01</t>
        </is>
      </c>
      <c r="G713" s="2" t="n">
        <v>610000</v>
      </c>
      <c r="H713" s="2" t="inlineStr">
        <is>
          <t>Mano obra interna</t>
        </is>
      </c>
      <c r="I713" s="9" t="n">
        <v>2223.71</v>
      </c>
      <c r="J713" s="9" t="n">
        <v>1923.91</v>
      </c>
      <c r="K713" s="9" t="n">
        <v>2265.38</v>
      </c>
      <c r="L713" s="9" t="n">
        <v>2158.27</v>
      </c>
      <c r="M713" s="9" t="n">
        <v>2199.16</v>
      </c>
      <c r="N713" s="9" t="n">
        <v>2170.31</v>
      </c>
      <c r="O713" s="9" t="n">
        <v>2261.3</v>
      </c>
      <c r="P713" s="9" t="n">
        <v>2252.99</v>
      </c>
      <c r="Q713" s="9" t="n">
        <v>1973.67</v>
      </c>
      <c r="R713" s="9" t="n">
        <v>2231</v>
      </c>
      <c r="S713" s="9" t="n">
        <v>2037.07</v>
      </c>
      <c r="T713" s="9" t="n">
        <v>2212.78</v>
      </c>
      <c r="U713" s="10">
        <f>SUM(I713:T713)</f>
        <v/>
      </c>
    </row>
    <row r="714">
      <c r="A714" s="2" t="inlineStr">
        <is>
          <t>SN-3000-3100-31ER-2210VF0001</t>
        </is>
      </c>
      <c r="B714" s="2" t="inlineStr">
        <is>
          <t>2210VF0001</t>
        </is>
      </c>
      <c r="C714" s="2" t="inlineStr">
        <is>
          <t>Variador frecuencia 2210FE0001M1VF</t>
        </is>
      </c>
      <c r="D714" s="2" t="n">
        <v>238</v>
      </c>
      <c r="E714" s="2" t="inlineStr">
        <is>
          <t>CC-3000</t>
        </is>
      </c>
      <c r="F714" s="2" t="inlineStr">
        <is>
          <t>P01</t>
        </is>
      </c>
      <c r="G714" s="2" t="n">
        <v>620000</v>
      </c>
      <c r="H714" s="2" t="inlineStr">
        <is>
          <t>Materiales</t>
        </is>
      </c>
      <c r="I714" s="9" t="n">
        <v>2358.29</v>
      </c>
      <c r="J714" s="9" t="n">
        <v>2546.79</v>
      </c>
      <c r="K714" s="9" t="n">
        <v>2626.56</v>
      </c>
      <c r="L714" s="9" t="n">
        <v>2667</v>
      </c>
      <c r="M714" s="9" t="n">
        <v>2544.63</v>
      </c>
      <c r="N714" s="9" t="n">
        <v>2235.7</v>
      </c>
      <c r="O714" s="9" t="n">
        <v>2271.98</v>
      </c>
      <c r="P714" s="9" t="n">
        <v>2271.7</v>
      </c>
      <c r="Q714" s="9" t="n">
        <v>2180.86</v>
      </c>
      <c r="R714" s="9" t="n">
        <v>2661.61</v>
      </c>
      <c r="S714" s="9" t="n">
        <v>2460.61</v>
      </c>
      <c r="T714" s="9" t="n">
        <v>2616.88</v>
      </c>
      <c r="U714" s="10">
        <f>SUM(I714:T714)</f>
        <v/>
      </c>
    </row>
    <row r="715">
      <c r="A715" s="2" t="inlineStr">
        <is>
          <t>SN-3000-3100-31ER-2210VF0001</t>
        </is>
      </c>
      <c r="B715" s="2" t="inlineStr">
        <is>
          <t>2210VF0001</t>
        </is>
      </c>
      <c r="C715" s="2" t="inlineStr">
        <is>
          <t>Variador frecuencia 2210FE0001M1VF</t>
        </is>
      </c>
      <c r="D715" s="2" t="n">
        <v>238</v>
      </c>
      <c r="E715" s="2" t="inlineStr">
        <is>
          <t>CC-3000</t>
        </is>
      </c>
      <c r="F715" s="2" t="inlineStr">
        <is>
          <t>P01</t>
        </is>
      </c>
      <c r="G715" s="2" t="n">
        <v>630000</v>
      </c>
      <c r="H715" s="2" t="inlineStr">
        <is>
          <t>Servicios externos</t>
        </is>
      </c>
      <c r="I715" s="9" t="n">
        <v>2212.1</v>
      </c>
      <c r="J715" s="9" t="n">
        <v>2201.11</v>
      </c>
      <c r="K715" s="9" t="n">
        <v>2272.04</v>
      </c>
      <c r="L715" s="9" t="n">
        <v>2352.34</v>
      </c>
      <c r="M715" s="9" t="n">
        <v>2329.22</v>
      </c>
      <c r="N715" s="9" t="n">
        <v>2085.33</v>
      </c>
      <c r="O715" s="9" t="n">
        <v>2297.05</v>
      </c>
      <c r="P715" s="9" t="n">
        <v>2230.6</v>
      </c>
      <c r="Q715" s="9" t="n">
        <v>2241.95</v>
      </c>
      <c r="R715" s="9" t="n">
        <v>2523.09</v>
      </c>
      <c r="S715" s="9" t="n">
        <v>2276.2</v>
      </c>
      <c r="T715" s="9" t="n">
        <v>2360.36</v>
      </c>
      <c r="U715" s="10">
        <f>SUM(I715:T715)</f>
        <v/>
      </c>
    </row>
    <row r="716">
      <c r="A716" s="2" t="inlineStr">
        <is>
          <t>SN-3000-3100-31ER-2210VF0002</t>
        </is>
      </c>
      <c r="B716" s="2" t="inlineStr">
        <is>
          <t>2210VF0002</t>
        </is>
      </c>
      <c r="C716" s="2" t="inlineStr">
        <is>
          <t>Variador frecuencia 2210FE0002M1VF</t>
        </is>
      </c>
      <c r="D716" s="2" t="n">
        <v>239</v>
      </c>
      <c r="E716" s="2" t="inlineStr">
        <is>
          <t>CC-3000</t>
        </is>
      </c>
      <c r="F716" s="2" t="inlineStr">
        <is>
          <t>P01</t>
        </is>
      </c>
      <c r="G716" s="2" t="n">
        <v>610000</v>
      </c>
      <c r="H716" s="2" t="inlineStr">
        <is>
          <t>Mano obra interna</t>
        </is>
      </c>
      <c r="I716" s="9" t="n">
        <v>897.45</v>
      </c>
      <c r="J716" s="9" t="n">
        <v>909.64</v>
      </c>
      <c r="K716" s="9" t="n">
        <v>986.2</v>
      </c>
      <c r="L716" s="9" t="n">
        <v>950.04</v>
      </c>
      <c r="M716" s="9" t="n">
        <v>974.22</v>
      </c>
      <c r="N716" s="9" t="n">
        <v>863.5</v>
      </c>
      <c r="O716" s="9" t="n">
        <v>916.23</v>
      </c>
      <c r="P716" s="9" t="n">
        <v>859.88</v>
      </c>
      <c r="Q716" s="9" t="n">
        <v>872.45</v>
      </c>
      <c r="R716" s="9" t="n">
        <v>959.75</v>
      </c>
      <c r="S716" s="9" t="n">
        <v>843.28</v>
      </c>
      <c r="T716" s="9" t="n">
        <v>941.51</v>
      </c>
      <c r="U716" s="10">
        <f>SUM(I716:T716)</f>
        <v/>
      </c>
    </row>
    <row r="717">
      <c r="A717" s="2" t="inlineStr">
        <is>
          <t>SN-3000-3100-31ER-2210VF0002</t>
        </is>
      </c>
      <c r="B717" s="2" t="inlineStr">
        <is>
          <t>2210VF0002</t>
        </is>
      </c>
      <c r="C717" s="2" t="inlineStr">
        <is>
          <t>Variador frecuencia 2210FE0002M1VF</t>
        </is>
      </c>
      <c r="D717" s="2" t="n">
        <v>239</v>
      </c>
      <c r="E717" s="2" t="inlineStr">
        <is>
          <t>CC-3000</t>
        </is>
      </c>
      <c r="F717" s="2" t="inlineStr">
        <is>
          <t>P01</t>
        </is>
      </c>
      <c r="G717" s="2" t="n">
        <v>620000</v>
      </c>
      <c r="H717" s="2" t="inlineStr">
        <is>
          <t>Materiales</t>
        </is>
      </c>
      <c r="I717" s="9" t="n">
        <v>748.0700000000001</v>
      </c>
      <c r="J717" s="9" t="n">
        <v>798.79</v>
      </c>
      <c r="K717" s="9" t="n">
        <v>827.08</v>
      </c>
      <c r="L717" s="9" t="n">
        <v>763.49</v>
      </c>
      <c r="M717" s="9" t="n">
        <v>774.21</v>
      </c>
      <c r="N717" s="9" t="n">
        <v>778.1</v>
      </c>
      <c r="O717" s="9" t="n">
        <v>790.2</v>
      </c>
      <c r="P717" s="9" t="n">
        <v>772.42</v>
      </c>
      <c r="Q717" s="9" t="n">
        <v>711</v>
      </c>
      <c r="R717" s="9" t="n">
        <v>862.77</v>
      </c>
      <c r="S717" s="9" t="n">
        <v>814.51</v>
      </c>
      <c r="T717" s="9" t="n">
        <v>819.74</v>
      </c>
      <c r="U717" s="10">
        <f>SUM(I717:T717)</f>
        <v/>
      </c>
    </row>
    <row r="718">
      <c r="A718" s="2" t="inlineStr">
        <is>
          <t>SN-3000-3100-31ER-2210VF0002</t>
        </is>
      </c>
      <c r="B718" s="2" t="inlineStr">
        <is>
          <t>2210VF0002</t>
        </is>
      </c>
      <c r="C718" s="2" t="inlineStr">
        <is>
          <t>Variador frecuencia 2210FE0002M1VF</t>
        </is>
      </c>
      <c r="D718" s="2" t="n">
        <v>239</v>
      </c>
      <c r="E718" s="2" t="inlineStr">
        <is>
          <t>CC-3000</t>
        </is>
      </c>
      <c r="F718" s="2" t="inlineStr">
        <is>
          <t>P01</t>
        </is>
      </c>
      <c r="G718" s="2" t="n">
        <v>630000</v>
      </c>
      <c r="H718" s="2" t="inlineStr">
        <is>
          <t>Servicios externos</t>
        </is>
      </c>
      <c r="I718" s="9" t="n">
        <v>681.4</v>
      </c>
      <c r="J718" s="9" t="n">
        <v>702.91</v>
      </c>
      <c r="K718" s="9" t="n">
        <v>648.01</v>
      </c>
      <c r="L718" s="9" t="n">
        <v>740.22</v>
      </c>
      <c r="M718" s="9" t="n">
        <v>712.53</v>
      </c>
      <c r="N718" s="9" t="n">
        <v>598.87</v>
      </c>
      <c r="O718" s="9" t="n">
        <v>718.62</v>
      </c>
      <c r="P718" s="9" t="n">
        <v>656.51</v>
      </c>
      <c r="Q718" s="9" t="n">
        <v>659.77</v>
      </c>
      <c r="R718" s="9" t="n">
        <v>714.9400000000001</v>
      </c>
      <c r="S718" s="9" t="n">
        <v>644.11</v>
      </c>
      <c r="T718" s="9" t="n">
        <v>696.33</v>
      </c>
      <c r="U718" s="10">
        <f>SUM(I718:T718)</f>
        <v/>
      </c>
    </row>
    <row r="719">
      <c r="A719" s="2" t="inlineStr">
        <is>
          <t>SN-3000-3100-31ER-3100AC0001</t>
        </is>
      </c>
      <c r="B719" s="2" t="inlineStr">
        <is>
          <t>3100AC0001</t>
        </is>
      </c>
      <c r="C719" s="2" t="inlineStr">
        <is>
          <t>Unidad aire acondicionado</t>
        </is>
      </c>
      <c r="D719" s="2" t="n">
        <v>240</v>
      </c>
      <c r="E719" s="2" t="inlineStr">
        <is>
          <t>CC-3000</t>
        </is>
      </c>
      <c r="F719" s="2" t="inlineStr">
        <is>
          <t>P01</t>
        </is>
      </c>
      <c r="G719" s="2" t="n">
        <v>610000</v>
      </c>
      <c r="H719" s="2" t="inlineStr">
        <is>
          <t>Mano obra interna</t>
        </is>
      </c>
      <c r="I719" s="9" t="n">
        <v>2447.66</v>
      </c>
      <c r="J719" s="9" t="n">
        <v>2589.74</v>
      </c>
      <c r="K719" s="9" t="n">
        <v>2538.95</v>
      </c>
      <c r="L719" s="9" t="n">
        <v>2582.79</v>
      </c>
      <c r="M719" s="9" t="n">
        <v>2501.77</v>
      </c>
      <c r="N719" s="9" t="n">
        <v>2464.86</v>
      </c>
      <c r="O719" s="9" t="n">
        <v>2523.33</v>
      </c>
      <c r="P719" s="9" t="n">
        <v>2426.36</v>
      </c>
      <c r="Q719" s="9" t="n">
        <v>2275.1</v>
      </c>
      <c r="R719" s="9" t="n">
        <v>2585.56</v>
      </c>
      <c r="S719" s="9" t="n">
        <v>2496.26</v>
      </c>
      <c r="T719" s="9" t="n">
        <v>2820.6</v>
      </c>
      <c r="U719" s="10">
        <f>SUM(I719:T719)</f>
        <v/>
      </c>
    </row>
    <row r="720">
      <c r="A720" s="2" t="inlineStr">
        <is>
          <t>SN-3000-3100-31ER-3100AC0001</t>
        </is>
      </c>
      <c r="B720" s="2" t="inlineStr">
        <is>
          <t>3100AC0001</t>
        </is>
      </c>
      <c r="C720" s="2" t="inlineStr">
        <is>
          <t>Unidad aire acondicionado</t>
        </is>
      </c>
      <c r="D720" s="2" t="n">
        <v>240</v>
      </c>
      <c r="E720" s="2" t="inlineStr">
        <is>
          <t>CC-3000</t>
        </is>
      </c>
      <c r="F720" s="2" t="inlineStr">
        <is>
          <t>P01</t>
        </is>
      </c>
      <c r="G720" s="2" t="n">
        <v>620000</v>
      </c>
      <c r="H720" s="2" t="inlineStr">
        <is>
          <t>Materiales</t>
        </is>
      </c>
      <c r="I720" s="9" t="n">
        <v>2149.6</v>
      </c>
      <c r="J720" s="9" t="n">
        <v>2007.89</v>
      </c>
      <c r="K720" s="9" t="n">
        <v>2072.17</v>
      </c>
      <c r="L720" s="9" t="n">
        <v>2055.39</v>
      </c>
      <c r="M720" s="9" t="n">
        <v>2046.73</v>
      </c>
      <c r="N720" s="9" t="n">
        <v>1760.85</v>
      </c>
      <c r="O720" s="9" t="n">
        <v>1967.76</v>
      </c>
      <c r="P720" s="9" t="n">
        <v>2025.84</v>
      </c>
      <c r="Q720" s="9" t="n">
        <v>1854.94</v>
      </c>
      <c r="R720" s="9" t="n">
        <v>2232.36</v>
      </c>
      <c r="S720" s="9" t="n">
        <v>1772.4</v>
      </c>
      <c r="T720" s="9" t="n">
        <v>2055.41</v>
      </c>
      <c r="U720" s="10">
        <f>SUM(I720:T720)</f>
        <v/>
      </c>
    </row>
    <row r="721">
      <c r="A721" s="2" t="inlineStr">
        <is>
          <t>SN-3000-3100-31ER-3100AC0001</t>
        </is>
      </c>
      <c r="B721" s="2" t="inlineStr">
        <is>
          <t>3100AC0001</t>
        </is>
      </c>
      <c r="C721" s="2" t="inlineStr">
        <is>
          <t>Unidad aire acondicionado</t>
        </is>
      </c>
      <c r="D721" s="2" t="n">
        <v>240</v>
      </c>
      <c r="E721" s="2" t="inlineStr">
        <is>
          <t>CC-3000</t>
        </is>
      </c>
      <c r="F721" s="2" t="inlineStr">
        <is>
          <t>P01</t>
        </is>
      </c>
      <c r="G721" s="2" t="n">
        <v>630000</v>
      </c>
      <c r="H721" s="2" t="inlineStr">
        <is>
          <t>Servicios externos</t>
        </is>
      </c>
      <c r="I721" s="9" t="n">
        <v>2321.57</v>
      </c>
      <c r="J721" s="9" t="n">
        <v>2225.52</v>
      </c>
      <c r="K721" s="9" t="n">
        <v>2438.63</v>
      </c>
      <c r="L721" s="9" t="n">
        <v>2518.39</v>
      </c>
      <c r="M721" s="9" t="n">
        <v>2293.61</v>
      </c>
      <c r="N721" s="9" t="n">
        <v>2332.31</v>
      </c>
      <c r="O721" s="9" t="n">
        <v>2283.73</v>
      </c>
      <c r="P721" s="9" t="n">
        <v>2169.85</v>
      </c>
      <c r="Q721" s="9" t="n">
        <v>2007.25</v>
      </c>
      <c r="R721" s="9" t="n">
        <v>2321.34</v>
      </c>
      <c r="S721" s="9" t="n">
        <v>2201.89</v>
      </c>
      <c r="T721" s="9" t="n">
        <v>2292.14</v>
      </c>
      <c r="U721" s="10">
        <f>SUM(I721:T721)</f>
        <v/>
      </c>
    </row>
    <row r="722">
      <c r="A722" s="2" t="inlineStr">
        <is>
          <t>SN-3000-3100-31ER-3100AC0002</t>
        </is>
      </c>
      <c r="B722" s="2" t="inlineStr">
        <is>
          <t>3100AC0002</t>
        </is>
      </c>
      <c r="C722" s="2" t="inlineStr">
        <is>
          <t>Unidad aire acondicionado</t>
        </is>
      </c>
      <c r="D722" s="2" t="n">
        <v>241</v>
      </c>
      <c r="E722" s="2" t="inlineStr">
        <is>
          <t>CC-3000</t>
        </is>
      </c>
      <c r="F722" s="2" t="inlineStr">
        <is>
          <t>P01</t>
        </is>
      </c>
      <c r="G722" s="2" t="n">
        <v>610000</v>
      </c>
      <c r="H722" s="2" t="inlineStr">
        <is>
          <t>Mano obra interna</t>
        </is>
      </c>
      <c r="I722" s="9" t="n">
        <v>2597.31</v>
      </c>
      <c r="J722" s="9" t="n">
        <v>2238.7</v>
      </c>
      <c r="K722" s="9" t="n">
        <v>2413.88</v>
      </c>
      <c r="L722" s="9" t="n">
        <v>2412.71</v>
      </c>
      <c r="M722" s="9" t="n">
        <v>2442.25</v>
      </c>
      <c r="N722" s="9" t="n">
        <v>2208.35</v>
      </c>
      <c r="O722" s="9" t="n">
        <v>2306.72</v>
      </c>
      <c r="P722" s="9" t="n">
        <v>2621.07</v>
      </c>
      <c r="Q722" s="9" t="n">
        <v>2390.8</v>
      </c>
      <c r="R722" s="9" t="n">
        <v>2506.24</v>
      </c>
      <c r="S722" s="9" t="n">
        <v>2335.46</v>
      </c>
      <c r="T722" s="9" t="n">
        <v>2428.07</v>
      </c>
      <c r="U722" s="10">
        <f>SUM(I722:T722)</f>
        <v/>
      </c>
    </row>
    <row r="723">
      <c r="A723" s="2" t="inlineStr">
        <is>
          <t>SN-3000-3100-31ER-3100AC0002</t>
        </is>
      </c>
      <c r="B723" s="2" t="inlineStr">
        <is>
          <t>3100AC0002</t>
        </is>
      </c>
      <c r="C723" s="2" t="inlineStr">
        <is>
          <t>Unidad aire acondicionado</t>
        </is>
      </c>
      <c r="D723" s="2" t="n">
        <v>241</v>
      </c>
      <c r="E723" s="2" t="inlineStr">
        <is>
          <t>CC-3000</t>
        </is>
      </c>
      <c r="F723" s="2" t="inlineStr">
        <is>
          <t>P01</t>
        </is>
      </c>
      <c r="G723" s="2" t="n">
        <v>620000</v>
      </c>
      <c r="H723" s="2" t="inlineStr">
        <is>
          <t>Materiales</t>
        </is>
      </c>
      <c r="I723" s="9" t="n">
        <v>2481.95</v>
      </c>
      <c r="J723" s="9" t="n">
        <v>2248.21</v>
      </c>
      <c r="K723" s="9" t="n">
        <v>2599.86</v>
      </c>
      <c r="L723" s="9" t="n">
        <v>2439.88</v>
      </c>
      <c r="M723" s="9" t="n">
        <v>2311.07</v>
      </c>
      <c r="N723" s="9" t="n">
        <v>2274.44</v>
      </c>
      <c r="O723" s="9" t="n">
        <v>2427.53</v>
      </c>
      <c r="P723" s="9" t="n">
        <v>2364.61</v>
      </c>
      <c r="Q723" s="9" t="n">
        <v>2166.21</v>
      </c>
      <c r="R723" s="9" t="n">
        <v>2575.15</v>
      </c>
      <c r="S723" s="9" t="n">
        <v>2169.01</v>
      </c>
      <c r="T723" s="9" t="n">
        <v>2570.74</v>
      </c>
      <c r="U723" s="10">
        <f>SUM(I723:T723)</f>
        <v/>
      </c>
    </row>
    <row r="724">
      <c r="A724" s="2" t="inlineStr">
        <is>
          <t>SN-3000-3100-31ER-3100AC0002</t>
        </is>
      </c>
      <c r="B724" s="2" t="inlineStr">
        <is>
          <t>3100AC0002</t>
        </is>
      </c>
      <c r="C724" s="2" t="inlineStr">
        <is>
          <t>Unidad aire acondicionado</t>
        </is>
      </c>
      <c r="D724" s="2" t="n">
        <v>241</v>
      </c>
      <c r="E724" s="2" t="inlineStr">
        <is>
          <t>CC-3000</t>
        </is>
      </c>
      <c r="F724" s="2" t="inlineStr">
        <is>
          <t>P01</t>
        </is>
      </c>
      <c r="G724" s="2" t="n">
        <v>630000</v>
      </c>
      <c r="H724" s="2" t="inlineStr">
        <is>
          <t>Servicios externos</t>
        </is>
      </c>
      <c r="I724" s="9" t="n">
        <v>1853.55</v>
      </c>
      <c r="J724" s="9" t="n">
        <v>1976.41</v>
      </c>
      <c r="K724" s="9" t="n">
        <v>2109.17</v>
      </c>
      <c r="L724" s="9" t="n">
        <v>2102.33</v>
      </c>
      <c r="M724" s="9" t="n">
        <v>1936.36</v>
      </c>
      <c r="N724" s="9" t="n">
        <v>1784.31</v>
      </c>
      <c r="O724" s="9" t="n">
        <v>2033.9</v>
      </c>
      <c r="P724" s="9" t="n">
        <v>2019.71</v>
      </c>
      <c r="Q724" s="9" t="n">
        <v>1749.23</v>
      </c>
      <c r="R724" s="9" t="n">
        <v>2248.57</v>
      </c>
      <c r="S724" s="9" t="n">
        <v>1776.06</v>
      </c>
      <c r="T724" s="9" t="n">
        <v>2141.22</v>
      </c>
      <c r="U724" s="10">
        <f>SUM(I724:T724)</f>
        <v/>
      </c>
    </row>
    <row r="725">
      <c r="A725" s="2" t="inlineStr">
        <is>
          <t>SN-3000-3100-31ER-3100BA0001</t>
        </is>
      </c>
      <c r="B725" s="2" t="inlineStr">
        <is>
          <t>3100BA0001</t>
        </is>
      </c>
      <c r="C725" s="2" t="inlineStr">
        <is>
          <t>Banco baterías UPS</t>
        </is>
      </c>
      <c r="D725" s="2" t="n">
        <v>242</v>
      </c>
      <c r="E725" s="2" t="inlineStr">
        <is>
          <t>CC-3000</t>
        </is>
      </c>
      <c r="F725" s="2" t="inlineStr">
        <is>
          <t>P01</t>
        </is>
      </c>
      <c r="G725" s="2" t="n">
        <v>610000</v>
      </c>
      <c r="H725" s="2" t="inlineStr">
        <is>
          <t>Mano obra interna</t>
        </is>
      </c>
      <c r="I725" s="9" t="n">
        <v>1454.39</v>
      </c>
      <c r="J725" s="9" t="n">
        <v>1457.79</v>
      </c>
      <c r="K725" s="9" t="n">
        <v>1477.63</v>
      </c>
      <c r="L725" s="9" t="n">
        <v>1343.59</v>
      </c>
      <c r="M725" s="9" t="n">
        <v>1356.14</v>
      </c>
      <c r="N725" s="9" t="n">
        <v>1231.69</v>
      </c>
      <c r="O725" s="9" t="n">
        <v>1359.31</v>
      </c>
      <c r="P725" s="9" t="n">
        <v>1435.5</v>
      </c>
      <c r="Q725" s="9" t="n">
        <v>1264.11</v>
      </c>
      <c r="R725" s="9" t="n">
        <v>1451.08</v>
      </c>
      <c r="S725" s="9" t="n">
        <v>1359.37</v>
      </c>
      <c r="T725" s="9" t="n">
        <v>1487.24</v>
      </c>
      <c r="U725" s="10">
        <f>SUM(I725:T725)</f>
        <v/>
      </c>
    </row>
    <row r="726">
      <c r="A726" s="2" t="inlineStr">
        <is>
          <t>SN-3000-3100-31ER-3100BA0001</t>
        </is>
      </c>
      <c r="B726" s="2" t="inlineStr">
        <is>
          <t>3100BA0001</t>
        </is>
      </c>
      <c r="C726" s="2" t="inlineStr">
        <is>
          <t>Banco baterías UPS</t>
        </is>
      </c>
      <c r="D726" s="2" t="n">
        <v>242</v>
      </c>
      <c r="E726" s="2" t="inlineStr">
        <is>
          <t>CC-3000</t>
        </is>
      </c>
      <c r="F726" s="2" t="inlineStr">
        <is>
          <t>P01</t>
        </is>
      </c>
      <c r="G726" s="2" t="n">
        <v>620000</v>
      </c>
      <c r="H726" s="2" t="inlineStr">
        <is>
          <t>Materiales</t>
        </is>
      </c>
      <c r="I726" s="9" t="n">
        <v>1077.02</v>
      </c>
      <c r="J726" s="9" t="n">
        <v>1000.57</v>
      </c>
      <c r="K726" s="9" t="n">
        <v>1143.38</v>
      </c>
      <c r="L726" s="9" t="n">
        <v>1029.12</v>
      </c>
      <c r="M726" s="9" t="n">
        <v>1091.65</v>
      </c>
      <c r="N726" s="9" t="n">
        <v>992.35</v>
      </c>
      <c r="O726" s="9" t="n">
        <v>1023.41</v>
      </c>
      <c r="P726" s="9" t="n">
        <v>1148.89</v>
      </c>
      <c r="Q726" s="9" t="n">
        <v>923.36</v>
      </c>
      <c r="R726" s="9" t="n">
        <v>1147.46</v>
      </c>
      <c r="S726" s="9" t="n">
        <v>960.76</v>
      </c>
      <c r="T726" s="9" t="n">
        <v>1087.81</v>
      </c>
      <c r="U726" s="10">
        <f>SUM(I726:T726)</f>
        <v/>
      </c>
    </row>
    <row r="727">
      <c r="A727" s="2" t="inlineStr">
        <is>
          <t>SN-3000-3100-31ER-3100BA0001</t>
        </is>
      </c>
      <c r="B727" s="2" t="inlineStr">
        <is>
          <t>3100BA0001</t>
        </is>
      </c>
      <c r="C727" s="2" t="inlineStr">
        <is>
          <t>Banco baterías UPS</t>
        </is>
      </c>
      <c r="D727" s="2" t="n">
        <v>242</v>
      </c>
      <c r="E727" s="2" t="inlineStr">
        <is>
          <t>CC-3000</t>
        </is>
      </c>
      <c r="F727" s="2" t="inlineStr">
        <is>
          <t>P01</t>
        </is>
      </c>
      <c r="G727" s="2" t="n">
        <v>630000</v>
      </c>
      <c r="H727" s="2" t="inlineStr">
        <is>
          <t>Servicios externos</t>
        </is>
      </c>
      <c r="I727" s="9" t="n">
        <v>1232.3</v>
      </c>
      <c r="J727" s="9" t="n">
        <v>1151.76</v>
      </c>
      <c r="K727" s="9" t="n">
        <v>1256.56</v>
      </c>
      <c r="L727" s="9" t="n">
        <v>1304.99</v>
      </c>
      <c r="M727" s="9" t="n">
        <v>1285.31</v>
      </c>
      <c r="N727" s="9" t="n">
        <v>1193.85</v>
      </c>
      <c r="O727" s="9" t="n">
        <v>1261.03</v>
      </c>
      <c r="P727" s="9" t="n">
        <v>1182.19</v>
      </c>
      <c r="Q727" s="9" t="n">
        <v>1117.35</v>
      </c>
      <c r="R727" s="9" t="n">
        <v>1267.56</v>
      </c>
      <c r="S727" s="9" t="n">
        <v>1154.66</v>
      </c>
      <c r="T727" s="9" t="n">
        <v>1205.54</v>
      </c>
      <c r="U727" s="10">
        <f>SUM(I727:T727)</f>
        <v/>
      </c>
    </row>
    <row r="728">
      <c r="A728" s="2" t="inlineStr">
        <is>
          <t>SN-3000-3100-31ER-3100BA0002</t>
        </is>
      </c>
      <c r="B728" s="2" t="inlineStr">
        <is>
          <t>3100BA0002</t>
        </is>
      </c>
      <c r="C728" s="2" t="inlineStr">
        <is>
          <t>Banco baterías UPS</t>
        </is>
      </c>
      <c r="D728" s="2" t="n">
        <v>243</v>
      </c>
      <c r="E728" s="2" t="inlineStr">
        <is>
          <t>CC-3000</t>
        </is>
      </c>
      <c r="F728" s="2" t="inlineStr">
        <is>
          <t>P01</t>
        </is>
      </c>
      <c r="G728" s="2" t="n">
        <v>610000</v>
      </c>
      <c r="H728" s="2" t="inlineStr">
        <is>
          <t>Mano obra interna</t>
        </is>
      </c>
      <c r="I728" s="9" t="n">
        <v>1405.21</v>
      </c>
      <c r="J728" s="9" t="n">
        <v>1437.76</v>
      </c>
      <c r="K728" s="9" t="n">
        <v>1337.48</v>
      </c>
      <c r="L728" s="9" t="n">
        <v>1424.46</v>
      </c>
      <c r="M728" s="9" t="n">
        <v>1417.21</v>
      </c>
      <c r="N728" s="9" t="n">
        <v>1315.53</v>
      </c>
      <c r="O728" s="9" t="n">
        <v>1310.01</v>
      </c>
      <c r="P728" s="9" t="n">
        <v>1310.09</v>
      </c>
      <c r="Q728" s="9" t="n">
        <v>1175.11</v>
      </c>
      <c r="R728" s="9" t="n">
        <v>1423.97</v>
      </c>
      <c r="S728" s="9" t="n">
        <v>1370.95</v>
      </c>
      <c r="T728" s="9" t="n">
        <v>1282.95</v>
      </c>
      <c r="U728" s="10">
        <f>SUM(I728:T728)</f>
        <v/>
      </c>
    </row>
    <row r="729">
      <c r="A729" s="2" t="inlineStr">
        <is>
          <t>SN-3000-3100-31ER-3100BA0002</t>
        </is>
      </c>
      <c r="B729" s="2" t="inlineStr">
        <is>
          <t>3100BA0002</t>
        </is>
      </c>
      <c r="C729" s="2" t="inlineStr">
        <is>
          <t>Banco baterías UPS</t>
        </is>
      </c>
      <c r="D729" s="2" t="n">
        <v>243</v>
      </c>
      <c r="E729" s="2" t="inlineStr">
        <is>
          <t>CC-3000</t>
        </is>
      </c>
      <c r="F729" s="2" t="inlineStr">
        <is>
          <t>P01</t>
        </is>
      </c>
      <c r="G729" s="2" t="n">
        <v>620000</v>
      </c>
      <c r="H729" s="2" t="inlineStr">
        <is>
          <t>Materiales</t>
        </is>
      </c>
      <c r="I729" s="9" t="n">
        <v>1259.65</v>
      </c>
      <c r="J729" s="9" t="n">
        <v>1229.63</v>
      </c>
      <c r="K729" s="9" t="n">
        <v>1223.5</v>
      </c>
      <c r="L729" s="9" t="n">
        <v>1259.53</v>
      </c>
      <c r="M729" s="9" t="n">
        <v>1160.96</v>
      </c>
      <c r="N729" s="9" t="n">
        <v>1079.89</v>
      </c>
      <c r="O729" s="9" t="n">
        <v>1175.58</v>
      </c>
      <c r="P729" s="9" t="n">
        <v>1208.89</v>
      </c>
      <c r="Q729" s="9" t="n">
        <v>1191.66</v>
      </c>
      <c r="R729" s="9" t="n">
        <v>1199.31</v>
      </c>
      <c r="S729" s="9" t="n">
        <v>1157.73</v>
      </c>
      <c r="T729" s="9" t="n">
        <v>1179.06</v>
      </c>
      <c r="U729" s="10">
        <f>SUM(I729:T729)</f>
        <v/>
      </c>
    </row>
    <row r="730">
      <c r="A730" s="2" t="inlineStr">
        <is>
          <t>SN-3000-3100-31ER-3100BA0002</t>
        </is>
      </c>
      <c r="B730" s="2" t="inlineStr">
        <is>
          <t>3100BA0002</t>
        </is>
      </c>
      <c r="C730" s="2" t="inlineStr">
        <is>
          <t>Banco baterías UPS</t>
        </is>
      </c>
      <c r="D730" s="2" t="n">
        <v>243</v>
      </c>
      <c r="E730" s="2" t="inlineStr">
        <is>
          <t>CC-3000</t>
        </is>
      </c>
      <c r="F730" s="2" t="inlineStr">
        <is>
          <t>P01</t>
        </is>
      </c>
      <c r="G730" s="2" t="n">
        <v>630000</v>
      </c>
      <c r="H730" s="2" t="inlineStr">
        <is>
          <t>Servicios externos</t>
        </is>
      </c>
      <c r="I730" s="9" t="n">
        <v>1236.19</v>
      </c>
      <c r="J730" s="9" t="n">
        <v>1252.32</v>
      </c>
      <c r="K730" s="9" t="n">
        <v>1421.47</v>
      </c>
      <c r="L730" s="9" t="n">
        <v>1351.24</v>
      </c>
      <c r="M730" s="9" t="n">
        <v>1286.97</v>
      </c>
      <c r="N730" s="9" t="n">
        <v>1210.2</v>
      </c>
      <c r="O730" s="9" t="n">
        <v>1269</v>
      </c>
      <c r="P730" s="9" t="n">
        <v>1285.31</v>
      </c>
      <c r="Q730" s="9" t="n">
        <v>1285.69</v>
      </c>
      <c r="R730" s="9" t="n">
        <v>1519.26</v>
      </c>
      <c r="S730" s="9" t="n">
        <v>1256.47</v>
      </c>
      <c r="T730" s="9" t="n">
        <v>1307.55</v>
      </c>
      <c r="U730" s="10">
        <f>SUM(I730:T730)</f>
        <v/>
      </c>
    </row>
    <row r="731">
      <c r="A731" s="2" t="inlineStr">
        <is>
          <t>SN-3000-3100-31ER-3100BC0001</t>
        </is>
      </c>
      <c r="B731" s="2" t="inlineStr">
        <is>
          <t>3100BC0001</t>
        </is>
      </c>
      <c r="C731" s="2" t="inlineStr">
        <is>
          <t>Cargador baterías</t>
        </is>
      </c>
      <c r="D731" s="2" t="n">
        <v>244</v>
      </c>
      <c r="E731" s="2" t="inlineStr">
        <is>
          <t>CC-3000</t>
        </is>
      </c>
      <c r="F731" s="2" t="inlineStr">
        <is>
          <t>P01</t>
        </is>
      </c>
      <c r="G731" s="2" t="n">
        <v>610000</v>
      </c>
      <c r="H731" s="2" t="inlineStr">
        <is>
          <t>Mano obra interna</t>
        </is>
      </c>
      <c r="I731" s="9" t="n">
        <v>2657.77</v>
      </c>
      <c r="J731" s="9" t="n">
        <v>2616.01</v>
      </c>
      <c r="K731" s="9" t="n">
        <v>2600.67</v>
      </c>
      <c r="L731" s="9" t="n">
        <v>2797.27</v>
      </c>
      <c r="M731" s="9" t="n">
        <v>2620.4</v>
      </c>
      <c r="N731" s="9" t="n">
        <v>2643.11</v>
      </c>
      <c r="O731" s="9" t="n">
        <v>2753.88</v>
      </c>
      <c r="P731" s="9" t="n">
        <v>2512.3</v>
      </c>
      <c r="Q731" s="9" t="n">
        <v>2536.82</v>
      </c>
      <c r="R731" s="9" t="n">
        <v>2977.29</v>
      </c>
      <c r="S731" s="9" t="n">
        <v>2487.38</v>
      </c>
      <c r="T731" s="9" t="n">
        <v>2533.38</v>
      </c>
      <c r="U731" s="10">
        <f>SUM(I731:T731)</f>
        <v/>
      </c>
    </row>
    <row r="732">
      <c r="A732" s="2" t="inlineStr">
        <is>
          <t>SN-3000-3100-31ER-3100BC0001</t>
        </is>
      </c>
      <c r="B732" s="2" t="inlineStr">
        <is>
          <t>3100BC0001</t>
        </is>
      </c>
      <c r="C732" s="2" t="inlineStr">
        <is>
          <t>Cargador baterías</t>
        </is>
      </c>
      <c r="D732" s="2" t="n">
        <v>244</v>
      </c>
      <c r="E732" s="2" t="inlineStr">
        <is>
          <t>CC-3000</t>
        </is>
      </c>
      <c r="F732" s="2" t="inlineStr">
        <is>
          <t>P01</t>
        </is>
      </c>
      <c r="G732" s="2" t="n">
        <v>620000</v>
      </c>
      <c r="H732" s="2" t="inlineStr">
        <is>
          <t>Materiales</t>
        </is>
      </c>
      <c r="I732" s="9" t="n">
        <v>2044.75</v>
      </c>
      <c r="J732" s="9" t="n">
        <v>1941.34</v>
      </c>
      <c r="K732" s="9" t="n">
        <v>2101.03</v>
      </c>
      <c r="L732" s="9" t="n">
        <v>1960.37</v>
      </c>
      <c r="M732" s="9" t="n">
        <v>2112.95</v>
      </c>
      <c r="N732" s="9" t="n">
        <v>1855.35</v>
      </c>
      <c r="O732" s="9" t="n">
        <v>1931.36</v>
      </c>
      <c r="P732" s="9" t="n">
        <v>2011.12</v>
      </c>
      <c r="Q732" s="9" t="n">
        <v>1878.96</v>
      </c>
      <c r="R732" s="9" t="n">
        <v>2077.93</v>
      </c>
      <c r="S732" s="9" t="n">
        <v>1883.04</v>
      </c>
      <c r="T732" s="9" t="n">
        <v>1940.55</v>
      </c>
      <c r="U732" s="10">
        <f>SUM(I732:T732)</f>
        <v/>
      </c>
    </row>
    <row r="733">
      <c r="A733" s="2" t="inlineStr">
        <is>
          <t>SN-3000-3100-31ER-3100BC0001</t>
        </is>
      </c>
      <c r="B733" s="2" t="inlineStr">
        <is>
          <t>3100BC0001</t>
        </is>
      </c>
      <c r="C733" s="2" t="inlineStr">
        <is>
          <t>Cargador baterías</t>
        </is>
      </c>
      <c r="D733" s="2" t="n">
        <v>244</v>
      </c>
      <c r="E733" s="2" t="inlineStr">
        <is>
          <t>CC-3000</t>
        </is>
      </c>
      <c r="F733" s="2" t="inlineStr">
        <is>
          <t>P01</t>
        </is>
      </c>
      <c r="G733" s="2" t="n">
        <v>630000</v>
      </c>
      <c r="H733" s="2" t="inlineStr">
        <is>
          <t>Servicios externos</t>
        </is>
      </c>
      <c r="I733" s="9" t="n">
        <v>2638.44</v>
      </c>
      <c r="J733" s="9" t="n">
        <v>2425.28</v>
      </c>
      <c r="K733" s="9" t="n">
        <v>2643.44</v>
      </c>
      <c r="L733" s="9" t="n">
        <v>2627.71</v>
      </c>
      <c r="M733" s="9" t="n">
        <v>2309.97</v>
      </c>
      <c r="N733" s="9" t="n">
        <v>2545.34</v>
      </c>
      <c r="O733" s="9" t="n">
        <v>2605.94</v>
      </c>
      <c r="P733" s="9" t="n">
        <v>2358.6</v>
      </c>
      <c r="Q733" s="9" t="n">
        <v>2190.44</v>
      </c>
      <c r="R733" s="9" t="n">
        <v>2511.78</v>
      </c>
      <c r="S733" s="9" t="n">
        <v>2259.61</v>
      </c>
      <c r="T733" s="9" t="n">
        <v>2614.12</v>
      </c>
      <c r="U733" s="10">
        <f>SUM(I733:T733)</f>
        <v/>
      </c>
    </row>
    <row r="734">
      <c r="A734" s="2" t="inlineStr">
        <is>
          <t>SN-3000-3100-31ER-3100CC0001</t>
        </is>
      </c>
      <c r="B734" s="2" t="inlineStr">
        <is>
          <t>3100CC0001</t>
        </is>
      </c>
      <c r="C734" s="2" t="inlineStr">
        <is>
          <t>Tablero de comunicación</t>
        </is>
      </c>
      <c r="D734" s="2" t="n">
        <v>245</v>
      </c>
      <c r="E734" s="2" t="inlineStr">
        <is>
          <t>CC-3000</t>
        </is>
      </c>
      <c r="F734" s="2" t="inlineStr">
        <is>
          <t>P01</t>
        </is>
      </c>
      <c r="G734" s="2" t="n">
        <v>610000</v>
      </c>
      <c r="H734" s="2" t="inlineStr">
        <is>
          <t>Mano obra interna</t>
        </is>
      </c>
      <c r="I734" s="9" t="n">
        <v>1362.59</v>
      </c>
      <c r="J734" s="9" t="n">
        <v>1307.18</v>
      </c>
      <c r="K734" s="9" t="n">
        <v>1339.42</v>
      </c>
      <c r="L734" s="9" t="n">
        <v>1344.03</v>
      </c>
      <c r="M734" s="9" t="n">
        <v>1166.36</v>
      </c>
      <c r="N734" s="9" t="n">
        <v>1184.09</v>
      </c>
      <c r="O734" s="9" t="n">
        <v>1305.71</v>
      </c>
      <c r="P734" s="9" t="n">
        <v>1175.83</v>
      </c>
      <c r="Q734" s="9" t="n">
        <v>1099.87</v>
      </c>
      <c r="R734" s="9" t="n">
        <v>1454.64</v>
      </c>
      <c r="S734" s="9" t="n">
        <v>1272.58</v>
      </c>
      <c r="T734" s="9" t="n">
        <v>1247.27</v>
      </c>
      <c r="U734" s="10">
        <f>SUM(I734:T734)</f>
        <v/>
      </c>
    </row>
    <row r="735">
      <c r="A735" s="2" t="inlineStr">
        <is>
          <t>SN-3000-3100-31ER-3100CC0001</t>
        </is>
      </c>
      <c r="B735" s="2" t="inlineStr">
        <is>
          <t>3100CC0001</t>
        </is>
      </c>
      <c r="C735" s="2" t="inlineStr">
        <is>
          <t>Tablero de comunicación</t>
        </is>
      </c>
      <c r="D735" s="2" t="n">
        <v>245</v>
      </c>
      <c r="E735" s="2" t="inlineStr">
        <is>
          <t>CC-3000</t>
        </is>
      </c>
      <c r="F735" s="2" t="inlineStr">
        <is>
          <t>P01</t>
        </is>
      </c>
      <c r="G735" s="2" t="n">
        <v>620000</v>
      </c>
      <c r="H735" s="2" t="inlineStr">
        <is>
          <t>Materiales</t>
        </is>
      </c>
      <c r="I735" s="9" t="n">
        <v>1415.03</v>
      </c>
      <c r="J735" s="9" t="n">
        <v>1263.8</v>
      </c>
      <c r="K735" s="9" t="n">
        <v>1264.66</v>
      </c>
      <c r="L735" s="9" t="n">
        <v>1447.07</v>
      </c>
      <c r="M735" s="9" t="n">
        <v>1278.01</v>
      </c>
      <c r="N735" s="9" t="n">
        <v>1186.29</v>
      </c>
      <c r="O735" s="9" t="n">
        <v>1323.04</v>
      </c>
      <c r="P735" s="9" t="n">
        <v>1380.02</v>
      </c>
      <c r="Q735" s="9" t="n">
        <v>1177.74</v>
      </c>
      <c r="R735" s="9" t="n">
        <v>1375.35</v>
      </c>
      <c r="S735" s="9" t="n">
        <v>1229.11</v>
      </c>
      <c r="T735" s="9" t="n">
        <v>1449.55</v>
      </c>
      <c r="U735" s="10">
        <f>SUM(I735:T735)</f>
        <v/>
      </c>
    </row>
    <row r="736">
      <c r="A736" s="2" t="inlineStr">
        <is>
          <t>SN-3000-3100-31ER-3100CC0001</t>
        </is>
      </c>
      <c r="B736" s="2" t="inlineStr">
        <is>
          <t>3100CC0001</t>
        </is>
      </c>
      <c r="C736" s="2" t="inlineStr">
        <is>
          <t>Tablero de comunicación</t>
        </is>
      </c>
      <c r="D736" s="2" t="n">
        <v>245</v>
      </c>
      <c r="E736" s="2" t="inlineStr">
        <is>
          <t>CC-3000</t>
        </is>
      </c>
      <c r="F736" s="2" t="inlineStr">
        <is>
          <t>P01</t>
        </is>
      </c>
      <c r="G736" s="2" t="n">
        <v>630000</v>
      </c>
      <c r="H736" s="2" t="inlineStr">
        <is>
          <t>Servicios externos</t>
        </is>
      </c>
      <c r="I736" s="9" t="n">
        <v>1139.97</v>
      </c>
      <c r="J736" s="9" t="n">
        <v>1160.59</v>
      </c>
      <c r="K736" s="9" t="n">
        <v>1073.96</v>
      </c>
      <c r="L736" s="9" t="n">
        <v>1212.64</v>
      </c>
      <c r="M736" s="9" t="n">
        <v>1170.12</v>
      </c>
      <c r="N736" s="9" t="n">
        <v>1119.79</v>
      </c>
      <c r="O736" s="9" t="n">
        <v>1053.44</v>
      </c>
      <c r="P736" s="9" t="n">
        <v>1126.18</v>
      </c>
      <c r="Q736" s="9" t="n">
        <v>1069.96</v>
      </c>
      <c r="R736" s="9" t="n">
        <v>1282.42</v>
      </c>
      <c r="S736" s="9" t="n">
        <v>1013.5</v>
      </c>
      <c r="T736" s="9" t="n">
        <v>1167.4</v>
      </c>
      <c r="U736" s="10">
        <f>SUM(I736:T736)</f>
        <v/>
      </c>
    </row>
    <row r="737">
      <c r="A737" s="2" t="inlineStr">
        <is>
          <t>SN-3000-3100-31ER-3100CC0002</t>
        </is>
      </c>
      <c r="B737" s="2" t="inlineStr">
        <is>
          <t>3100CC0002</t>
        </is>
      </c>
      <c r="C737" s="2" t="inlineStr">
        <is>
          <t>Tablero de comunicación</t>
        </is>
      </c>
      <c r="D737" s="2" t="n">
        <v>246</v>
      </c>
      <c r="E737" s="2" t="inlineStr">
        <is>
          <t>CC-3000</t>
        </is>
      </c>
      <c r="F737" s="2" t="inlineStr">
        <is>
          <t>P01</t>
        </is>
      </c>
      <c r="G737" s="2" t="n">
        <v>610000</v>
      </c>
      <c r="H737" s="2" t="inlineStr">
        <is>
          <t>Mano obra interna</t>
        </is>
      </c>
      <c r="I737" s="9" t="n">
        <v>2153.17</v>
      </c>
      <c r="J737" s="9" t="n">
        <v>2163.41</v>
      </c>
      <c r="K737" s="9" t="n">
        <v>2402.95</v>
      </c>
      <c r="L737" s="9" t="n">
        <v>2260.91</v>
      </c>
      <c r="M737" s="9" t="n">
        <v>2214.87</v>
      </c>
      <c r="N737" s="9" t="n">
        <v>2295.43</v>
      </c>
      <c r="O737" s="9" t="n">
        <v>2189.74</v>
      </c>
      <c r="P737" s="9" t="n">
        <v>2264.04</v>
      </c>
      <c r="Q737" s="9" t="n">
        <v>2026.23</v>
      </c>
      <c r="R737" s="9" t="n">
        <v>2357.97</v>
      </c>
      <c r="S737" s="9" t="n">
        <v>2221.03</v>
      </c>
      <c r="T737" s="9" t="n">
        <v>2415.87</v>
      </c>
      <c r="U737" s="10">
        <f>SUM(I737:T737)</f>
        <v/>
      </c>
    </row>
    <row r="738">
      <c r="A738" s="2" t="inlineStr">
        <is>
          <t>SN-3000-3100-31ER-3100CC0002</t>
        </is>
      </c>
      <c r="B738" s="2" t="inlineStr">
        <is>
          <t>3100CC0002</t>
        </is>
      </c>
      <c r="C738" s="2" t="inlineStr">
        <is>
          <t>Tablero de comunicación</t>
        </is>
      </c>
      <c r="D738" s="2" t="n">
        <v>246</v>
      </c>
      <c r="E738" s="2" t="inlineStr">
        <is>
          <t>CC-3000</t>
        </is>
      </c>
      <c r="F738" s="2" t="inlineStr">
        <is>
          <t>P01</t>
        </is>
      </c>
      <c r="G738" s="2" t="n">
        <v>620000</v>
      </c>
      <c r="H738" s="2" t="inlineStr">
        <is>
          <t>Materiales</t>
        </is>
      </c>
      <c r="I738" s="9" t="n">
        <v>2515.56</v>
      </c>
      <c r="J738" s="9" t="n">
        <v>2174.01</v>
      </c>
      <c r="K738" s="9" t="n">
        <v>2324.85</v>
      </c>
      <c r="L738" s="9" t="n">
        <v>2415.64</v>
      </c>
      <c r="M738" s="9" t="n">
        <v>2158.72</v>
      </c>
      <c r="N738" s="9" t="n">
        <v>2169.61</v>
      </c>
      <c r="O738" s="9" t="n">
        <v>2370.38</v>
      </c>
      <c r="P738" s="9" t="n">
        <v>2177.74</v>
      </c>
      <c r="Q738" s="9" t="n">
        <v>2116.55</v>
      </c>
      <c r="R738" s="9" t="n">
        <v>2553.75</v>
      </c>
      <c r="S738" s="9" t="n">
        <v>2314.05</v>
      </c>
      <c r="T738" s="9" t="n">
        <v>2561.15</v>
      </c>
      <c r="U738" s="10">
        <f>SUM(I738:T738)</f>
        <v/>
      </c>
    </row>
    <row r="739">
      <c r="A739" s="2" t="inlineStr">
        <is>
          <t>SN-3000-3100-31ER-3100CC0002</t>
        </is>
      </c>
      <c r="B739" s="2" t="inlineStr">
        <is>
          <t>3100CC0002</t>
        </is>
      </c>
      <c r="C739" s="2" t="inlineStr">
        <is>
          <t>Tablero de comunicación</t>
        </is>
      </c>
      <c r="D739" s="2" t="n">
        <v>246</v>
      </c>
      <c r="E739" s="2" t="inlineStr">
        <is>
          <t>CC-3000</t>
        </is>
      </c>
      <c r="F739" s="2" t="inlineStr">
        <is>
          <t>P01</t>
        </is>
      </c>
      <c r="G739" s="2" t="n">
        <v>630000</v>
      </c>
      <c r="H739" s="2" t="inlineStr">
        <is>
          <t>Servicios externos</t>
        </is>
      </c>
      <c r="I739" s="9" t="n">
        <v>2366.71</v>
      </c>
      <c r="J739" s="9" t="n">
        <v>2474.25</v>
      </c>
      <c r="K739" s="9" t="n">
        <v>2535.34</v>
      </c>
      <c r="L739" s="9" t="n">
        <v>2286.96</v>
      </c>
      <c r="M739" s="9" t="n">
        <v>2188.74</v>
      </c>
      <c r="N739" s="9" t="n">
        <v>2310.4</v>
      </c>
      <c r="O739" s="9" t="n">
        <v>2374.04</v>
      </c>
      <c r="P739" s="9" t="n">
        <v>2457.55</v>
      </c>
      <c r="Q739" s="9" t="n">
        <v>2271.58</v>
      </c>
      <c r="R739" s="9" t="n">
        <v>2585.56</v>
      </c>
      <c r="S739" s="9" t="n">
        <v>2452.45</v>
      </c>
      <c r="T739" s="9" t="n">
        <v>2398.16</v>
      </c>
      <c r="U739" s="10">
        <f>SUM(I739:T739)</f>
        <v/>
      </c>
    </row>
    <row r="740">
      <c r="A740" s="2" t="inlineStr">
        <is>
          <t>SN-3000-3100-31ER-3100CS0001</t>
        </is>
      </c>
      <c r="B740" s="2" t="inlineStr">
        <is>
          <t>3100CS0001</t>
        </is>
      </c>
      <c r="C740" s="2" t="inlineStr">
        <is>
          <t>Gabinete control Planta Molienda SAG/ Bolas</t>
        </is>
      </c>
      <c r="D740" s="2" t="n">
        <v>247</v>
      </c>
      <c r="E740" s="2" t="inlineStr">
        <is>
          <t>CC-3000</t>
        </is>
      </c>
      <c r="F740" s="2" t="inlineStr">
        <is>
          <t>P01</t>
        </is>
      </c>
      <c r="G740" s="2" t="n">
        <v>610000</v>
      </c>
      <c r="H740" s="2" t="inlineStr">
        <is>
          <t>Mano obra interna</t>
        </is>
      </c>
      <c r="I740" s="9" t="n">
        <v>1915.27</v>
      </c>
      <c r="J740" s="9" t="n">
        <v>1685.84</v>
      </c>
      <c r="K740" s="9" t="n">
        <v>1920.52</v>
      </c>
      <c r="L740" s="9" t="n">
        <v>1955.07</v>
      </c>
      <c r="M740" s="9" t="n">
        <v>1819.64</v>
      </c>
      <c r="N740" s="9" t="n">
        <v>1730.41</v>
      </c>
      <c r="O740" s="9" t="n">
        <v>1772.03</v>
      </c>
      <c r="P740" s="9" t="n">
        <v>1742.56</v>
      </c>
      <c r="Q740" s="9" t="n">
        <v>1620.29</v>
      </c>
      <c r="R740" s="9" t="n">
        <v>1964.27</v>
      </c>
      <c r="S740" s="9" t="n">
        <v>1794.98</v>
      </c>
      <c r="T740" s="9" t="n">
        <v>1860.67</v>
      </c>
      <c r="U740" s="10">
        <f>SUM(I740:T740)</f>
        <v/>
      </c>
    </row>
    <row r="741">
      <c r="A741" s="2" t="inlineStr">
        <is>
          <t>SN-3000-3100-31ER-3100CS0001</t>
        </is>
      </c>
      <c r="B741" s="2" t="inlineStr">
        <is>
          <t>3100CS0001</t>
        </is>
      </c>
      <c r="C741" s="2" t="inlineStr">
        <is>
          <t>Gabinete control Planta Molienda SAG/ Bolas</t>
        </is>
      </c>
      <c r="D741" s="2" t="n">
        <v>247</v>
      </c>
      <c r="E741" s="2" t="inlineStr">
        <is>
          <t>CC-3000</t>
        </is>
      </c>
      <c r="F741" s="2" t="inlineStr">
        <is>
          <t>P01</t>
        </is>
      </c>
      <c r="G741" s="2" t="n">
        <v>620000</v>
      </c>
      <c r="H741" s="2" t="inlineStr">
        <is>
          <t>Materiales</t>
        </is>
      </c>
      <c r="I741" s="9" t="n">
        <v>1839.9</v>
      </c>
      <c r="J741" s="9" t="n">
        <v>1859.66</v>
      </c>
      <c r="K741" s="9" t="n">
        <v>1853.92</v>
      </c>
      <c r="L741" s="9" t="n">
        <v>1854.64</v>
      </c>
      <c r="M741" s="9" t="n">
        <v>1862.86</v>
      </c>
      <c r="N741" s="9" t="n">
        <v>1769.32</v>
      </c>
      <c r="O741" s="9" t="n">
        <v>1778.7</v>
      </c>
      <c r="P741" s="9" t="n">
        <v>1916.77</v>
      </c>
      <c r="Q741" s="9" t="n">
        <v>1588.7</v>
      </c>
      <c r="R741" s="9" t="n">
        <v>2099.8</v>
      </c>
      <c r="S741" s="9" t="n">
        <v>1639.95</v>
      </c>
      <c r="T741" s="9" t="n">
        <v>1688.76</v>
      </c>
      <c r="U741" s="10">
        <f>SUM(I741:T741)</f>
        <v/>
      </c>
    </row>
    <row r="742">
      <c r="A742" s="2" t="inlineStr">
        <is>
          <t>SN-3000-3100-31ER-3100CS0001</t>
        </is>
      </c>
      <c r="B742" s="2" t="inlineStr">
        <is>
          <t>3100CS0001</t>
        </is>
      </c>
      <c r="C742" s="2" t="inlineStr">
        <is>
          <t>Gabinete control Planta Molienda SAG/ Bolas</t>
        </is>
      </c>
      <c r="D742" s="2" t="n">
        <v>247</v>
      </c>
      <c r="E742" s="2" t="inlineStr">
        <is>
          <t>CC-3000</t>
        </is>
      </c>
      <c r="F742" s="2" t="inlineStr">
        <is>
          <t>P01</t>
        </is>
      </c>
      <c r="G742" s="2" t="n">
        <v>630000</v>
      </c>
      <c r="H742" s="2" t="inlineStr">
        <is>
          <t>Servicios externos</t>
        </is>
      </c>
      <c r="I742" s="9" t="n">
        <v>2151.16</v>
      </c>
      <c r="J742" s="9" t="n">
        <v>2243.13</v>
      </c>
      <c r="K742" s="9" t="n">
        <v>2379.18</v>
      </c>
      <c r="L742" s="9" t="n">
        <v>2374.28</v>
      </c>
      <c r="M742" s="9" t="n">
        <v>2345.17</v>
      </c>
      <c r="N742" s="9" t="n">
        <v>2031.15</v>
      </c>
      <c r="O742" s="9" t="n">
        <v>2271.81</v>
      </c>
      <c r="P742" s="9" t="n">
        <v>2060.15</v>
      </c>
      <c r="Q742" s="9" t="n">
        <v>2014.53</v>
      </c>
      <c r="R742" s="9" t="n">
        <v>2501.08</v>
      </c>
      <c r="S742" s="9" t="n">
        <v>2081.69</v>
      </c>
      <c r="T742" s="9" t="n">
        <v>2261.99</v>
      </c>
      <c r="U742" s="10">
        <f>SUM(I742:T742)</f>
        <v/>
      </c>
    </row>
    <row r="743">
      <c r="A743" s="2" t="inlineStr">
        <is>
          <t>SN-3000-3100-31ER-3100CS0002</t>
        </is>
      </c>
      <c r="B743" s="2" t="inlineStr">
        <is>
          <t>3100CS0002</t>
        </is>
      </c>
      <c r="C743" s="2" t="inlineStr">
        <is>
          <t>Gabinete control Lixiv / Filtro relave/ Espesadores CCD</t>
        </is>
      </c>
      <c r="D743" s="2" t="n">
        <v>248</v>
      </c>
      <c r="E743" s="2" t="inlineStr">
        <is>
          <t>CC-3000</t>
        </is>
      </c>
      <c r="F743" s="2" t="inlineStr">
        <is>
          <t>P01</t>
        </is>
      </c>
      <c r="G743" s="2" t="n">
        <v>610000</v>
      </c>
      <c r="H743" s="2" t="inlineStr">
        <is>
          <t>Mano obra interna</t>
        </is>
      </c>
      <c r="I743" s="9" t="n">
        <v>2373.17</v>
      </c>
      <c r="J743" s="9" t="n">
        <v>2406.55</v>
      </c>
      <c r="K743" s="9" t="n">
        <v>2176.96</v>
      </c>
      <c r="L743" s="9" t="n">
        <v>2349.22</v>
      </c>
      <c r="M743" s="9" t="n">
        <v>2378.75</v>
      </c>
      <c r="N743" s="9" t="n">
        <v>2165.4</v>
      </c>
      <c r="O743" s="9" t="n">
        <v>2119.43</v>
      </c>
      <c r="P743" s="9" t="n">
        <v>2291.96</v>
      </c>
      <c r="Q743" s="9" t="n">
        <v>2057.82</v>
      </c>
      <c r="R743" s="9" t="n">
        <v>2314.57</v>
      </c>
      <c r="S743" s="9" t="n">
        <v>2321.93</v>
      </c>
      <c r="T743" s="9" t="n">
        <v>2313.36</v>
      </c>
      <c r="U743" s="10">
        <f>SUM(I743:T743)</f>
        <v/>
      </c>
    </row>
    <row r="744">
      <c r="A744" s="2" t="inlineStr">
        <is>
          <t>SN-3000-3100-31ER-3100CS0002</t>
        </is>
      </c>
      <c r="B744" s="2" t="inlineStr">
        <is>
          <t>3100CS0002</t>
        </is>
      </c>
      <c r="C744" s="2" t="inlineStr">
        <is>
          <t>Gabinete control Lixiv / Filtro relave/ Espesadores CCD</t>
        </is>
      </c>
      <c r="D744" s="2" t="n">
        <v>248</v>
      </c>
      <c r="E744" s="2" t="inlineStr">
        <is>
          <t>CC-3000</t>
        </is>
      </c>
      <c r="F744" s="2" t="inlineStr">
        <is>
          <t>P01</t>
        </is>
      </c>
      <c r="G744" s="2" t="n">
        <v>620000</v>
      </c>
      <c r="H744" s="2" t="inlineStr">
        <is>
          <t>Materiales</t>
        </is>
      </c>
      <c r="I744" s="9" t="n">
        <v>2700.58</v>
      </c>
      <c r="J744" s="9" t="n">
        <v>2560.46</v>
      </c>
      <c r="K744" s="9" t="n">
        <v>2395.71</v>
      </c>
      <c r="L744" s="9" t="n">
        <v>2547.79</v>
      </c>
      <c r="M744" s="9" t="n">
        <v>2375.06</v>
      </c>
      <c r="N744" s="9" t="n">
        <v>2569.64</v>
      </c>
      <c r="O744" s="9" t="n">
        <v>2391.73</v>
      </c>
      <c r="P744" s="9" t="n">
        <v>2433.81</v>
      </c>
      <c r="Q744" s="9" t="n">
        <v>2353.95</v>
      </c>
      <c r="R744" s="9" t="n">
        <v>2616.77</v>
      </c>
      <c r="S744" s="9" t="n">
        <v>2328.08</v>
      </c>
      <c r="T744" s="9" t="n">
        <v>2599.98</v>
      </c>
      <c r="U744" s="10">
        <f>SUM(I744:T744)</f>
        <v/>
      </c>
    </row>
    <row r="745">
      <c r="A745" s="2" t="inlineStr">
        <is>
          <t>SN-3000-3100-31ER-3100CS0002</t>
        </is>
      </c>
      <c r="B745" s="2" t="inlineStr">
        <is>
          <t>3100CS0002</t>
        </is>
      </c>
      <c r="C745" s="2" t="inlineStr">
        <is>
          <t>Gabinete control Lixiv / Filtro relave/ Espesadores CCD</t>
        </is>
      </c>
      <c r="D745" s="2" t="n">
        <v>248</v>
      </c>
      <c r="E745" s="2" t="inlineStr">
        <is>
          <t>CC-3000</t>
        </is>
      </c>
      <c r="F745" s="2" t="inlineStr">
        <is>
          <t>P01</t>
        </is>
      </c>
      <c r="G745" s="2" t="n">
        <v>630000</v>
      </c>
      <c r="H745" s="2" t="inlineStr">
        <is>
          <t>Servicios externos</t>
        </is>
      </c>
      <c r="I745" s="9" t="n">
        <v>1821.7</v>
      </c>
      <c r="J745" s="9" t="n">
        <v>1852.52</v>
      </c>
      <c r="K745" s="9" t="n">
        <v>2050.95</v>
      </c>
      <c r="L745" s="9" t="n">
        <v>1979.79</v>
      </c>
      <c r="M745" s="9" t="n">
        <v>1876.94</v>
      </c>
      <c r="N745" s="9" t="n">
        <v>1855.2</v>
      </c>
      <c r="O745" s="9" t="n">
        <v>1879.76</v>
      </c>
      <c r="P745" s="9" t="n">
        <v>2052.72</v>
      </c>
      <c r="Q745" s="9" t="n">
        <v>1660.22</v>
      </c>
      <c r="R745" s="9" t="n">
        <v>2128.3</v>
      </c>
      <c r="S745" s="9" t="n">
        <v>1975.3</v>
      </c>
      <c r="T745" s="9" t="n">
        <v>2043.51</v>
      </c>
      <c r="U745" s="10">
        <f>SUM(I745:T745)</f>
        <v/>
      </c>
    </row>
    <row r="746">
      <c r="A746" s="2" t="inlineStr">
        <is>
          <t>SN-3000-3100-31ER-3100CS0003</t>
        </is>
      </c>
      <c r="B746" s="2" t="inlineStr">
        <is>
          <t>3100CS0003</t>
        </is>
      </c>
      <c r="C746" s="2" t="inlineStr">
        <is>
          <t>Gabinete control CCD/ CIP</t>
        </is>
      </c>
      <c r="D746" s="2" t="n">
        <v>249</v>
      </c>
      <c r="E746" s="2" t="inlineStr">
        <is>
          <t>CC-3000</t>
        </is>
      </c>
      <c r="F746" s="2" t="inlineStr">
        <is>
          <t>P01</t>
        </is>
      </c>
      <c r="G746" s="2" t="n">
        <v>610000</v>
      </c>
      <c r="H746" s="2" t="inlineStr">
        <is>
          <t>Mano obra interna</t>
        </is>
      </c>
      <c r="I746" s="9" t="n">
        <v>1011.23</v>
      </c>
      <c r="J746" s="9" t="n">
        <v>1043.54</v>
      </c>
      <c r="K746" s="9" t="n">
        <v>986.15</v>
      </c>
      <c r="L746" s="9" t="n">
        <v>1098.82</v>
      </c>
      <c r="M746" s="9" t="n">
        <v>1048.92</v>
      </c>
      <c r="N746" s="9" t="n">
        <v>1015</v>
      </c>
      <c r="O746" s="9" t="n">
        <v>958.96</v>
      </c>
      <c r="P746" s="9" t="n">
        <v>1058.91</v>
      </c>
      <c r="Q746" s="9" t="n">
        <v>980.66</v>
      </c>
      <c r="R746" s="9" t="n">
        <v>1162.8</v>
      </c>
      <c r="S746" s="9" t="n">
        <v>918.61</v>
      </c>
      <c r="T746" s="9" t="n">
        <v>959.9299999999999</v>
      </c>
      <c r="U746" s="10">
        <f>SUM(I746:T746)</f>
        <v/>
      </c>
    </row>
    <row r="747">
      <c r="A747" s="2" t="inlineStr">
        <is>
          <t>SN-3000-3100-31ER-3100CS0003</t>
        </is>
      </c>
      <c r="B747" s="2" t="inlineStr">
        <is>
          <t>3100CS0003</t>
        </is>
      </c>
      <c r="C747" s="2" t="inlineStr">
        <is>
          <t>Gabinete control CCD/ CIP</t>
        </is>
      </c>
      <c r="D747" s="2" t="n">
        <v>249</v>
      </c>
      <c r="E747" s="2" t="inlineStr">
        <is>
          <t>CC-3000</t>
        </is>
      </c>
      <c r="F747" s="2" t="inlineStr">
        <is>
          <t>P01</t>
        </is>
      </c>
      <c r="G747" s="2" t="n">
        <v>620000</v>
      </c>
      <c r="H747" s="2" t="inlineStr">
        <is>
          <t>Materiales</t>
        </is>
      </c>
      <c r="I747" s="9" t="n">
        <v>1026.73</v>
      </c>
      <c r="J747" s="9" t="n">
        <v>1059.32</v>
      </c>
      <c r="K747" s="9" t="n">
        <v>1172.78</v>
      </c>
      <c r="L747" s="9" t="n">
        <v>1070.23</v>
      </c>
      <c r="M747" s="9" t="n">
        <v>1112.83</v>
      </c>
      <c r="N747" s="9" t="n">
        <v>937.36</v>
      </c>
      <c r="O747" s="9" t="n">
        <v>1009.58</v>
      </c>
      <c r="P747" s="9" t="n">
        <v>984.85</v>
      </c>
      <c r="Q747" s="9" t="n">
        <v>964.71</v>
      </c>
      <c r="R747" s="9" t="n">
        <v>1224.28</v>
      </c>
      <c r="S747" s="9" t="n">
        <v>965.09</v>
      </c>
      <c r="T747" s="9" t="n">
        <v>1099.88</v>
      </c>
      <c r="U747" s="10">
        <f>SUM(I747:T747)</f>
        <v/>
      </c>
    </row>
    <row r="748">
      <c r="A748" s="2" t="inlineStr">
        <is>
          <t>SN-3000-3100-31ER-3100CS0003</t>
        </is>
      </c>
      <c r="B748" s="2" t="inlineStr">
        <is>
          <t>3100CS0003</t>
        </is>
      </c>
      <c r="C748" s="2" t="inlineStr">
        <is>
          <t>Gabinete control CCD/ CIP</t>
        </is>
      </c>
      <c r="D748" s="2" t="n">
        <v>249</v>
      </c>
      <c r="E748" s="2" t="inlineStr">
        <is>
          <t>CC-3000</t>
        </is>
      </c>
      <c r="F748" s="2" t="inlineStr">
        <is>
          <t>P01</t>
        </is>
      </c>
      <c r="G748" s="2" t="n">
        <v>630000</v>
      </c>
      <c r="H748" s="2" t="inlineStr">
        <is>
          <t>Servicios externos</t>
        </is>
      </c>
      <c r="I748" s="9" t="n">
        <v>1190.98</v>
      </c>
      <c r="J748" s="9" t="n">
        <v>1008.83</v>
      </c>
      <c r="K748" s="9" t="n">
        <v>1072.86</v>
      </c>
      <c r="L748" s="9" t="n">
        <v>1030.34</v>
      </c>
      <c r="M748" s="9" t="n">
        <v>1067.5</v>
      </c>
      <c r="N748" s="9" t="n">
        <v>1005.24</v>
      </c>
      <c r="O748" s="9" t="n">
        <v>1155.23</v>
      </c>
      <c r="P748" s="9" t="n">
        <v>1107.66</v>
      </c>
      <c r="Q748" s="9" t="n">
        <v>1033.35</v>
      </c>
      <c r="R748" s="9" t="n">
        <v>1181.68</v>
      </c>
      <c r="S748" s="9" t="n">
        <v>986.45</v>
      </c>
      <c r="T748" s="9" t="n">
        <v>1096.64</v>
      </c>
      <c r="U748" s="10">
        <f>SUM(I748:T748)</f>
        <v/>
      </c>
    </row>
    <row r="749">
      <c r="A749" s="2" t="inlineStr">
        <is>
          <t>SN-3000-3100-31ER-3100DP0001</t>
        </is>
      </c>
      <c r="B749" s="2" t="inlineStr">
        <is>
          <t>3100DP0001</t>
        </is>
      </c>
      <c r="C749" s="2" t="inlineStr">
        <is>
          <t>Tablero distribución potencia</t>
        </is>
      </c>
      <c r="D749" s="2" t="n">
        <v>250</v>
      </c>
      <c r="E749" s="2" t="inlineStr">
        <is>
          <t>CC-3000</t>
        </is>
      </c>
      <c r="F749" s="2" t="inlineStr">
        <is>
          <t>P01</t>
        </is>
      </c>
      <c r="G749" s="2" t="n">
        <v>610000</v>
      </c>
      <c r="H749" s="2" t="inlineStr">
        <is>
          <t>Mano obra interna</t>
        </is>
      </c>
      <c r="I749" s="9" t="n">
        <v>2674</v>
      </c>
      <c r="J749" s="9" t="n">
        <v>2602.54</v>
      </c>
      <c r="K749" s="9" t="n">
        <v>2697.35</v>
      </c>
      <c r="L749" s="9" t="n">
        <v>2379.48</v>
      </c>
      <c r="M749" s="9" t="n">
        <v>2353.04</v>
      </c>
      <c r="N749" s="9" t="n">
        <v>2187.87</v>
      </c>
      <c r="O749" s="9" t="n">
        <v>2408.98</v>
      </c>
      <c r="P749" s="9" t="n">
        <v>2328.62</v>
      </c>
      <c r="Q749" s="9" t="n">
        <v>2304.13</v>
      </c>
      <c r="R749" s="9" t="n">
        <v>2757</v>
      </c>
      <c r="S749" s="9" t="n">
        <v>2550.86</v>
      </c>
      <c r="T749" s="9" t="n">
        <v>2623.56</v>
      </c>
      <c r="U749" s="10">
        <f>SUM(I749:T749)</f>
        <v/>
      </c>
    </row>
    <row r="750">
      <c r="A750" s="2" t="inlineStr">
        <is>
          <t>SN-3000-3100-31ER-3100DP0001</t>
        </is>
      </c>
      <c r="B750" s="2" t="inlineStr">
        <is>
          <t>3100DP0001</t>
        </is>
      </c>
      <c r="C750" s="2" t="inlineStr">
        <is>
          <t>Tablero distribución potencia</t>
        </is>
      </c>
      <c r="D750" s="2" t="n">
        <v>250</v>
      </c>
      <c r="E750" s="2" t="inlineStr">
        <is>
          <t>CC-3000</t>
        </is>
      </c>
      <c r="F750" s="2" t="inlineStr">
        <is>
          <t>P01</t>
        </is>
      </c>
      <c r="G750" s="2" t="n">
        <v>620000</v>
      </c>
      <c r="H750" s="2" t="inlineStr">
        <is>
          <t>Materiales</t>
        </is>
      </c>
      <c r="I750" s="9" t="n">
        <v>2303.36</v>
      </c>
      <c r="J750" s="9" t="n">
        <v>2206.19</v>
      </c>
      <c r="K750" s="9" t="n">
        <v>2571.34</v>
      </c>
      <c r="L750" s="9" t="n">
        <v>2399.62</v>
      </c>
      <c r="M750" s="9" t="n">
        <v>2309.78</v>
      </c>
      <c r="N750" s="9" t="n">
        <v>2260.15</v>
      </c>
      <c r="O750" s="9" t="n">
        <v>2341.32</v>
      </c>
      <c r="P750" s="9" t="n">
        <v>2432.38</v>
      </c>
      <c r="Q750" s="9" t="n">
        <v>2240.14</v>
      </c>
      <c r="R750" s="9" t="n">
        <v>2625.52</v>
      </c>
      <c r="S750" s="9" t="n">
        <v>2417.15</v>
      </c>
      <c r="T750" s="9" t="n">
        <v>2421.3</v>
      </c>
      <c r="U750" s="10">
        <f>SUM(I750:T750)</f>
        <v/>
      </c>
    </row>
    <row r="751">
      <c r="A751" s="2" t="inlineStr">
        <is>
          <t>SN-3000-3100-31ER-3100DP0001</t>
        </is>
      </c>
      <c r="B751" s="2" t="inlineStr">
        <is>
          <t>3100DP0001</t>
        </is>
      </c>
      <c r="C751" s="2" t="inlineStr">
        <is>
          <t>Tablero distribución potencia</t>
        </is>
      </c>
      <c r="D751" s="2" t="n">
        <v>250</v>
      </c>
      <c r="E751" s="2" t="inlineStr">
        <is>
          <t>CC-3000</t>
        </is>
      </c>
      <c r="F751" s="2" t="inlineStr">
        <is>
          <t>P01</t>
        </is>
      </c>
      <c r="G751" s="2" t="n">
        <v>630000</v>
      </c>
      <c r="H751" s="2" t="inlineStr">
        <is>
          <t>Servicios externos</t>
        </is>
      </c>
      <c r="I751" s="9" t="n">
        <v>1874.42</v>
      </c>
      <c r="J751" s="9" t="n">
        <v>1864.36</v>
      </c>
      <c r="K751" s="9" t="n">
        <v>2078.54</v>
      </c>
      <c r="L751" s="9" t="n">
        <v>2063.93</v>
      </c>
      <c r="M751" s="9" t="n">
        <v>1970.94</v>
      </c>
      <c r="N751" s="9" t="n">
        <v>1775.6</v>
      </c>
      <c r="O751" s="9" t="n">
        <v>1967.97</v>
      </c>
      <c r="P751" s="9" t="n">
        <v>1960.21</v>
      </c>
      <c r="Q751" s="9" t="n">
        <v>1801.11</v>
      </c>
      <c r="R751" s="9" t="n">
        <v>2108.59</v>
      </c>
      <c r="S751" s="9" t="n">
        <v>1875.32</v>
      </c>
      <c r="T751" s="9" t="n">
        <v>1989.15</v>
      </c>
      <c r="U751" s="10">
        <f>SUM(I751:T751)</f>
        <v/>
      </c>
    </row>
    <row r="752">
      <c r="A752" s="2" t="inlineStr">
        <is>
          <t>SN-3000-3100-31ER-3100DP0010</t>
        </is>
      </c>
      <c r="B752" s="2" t="inlineStr">
        <is>
          <t>3100DP0010</t>
        </is>
      </c>
      <c r="C752" s="2" t="inlineStr">
        <is>
          <t>Tablero distribución potencia SS/AA</t>
        </is>
      </c>
      <c r="D752" s="2" t="n">
        <v>251</v>
      </c>
      <c r="E752" s="2" t="inlineStr">
        <is>
          <t>CC-3000</t>
        </is>
      </c>
      <c r="F752" s="2" t="inlineStr">
        <is>
          <t>P01</t>
        </is>
      </c>
      <c r="G752" s="2" t="n">
        <v>610000</v>
      </c>
      <c r="H752" s="2" t="inlineStr">
        <is>
          <t>Mano obra interna</t>
        </is>
      </c>
      <c r="I752" s="9" t="n">
        <v>767.3200000000001</v>
      </c>
      <c r="J752" s="9" t="n">
        <v>821.13</v>
      </c>
      <c r="K752" s="9" t="n">
        <v>778.91</v>
      </c>
      <c r="L752" s="9" t="n">
        <v>762.59</v>
      </c>
      <c r="M752" s="9" t="n">
        <v>853.88</v>
      </c>
      <c r="N752" s="9" t="n">
        <v>822.5599999999999</v>
      </c>
      <c r="O752" s="9" t="n">
        <v>745.6799999999999</v>
      </c>
      <c r="P752" s="9" t="n">
        <v>793.86</v>
      </c>
      <c r="Q752" s="9" t="n">
        <v>708.85</v>
      </c>
      <c r="R752" s="9" t="n">
        <v>862.58</v>
      </c>
      <c r="S752" s="9" t="n">
        <v>817.13</v>
      </c>
      <c r="T752" s="9" t="n">
        <v>872.3</v>
      </c>
      <c r="U752" s="10">
        <f>SUM(I752:T752)</f>
        <v/>
      </c>
    </row>
    <row r="753">
      <c r="A753" s="2" t="inlineStr">
        <is>
          <t>SN-3000-3100-31ER-3100DP0010</t>
        </is>
      </c>
      <c r="B753" s="2" t="inlineStr">
        <is>
          <t>3100DP0010</t>
        </is>
      </c>
      <c r="C753" s="2" t="inlineStr">
        <is>
          <t>Tablero distribución potencia SS/AA</t>
        </is>
      </c>
      <c r="D753" s="2" t="n">
        <v>251</v>
      </c>
      <c r="E753" s="2" t="inlineStr">
        <is>
          <t>CC-3000</t>
        </is>
      </c>
      <c r="F753" s="2" t="inlineStr">
        <is>
          <t>P01</t>
        </is>
      </c>
      <c r="G753" s="2" t="n">
        <v>620000</v>
      </c>
      <c r="H753" s="2" t="inlineStr">
        <is>
          <t>Materiales</t>
        </is>
      </c>
      <c r="I753" s="9" t="n">
        <v>758.15</v>
      </c>
      <c r="J753" s="9" t="n">
        <v>761.3099999999999</v>
      </c>
      <c r="K753" s="9" t="n">
        <v>760.91</v>
      </c>
      <c r="L753" s="9" t="n">
        <v>828.17</v>
      </c>
      <c r="M753" s="9" t="n">
        <v>797.1799999999999</v>
      </c>
      <c r="N753" s="9" t="n">
        <v>733.8099999999999</v>
      </c>
      <c r="O753" s="9" t="n">
        <v>739.46</v>
      </c>
      <c r="P753" s="9" t="n">
        <v>734.76</v>
      </c>
      <c r="Q753" s="9" t="n">
        <v>655.03</v>
      </c>
      <c r="R753" s="9" t="n">
        <v>861.52</v>
      </c>
      <c r="S753" s="9" t="n">
        <v>730.3099999999999</v>
      </c>
      <c r="T753" s="9" t="n">
        <v>750.14</v>
      </c>
      <c r="U753" s="10">
        <f>SUM(I753:T753)</f>
        <v/>
      </c>
    </row>
    <row r="754">
      <c r="A754" s="2" t="inlineStr">
        <is>
          <t>SN-3000-3100-31ER-3100DP0010</t>
        </is>
      </c>
      <c r="B754" s="2" t="inlineStr">
        <is>
          <t>3100DP0010</t>
        </is>
      </c>
      <c r="C754" s="2" t="inlineStr">
        <is>
          <t>Tablero distribución potencia SS/AA</t>
        </is>
      </c>
      <c r="D754" s="2" t="n">
        <v>251</v>
      </c>
      <c r="E754" s="2" t="inlineStr">
        <is>
          <t>CC-3000</t>
        </is>
      </c>
      <c r="F754" s="2" t="inlineStr">
        <is>
          <t>P01</t>
        </is>
      </c>
      <c r="G754" s="2" t="n">
        <v>630000</v>
      </c>
      <c r="H754" s="2" t="inlineStr">
        <is>
          <t>Servicios externos</t>
        </is>
      </c>
      <c r="I754" s="9" t="n">
        <v>773.96</v>
      </c>
      <c r="J754" s="9" t="n">
        <v>667.77</v>
      </c>
      <c r="K754" s="9" t="n">
        <v>786.78</v>
      </c>
      <c r="L754" s="9" t="n">
        <v>784.16</v>
      </c>
      <c r="M754" s="9" t="n">
        <v>764.9299999999999</v>
      </c>
      <c r="N754" s="9" t="n">
        <v>678.36</v>
      </c>
      <c r="O754" s="9" t="n">
        <v>689.03</v>
      </c>
      <c r="P754" s="9" t="n">
        <v>706.26</v>
      </c>
      <c r="Q754" s="9" t="n">
        <v>653.55</v>
      </c>
      <c r="R754" s="9" t="n">
        <v>737.63</v>
      </c>
      <c r="S754" s="9" t="n">
        <v>710.3200000000001</v>
      </c>
      <c r="T754" s="9" t="n">
        <v>729.34</v>
      </c>
      <c r="U754" s="10">
        <f>SUM(I754:T754)</f>
        <v/>
      </c>
    </row>
    <row r="755">
      <c r="A755" s="2" t="inlineStr">
        <is>
          <t>SN-3000-3100-31ER-3100DP0031</t>
        </is>
      </c>
      <c r="B755" s="2" t="inlineStr">
        <is>
          <t>3100DP0031</t>
        </is>
      </c>
      <c r="C755" s="2" t="inlineStr">
        <is>
          <t>Tablero distribución potencia</t>
        </is>
      </c>
      <c r="D755" s="2" t="n">
        <v>252</v>
      </c>
      <c r="E755" s="2" t="inlineStr">
        <is>
          <t>CC-3000</t>
        </is>
      </c>
      <c r="F755" s="2" t="inlineStr">
        <is>
          <t>P01</t>
        </is>
      </c>
      <c r="G755" s="2" t="n">
        <v>610000</v>
      </c>
      <c r="H755" s="2" t="inlineStr">
        <is>
          <t>Mano obra interna</t>
        </is>
      </c>
      <c r="I755" s="9" t="n">
        <v>2096.39</v>
      </c>
      <c r="J755" s="9" t="n">
        <v>2236.47</v>
      </c>
      <c r="K755" s="9" t="n">
        <v>2386.34</v>
      </c>
      <c r="L755" s="9" t="n">
        <v>2362.89</v>
      </c>
      <c r="M755" s="9" t="n">
        <v>2332.5</v>
      </c>
      <c r="N755" s="9" t="n">
        <v>2200.01</v>
      </c>
      <c r="O755" s="9" t="n">
        <v>2372.78</v>
      </c>
      <c r="P755" s="9" t="n">
        <v>2158.71</v>
      </c>
      <c r="Q755" s="9" t="n">
        <v>2067.38</v>
      </c>
      <c r="R755" s="9" t="n">
        <v>2207.73</v>
      </c>
      <c r="S755" s="9" t="n">
        <v>1979.35</v>
      </c>
      <c r="T755" s="9" t="n">
        <v>2159.05</v>
      </c>
      <c r="U755" s="10">
        <f>SUM(I755:T755)</f>
        <v/>
      </c>
    </row>
    <row r="756">
      <c r="A756" s="2" t="inlineStr">
        <is>
          <t>SN-3000-3100-31ER-3100DP0031</t>
        </is>
      </c>
      <c r="B756" s="2" t="inlineStr">
        <is>
          <t>3100DP0031</t>
        </is>
      </c>
      <c r="C756" s="2" t="inlineStr">
        <is>
          <t>Tablero distribución potencia</t>
        </is>
      </c>
      <c r="D756" s="2" t="n">
        <v>252</v>
      </c>
      <c r="E756" s="2" t="inlineStr">
        <is>
          <t>CC-3000</t>
        </is>
      </c>
      <c r="F756" s="2" t="inlineStr">
        <is>
          <t>P01</t>
        </is>
      </c>
      <c r="G756" s="2" t="n">
        <v>620000</v>
      </c>
      <c r="H756" s="2" t="inlineStr">
        <is>
          <t>Materiales</t>
        </is>
      </c>
      <c r="I756" s="9" t="n">
        <v>1687.4</v>
      </c>
      <c r="J756" s="9" t="n">
        <v>1605.39</v>
      </c>
      <c r="K756" s="9" t="n">
        <v>1639.51</v>
      </c>
      <c r="L756" s="9" t="n">
        <v>1871.84</v>
      </c>
      <c r="M756" s="9" t="n">
        <v>1567.26</v>
      </c>
      <c r="N756" s="9" t="n">
        <v>1705.46</v>
      </c>
      <c r="O756" s="9" t="n">
        <v>1623.96</v>
      </c>
      <c r="P756" s="9" t="n">
        <v>1830.9</v>
      </c>
      <c r="Q756" s="9" t="n">
        <v>1700.64</v>
      </c>
      <c r="R756" s="9" t="n">
        <v>1899.35</v>
      </c>
      <c r="S756" s="9" t="n">
        <v>1709.86</v>
      </c>
      <c r="T756" s="9" t="n">
        <v>1606.35</v>
      </c>
      <c r="U756" s="10">
        <f>SUM(I756:T756)</f>
        <v/>
      </c>
    </row>
    <row r="757">
      <c r="A757" s="2" t="inlineStr">
        <is>
          <t>SN-3000-3100-31ER-3100DP0031</t>
        </is>
      </c>
      <c r="B757" s="2" t="inlineStr">
        <is>
          <t>3100DP0031</t>
        </is>
      </c>
      <c r="C757" s="2" t="inlineStr">
        <is>
          <t>Tablero distribución potencia</t>
        </is>
      </c>
      <c r="D757" s="2" t="n">
        <v>252</v>
      </c>
      <c r="E757" s="2" t="inlineStr">
        <is>
          <t>CC-3000</t>
        </is>
      </c>
      <c r="F757" s="2" t="inlineStr">
        <is>
          <t>P01</t>
        </is>
      </c>
      <c r="G757" s="2" t="n">
        <v>630000</v>
      </c>
      <c r="H757" s="2" t="inlineStr">
        <is>
          <t>Servicios externos</t>
        </is>
      </c>
      <c r="I757" s="9" t="n">
        <v>2387.33</v>
      </c>
      <c r="J757" s="9" t="n">
        <v>2309.17</v>
      </c>
      <c r="K757" s="9" t="n">
        <v>2333.01</v>
      </c>
      <c r="L757" s="9" t="n">
        <v>2197.91</v>
      </c>
      <c r="M757" s="9" t="n">
        <v>2319.92</v>
      </c>
      <c r="N757" s="9" t="n">
        <v>2038.06</v>
      </c>
      <c r="O757" s="9" t="n">
        <v>2228.4</v>
      </c>
      <c r="P757" s="9" t="n">
        <v>2062.49</v>
      </c>
      <c r="Q757" s="9" t="n">
        <v>2191.42</v>
      </c>
      <c r="R757" s="9" t="n">
        <v>2241.52</v>
      </c>
      <c r="S757" s="9" t="n">
        <v>2040.87</v>
      </c>
      <c r="T757" s="9" t="n">
        <v>2258.83</v>
      </c>
      <c r="U757" s="10">
        <f>SUM(I757:T757)</f>
        <v/>
      </c>
    </row>
    <row r="758">
      <c r="A758" s="2" t="inlineStr">
        <is>
          <t>SN-3000-3100-31ER-3100DX0001</t>
        </is>
      </c>
      <c r="B758" s="2" t="inlineStr">
        <is>
          <t>3100DX0001</t>
        </is>
      </c>
      <c r="C758" s="2" t="inlineStr">
        <is>
          <t>Transformador distribución potencia</t>
        </is>
      </c>
      <c r="D758" s="2" t="n">
        <v>253</v>
      </c>
      <c r="E758" s="2" t="inlineStr">
        <is>
          <t>CC-3000</t>
        </is>
      </c>
      <c r="F758" s="2" t="inlineStr">
        <is>
          <t>P01</t>
        </is>
      </c>
      <c r="G758" s="2" t="n">
        <v>610000</v>
      </c>
      <c r="H758" s="2" t="inlineStr">
        <is>
          <t>Mano obra interna</t>
        </is>
      </c>
      <c r="I758" s="9" t="n">
        <v>329.93</v>
      </c>
      <c r="J758" s="9" t="n">
        <v>298.95</v>
      </c>
      <c r="K758" s="9" t="n">
        <v>301.05</v>
      </c>
      <c r="L758" s="9" t="n">
        <v>337.47</v>
      </c>
      <c r="M758" s="9" t="n">
        <v>338.22</v>
      </c>
      <c r="N758" s="9" t="n">
        <v>318.24</v>
      </c>
      <c r="O758" s="9" t="n">
        <v>315.26</v>
      </c>
      <c r="P758" s="9" t="n">
        <v>337.38</v>
      </c>
      <c r="Q758" s="9" t="n">
        <v>290.96</v>
      </c>
      <c r="R758" s="9" t="n">
        <v>343.38</v>
      </c>
      <c r="S758" s="9" t="n">
        <v>305.89</v>
      </c>
      <c r="T758" s="9" t="n">
        <v>319.15</v>
      </c>
      <c r="U758" s="10">
        <f>SUM(I758:T758)</f>
        <v/>
      </c>
    </row>
    <row r="759">
      <c r="A759" s="2" t="inlineStr">
        <is>
          <t>SN-3000-3100-31ER-3100DX0001</t>
        </is>
      </c>
      <c r="B759" s="2" t="inlineStr">
        <is>
          <t>3100DX0001</t>
        </is>
      </c>
      <c r="C759" s="2" t="inlineStr">
        <is>
          <t>Transformador distribución potencia</t>
        </is>
      </c>
      <c r="D759" s="2" t="n">
        <v>253</v>
      </c>
      <c r="E759" s="2" t="inlineStr">
        <is>
          <t>CC-3000</t>
        </is>
      </c>
      <c r="F759" s="2" t="inlineStr">
        <is>
          <t>P01</t>
        </is>
      </c>
      <c r="G759" s="2" t="n">
        <v>620000</v>
      </c>
      <c r="H759" s="2" t="inlineStr">
        <is>
          <t>Materiales</t>
        </is>
      </c>
      <c r="I759" s="9" t="n">
        <v>320.87</v>
      </c>
      <c r="J759" s="9" t="n">
        <v>299.2</v>
      </c>
      <c r="K759" s="9" t="n">
        <v>310.39</v>
      </c>
      <c r="L759" s="9" t="n">
        <v>296.22</v>
      </c>
      <c r="M759" s="9" t="n">
        <v>313.87</v>
      </c>
      <c r="N759" s="9" t="n">
        <v>286.3</v>
      </c>
      <c r="O759" s="9" t="n">
        <v>295.49</v>
      </c>
      <c r="P759" s="9" t="n">
        <v>320.44</v>
      </c>
      <c r="Q759" s="9" t="n">
        <v>299.79</v>
      </c>
      <c r="R759" s="9" t="n">
        <v>351.14</v>
      </c>
      <c r="S759" s="9" t="n">
        <v>303.16</v>
      </c>
      <c r="T759" s="9" t="n">
        <v>337.65</v>
      </c>
      <c r="U759" s="10">
        <f>SUM(I759:T759)</f>
        <v/>
      </c>
    </row>
    <row r="760">
      <c r="A760" s="2" t="inlineStr">
        <is>
          <t>SN-3000-3100-31ER-3100DX0001</t>
        </is>
      </c>
      <c r="B760" s="2" t="inlineStr">
        <is>
          <t>3100DX0001</t>
        </is>
      </c>
      <c r="C760" s="2" t="inlineStr">
        <is>
          <t>Transformador distribución potencia</t>
        </is>
      </c>
      <c r="D760" s="2" t="n">
        <v>253</v>
      </c>
      <c r="E760" s="2" t="inlineStr">
        <is>
          <t>CC-3000</t>
        </is>
      </c>
      <c r="F760" s="2" t="inlineStr">
        <is>
          <t>P01</t>
        </is>
      </c>
      <c r="G760" s="2" t="n">
        <v>630000</v>
      </c>
      <c r="H760" s="2" t="inlineStr">
        <is>
          <t>Servicios externos</t>
        </is>
      </c>
      <c r="I760" s="9" t="n">
        <v>346.06</v>
      </c>
      <c r="J760" s="9" t="n">
        <v>325.12</v>
      </c>
      <c r="K760" s="9" t="n">
        <v>322.86</v>
      </c>
      <c r="L760" s="9" t="n">
        <v>355.75</v>
      </c>
      <c r="M760" s="9" t="n">
        <v>308.21</v>
      </c>
      <c r="N760" s="9" t="n">
        <v>294.21</v>
      </c>
      <c r="O760" s="9" t="n">
        <v>320.26</v>
      </c>
      <c r="P760" s="9" t="n">
        <v>299.97</v>
      </c>
      <c r="Q760" s="9" t="n">
        <v>323.8</v>
      </c>
      <c r="R760" s="9" t="n">
        <v>353.38</v>
      </c>
      <c r="S760" s="9" t="n">
        <v>315.64</v>
      </c>
      <c r="T760" s="9" t="n">
        <v>336.08</v>
      </c>
      <c r="U760" s="10">
        <f>SUM(I760:T760)</f>
        <v/>
      </c>
    </row>
    <row r="761">
      <c r="A761" s="2" t="inlineStr">
        <is>
          <t>SN-3000-3100-31ER-3100FD0001</t>
        </is>
      </c>
      <c r="B761" s="2" t="inlineStr">
        <is>
          <t>3100FD0001</t>
        </is>
      </c>
      <c r="C761" s="2" t="inlineStr">
        <is>
          <t>Sistema detección fuego y humo</t>
        </is>
      </c>
      <c r="D761" s="2" t="n">
        <v>254</v>
      </c>
      <c r="E761" s="2" t="inlineStr">
        <is>
          <t>CC-3000</t>
        </is>
      </c>
      <c r="F761" s="2" t="inlineStr">
        <is>
          <t>P01</t>
        </is>
      </c>
      <c r="G761" s="2" t="n">
        <v>610000</v>
      </c>
      <c r="H761" s="2" t="inlineStr">
        <is>
          <t>Mano obra interna</t>
        </is>
      </c>
      <c r="I761" s="9" t="n">
        <v>464.26</v>
      </c>
      <c r="J761" s="9" t="n">
        <v>492.84</v>
      </c>
      <c r="K761" s="9" t="n">
        <v>524.6799999999999</v>
      </c>
      <c r="L761" s="9" t="n">
        <v>495.73</v>
      </c>
      <c r="M761" s="9" t="n">
        <v>506.53</v>
      </c>
      <c r="N761" s="9" t="n">
        <v>449.46</v>
      </c>
      <c r="O761" s="9" t="n">
        <v>469.87</v>
      </c>
      <c r="P761" s="9" t="n">
        <v>464.61</v>
      </c>
      <c r="Q761" s="9" t="n">
        <v>448.23</v>
      </c>
      <c r="R761" s="9" t="n">
        <v>559.5700000000001</v>
      </c>
      <c r="S761" s="9" t="n">
        <v>500.85</v>
      </c>
      <c r="T761" s="9" t="n">
        <v>489.53</v>
      </c>
      <c r="U761" s="10">
        <f>SUM(I761:T761)</f>
        <v/>
      </c>
    </row>
    <row r="762">
      <c r="A762" s="2" t="inlineStr">
        <is>
          <t>SN-3000-3100-31ER-3100FD0001</t>
        </is>
      </c>
      <c r="B762" s="2" t="inlineStr">
        <is>
          <t>3100FD0001</t>
        </is>
      </c>
      <c r="C762" s="2" t="inlineStr">
        <is>
          <t>Sistema detección fuego y humo</t>
        </is>
      </c>
      <c r="D762" s="2" t="n">
        <v>254</v>
      </c>
      <c r="E762" s="2" t="inlineStr">
        <is>
          <t>CC-3000</t>
        </is>
      </c>
      <c r="F762" s="2" t="inlineStr">
        <is>
          <t>P01</t>
        </is>
      </c>
      <c r="G762" s="2" t="n">
        <v>620000</v>
      </c>
      <c r="H762" s="2" t="inlineStr">
        <is>
          <t>Materiales</t>
        </is>
      </c>
      <c r="I762" s="9" t="n">
        <v>515.1900000000001</v>
      </c>
      <c r="J762" s="9" t="n">
        <v>460.19</v>
      </c>
      <c r="K762" s="9" t="n">
        <v>476.17</v>
      </c>
      <c r="L762" s="9" t="n">
        <v>535.8200000000001</v>
      </c>
      <c r="M762" s="9" t="n">
        <v>491.48</v>
      </c>
      <c r="N762" s="9" t="n">
        <v>501.93</v>
      </c>
      <c r="O762" s="9" t="n">
        <v>475.01</v>
      </c>
      <c r="P762" s="9" t="n">
        <v>502.9</v>
      </c>
      <c r="Q762" s="9" t="n">
        <v>433.61</v>
      </c>
      <c r="R762" s="9" t="n">
        <v>505.59</v>
      </c>
      <c r="S762" s="9" t="n">
        <v>472.78</v>
      </c>
      <c r="T762" s="9" t="n">
        <v>480.41</v>
      </c>
      <c r="U762" s="10">
        <f>SUM(I762:T762)</f>
        <v/>
      </c>
    </row>
    <row r="763">
      <c r="A763" s="2" t="inlineStr">
        <is>
          <t>SN-3000-3100-31ER-3100FD0001</t>
        </is>
      </c>
      <c r="B763" s="2" t="inlineStr">
        <is>
          <t>3100FD0001</t>
        </is>
      </c>
      <c r="C763" s="2" t="inlineStr">
        <is>
          <t>Sistema detección fuego y humo</t>
        </is>
      </c>
      <c r="D763" s="2" t="n">
        <v>254</v>
      </c>
      <c r="E763" s="2" t="inlineStr">
        <is>
          <t>CC-3000</t>
        </is>
      </c>
      <c r="F763" s="2" t="inlineStr">
        <is>
          <t>P01</t>
        </is>
      </c>
      <c r="G763" s="2" t="n">
        <v>630000</v>
      </c>
      <c r="H763" s="2" t="inlineStr">
        <is>
          <t>Servicios externos</t>
        </is>
      </c>
      <c r="I763" s="9" t="n">
        <v>433.4</v>
      </c>
      <c r="J763" s="9" t="n">
        <v>402.33</v>
      </c>
      <c r="K763" s="9" t="n">
        <v>470.15</v>
      </c>
      <c r="L763" s="9" t="n">
        <v>450.45</v>
      </c>
      <c r="M763" s="9" t="n">
        <v>408.38</v>
      </c>
      <c r="N763" s="9" t="n">
        <v>399.74</v>
      </c>
      <c r="O763" s="9" t="n">
        <v>413.42</v>
      </c>
      <c r="P763" s="9" t="n">
        <v>448.91</v>
      </c>
      <c r="Q763" s="9" t="n">
        <v>384.12</v>
      </c>
      <c r="R763" s="9" t="n">
        <v>495.26</v>
      </c>
      <c r="S763" s="9" t="n">
        <v>394.43</v>
      </c>
      <c r="T763" s="9" t="n">
        <v>429.89</v>
      </c>
      <c r="U763" s="10">
        <f>SUM(I763:T763)</f>
        <v/>
      </c>
    </row>
    <row r="764">
      <c r="A764" s="2" t="inlineStr">
        <is>
          <t>SN-3000-3100-31ER-3100FS0001</t>
        </is>
      </c>
      <c r="B764" s="2" t="inlineStr">
        <is>
          <t>3100FS0001</t>
        </is>
      </c>
      <c r="C764" s="2" t="inlineStr">
        <is>
          <t>Sistema supresión fuego</t>
        </is>
      </c>
      <c r="D764" s="2" t="n">
        <v>255</v>
      </c>
      <c r="E764" s="2" t="inlineStr">
        <is>
          <t>CC-3000</t>
        </is>
      </c>
      <c r="F764" s="2" t="inlineStr">
        <is>
          <t>P01</t>
        </is>
      </c>
      <c r="G764" s="2" t="n">
        <v>610000</v>
      </c>
      <c r="H764" s="2" t="inlineStr">
        <is>
          <t>Mano obra interna</t>
        </is>
      </c>
      <c r="I764" s="9" t="n">
        <v>2759.71</v>
      </c>
      <c r="J764" s="9" t="n">
        <v>2396.71</v>
      </c>
      <c r="K764" s="9" t="n">
        <v>2833.13</v>
      </c>
      <c r="L764" s="9" t="n">
        <v>2666.63</v>
      </c>
      <c r="M764" s="9" t="n">
        <v>2728.44</v>
      </c>
      <c r="N764" s="9" t="n">
        <v>2537.53</v>
      </c>
      <c r="O764" s="9" t="n">
        <v>2689.24</v>
      </c>
      <c r="P764" s="9" t="n">
        <v>2816.17</v>
      </c>
      <c r="Q764" s="9" t="n">
        <v>2327.34</v>
      </c>
      <c r="R764" s="9" t="n">
        <v>2872.74</v>
      </c>
      <c r="S764" s="9" t="n">
        <v>2512.56</v>
      </c>
      <c r="T764" s="9" t="n">
        <v>2455.48</v>
      </c>
      <c r="U764" s="10">
        <f>SUM(I764:T764)</f>
        <v/>
      </c>
    </row>
    <row r="765">
      <c r="A765" s="2" t="inlineStr">
        <is>
          <t>SN-3000-3100-31ER-3100FS0001</t>
        </is>
      </c>
      <c r="B765" s="2" t="inlineStr">
        <is>
          <t>3100FS0001</t>
        </is>
      </c>
      <c r="C765" s="2" t="inlineStr">
        <is>
          <t>Sistema supresión fuego</t>
        </is>
      </c>
      <c r="D765" s="2" t="n">
        <v>255</v>
      </c>
      <c r="E765" s="2" t="inlineStr">
        <is>
          <t>CC-3000</t>
        </is>
      </c>
      <c r="F765" s="2" t="inlineStr">
        <is>
          <t>P01</t>
        </is>
      </c>
      <c r="G765" s="2" t="n">
        <v>620000</v>
      </c>
      <c r="H765" s="2" t="inlineStr">
        <is>
          <t>Materiales</t>
        </is>
      </c>
      <c r="I765" s="9" t="n">
        <v>1863.37</v>
      </c>
      <c r="J765" s="9" t="n">
        <v>1959.97</v>
      </c>
      <c r="K765" s="9" t="n">
        <v>2026.79</v>
      </c>
      <c r="L765" s="9" t="n">
        <v>2003.57</v>
      </c>
      <c r="M765" s="9" t="n">
        <v>1779.55</v>
      </c>
      <c r="N765" s="9" t="n">
        <v>1849.22</v>
      </c>
      <c r="O765" s="9" t="n">
        <v>2076.74</v>
      </c>
      <c r="P765" s="9" t="n">
        <v>1910.46</v>
      </c>
      <c r="Q765" s="9" t="n">
        <v>1845.55</v>
      </c>
      <c r="R765" s="9" t="n">
        <v>2190.03</v>
      </c>
      <c r="S765" s="9" t="n">
        <v>1967.15</v>
      </c>
      <c r="T765" s="9" t="n">
        <v>1978.69</v>
      </c>
      <c r="U765" s="10">
        <f>SUM(I765:T765)</f>
        <v/>
      </c>
    </row>
    <row r="766">
      <c r="A766" s="2" t="inlineStr">
        <is>
          <t>SN-3000-3100-31ER-3100FS0001</t>
        </is>
      </c>
      <c r="B766" s="2" t="inlineStr">
        <is>
          <t>3100FS0001</t>
        </is>
      </c>
      <c r="C766" s="2" t="inlineStr">
        <is>
          <t>Sistema supresión fuego</t>
        </is>
      </c>
      <c r="D766" s="2" t="n">
        <v>255</v>
      </c>
      <c r="E766" s="2" t="inlineStr">
        <is>
          <t>CC-3000</t>
        </is>
      </c>
      <c r="F766" s="2" t="inlineStr">
        <is>
          <t>P01</t>
        </is>
      </c>
      <c r="G766" s="2" t="n">
        <v>630000</v>
      </c>
      <c r="H766" s="2" t="inlineStr">
        <is>
          <t>Servicios externos</t>
        </is>
      </c>
      <c r="I766" s="9" t="n">
        <v>2547.46</v>
      </c>
      <c r="J766" s="9" t="n">
        <v>2656.67</v>
      </c>
      <c r="K766" s="9" t="n">
        <v>2511.04</v>
      </c>
      <c r="L766" s="9" t="n">
        <v>2504.29</v>
      </c>
      <c r="M766" s="9" t="n">
        <v>2333.6</v>
      </c>
      <c r="N766" s="9" t="n">
        <v>2542.84</v>
      </c>
      <c r="O766" s="9" t="n">
        <v>2507.01</v>
      </c>
      <c r="P766" s="9" t="n">
        <v>2427.69</v>
      </c>
      <c r="Q766" s="9" t="n">
        <v>2262.58</v>
      </c>
      <c r="R766" s="9" t="n">
        <v>2914.64</v>
      </c>
      <c r="S766" s="9" t="n">
        <v>2589.82</v>
      </c>
      <c r="T766" s="9" t="n">
        <v>2599.36</v>
      </c>
      <c r="U766" s="10">
        <f>SUM(I766:T766)</f>
        <v/>
      </c>
    </row>
    <row r="767">
      <c r="A767" s="2" t="inlineStr">
        <is>
          <t>SN-3000-3100-31ER-3100JP0001</t>
        </is>
      </c>
      <c r="B767" s="2" t="inlineStr">
        <is>
          <t>3100JP0001</t>
        </is>
      </c>
      <c r="C767" s="2" t="inlineStr">
        <is>
          <t>Tablero distribución instrumentación</t>
        </is>
      </c>
      <c r="D767" s="2" t="n">
        <v>256</v>
      </c>
      <c r="E767" s="2" t="inlineStr">
        <is>
          <t>CC-3000</t>
        </is>
      </c>
      <c r="F767" s="2" t="inlineStr">
        <is>
          <t>P01</t>
        </is>
      </c>
      <c r="G767" s="2" t="n">
        <v>610000</v>
      </c>
      <c r="H767" s="2" t="inlineStr">
        <is>
          <t>Mano obra interna</t>
        </is>
      </c>
      <c r="I767" s="9" t="n">
        <v>2865.43</v>
      </c>
      <c r="J767" s="9" t="n">
        <v>2727.7</v>
      </c>
      <c r="K767" s="9" t="n">
        <v>3100.97</v>
      </c>
      <c r="L767" s="9" t="n">
        <v>2708.07</v>
      </c>
      <c r="M767" s="9" t="n">
        <v>2752.94</v>
      </c>
      <c r="N767" s="9" t="n">
        <v>2627.65</v>
      </c>
      <c r="O767" s="9" t="n">
        <v>2818.93</v>
      </c>
      <c r="P767" s="9" t="n">
        <v>2797.3</v>
      </c>
      <c r="Q767" s="9" t="n">
        <v>2631.6</v>
      </c>
      <c r="R767" s="9" t="n">
        <v>2864.42</v>
      </c>
      <c r="S767" s="9" t="n">
        <v>2734.22</v>
      </c>
      <c r="T767" s="9" t="n">
        <v>2742.46</v>
      </c>
      <c r="U767" s="10">
        <f>SUM(I767:T767)</f>
        <v/>
      </c>
    </row>
    <row r="768">
      <c r="A768" s="2" t="inlineStr">
        <is>
          <t>SN-3000-3100-31ER-3100JP0001</t>
        </is>
      </c>
      <c r="B768" s="2" t="inlineStr">
        <is>
          <t>3100JP0001</t>
        </is>
      </c>
      <c r="C768" s="2" t="inlineStr">
        <is>
          <t>Tablero distribución instrumentación</t>
        </is>
      </c>
      <c r="D768" s="2" t="n">
        <v>256</v>
      </c>
      <c r="E768" s="2" t="inlineStr">
        <is>
          <t>CC-3000</t>
        </is>
      </c>
      <c r="F768" s="2" t="inlineStr">
        <is>
          <t>P01</t>
        </is>
      </c>
      <c r="G768" s="2" t="n">
        <v>620000</v>
      </c>
      <c r="H768" s="2" t="inlineStr">
        <is>
          <t>Materiales</t>
        </is>
      </c>
      <c r="I768" s="9" t="n">
        <v>2228.13</v>
      </c>
      <c r="J768" s="9" t="n">
        <v>2407.55</v>
      </c>
      <c r="K768" s="9" t="n">
        <v>2392.11</v>
      </c>
      <c r="L768" s="9" t="n">
        <v>2446.27</v>
      </c>
      <c r="M768" s="9" t="n">
        <v>2406.25</v>
      </c>
      <c r="N768" s="9" t="n">
        <v>2307.26</v>
      </c>
      <c r="O768" s="9" t="n">
        <v>2335.96</v>
      </c>
      <c r="P768" s="9" t="n">
        <v>2302.17</v>
      </c>
      <c r="Q768" s="9" t="n">
        <v>2140.47</v>
      </c>
      <c r="R768" s="9" t="n">
        <v>2586.65</v>
      </c>
      <c r="S768" s="9" t="n">
        <v>2269.16</v>
      </c>
      <c r="T768" s="9" t="n">
        <v>2513.8</v>
      </c>
      <c r="U768" s="10">
        <f>SUM(I768:T768)</f>
        <v/>
      </c>
    </row>
    <row r="769">
      <c r="A769" s="2" t="inlineStr">
        <is>
          <t>SN-3000-3100-31ER-3100JP0001</t>
        </is>
      </c>
      <c r="B769" s="2" t="inlineStr">
        <is>
          <t>3100JP0001</t>
        </is>
      </c>
      <c r="C769" s="2" t="inlineStr">
        <is>
          <t>Tablero distribución instrumentación</t>
        </is>
      </c>
      <c r="D769" s="2" t="n">
        <v>256</v>
      </c>
      <c r="E769" s="2" t="inlineStr">
        <is>
          <t>CC-3000</t>
        </is>
      </c>
      <c r="F769" s="2" t="inlineStr">
        <is>
          <t>P01</t>
        </is>
      </c>
      <c r="G769" s="2" t="n">
        <v>630000</v>
      </c>
      <c r="H769" s="2" t="inlineStr">
        <is>
          <t>Servicios externos</t>
        </is>
      </c>
      <c r="I769" s="9" t="n">
        <v>2836.29</v>
      </c>
      <c r="J769" s="9" t="n">
        <v>2720.44</v>
      </c>
      <c r="K769" s="9" t="n">
        <v>3088.9</v>
      </c>
      <c r="L769" s="9" t="n">
        <v>2902.29</v>
      </c>
      <c r="M769" s="9" t="n">
        <v>2679.04</v>
      </c>
      <c r="N769" s="9" t="n">
        <v>2978.48</v>
      </c>
      <c r="O769" s="9" t="n">
        <v>2806.08</v>
      </c>
      <c r="P769" s="9" t="n">
        <v>3132.08</v>
      </c>
      <c r="Q769" s="9" t="n">
        <v>2825.22</v>
      </c>
      <c r="R769" s="9" t="n">
        <v>3295.91</v>
      </c>
      <c r="S769" s="9" t="n">
        <v>2703.68</v>
      </c>
      <c r="T769" s="9" t="n">
        <v>2849.93</v>
      </c>
      <c r="U769" s="10">
        <f>SUM(I769:T769)</f>
        <v/>
      </c>
    </row>
    <row r="770">
      <c r="A770" s="2" t="inlineStr">
        <is>
          <t>SN-3000-3100-31ER-3100JP0002</t>
        </is>
      </c>
      <c r="B770" s="2" t="inlineStr">
        <is>
          <t>3100JP0002</t>
        </is>
      </c>
      <c r="C770" s="2" t="inlineStr">
        <is>
          <t>Tablero distribución instrumentación</t>
        </is>
      </c>
      <c r="D770" s="2" t="n">
        <v>257</v>
      </c>
      <c r="E770" s="2" t="inlineStr">
        <is>
          <t>CC-3000</t>
        </is>
      </c>
      <c r="F770" s="2" t="inlineStr">
        <is>
          <t>P01</t>
        </is>
      </c>
      <c r="G770" s="2" t="n">
        <v>610000</v>
      </c>
      <c r="H770" s="2" t="inlineStr">
        <is>
          <t>Mano obra interna</t>
        </is>
      </c>
      <c r="I770" s="9" t="n">
        <v>905.45</v>
      </c>
      <c r="J770" s="9" t="n">
        <v>893.1900000000001</v>
      </c>
      <c r="K770" s="9" t="n">
        <v>938.1</v>
      </c>
      <c r="L770" s="9" t="n">
        <v>904.6</v>
      </c>
      <c r="M770" s="9" t="n">
        <v>882.6900000000001</v>
      </c>
      <c r="N770" s="9" t="n">
        <v>936.26</v>
      </c>
      <c r="O770" s="9" t="n">
        <v>886.62</v>
      </c>
      <c r="P770" s="9" t="n">
        <v>864.8</v>
      </c>
      <c r="Q770" s="9" t="n">
        <v>889.4</v>
      </c>
      <c r="R770" s="9" t="n">
        <v>1086.36</v>
      </c>
      <c r="S770" s="9" t="n">
        <v>881.7</v>
      </c>
      <c r="T770" s="9" t="n">
        <v>892</v>
      </c>
      <c r="U770" s="10">
        <f>SUM(I770:T770)</f>
        <v/>
      </c>
    </row>
    <row r="771">
      <c r="A771" s="2" t="inlineStr">
        <is>
          <t>SN-3000-3100-31ER-3100JP0002</t>
        </is>
      </c>
      <c r="B771" s="2" t="inlineStr">
        <is>
          <t>3100JP0002</t>
        </is>
      </c>
      <c r="C771" s="2" t="inlineStr">
        <is>
          <t>Tablero distribución instrumentación</t>
        </is>
      </c>
      <c r="D771" s="2" t="n">
        <v>257</v>
      </c>
      <c r="E771" s="2" t="inlineStr">
        <is>
          <t>CC-3000</t>
        </is>
      </c>
      <c r="F771" s="2" t="inlineStr">
        <is>
          <t>P01</t>
        </is>
      </c>
      <c r="G771" s="2" t="n">
        <v>620000</v>
      </c>
      <c r="H771" s="2" t="inlineStr">
        <is>
          <t>Materiales</t>
        </is>
      </c>
      <c r="I771" s="9" t="n">
        <v>972.52</v>
      </c>
      <c r="J771" s="9" t="n">
        <v>921</v>
      </c>
      <c r="K771" s="9" t="n">
        <v>940.9</v>
      </c>
      <c r="L771" s="9" t="n">
        <v>887.17</v>
      </c>
      <c r="M771" s="9" t="n">
        <v>891.1900000000001</v>
      </c>
      <c r="N771" s="9" t="n">
        <v>799.28</v>
      </c>
      <c r="O771" s="9" t="n">
        <v>920.53</v>
      </c>
      <c r="P771" s="9" t="n">
        <v>926.03</v>
      </c>
      <c r="Q771" s="9" t="n">
        <v>894.63</v>
      </c>
      <c r="R771" s="9" t="n">
        <v>927.6799999999999</v>
      </c>
      <c r="S771" s="9" t="n">
        <v>799.22</v>
      </c>
      <c r="T771" s="9" t="n">
        <v>914.41</v>
      </c>
      <c r="U771" s="10">
        <f>SUM(I771:T771)</f>
        <v/>
      </c>
    </row>
    <row r="772">
      <c r="A772" s="2" t="inlineStr">
        <is>
          <t>SN-3000-3100-31ER-3100JP0002</t>
        </is>
      </c>
      <c r="B772" s="2" t="inlineStr">
        <is>
          <t>3100JP0002</t>
        </is>
      </c>
      <c r="C772" s="2" t="inlineStr">
        <is>
          <t>Tablero distribución instrumentación</t>
        </is>
      </c>
      <c r="D772" s="2" t="n">
        <v>257</v>
      </c>
      <c r="E772" s="2" t="inlineStr">
        <is>
          <t>CC-3000</t>
        </is>
      </c>
      <c r="F772" s="2" t="inlineStr">
        <is>
          <t>P01</t>
        </is>
      </c>
      <c r="G772" s="2" t="n">
        <v>630000</v>
      </c>
      <c r="H772" s="2" t="inlineStr">
        <is>
          <t>Servicios externos</t>
        </is>
      </c>
      <c r="I772" s="9" t="n">
        <v>989.75</v>
      </c>
      <c r="J772" s="9" t="n">
        <v>867.75</v>
      </c>
      <c r="K772" s="9" t="n">
        <v>919.37</v>
      </c>
      <c r="L772" s="9" t="n">
        <v>948.8200000000001</v>
      </c>
      <c r="M772" s="9" t="n">
        <v>892.05</v>
      </c>
      <c r="N772" s="9" t="n">
        <v>936.88</v>
      </c>
      <c r="O772" s="9" t="n">
        <v>923.01</v>
      </c>
      <c r="P772" s="9" t="n">
        <v>970.17</v>
      </c>
      <c r="Q772" s="9" t="n">
        <v>873.5700000000001</v>
      </c>
      <c r="R772" s="9" t="n">
        <v>1042.8</v>
      </c>
      <c r="S772" s="9" t="n">
        <v>872.89</v>
      </c>
      <c r="T772" s="9" t="n">
        <v>990.1</v>
      </c>
      <c r="U772" s="10">
        <f>SUM(I772:T772)</f>
        <v/>
      </c>
    </row>
    <row r="773">
      <c r="A773" s="2" t="inlineStr">
        <is>
          <t>SN-3000-3100-31ER-3100JX0001</t>
        </is>
      </c>
      <c r="B773" s="2" t="inlineStr">
        <is>
          <t>3100JX0001</t>
        </is>
      </c>
      <c r="C773" s="2" t="inlineStr">
        <is>
          <t>Transformador distribución instrumentos</t>
        </is>
      </c>
      <c r="D773" s="2" t="n">
        <v>258</v>
      </c>
      <c r="E773" s="2" t="inlineStr">
        <is>
          <t>CC-3000</t>
        </is>
      </c>
      <c r="F773" s="2" t="inlineStr">
        <is>
          <t>P01</t>
        </is>
      </c>
      <c r="G773" s="2" t="n">
        <v>610000</v>
      </c>
      <c r="H773" s="2" t="inlineStr">
        <is>
          <t>Mano obra interna</t>
        </is>
      </c>
      <c r="I773" s="9" t="n">
        <v>1142.63</v>
      </c>
      <c r="J773" s="9" t="n">
        <v>1044.2</v>
      </c>
      <c r="K773" s="9" t="n">
        <v>1141.77</v>
      </c>
      <c r="L773" s="9" t="n">
        <v>1102.56</v>
      </c>
      <c r="M773" s="9" t="n">
        <v>1058.56</v>
      </c>
      <c r="N773" s="9" t="n">
        <v>1141.66</v>
      </c>
      <c r="O773" s="9" t="n">
        <v>1051.15</v>
      </c>
      <c r="P773" s="9" t="n">
        <v>1161.31</v>
      </c>
      <c r="Q773" s="9" t="n">
        <v>1114.42</v>
      </c>
      <c r="R773" s="9" t="n">
        <v>1106.2</v>
      </c>
      <c r="S773" s="9" t="n">
        <v>1109.87</v>
      </c>
      <c r="T773" s="9" t="n">
        <v>1083.02</v>
      </c>
      <c r="U773" s="10">
        <f>SUM(I773:T773)</f>
        <v/>
      </c>
    </row>
    <row r="774">
      <c r="A774" s="2" t="inlineStr">
        <is>
          <t>SN-3000-3100-31ER-3100JX0001</t>
        </is>
      </c>
      <c r="B774" s="2" t="inlineStr">
        <is>
          <t>3100JX0001</t>
        </is>
      </c>
      <c r="C774" s="2" t="inlineStr">
        <is>
          <t>Transformador distribución instrumentos</t>
        </is>
      </c>
      <c r="D774" s="2" t="n">
        <v>258</v>
      </c>
      <c r="E774" s="2" t="inlineStr">
        <is>
          <t>CC-3000</t>
        </is>
      </c>
      <c r="F774" s="2" t="inlineStr">
        <is>
          <t>P01</t>
        </is>
      </c>
      <c r="G774" s="2" t="n">
        <v>620000</v>
      </c>
      <c r="H774" s="2" t="inlineStr">
        <is>
          <t>Materiales</t>
        </is>
      </c>
      <c r="I774" s="9" t="n">
        <v>981.72</v>
      </c>
      <c r="J774" s="9" t="n">
        <v>1029.05</v>
      </c>
      <c r="K774" s="9" t="n">
        <v>929.03</v>
      </c>
      <c r="L774" s="9" t="n">
        <v>1012.42</v>
      </c>
      <c r="M774" s="9" t="n">
        <v>966.96</v>
      </c>
      <c r="N774" s="9" t="n">
        <v>989.73</v>
      </c>
      <c r="O774" s="9" t="n">
        <v>912.24</v>
      </c>
      <c r="P774" s="9" t="n">
        <v>1004.47</v>
      </c>
      <c r="Q774" s="9" t="n">
        <v>935.53</v>
      </c>
      <c r="R774" s="9" t="n">
        <v>1081.96</v>
      </c>
      <c r="S774" s="9" t="n">
        <v>1012.58</v>
      </c>
      <c r="T774" s="9" t="n">
        <v>1042.6</v>
      </c>
      <c r="U774" s="10">
        <f>SUM(I774:T774)</f>
        <v/>
      </c>
    </row>
    <row r="775">
      <c r="A775" s="2" t="inlineStr">
        <is>
          <t>SN-3000-3100-31ER-3100JX0001</t>
        </is>
      </c>
      <c r="B775" s="2" t="inlineStr">
        <is>
          <t>3100JX0001</t>
        </is>
      </c>
      <c r="C775" s="2" t="inlineStr">
        <is>
          <t>Transformador distribución instrumentos</t>
        </is>
      </c>
      <c r="D775" s="2" t="n">
        <v>258</v>
      </c>
      <c r="E775" s="2" t="inlineStr">
        <is>
          <t>CC-3000</t>
        </is>
      </c>
      <c r="F775" s="2" t="inlineStr">
        <is>
          <t>P01</t>
        </is>
      </c>
      <c r="G775" s="2" t="n">
        <v>630000</v>
      </c>
      <c r="H775" s="2" t="inlineStr">
        <is>
          <t>Servicios externos</t>
        </is>
      </c>
      <c r="I775" s="9" t="n">
        <v>1003.72</v>
      </c>
      <c r="J775" s="9" t="n">
        <v>956.96</v>
      </c>
      <c r="K775" s="9" t="n">
        <v>988.1</v>
      </c>
      <c r="L775" s="9" t="n">
        <v>1001.71</v>
      </c>
      <c r="M775" s="9" t="n">
        <v>959.47</v>
      </c>
      <c r="N775" s="9" t="n">
        <v>934.1799999999999</v>
      </c>
      <c r="O775" s="9" t="n">
        <v>1064.03</v>
      </c>
      <c r="P775" s="9" t="n">
        <v>922.09</v>
      </c>
      <c r="Q775" s="9" t="n">
        <v>981.64</v>
      </c>
      <c r="R775" s="9" t="n">
        <v>1061.9</v>
      </c>
      <c r="S775" s="9" t="n">
        <v>975.1900000000001</v>
      </c>
      <c r="T775" s="9" t="n">
        <v>1055.43</v>
      </c>
      <c r="U775" s="10">
        <f>SUM(I775:T775)</f>
        <v/>
      </c>
    </row>
    <row r="776">
      <c r="A776" s="2" t="inlineStr">
        <is>
          <t>SN-3000-3100-31ER-3100LP0001</t>
        </is>
      </c>
      <c r="B776" s="2" t="inlineStr">
        <is>
          <t>3100LP0001</t>
        </is>
      </c>
      <c r="C776" s="2" t="inlineStr">
        <is>
          <t>Tablero distribución alumbrado</t>
        </is>
      </c>
      <c r="D776" s="2" t="n">
        <v>259</v>
      </c>
      <c r="E776" s="2" t="inlineStr">
        <is>
          <t>CC-3000</t>
        </is>
      </c>
      <c r="F776" s="2" t="inlineStr">
        <is>
          <t>P01</t>
        </is>
      </c>
      <c r="G776" s="2" t="n">
        <v>610000</v>
      </c>
      <c r="H776" s="2" t="inlineStr">
        <is>
          <t>Mano obra interna</t>
        </is>
      </c>
      <c r="I776" s="9" t="n">
        <v>306.77</v>
      </c>
      <c r="J776" s="9" t="n">
        <v>294.95</v>
      </c>
      <c r="K776" s="9" t="n">
        <v>307.22</v>
      </c>
      <c r="L776" s="9" t="n">
        <v>331.73</v>
      </c>
      <c r="M776" s="9" t="n">
        <v>316.57</v>
      </c>
      <c r="N776" s="9" t="n">
        <v>272.36</v>
      </c>
      <c r="O776" s="9" t="n">
        <v>284.96</v>
      </c>
      <c r="P776" s="9" t="n">
        <v>300.16</v>
      </c>
      <c r="Q776" s="9" t="n">
        <v>264.72</v>
      </c>
      <c r="R776" s="9" t="n">
        <v>333.96</v>
      </c>
      <c r="S776" s="9" t="n">
        <v>277.41</v>
      </c>
      <c r="T776" s="9" t="n">
        <v>309.5</v>
      </c>
      <c r="U776" s="10">
        <f>SUM(I776:T776)</f>
        <v/>
      </c>
    </row>
    <row r="777">
      <c r="A777" s="2" t="inlineStr">
        <is>
          <t>SN-3000-3100-31ER-3100LP0001</t>
        </is>
      </c>
      <c r="B777" s="2" t="inlineStr">
        <is>
          <t>3100LP0001</t>
        </is>
      </c>
      <c r="C777" s="2" t="inlineStr">
        <is>
          <t>Tablero distribución alumbrado</t>
        </is>
      </c>
      <c r="D777" s="2" t="n">
        <v>259</v>
      </c>
      <c r="E777" s="2" t="inlineStr">
        <is>
          <t>CC-3000</t>
        </is>
      </c>
      <c r="F777" s="2" t="inlineStr">
        <is>
          <t>P01</t>
        </is>
      </c>
      <c r="G777" s="2" t="n">
        <v>620000</v>
      </c>
      <c r="H777" s="2" t="inlineStr">
        <is>
          <t>Materiales</t>
        </is>
      </c>
      <c r="I777" s="9" t="n">
        <v>251.8</v>
      </c>
      <c r="J777" s="9" t="n">
        <v>257.36</v>
      </c>
      <c r="K777" s="9" t="n">
        <v>261.48</v>
      </c>
      <c r="L777" s="9" t="n">
        <v>279.59</v>
      </c>
      <c r="M777" s="9" t="n">
        <v>266.54</v>
      </c>
      <c r="N777" s="9" t="n">
        <v>237.47</v>
      </c>
      <c r="O777" s="9" t="n">
        <v>235.74</v>
      </c>
      <c r="P777" s="9" t="n">
        <v>267.96</v>
      </c>
      <c r="Q777" s="9" t="n">
        <v>252.11</v>
      </c>
      <c r="R777" s="9" t="n">
        <v>288.1</v>
      </c>
      <c r="S777" s="9" t="n">
        <v>231.35</v>
      </c>
      <c r="T777" s="9" t="n">
        <v>278.43</v>
      </c>
      <c r="U777" s="10">
        <f>SUM(I777:T777)</f>
        <v/>
      </c>
    </row>
    <row r="778">
      <c r="A778" s="2" t="inlineStr">
        <is>
          <t>SN-3000-3100-31ER-3100LP0001</t>
        </is>
      </c>
      <c r="B778" s="2" t="inlineStr">
        <is>
          <t>3100LP0001</t>
        </is>
      </c>
      <c r="C778" s="2" t="inlineStr">
        <is>
          <t>Tablero distribución alumbrado</t>
        </is>
      </c>
      <c r="D778" s="2" t="n">
        <v>259</v>
      </c>
      <c r="E778" s="2" t="inlineStr">
        <is>
          <t>CC-3000</t>
        </is>
      </c>
      <c r="F778" s="2" t="inlineStr">
        <is>
          <t>P01</t>
        </is>
      </c>
      <c r="G778" s="2" t="n">
        <v>630000</v>
      </c>
      <c r="H778" s="2" t="inlineStr">
        <is>
          <t>Servicios externos</t>
        </is>
      </c>
      <c r="I778" s="9" t="n">
        <v>293.89</v>
      </c>
      <c r="J778" s="9" t="n">
        <v>291.58</v>
      </c>
      <c r="K778" s="9" t="n">
        <v>274.59</v>
      </c>
      <c r="L778" s="9" t="n">
        <v>302.6</v>
      </c>
      <c r="M778" s="9" t="n">
        <v>266.66</v>
      </c>
      <c r="N778" s="9" t="n">
        <v>285.97</v>
      </c>
      <c r="O778" s="9" t="n">
        <v>268.32</v>
      </c>
      <c r="P778" s="9" t="n">
        <v>297.86</v>
      </c>
      <c r="Q778" s="9" t="n">
        <v>240.23</v>
      </c>
      <c r="R778" s="9" t="n">
        <v>309.76</v>
      </c>
      <c r="S778" s="9" t="n">
        <v>270.43</v>
      </c>
      <c r="T778" s="9" t="n">
        <v>281.05</v>
      </c>
      <c r="U778" s="10">
        <f>SUM(I778:T778)</f>
        <v/>
      </c>
    </row>
    <row r="779">
      <c r="A779" s="2" t="inlineStr">
        <is>
          <t>SN-3000-3100-31ER-3100LX0001</t>
        </is>
      </c>
      <c r="B779" s="2" t="inlineStr">
        <is>
          <t>3100LX0001</t>
        </is>
      </c>
      <c r="C779" s="2" t="inlineStr">
        <is>
          <t>Transformador distribución alumbrado</t>
        </is>
      </c>
      <c r="D779" s="2" t="n">
        <v>260</v>
      </c>
      <c r="E779" s="2" t="inlineStr">
        <is>
          <t>CC-3000</t>
        </is>
      </c>
      <c r="F779" s="2" t="inlineStr">
        <is>
          <t>P01</t>
        </is>
      </c>
      <c r="G779" s="2" t="n">
        <v>610000</v>
      </c>
      <c r="H779" s="2" t="inlineStr">
        <is>
          <t>Mano obra interna</t>
        </is>
      </c>
      <c r="I779" s="9" t="n">
        <v>317.8</v>
      </c>
      <c r="J779" s="9" t="n">
        <v>282.15</v>
      </c>
      <c r="K779" s="9" t="n">
        <v>313.56</v>
      </c>
      <c r="L779" s="9" t="n">
        <v>295.88</v>
      </c>
      <c r="M779" s="9" t="n">
        <v>320.02</v>
      </c>
      <c r="N779" s="9" t="n">
        <v>266.42</v>
      </c>
      <c r="O779" s="9" t="n">
        <v>287.05</v>
      </c>
      <c r="P779" s="9" t="n">
        <v>288.75</v>
      </c>
      <c r="Q779" s="9" t="n">
        <v>276.71</v>
      </c>
      <c r="R779" s="9" t="n">
        <v>311.14</v>
      </c>
      <c r="S779" s="9" t="n">
        <v>291.37</v>
      </c>
      <c r="T779" s="9" t="n">
        <v>324.1</v>
      </c>
      <c r="U779" s="10">
        <f>SUM(I779:T779)</f>
        <v/>
      </c>
    </row>
    <row r="780">
      <c r="A780" s="2" t="inlineStr">
        <is>
          <t>SN-3000-3100-31ER-3100LX0001</t>
        </is>
      </c>
      <c r="B780" s="2" t="inlineStr">
        <is>
          <t>3100LX0001</t>
        </is>
      </c>
      <c r="C780" s="2" t="inlineStr">
        <is>
          <t>Transformador distribución alumbrado</t>
        </is>
      </c>
      <c r="D780" s="2" t="n">
        <v>260</v>
      </c>
      <c r="E780" s="2" t="inlineStr">
        <is>
          <t>CC-3000</t>
        </is>
      </c>
      <c r="F780" s="2" t="inlineStr">
        <is>
          <t>P01</t>
        </is>
      </c>
      <c r="G780" s="2" t="n">
        <v>620000</v>
      </c>
      <c r="H780" s="2" t="inlineStr">
        <is>
          <t>Materiales</t>
        </is>
      </c>
      <c r="I780" s="9" t="n">
        <v>351.61</v>
      </c>
      <c r="J780" s="9" t="n">
        <v>312.9</v>
      </c>
      <c r="K780" s="9" t="n">
        <v>361.73</v>
      </c>
      <c r="L780" s="9" t="n">
        <v>329.02</v>
      </c>
      <c r="M780" s="9" t="n">
        <v>351.98</v>
      </c>
      <c r="N780" s="9" t="n">
        <v>312.13</v>
      </c>
      <c r="O780" s="9" t="n">
        <v>335.71</v>
      </c>
      <c r="P780" s="9" t="n">
        <v>331.69</v>
      </c>
      <c r="Q780" s="9" t="n">
        <v>334.74</v>
      </c>
      <c r="R780" s="9" t="n">
        <v>344.83</v>
      </c>
      <c r="S780" s="9" t="n">
        <v>332.67</v>
      </c>
      <c r="T780" s="9" t="n">
        <v>325.36</v>
      </c>
      <c r="U780" s="10">
        <f>SUM(I780:T780)</f>
        <v/>
      </c>
    </row>
    <row r="781">
      <c r="A781" s="2" t="inlineStr">
        <is>
          <t>SN-3000-3100-31ER-3100LX0001</t>
        </is>
      </c>
      <c r="B781" s="2" t="inlineStr">
        <is>
          <t>3100LX0001</t>
        </is>
      </c>
      <c r="C781" s="2" t="inlineStr">
        <is>
          <t>Transformador distribución alumbrado</t>
        </is>
      </c>
      <c r="D781" s="2" t="n">
        <v>260</v>
      </c>
      <c r="E781" s="2" t="inlineStr">
        <is>
          <t>CC-3000</t>
        </is>
      </c>
      <c r="F781" s="2" t="inlineStr">
        <is>
          <t>P01</t>
        </is>
      </c>
      <c r="G781" s="2" t="n">
        <v>630000</v>
      </c>
      <c r="H781" s="2" t="inlineStr">
        <is>
          <t>Servicios externos</t>
        </is>
      </c>
      <c r="I781" s="9" t="n">
        <v>361.31</v>
      </c>
      <c r="J781" s="9" t="n">
        <v>323.94</v>
      </c>
      <c r="K781" s="9" t="n">
        <v>342.26</v>
      </c>
      <c r="L781" s="9" t="n">
        <v>362.95</v>
      </c>
      <c r="M781" s="9" t="n">
        <v>330.06</v>
      </c>
      <c r="N781" s="9" t="n">
        <v>317.16</v>
      </c>
      <c r="O781" s="9" t="n">
        <v>336.71</v>
      </c>
      <c r="P781" s="9" t="n">
        <v>342.2</v>
      </c>
      <c r="Q781" s="9" t="n">
        <v>289.96</v>
      </c>
      <c r="R781" s="9" t="n">
        <v>376.88</v>
      </c>
      <c r="S781" s="9" t="n">
        <v>318.46</v>
      </c>
      <c r="T781" s="9" t="n">
        <v>314.25</v>
      </c>
      <c r="U781" s="10">
        <f>SUM(I781:T781)</f>
        <v/>
      </c>
    </row>
    <row r="782">
      <c r="A782" s="2" t="inlineStr">
        <is>
          <t>SN-3000-3100-31ER-3100MC0011</t>
        </is>
      </c>
      <c r="B782" s="2" t="inlineStr">
        <is>
          <t>3100MC0011</t>
        </is>
      </c>
      <c r="C782" s="2" t="inlineStr">
        <is>
          <t>Centro control motores 400V/1200A/65kA</t>
        </is>
      </c>
      <c r="D782" s="2" t="n">
        <v>261</v>
      </c>
      <c r="E782" s="2" t="inlineStr">
        <is>
          <t>CC-3000</t>
        </is>
      </c>
      <c r="F782" s="2" t="inlineStr">
        <is>
          <t>P01</t>
        </is>
      </c>
      <c r="G782" s="2" t="n">
        <v>610000</v>
      </c>
      <c r="H782" s="2" t="inlineStr">
        <is>
          <t>Mano obra interna</t>
        </is>
      </c>
      <c r="I782" s="9" t="n">
        <v>2388.19</v>
      </c>
      <c r="J782" s="9" t="n">
        <v>2199.99</v>
      </c>
      <c r="K782" s="9" t="n">
        <v>2514.61</v>
      </c>
      <c r="L782" s="9" t="n">
        <v>2587.36</v>
      </c>
      <c r="M782" s="9" t="n">
        <v>2508.24</v>
      </c>
      <c r="N782" s="9" t="n">
        <v>2448.64</v>
      </c>
      <c r="O782" s="9" t="n">
        <v>2527.95</v>
      </c>
      <c r="P782" s="9" t="n">
        <v>2194.67</v>
      </c>
      <c r="Q782" s="9" t="n">
        <v>2178.88</v>
      </c>
      <c r="R782" s="9" t="n">
        <v>2704.73</v>
      </c>
      <c r="S782" s="9" t="n">
        <v>2260.76</v>
      </c>
      <c r="T782" s="9" t="n">
        <v>2461.19</v>
      </c>
      <c r="U782" s="10">
        <f>SUM(I782:T782)</f>
        <v/>
      </c>
    </row>
    <row r="783">
      <c r="A783" s="2" t="inlineStr">
        <is>
          <t>SN-3000-3100-31ER-3100MC0011</t>
        </is>
      </c>
      <c r="B783" s="2" t="inlineStr">
        <is>
          <t>3100MC0011</t>
        </is>
      </c>
      <c r="C783" s="2" t="inlineStr">
        <is>
          <t>Centro control motores 400V/1200A/65kA</t>
        </is>
      </c>
      <c r="D783" s="2" t="n">
        <v>261</v>
      </c>
      <c r="E783" s="2" t="inlineStr">
        <is>
          <t>CC-3000</t>
        </is>
      </c>
      <c r="F783" s="2" t="inlineStr">
        <is>
          <t>P01</t>
        </is>
      </c>
      <c r="G783" s="2" t="n">
        <v>620000</v>
      </c>
      <c r="H783" s="2" t="inlineStr">
        <is>
          <t>Materiales</t>
        </is>
      </c>
      <c r="I783" s="9" t="n">
        <v>2181.74</v>
      </c>
      <c r="J783" s="9" t="n">
        <v>2290.51</v>
      </c>
      <c r="K783" s="9" t="n">
        <v>2254.64</v>
      </c>
      <c r="L783" s="9" t="n">
        <v>2219.94</v>
      </c>
      <c r="M783" s="9" t="n">
        <v>2333.85</v>
      </c>
      <c r="N783" s="9" t="n">
        <v>2086.23</v>
      </c>
      <c r="O783" s="9" t="n">
        <v>2072.9</v>
      </c>
      <c r="P783" s="9" t="n">
        <v>2187.29</v>
      </c>
      <c r="Q783" s="9" t="n">
        <v>2135.53</v>
      </c>
      <c r="R783" s="9" t="n">
        <v>2460.02</v>
      </c>
      <c r="S783" s="9" t="n">
        <v>2212.24</v>
      </c>
      <c r="T783" s="9" t="n">
        <v>2290.58</v>
      </c>
      <c r="U783" s="10">
        <f>SUM(I783:T783)</f>
        <v/>
      </c>
    </row>
    <row r="784">
      <c r="A784" s="2" t="inlineStr">
        <is>
          <t>SN-3000-3100-31ER-3100MC0011</t>
        </is>
      </c>
      <c r="B784" s="2" t="inlineStr">
        <is>
          <t>3100MC0011</t>
        </is>
      </c>
      <c r="C784" s="2" t="inlineStr">
        <is>
          <t>Centro control motores 400V/1200A/65kA</t>
        </is>
      </c>
      <c r="D784" s="2" t="n">
        <v>261</v>
      </c>
      <c r="E784" s="2" t="inlineStr">
        <is>
          <t>CC-3000</t>
        </is>
      </c>
      <c r="F784" s="2" t="inlineStr">
        <is>
          <t>P01</t>
        </is>
      </c>
      <c r="G784" s="2" t="n">
        <v>630000</v>
      </c>
      <c r="H784" s="2" t="inlineStr">
        <is>
          <t>Servicios externos</t>
        </is>
      </c>
      <c r="I784" s="9" t="n">
        <v>2118.57</v>
      </c>
      <c r="J784" s="9" t="n">
        <v>2053.58</v>
      </c>
      <c r="K784" s="9" t="n">
        <v>1924.7</v>
      </c>
      <c r="L784" s="9" t="n">
        <v>1886.37</v>
      </c>
      <c r="M784" s="9" t="n">
        <v>2089.11</v>
      </c>
      <c r="N784" s="9" t="n">
        <v>1986.01</v>
      </c>
      <c r="O784" s="9" t="n">
        <v>2086.03</v>
      </c>
      <c r="P784" s="9" t="n">
        <v>2081.38</v>
      </c>
      <c r="Q784" s="9" t="n">
        <v>1838.25</v>
      </c>
      <c r="R784" s="9" t="n">
        <v>2165.06</v>
      </c>
      <c r="S784" s="9" t="n">
        <v>1912.8</v>
      </c>
      <c r="T784" s="9" t="n">
        <v>1847.84</v>
      </c>
      <c r="U784" s="10">
        <f>SUM(I784:T784)</f>
        <v/>
      </c>
    </row>
    <row r="785">
      <c r="A785" s="2" t="inlineStr">
        <is>
          <t>SN-3000-3100-31ER-3100MC0012</t>
        </is>
      </c>
      <c r="B785" s="2" t="inlineStr">
        <is>
          <t>3100MC0012</t>
        </is>
      </c>
      <c r="C785" s="2" t="inlineStr">
        <is>
          <t xml:space="preserve">Centro control motores 400V/1200A/65kA </t>
        </is>
      </c>
      <c r="D785" s="2" t="n">
        <v>262</v>
      </c>
      <c r="E785" s="2" t="inlineStr">
        <is>
          <t>CC-3000</t>
        </is>
      </c>
      <c r="F785" s="2" t="inlineStr">
        <is>
          <t>P01</t>
        </is>
      </c>
      <c r="G785" s="2" t="n">
        <v>610000</v>
      </c>
      <c r="H785" s="2" t="inlineStr">
        <is>
          <t>Mano obra interna</t>
        </is>
      </c>
      <c r="I785" s="9" t="n">
        <v>2493.96</v>
      </c>
      <c r="J785" s="9" t="n">
        <v>2460.81</v>
      </c>
      <c r="K785" s="9" t="n">
        <v>2519.25</v>
      </c>
      <c r="L785" s="9" t="n">
        <v>2491.5</v>
      </c>
      <c r="M785" s="9" t="n">
        <v>2288.85</v>
      </c>
      <c r="N785" s="9" t="n">
        <v>2251.09</v>
      </c>
      <c r="O785" s="9" t="n">
        <v>2308.76</v>
      </c>
      <c r="P785" s="9" t="n">
        <v>2320.36</v>
      </c>
      <c r="Q785" s="9" t="n">
        <v>2444.18</v>
      </c>
      <c r="R785" s="9" t="n">
        <v>2486.28</v>
      </c>
      <c r="S785" s="9" t="n">
        <v>2275.76</v>
      </c>
      <c r="T785" s="9" t="n">
        <v>2513.1</v>
      </c>
      <c r="U785" s="10">
        <f>SUM(I785:T785)</f>
        <v/>
      </c>
    </row>
    <row r="786">
      <c r="A786" s="2" t="inlineStr">
        <is>
          <t>SN-3000-3100-31ER-3100MC0012</t>
        </is>
      </c>
      <c r="B786" s="2" t="inlineStr">
        <is>
          <t>3100MC0012</t>
        </is>
      </c>
      <c r="C786" s="2" t="inlineStr">
        <is>
          <t xml:space="preserve">Centro control motores 400V/1200A/65kA </t>
        </is>
      </c>
      <c r="D786" s="2" t="n">
        <v>262</v>
      </c>
      <c r="E786" s="2" t="inlineStr">
        <is>
          <t>CC-3000</t>
        </is>
      </c>
      <c r="F786" s="2" t="inlineStr">
        <is>
          <t>P01</t>
        </is>
      </c>
      <c r="G786" s="2" t="n">
        <v>620000</v>
      </c>
      <c r="H786" s="2" t="inlineStr">
        <is>
          <t>Materiales</t>
        </is>
      </c>
      <c r="I786" s="9" t="n">
        <v>2167.17</v>
      </c>
      <c r="J786" s="9" t="n">
        <v>2317.32</v>
      </c>
      <c r="K786" s="9" t="n">
        <v>2424.25</v>
      </c>
      <c r="L786" s="9" t="n">
        <v>2200.35</v>
      </c>
      <c r="M786" s="9" t="n">
        <v>2148.89</v>
      </c>
      <c r="N786" s="9" t="n">
        <v>2299.18</v>
      </c>
      <c r="O786" s="9" t="n">
        <v>2365.51</v>
      </c>
      <c r="P786" s="9" t="n">
        <v>2316.73</v>
      </c>
      <c r="Q786" s="9" t="n">
        <v>1952.16</v>
      </c>
      <c r="R786" s="9" t="n">
        <v>2391.89</v>
      </c>
      <c r="S786" s="9" t="n">
        <v>2196.21</v>
      </c>
      <c r="T786" s="9" t="n">
        <v>2166.64</v>
      </c>
      <c r="U786" s="10">
        <f>SUM(I786:T786)</f>
        <v/>
      </c>
    </row>
    <row r="787">
      <c r="A787" s="2" t="inlineStr">
        <is>
          <t>SN-3000-3100-31ER-3100MC0012</t>
        </is>
      </c>
      <c r="B787" s="2" t="inlineStr">
        <is>
          <t>3100MC0012</t>
        </is>
      </c>
      <c r="C787" s="2" t="inlineStr">
        <is>
          <t xml:space="preserve">Centro control motores 400V/1200A/65kA </t>
        </is>
      </c>
      <c r="D787" s="2" t="n">
        <v>262</v>
      </c>
      <c r="E787" s="2" t="inlineStr">
        <is>
          <t>CC-3000</t>
        </is>
      </c>
      <c r="F787" s="2" t="inlineStr">
        <is>
          <t>P01</t>
        </is>
      </c>
      <c r="G787" s="2" t="n">
        <v>630000</v>
      </c>
      <c r="H787" s="2" t="inlineStr">
        <is>
          <t>Servicios externos</t>
        </is>
      </c>
      <c r="I787" s="9" t="n">
        <v>2220.48</v>
      </c>
      <c r="J787" s="9" t="n">
        <v>2049.9</v>
      </c>
      <c r="K787" s="9" t="n">
        <v>2307.53</v>
      </c>
      <c r="L787" s="9" t="n">
        <v>2306.9</v>
      </c>
      <c r="M787" s="9" t="n">
        <v>2058.61</v>
      </c>
      <c r="N787" s="9" t="n">
        <v>2157.39</v>
      </c>
      <c r="O787" s="9" t="n">
        <v>2005.68</v>
      </c>
      <c r="P787" s="9" t="n">
        <v>2254.52</v>
      </c>
      <c r="Q787" s="9" t="n">
        <v>1881.87</v>
      </c>
      <c r="R787" s="9" t="n">
        <v>2154.37</v>
      </c>
      <c r="S787" s="9" t="n">
        <v>2119.18</v>
      </c>
      <c r="T787" s="9" t="n">
        <v>2162.57</v>
      </c>
      <c r="U787" s="10">
        <f>SUM(I787:T787)</f>
        <v/>
      </c>
    </row>
    <row r="788">
      <c r="A788" s="2" t="inlineStr">
        <is>
          <t>SN-3000-3100-31ER-3100SC0001</t>
        </is>
      </c>
      <c r="B788" s="2" t="inlineStr">
        <is>
          <t>3100SC0001</t>
        </is>
      </c>
      <c r="C788" s="2" t="inlineStr">
        <is>
          <t>Panel sistema Scada</t>
        </is>
      </c>
      <c r="D788" s="2" t="n">
        <v>263</v>
      </c>
      <c r="E788" s="2" t="inlineStr">
        <is>
          <t>CC-3000</t>
        </is>
      </c>
      <c r="F788" s="2" t="inlineStr">
        <is>
          <t>P01</t>
        </is>
      </c>
      <c r="G788" s="2" t="n">
        <v>610000</v>
      </c>
      <c r="H788" s="2" t="inlineStr">
        <is>
          <t>Mano obra interna</t>
        </is>
      </c>
      <c r="I788" s="9" t="n">
        <v>1614.33</v>
      </c>
      <c r="J788" s="9" t="n">
        <v>1538.05</v>
      </c>
      <c r="K788" s="9" t="n">
        <v>1668.11</v>
      </c>
      <c r="L788" s="9" t="n">
        <v>1640.75</v>
      </c>
      <c r="M788" s="9" t="n">
        <v>1560.21</v>
      </c>
      <c r="N788" s="9" t="n">
        <v>1593.65</v>
      </c>
      <c r="O788" s="9" t="n">
        <v>1684.67</v>
      </c>
      <c r="P788" s="9" t="n">
        <v>1706.8</v>
      </c>
      <c r="Q788" s="9" t="n">
        <v>1618.87</v>
      </c>
      <c r="R788" s="9" t="n">
        <v>1678.46</v>
      </c>
      <c r="S788" s="9" t="n">
        <v>1619.24</v>
      </c>
      <c r="T788" s="9" t="n">
        <v>1613.01</v>
      </c>
      <c r="U788" s="10">
        <f>SUM(I788:T788)</f>
        <v/>
      </c>
    </row>
    <row r="789">
      <c r="A789" s="2" t="inlineStr">
        <is>
          <t>SN-3000-3100-31ER-3100SC0001</t>
        </is>
      </c>
      <c r="B789" s="2" t="inlineStr">
        <is>
          <t>3100SC0001</t>
        </is>
      </c>
      <c r="C789" s="2" t="inlineStr">
        <is>
          <t>Panel sistema Scada</t>
        </is>
      </c>
      <c r="D789" s="2" t="n">
        <v>263</v>
      </c>
      <c r="E789" s="2" t="inlineStr">
        <is>
          <t>CC-3000</t>
        </is>
      </c>
      <c r="F789" s="2" t="inlineStr">
        <is>
          <t>P01</t>
        </is>
      </c>
      <c r="G789" s="2" t="n">
        <v>620000</v>
      </c>
      <c r="H789" s="2" t="inlineStr">
        <is>
          <t>Materiales</t>
        </is>
      </c>
      <c r="I789" s="9" t="n">
        <v>1481.63</v>
      </c>
      <c r="J789" s="9" t="n">
        <v>1548.28</v>
      </c>
      <c r="K789" s="9" t="n">
        <v>1558.13</v>
      </c>
      <c r="L789" s="9" t="n">
        <v>1596.91</v>
      </c>
      <c r="M789" s="9" t="n">
        <v>1519.19</v>
      </c>
      <c r="N789" s="9" t="n">
        <v>1482.77</v>
      </c>
      <c r="O789" s="9" t="n">
        <v>1530.97</v>
      </c>
      <c r="P789" s="9" t="n">
        <v>1446.38</v>
      </c>
      <c r="Q789" s="9" t="n">
        <v>1302.4</v>
      </c>
      <c r="R789" s="9" t="n">
        <v>1538.64</v>
      </c>
      <c r="S789" s="9" t="n">
        <v>1302.18</v>
      </c>
      <c r="T789" s="9" t="n">
        <v>1484.29</v>
      </c>
      <c r="U789" s="10">
        <f>SUM(I789:T789)</f>
        <v/>
      </c>
    </row>
    <row r="790">
      <c r="A790" s="2" t="inlineStr">
        <is>
          <t>SN-3000-3100-31ER-3100SC0001</t>
        </is>
      </c>
      <c r="B790" s="2" t="inlineStr">
        <is>
          <t>3100SC0001</t>
        </is>
      </c>
      <c r="C790" s="2" t="inlineStr">
        <is>
          <t>Panel sistema Scada</t>
        </is>
      </c>
      <c r="D790" s="2" t="n">
        <v>263</v>
      </c>
      <c r="E790" s="2" t="inlineStr">
        <is>
          <t>CC-3000</t>
        </is>
      </c>
      <c r="F790" s="2" t="inlineStr">
        <is>
          <t>P01</t>
        </is>
      </c>
      <c r="G790" s="2" t="n">
        <v>630000</v>
      </c>
      <c r="H790" s="2" t="inlineStr">
        <is>
          <t>Servicios externos</t>
        </is>
      </c>
      <c r="I790" s="9" t="n">
        <v>1421.29</v>
      </c>
      <c r="J790" s="9" t="n">
        <v>1469.25</v>
      </c>
      <c r="K790" s="9" t="n">
        <v>1524.72</v>
      </c>
      <c r="L790" s="9" t="n">
        <v>1340.53</v>
      </c>
      <c r="M790" s="9" t="n">
        <v>1343.54</v>
      </c>
      <c r="N790" s="9" t="n">
        <v>1309.62</v>
      </c>
      <c r="O790" s="9" t="n">
        <v>1356.34</v>
      </c>
      <c r="P790" s="9" t="n">
        <v>1451.81</v>
      </c>
      <c r="Q790" s="9" t="n">
        <v>1295.78</v>
      </c>
      <c r="R790" s="9" t="n">
        <v>1512.67</v>
      </c>
      <c r="S790" s="9" t="n">
        <v>1418.2</v>
      </c>
      <c r="T790" s="9" t="n">
        <v>1476.14</v>
      </c>
      <c r="U790" s="10">
        <f>SUM(I790:T790)</f>
        <v/>
      </c>
    </row>
    <row r="791">
      <c r="A791" s="2" t="inlineStr">
        <is>
          <t>SN-3000-3100-31ER-3100SG0001</t>
        </is>
      </c>
      <c r="B791" s="2" t="inlineStr">
        <is>
          <t>3100SG0001</t>
        </is>
      </c>
      <c r="C791" s="2" t="inlineStr">
        <is>
          <t>Switch gear SAG 630 A, 6.9 Kv, 31.5 kA</t>
        </is>
      </c>
      <c r="D791" s="2" t="n">
        <v>264</v>
      </c>
      <c r="E791" s="2" t="inlineStr">
        <is>
          <t>CC-3000</t>
        </is>
      </c>
      <c r="F791" s="2" t="inlineStr">
        <is>
          <t>P01</t>
        </is>
      </c>
      <c r="G791" s="2" t="n">
        <v>610000</v>
      </c>
      <c r="H791" s="2" t="inlineStr">
        <is>
          <t>Mano obra interna</t>
        </is>
      </c>
      <c r="I791" s="9" t="n">
        <v>1905.04</v>
      </c>
      <c r="J791" s="9" t="n">
        <v>1758.7</v>
      </c>
      <c r="K791" s="9" t="n">
        <v>1800.32</v>
      </c>
      <c r="L791" s="9" t="n">
        <v>1711.39</v>
      </c>
      <c r="M791" s="9" t="n">
        <v>1782.08</v>
      </c>
      <c r="N791" s="9" t="n">
        <v>1685.21</v>
      </c>
      <c r="O791" s="9" t="n">
        <v>1733.43</v>
      </c>
      <c r="P791" s="9" t="n">
        <v>1859.19</v>
      </c>
      <c r="Q791" s="9" t="n">
        <v>1752.08</v>
      </c>
      <c r="R791" s="9" t="n">
        <v>1866.43</v>
      </c>
      <c r="S791" s="9" t="n">
        <v>1620.84</v>
      </c>
      <c r="T791" s="9" t="n">
        <v>1933.35</v>
      </c>
      <c r="U791" s="10">
        <f>SUM(I791:T791)</f>
        <v/>
      </c>
    </row>
    <row r="792">
      <c r="A792" s="2" t="inlineStr">
        <is>
          <t>SN-3000-3100-31ER-3100SG0001</t>
        </is>
      </c>
      <c r="B792" s="2" t="inlineStr">
        <is>
          <t>3100SG0001</t>
        </is>
      </c>
      <c r="C792" s="2" t="inlineStr">
        <is>
          <t>Switch gear SAG 630 A, 6.9 Kv, 31.5 kA</t>
        </is>
      </c>
      <c r="D792" s="2" t="n">
        <v>264</v>
      </c>
      <c r="E792" s="2" t="inlineStr">
        <is>
          <t>CC-3000</t>
        </is>
      </c>
      <c r="F792" s="2" t="inlineStr">
        <is>
          <t>P01</t>
        </is>
      </c>
      <c r="G792" s="2" t="n">
        <v>620000</v>
      </c>
      <c r="H792" s="2" t="inlineStr">
        <is>
          <t>Materiales</t>
        </is>
      </c>
      <c r="I792" s="9" t="n">
        <v>1844.67</v>
      </c>
      <c r="J792" s="9" t="n">
        <v>1697.28</v>
      </c>
      <c r="K792" s="9" t="n">
        <v>1692.66</v>
      </c>
      <c r="L792" s="9" t="n">
        <v>1656.1</v>
      </c>
      <c r="M792" s="9" t="n">
        <v>1540.11</v>
      </c>
      <c r="N792" s="9" t="n">
        <v>1546.35</v>
      </c>
      <c r="O792" s="9" t="n">
        <v>1591.71</v>
      </c>
      <c r="P792" s="9" t="n">
        <v>1717.91</v>
      </c>
      <c r="Q792" s="9" t="n">
        <v>1488.27</v>
      </c>
      <c r="R792" s="9" t="n">
        <v>1829.68</v>
      </c>
      <c r="S792" s="9" t="n">
        <v>1658.52</v>
      </c>
      <c r="T792" s="9" t="n">
        <v>1658.58</v>
      </c>
      <c r="U792" s="10">
        <f>SUM(I792:T792)</f>
        <v/>
      </c>
    </row>
    <row r="793">
      <c r="A793" s="2" t="inlineStr">
        <is>
          <t>SN-3000-3100-31ER-3100SG0001</t>
        </is>
      </c>
      <c r="B793" s="2" t="inlineStr">
        <is>
          <t>3100SG0001</t>
        </is>
      </c>
      <c r="C793" s="2" t="inlineStr">
        <is>
          <t>Switch gear SAG 630 A, 6.9 Kv, 31.5 kA</t>
        </is>
      </c>
      <c r="D793" s="2" t="n">
        <v>264</v>
      </c>
      <c r="E793" s="2" t="inlineStr">
        <is>
          <t>CC-3000</t>
        </is>
      </c>
      <c r="F793" s="2" t="inlineStr">
        <is>
          <t>P01</t>
        </is>
      </c>
      <c r="G793" s="2" t="n">
        <v>630000</v>
      </c>
      <c r="H793" s="2" t="inlineStr">
        <is>
          <t>Servicios externos</t>
        </is>
      </c>
      <c r="I793" s="9" t="n">
        <v>1605.8</v>
      </c>
      <c r="J793" s="9" t="n">
        <v>1546.27</v>
      </c>
      <c r="K793" s="9" t="n">
        <v>1819.59</v>
      </c>
      <c r="L793" s="9" t="n">
        <v>1685.68</v>
      </c>
      <c r="M793" s="9" t="n">
        <v>1760.91</v>
      </c>
      <c r="N793" s="9" t="n">
        <v>1606.41</v>
      </c>
      <c r="O793" s="9" t="n">
        <v>1686.77</v>
      </c>
      <c r="P793" s="9" t="n">
        <v>1701.01</v>
      </c>
      <c r="Q793" s="9" t="n">
        <v>1635.26</v>
      </c>
      <c r="R793" s="9" t="n">
        <v>1765.62</v>
      </c>
      <c r="S793" s="9" t="n">
        <v>1544.96</v>
      </c>
      <c r="T793" s="9" t="n">
        <v>1739.47</v>
      </c>
      <c r="U793" s="10">
        <f>SUM(I793:T793)</f>
        <v/>
      </c>
    </row>
    <row r="794">
      <c r="A794" s="2" t="inlineStr">
        <is>
          <t>SN-3000-3100-31ER-3100SG0002</t>
        </is>
      </c>
      <c r="B794" s="2" t="inlineStr">
        <is>
          <t>3100SG0002</t>
        </is>
      </c>
      <c r="C794" s="2" t="inlineStr">
        <is>
          <t>Switch gear Bolas 630 A, 6.9 Kv, 31.5 kA</t>
        </is>
      </c>
      <c r="D794" s="2" t="n">
        <v>265</v>
      </c>
      <c r="E794" s="2" t="inlineStr">
        <is>
          <t>CC-3000</t>
        </is>
      </c>
      <c r="F794" s="2" t="inlineStr">
        <is>
          <t>P01</t>
        </is>
      </c>
      <c r="G794" s="2" t="n">
        <v>610000</v>
      </c>
      <c r="H794" s="2" t="inlineStr">
        <is>
          <t>Mano obra interna</t>
        </is>
      </c>
      <c r="I794" s="9" t="n">
        <v>1514.22</v>
      </c>
      <c r="J794" s="9" t="n">
        <v>1509.07</v>
      </c>
      <c r="K794" s="9" t="n">
        <v>1542.99</v>
      </c>
      <c r="L794" s="9" t="n">
        <v>1559.52</v>
      </c>
      <c r="M794" s="9" t="n">
        <v>1492.07</v>
      </c>
      <c r="N794" s="9" t="n">
        <v>1486.22</v>
      </c>
      <c r="O794" s="9" t="n">
        <v>1547.1</v>
      </c>
      <c r="P794" s="9" t="n">
        <v>1504.14</v>
      </c>
      <c r="Q794" s="9" t="n">
        <v>1433.48</v>
      </c>
      <c r="R794" s="9" t="n">
        <v>1710.98</v>
      </c>
      <c r="S794" s="9" t="n">
        <v>1433.56</v>
      </c>
      <c r="T794" s="9" t="n">
        <v>1498.1</v>
      </c>
      <c r="U794" s="10">
        <f>SUM(I794:T794)</f>
        <v/>
      </c>
    </row>
    <row r="795">
      <c r="A795" s="2" t="inlineStr">
        <is>
          <t>SN-3000-3100-31ER-3100SG0002</t>
        </is>
      </c>
      <c r="B795" s="2" t="inlineStr">
        <is>
          <t>3100SG0002</t>
        </is>
      </c>
      <c r="C795" s="2" t="inlineStr">
        <is>
          <t>Switch gear Bolas 630 A, 6.9 Kv, 31.5 kA</t>
        </is>
      </c>
      <c r="D795" s="2" t="n">
        <v>265</v>
      </c>
      <c r="E795" s="2" t="inlineStr">
        <is>
          <t>CC-3000</t>
        </is>
      </c>
      <c r="F795" s="2" t="inlineStr">
        <is>
          <t>P01</t>
        </is>
      </c>
      <c r="G795" s="2" t="n">
        <v>620000</v>
      </c>
      <c r="H795" s="2" t="inlineStr">
        <is>
          <t>Materiales</t>
        </is>
      </c>
      <c r="I795" s="9" t="n">
        <v>1747.87</v>
      </c>
      <c r="J795" s="9" t="n">
        <v>1550.04</v>
      </c>
      <c r="K795" s="9" t="n">
        <v>1852.7</v>
      </c>
      <c r="L795" s="9" t="n">
        <v>1597.45</v>
      </c>
      <c r="M795" s="9" t="n">
        <v>1738.84</v>
      </c>
      <c r="N795" s="9" t="n">
        <v>1682.52</v>
      </c>
      <c r="O795" s="9" t="n">
        <v>1813.19</v>
      </c>
      <c r="P795" s="9" t="n">
        <v>1568.13</v>
      </c>
      <c r="Q795" s="9" t="n">
        <v>1597.43</v>
      </c>
      <c r="R795" s="9" t="n">
        <v>1801.35</v>
      </c>
      <c r="S795" s="9" t="n">
        <v>1591.56</v>
      </c>
      <c r="T795" s="9" t="n">
        <v>1602.54</v>
      </c>
      <c r="U795" s="10">
        <f>SUM(I795:T795)</f>
        <v/>
      </c>
    </row>
    <row r="796">
      <c r="A796" s="2" t="inlineStr">
        <is>
          <t>SN-3000-3100-31ER-3100SG0002</t>
        </is>
      </c>
      <c r="B796" s="2" t="inlineStr">
        <is>
          <t>3100SG0002</t>
        </is>
      </c>
      <c r="C796" s="2" t="inlineStr">
        <is>
          <t>Switch gear Bolas 630 A, 6.9 Kv, 31.5 kA</t>
        </is>
      </c>
      <c r="D796" s="2" t="n">
        <v>265</v>
      </c>
      <c r="E796" s="2" t="inlineStr">
        <is>
          <t>CC-3000</t>
        </is>
      </c>
      <c r="F796" s="2" t="inlineStr">
        <is>
          <t>P01</t>
        </is>
      </c>
      <c r="G796" s="2" t="n">
        <v>630000</v>
      </c>
      <c r="H796" s="2" t="inlineStr">
        <is>
          <t>Servicios externos</t>
        </is>
      </c>
      <c r="I796" s="9" t="n">
        <v>1597.92</v>
      </c>
      <c r="J796" s="9" t="n">
        <v>1448.91</v>
      </c>
      <c r="K796" s="9" t="n">
        <v>1649.41</v>
      </c>
      <c r="L796" s="9" t="n">
        <v>1666.29</v>
      </c>
      <c r="M796" s="9" t="n">
        <v>1620.78</v>
      </c>
      <c r="N796" s="9" t="n">
        <v>1598.95</v>
      </c>
      <c r="O796" s="9" t="n">
        <v>1548.5</v>
      </c>
      <c r="P796" s="9" t="n">
        <v>1683.15</v>
      </c>
      <c r="Q796" s="9" t="n">
        <v>1547.47</v>
      </c>
      <c r="R796" s="9" t="n">
        <v>1638.58</v>
      </c>
      <c r="S796" s="9" t="n">
        <v>1437.51</v>
      </c>
      <c r="T796" s="9" t="n">
        <v>1577.4</v>
      </c>
      <c r="U796" s="10">
        <f>SUM(I796:T796)</f>
        <v/>
      </c>
    </row>
    <row r="797">
      <c r="A797" s="2" t="inlineStr">
        <is>
          <t>SN-3000-3100-31ER-3100SG0011</t>
        </is>
      </c>
      <c r="B797" s="2" t="inlineStr">
        <is>
          <t>3100SG0011</t>
        </is>
      </c>
      <c r="C797" s="2" t="inlineStr">
        <is>
          <t>Switch gear 400 V, 3200 A, 65 kA</t>
        </is>
      </c>
      <c r="D797" s="2" t="n">
        <v>266</v>
      </c>
      <c r="E797" s="2" t="inlineStr">
        <is>
          <t>CC-3000</t>
        </is>
      </c>
      <c r="F797" s="2" t="inlineStr">
        <is>
          <t>P01</t>
        </is>
      </c>
      <c r="G797" s="2" t="n">
        <v>610000</v>
      </c>
      <c r="H797" s="2" t="inlineStr">
        <is>
          <t>Mano obra interna</t>
        </is>
      </c>
      <c r="I797" s="9" t="n">
        <v>1076.48</v>
      </c>
      <c r="J797" s="9" t="n">
        <v>1039.79</v>
      </c>
      <c r="K797" s="9" t="n">
        <v>1117.83</v>
      </c>
      <c r="L797" s="9" t="n">
        <v>1066.53</v>
      </c>
      <c r="M797" s="9" t="n">
        <v>965.9</v>
      </c>
      <c r="N797" s="9" t="n">
        <v>1053.21</v>
      </c>
      <c r="O797" s="9" t="n">
        <v>1010.62</v>
      </c>
      <c r="P797" s="9" t="n">
        <v>1119.6</v>
      </c>
      <c r="Q797" s="9" t="n">
        <v>910.5599999999999</v>
      </c>
      <c r="R797" s="9" t="n">
        <v>1205.96</v>
      </c>
      <c r="S797" s="9" t="n">
        <v>942.6</v>
      </c>
      <c r="T797" s="9" t="n">
        <v>1011.84</v>
      </c>
      <c r="U797" s="10">
        <f>SUM(I797:T797)</f>
        <v/>
      </c>
    </row>
    <row r="798">
      <c r="A798" s="2" t="inlineStr">
        <is>
          <t>SN-3000-3100-31ER-3100SG0011</t>
        </is>
      </c>
      <c r="B798" s="2" t="inlineStr">
        <is>
          <t>3100SG0011</t>
        </is>
      </c>
      <c r="C798" s="2" t="inlineStr">
        <is>
          <t>Switch gear 400 V, 3200 A, 65 kA</t>
        </is>
      </c>
      <c r="D798" s="2" t="n">
        <v>266</v>
      </c>
      <c r="E798" s="2" t="inlineStr">
        <is>
          <t>CC-3000</t>
        </is>
      </c>
      <c r="F798" s="2" t="inlineStr">
        <is>
          <t>P01</t>
        </is>
      </c>
      <c r="G798" s="2" t="n">
        <v>620000</v>
      </c>
      <c r="H798" s="2" t="inlineStr">
        <is>
          <t>Materiales</t>
        </is>
      </c>
      <c r="I798" s="9" t="n">
        <v>920.59</v>
      </c>
      <c r="J798" s="9" t="n">
        <v>908.11</v>
      </c>
      <c r="K798" s="9" t="n">
        <v>891.26</v>
      </c>
      <c r="L798" s="9" t="n">
        <v>953.5700000000001</v>
      </c>
      <c r="M798" s="9" t="n">
        <v>876.59</v>
      </c>
      <c r="N798" s="9" t="n">
        <v>852.14</v>
      </c>
      <c r="O798" s="9" t="n">
        <v>921.8099999999999</v>
      </c>
      <c r="P798" s="9" t="n">
        <v>844.12</v>
      </c>
      <c r="Q798" s="9" t="n">
        <v>793.83</v>
      </c>
      <c r="R798" s="9" t="n">
        <v>1002.77</v>
      </c>
      <c r="S798" s="9" t="n">
        <v>899.48</v>
      </c>
      <c r="T798" s="9" t="n">
        <v>953.66</v>
      </c>
      <c r="U798" s="10">
        <f>SUM(I798:T798)</f>
        <v/>
      </c>
    </row>
    <row r="799">
      <c r="A799" s="2" t="inlineStr">
        <is>
          <t>SN-3000-3100-31ER-3100SG0011</t>
        </is>
      </c>
      <c r="B799" s="2" t="inlineStr">
        <is>
          <t>3100SG0011</t>
        </is>
      </c>
      <c r="C799" s="2" t="inlineStr">
        <is>
          <t>Switch gear 400 V, 3200 A, 65 kA</t>
        </is>
      </c>
      <c r="D799" s="2" t="n">
        <v>266</v>
      </c>
      <c r="E799" s="2" t="inlineStr">
        <is>
          <t>CC-3000</t>
        </is>
      </c>
      <c r="F799" s="2" t="inlineStr">
        <is>
          <t>P01</t>
        </is>
      </c>
      <c r="G799" s="2" t="n">
        <v>630000</v>
      </c>
      <c r="H799" s="2" t="inlineStr">
        <is>
          <t>Servicios externos</t>
        </is>
      </c>
      <c r="I799" s="9" t="n">
        <v>1120</v>
      </c>
      <c r="J799" s="9" t="n">
        <v>1208.54</v>
      </c>
      <c r="K799" s="9" t="n">
        <v>1186.24</v>
      </c>
      <c r="L799" s="9" t="n">
        <v>1286.05</v>
      </c>
      <c r="M799" s="9" t="n">
        <v>1149.5</v>
      </c>
      <c r="N799" s="9" t="n">
        <v>1125.04</v>
      </c>
      <c r="O799" s="9" t="n">
        <v>1172.78</v>
      </c>
      <c r="P799" s="9" t="n">
        <v>1132.57</v>
      </c>
      <c r="Q799" s="9" t="n">
        <v>1012.2</v>
      </c>
      <c r="R799" s="9" t="n">
        <v>1337.84</v>
      </c>
      <c r="S799" s="9" t="n">
        <v>1184.13</v>
      </c>
      <c r="T799" s="9" t="n">
        <v>1115.72</v>
      </c>
      <c r="U799" s="10">
        <f>SUM(I799:T799)</f>
        <v/>
      </c>
    </row>
    <row r="800">
      <c r="A800" s="2" t="inlineStr">
        <is>
          <t>SN-3000-3100-31ER-3100TU0001</t>
        </is>
      </c>
      <c r="B800" s="2" t="inlineStr">
        <is>
          <t>3100TU0001</t>
        </is>
      </c>
      <c r="C800" s="2" t="inlineStr">
        <is>
          <t>Tablero distribución UPS</t>
        </is>
      </c>
      <c r="D800" s="2" t="n">
        <v>267</v>
      </c>
      <c r="E800" s="2" t="inlineStr">
        <is>
          <t>CC-3000</t>
        </is>
      </c>
      <c r="F800" s="2" t="inlineStr">
        <is>
          <t>P01</t>
        </is>
      </c>
      <c r="G800" s="2" t="n">
        <v>610000</v>
      </c>
      <c r="H800" s="2" t="inlineStr">
        <is>
          <t>Mano obra interna</t>
        </is>
      </c>
      <c r="I800" s="9" t="n">
        <v>2753.88</v>
      </c>
      <c r="J800" s="9" t="n">
        <v>2566.5</v>
      </c>
      <c r="K800" s="9" t="n">
        <v>2620.71</v>
      </c>
      <c r="L800" s="9" t="n">
        <v>2858.26</v>
      </c>
      <c r="M800" s="9" t="n">
        <v>2700.87</v>
      </c>
      <c r="N800" s="9" t="n">
        <v>2547.54</v>
      </c>
      <c r="O800" s="9" t="n">
        <v>2691.98</v>
      </c>
      <c r="P800" s="9" t="n">
        <v>2469.54</v>
      </c>
      <c r="Q800" s="9" t="n">
        <v>2451.34</v>
      </c>
      <c r="R800" s="9" t="n">
        <v>2712.03</v>
      </c>
      <c r="S800" s="9" t="n">
        <v>2440.51</v>
      </c>
      <c r="T800" s="9" t="n">
        <v>2752.93</v>
      </c>
      <c r="U800" s="10">
        <f>SUM(I800:T800)</f>
        <v/>
      </c>
    </row>
    <row r="801">
      <c r="A801" s="2" t="inlineStr">
        <is>
          <t>SN-3000-3100-31ER-3100TU0001</t>
        </is>
      </c>
      <c r="B801" s="2" t="inlineStr">
        <is>
          <t>3100TU0001</t>
        </is>
      </c>
      <c r="C801" s="2" t="inlineStr">
        <is>
          <t>Tablero distribución UPS</t>
        </is>
      </c>
      <c r="D801" s="2" t="n">
        <v>267</v>
      </c>
      <c r="E801" s="2" t="inlineStr">
        <is>
          <t>CC-3000</t>
        </is>
      </c>
      <c r="F801" s="2" t="inlineStr">
        <is>
          <t>P01</t>
        </is>
      </c>
      <c r="G801" s="2" t="n">
        <v>620000</v>
      </c>
      <c r="H801" s="2" t="inlineStr">
        <is>
          <t>Materiales</t>
        </is>
      </c>
      <c r="I801" s="9" t="n">
        <v>2646.98</v>
      </c>
      <c r="J801" s="9" t="n">
        <v>2472.33</v>
      </c>
      <c r="K801" s="9" t="n">
        <v>2781.47</v>
      </c>
      <c r="L801" s="9" t="n">
        <v>2851.39</v>
      </c>
      <c r="M801" s="9" t="n">
        <v>2709.79</v>
      </c>
      <c r="N801" s="9" t="n">
        <v>2666.34</v>
      </c>
      <c r="O801" s="9" t="n">
        <v>2650.08</v>
      </c>
      <c r="P801" s="9" t="n">
        <v>2737.57</v>
      </c>
      <c r="Q801" s="9" t="n">
        <v>2310.27</v>
      </c>
      <c r="R801" s="9" t="n">
        <v>2771.07</v>
      </c>
      <c r="S801" s="9" t="n">
        <v>2504.33</v>
      </c>
      <c r="T801" s="9" t="n">
        <v>2677.41</v>
      </c>
      <c r="U801" s="10">
        <f>SUM(I801:T801)</f>
        <v/>
      </c>
    </row>
    <row r="802">
      <c r="A802" s="2" t="inlineStr">
        <is>
          <t>SN-3000-3100-31ER-3100TU0001</t>
        </is>
      </c>
      <c r="B802" s="2" t="inlineStr">
        <is>
          <t>3100TU0001</t>
        </is>
      </c>
      <c r="C802" s="2" t="inlineStr">
        <is>
          <t>Tablero distribución UPS</t>
        </is>
      </c>
      <c r="D802" s="2" t="n">
        <v>267</v>
      </c>
      <c r="E802" s="2" t="inlineStr">
        <is>
          <t>CC-3000</t>
        </is>
      </c>
      <c r="F802" s="2" t="inlineStr">
        <is>
          <t>P01</t>
        </is>
      </c>
      <c r="G802" s="2" t="n">
        <v>630000</v>
      </c>
      <c r="H802" s="2" t="inlineStr">
        <is>
          <t>Servicios externos</t>
        </is>
      </c>
      <c r="I802" s="9" t="n">
        <v>2859.01</v>
      </c>
      <c r="J802" s="9" t="n">
        <v>2450.2</v>
      </c>
      <c r="K802" s="9" t="n">
        <v>2583.28</v>
      </c>
      <c r="L802" s="9" t="n">
        <v>2639.13</v>
      </c>
      <c r="M802" s="9" t="n">
        <v>2527.5</v>
      </c>
      <c r="N802" s="9" t="n">
        <v>2572.69</v>
      </c>
      <c r="O802" s="9" t="n">
        <v>2813.95</v>
      </c>
      <c r="P802" s="9" t="n">
        <v>2835.72</v>
      </c>
      <c r="Q802" s="9" t="n">
        <v>2520.19</v>
      </c>
      <c r="R802" s="9" t="n">
        <v>3003.8</v>
      </c>
      <c r="S802" s="9" t="n">
        <v>2568.31</v>
      </c>
      <c r="T802" s="9" t="n">
        <v>2556.48</v>
      </c>
      <c r="U802" s="10">
        <f>SUM(I802:T802)</f>
        <v/>
      </c>
    </row>
    <row r="803">
      <c r="A803" s="2" t="inlineStr">
        <is>
          <t>SN-3000-3100-31ER-3100UP0001</t>
        </is>
      </c>
      <c r="B803" s="2" t="inlineStr">
        <is>
          <t>3100UP0001</t>
        </is>
      </c>
      <c r="C803" s="2" t="inlineStr">
        <is>
          <t>UPS</t>
        </is>
      </c>
      <c r="D803" s="2" t="n">
        <v>268</v>
      </c>
      <c r="E803" s="2" t="inlineStr">
        <is>
          <t>CC-3000</t>
        </is>
      </c>
      <c r="F803" s="2" t="inlineStr">
        <is>
          <t>P01</t>
        </is>
      </c>
      <c r="G803" s="2" t="n">
        <v>610000</v>
      </c>
      <c r="H803" s="2" t="inlineStr">
        <is>
          <t>Mano obra interna</t>
        </is>
      </c>
      <c r="I803" s="9" t="n">
        <v>155.06</v>
      </c>
      <c r="J803" s="9" t="n">
        <v>154.04</v>
      </c>
      <c r="K803" s="9" t="n">
        <v>148.37</v>
      </c>
      <c r="L803" s="9" t="n">
        <v>150.64</v>
      </c>
      <c r="M803" s="9" t="n">
        <v>145.77</v>
      </c>
      <c r="N803" s="9" t="n">
        <v>154.53</v>
      </c>
      <c r="O803" s="9" t="n">
        <v>149.28</v>
      </c>
      <c r="P803" s="9" t="n">
        <v>156.59</v>
      </c>
      <c r="Q803" s="9" t="n">
        <v>145.78</v>
      </c>
      <c r="R803" s="9" t="n">
        <v>156.28</v>
      </c>
      <c r="S803" s="9" t="n">
        <v>147.43</v>
      </c>
      <c r="T803" s="9" t="n">
        <v>162.44</v>
      </c>
      <c r="U803" s="10">
        <f>SUM(I803:T803)</f>
        <v/>
      </c>
    </row>
    <row r="804">
      <c r="A804" s="2" t="inlineStr">
        <is>
          <t>SN-3000-3100-31ER-3100UP0001</t>
        </is>
      </c>
      <c r="B804" s="2" t="inlineStr">
        <is>
          <t>3100UP0001</t>
        </is>
      </c>
      <c r="C804" s="2" t="inlineStr">
        <is>
          <t>UPS</t>
        </is>
      </c>
      <c r="D804" s="2" t="n">
        <v>268</v>
      </c>
      <c r="E804" s="2" t="inlineStr">
        <is>
          <t>CC-3000</t>
        </is>
      </c>
      <c r="F804" s="2" t="inlineStr">
        <is>
          <t>P01</t>
        </is>
      </c>
      <c r="G804" s="2" t="n">
        <v>620000</v>
      </c>
      <c r="H804" s="2" t="inlineStr">
        <is>
          <t>Materiales</t>
        </is>
      </c>
      <c r="I804" s="9" t="n">
        <v>154.67</v>
      </c>
      <c r="J804" s="9" t="n">
        <v>132.93</v>
      </c>
      <c r="K804" s="9" t="n">
        <v>135.97</v>
      </c>
      <c r="L804" s="9" t="n">
        <v>153.61</v>
      </c>
      <c r="M804" s="9" t="n">
        <v>147.76</v>
      </c>
      <c r="N804" s="9" t="n">
        <v>145.88</v>
      </c>
      <c r="O804" s="9" t="n">
        <v>145.57</v>
      </c>
      <c r="P804" s="9" t="n">
        <v>151.21</v>
      </c>
      <c r="Q804" s="9" t="n">
        <v>138.55</v>
      </c>
      <c r="R804" s="9" t="n">
        <v>160.94</v>
      </c>
      <c r="S804" s="9" t="n">
        <v>138.44</v>
      </c>
      <c r="T804" s="9" t="n">
        <v>140.84</v>
      </c>
      <c r="U804" s="10">
        <f>SUM(I804:T804)</f>
        <v/>
      </c>
    </row>
    <row r="805">
      <c r="A805" s="2" t="inlineStr">
        <is>
          <t>SN-3000-3100-31ER-3100UP0001</t>
        </is>
      </c>
      <c r="B805" s="2" t="inlineStr">
        <is>
          <t>3100UP0001</t>
        </is>
      </c>
      <c r="C805" s="2" t="inlineStr">
        <is>
          <t>UPS</t>
        </is>
      </c>
      <c r="D805" s="2" t="n">
        <v>268</v>
      </c>
      <c r="E805" s="2" t="inlineStr">
        <is>
          <t>CC-3000</t>
        </is>
      </c>
      <c r="F805" s="2" t="inlineStr">
        <is>
          <t>P01</t>
        </is>
      </c>
      <c r="G805" s="2" t="n">
        <v>630000</v>
      </c>
      <c r="H805" s="2" t="inlineStr">
        <is>
          <t>Servicios externos</t>
        </is>
      </c>
      <c r="I805" s="9" t="n">
        <v>170.12</v>
      </c>
      <c r="J805" s="9" t="n">
        <v>166.96</v>
      </c>
      <c r="K805" s="9" t="n">
        <v>172.31</v>
      </c>
      <c r="L805" s="9" t="n">
        <v>173.98</v>
      </c>
      <c r="M805" s="9" t="n">
        <v>165.95</v>
      </c>
      <c r="N805" s="9" t="n">
        <v>149.43</v>
      </c>
      <c r="O805" s="9" t="n">
        <v>178.86</v>
      </c>
      <c r="P805" s="9" t="n">
        <v>166.85</v>
      </c>
      <c r="Q805" s="9" t="n">
        <v>159.06</v>
      </c>
      <c r="R805" s="9" t="n">
        <v>171.2</v>
      </c>
      <c r="S805" s="9" t="n">
        <v>150.14</v>
      </c>
      <c r="T805" s="9" t="n">
        <v>164.01</v>
      </c>
      <c r="U805" s="10">
        <f>SUM(I805:T805)</f>
        <v/>
      </c>
    </row>
    <row r="806">
      <c r="A806" s="2" t="inlineStr">
        <is>
          <t>SN-3000-3100-31ER-3100ZM0001</t>
        </is>
      </c>
      <c r="B806" s="2" t="inlineStr">
        <is>
          <t>3100ZM0001</t>
        </is>
      </c>
      <c r="C806" s="2" t="inlineStr">
        <is>
          <t>Unidad presurización</t>
        </is>
      </c>
      <c r="D806" s="2" t="n">
        <v>269</v>
      </c>
      <c r="E806" s="2" t="inlineStr">
        <is>
          <t>CC-3000</t>
        </is>
      </c>
      <c r="F806" s="2" t="inlineStr">
        <is>
          <t>P01</t>
        </is>
      </c>
      <c r="G806" s="2" t="n">
        <v>610000</v>
      </c>
      <c r="H806" s="2" t="inlineStr">
        <is>
          <t>Mano obra interna</t>
        </is>
      </c>
      <c r="I806" s="9" t="n">
        <v>2462.23</v>
      </c>
      <c r="J806" s="9" t="n">
        <v>2704.25</v>
      </c>
      <c r="K806" s="9" t="n">
        <v>2537.54</v>
      </c>
      <c r="L806" s="9" t="n">
        <v>2509.54</v>
      </c>
      <c r="M806" s="9" t="n">
        <v>2420.59</v>
      </c>
      <c r="N806" s="9" t="n">
        <v>2272.39</v>
      </c>
      <c r="O806" s="9" t="n">
        <v>2690.52</v>
      </c>
      <c r="P806" s="9" t="n">
        <v>2729.83</v>
      </c>
      <c r="Q806" s="9" t="n">
        <v>2442.9</v>
      </c>
      <c r="R806" s="9" t="n">
        <v>2640.69</v>
      </c>
      <c r="S806" s="9" t="n">
        <v>2409.2</v>
      </c>
      <c r="T806" s="9" t="n">
        <v>2605.41</v>
      </c>
      <c r="U806" s="10">
        <f>SUM(I806:T806)</f>
        <v/>
      </c>
    </row>
    <row r="807">
      <c r="A807" s="2" t="inlineStr">
        <is>
          <t>SN-3000-3100-31ER-3100ZM0001</t>
        </is>
      </c>
      <c r="B807" s="2" t="inlineStr">
        <is>
          <t>3100ZM0001</t>
        </is>
      </c>
      <c r="C807" s="2" t="inlineStr">
        <is>
          <t>Unidad presurización</t>
        </is>
      </c>
      <c r="D807" s="2" t="n">
        <v>269</v>
      </c>
      <c r="E807" s="2" t="inlineStr">
        <is>
          <t>CC-3000</t>
        </is>
      </c>
      <c r="F807" s="2" t="inlineStr">
        <is>
          <t>P01</t>
        </is>
      </c>
      <c r="G807" s="2" t="n">
        <v>620000</v>
      </c>
      <c r="H807" s="2" t="inlineStr">
        <is>
          <t>Materiales</t>
        </is>
      </c>
      <c r="I807" s="9" t="n">
        <v>2610.55</v>
      </c>
      <c r="J807" s="9" t="n">
        <v>2721.89</v>
      </c>
      <c r="K807" s="9" t="n">
        <v>2722.66</v>
      </c>
      <c r="L807" s="9" t="n">
        <v>2635.62</v>
      </c>
      <c r="M807" s="9" t="n">
        <v>2618.8</v>
      </c>
      <c r="N807" s="9" t="n">
        <v>2373.09</v>
      </c>
      <c r="O807" s="9" t="n">
        <v>2793.59</v>
      </c>
      <c r="P807" s="9" t="n">
        <v>2553.6</v>
      </c>
      <c r="Q807" s="9" t="n">
        <v>2570.23</v>
      </c>
      <c r="R807" s="9" t="n">
        <v>2675.48</v>
      </c>
      <c r="S807" s="9" t="n">
        <v>2767.71</v>
      </c>
      <c r="T807" s="9" t="n">
        <v>2571.7</v>
      </c>
      <c r="U807" s="10">
        <f>SUM(I807:T807)</f>
        <v/>
      </c>
    </row>
    <row r="808">
      <c r="A808" s="2" t="inlineStr">
        <is>
          <t>SN-3000-3100-31ER-3100ZM0001</t>
        </is>
      </c>
      <c r="B808" s="2" t="inlineStr">
        <is>
          <t>3100ZM0001</t>
        </is>
      </c>
      <c r="C808" s="2" t="inlineStr">
        <is>
          <t>Unidad presurización</t>
        </is>
      </c>
      <c r="D808" s="2" t="n">
        <v>269</v>
      </c>
      <c r="E808" s="2" t="inlineStr">
        <is>
          <t>CC-3000</t>
        </is>
      </c>
      <c r="F808" s="2" t="inlineStr">
        <is>
          <t>P01</t>
        </is>
      </c>
      <c r="G808" s="2" t="n">
        <v>630000</v>
      </c>
      <c r="H808" s="2" t="inlineStr">
        <is>
          <t>Servicios externos</t>
        </is>
      </c>
      <c r="I808" s="9" t="n">
        <v>2755.52</v>
      </c>
      <c r="J808" s="9" t="n">
        <v>2722.58</v>
      </c>
      <c r="K808" s="9" t="n">
        <v>2643.9</v>
      </c>
      <c r="L808" s="9" t="n">
        <v>2724.24</v>
      </c>
      <c r="M808" s="9" t="n">
        <v>2492.65</v>
      </c>
      <c r="N808" s="9" t="n">
        <v>2334.74</v>
      </c>
      <c r="O808" s="9" t="n">
        <v>2549.64</v>
      </c>
      <c r="P808" s="9" t="n">
        <v>2432.54</v>
      </c>
      <c r="Q808" s="9" t="n">
        <v>2578.78</v>
      </c>
      <c r="R808" s="9" t="n">
        <v>2594.43</v>
      </c>
      <c r="S808" s="9" t="n">
        <v>2525.31</v>
      </c>
      <c r="T808" s="9" t="n">
        <v>2662.91</v>
      </c>
      <c r="U808" s="10">
        <f>SUM(I808:T808)</f>
        <v/>
      </c>
    </row>
    <row r="809">
      <c r="A809" s="2" t="inlineStr">
        <is>
          <t>SN-3000-3100-31ER-3110VF0061</t>
        </is>
      </c>
      <c r="B809" s="2" t="inlineStr">
        <is>
          <t>3110VF0061</t>
        </is>
      </c>
      <c r="C809" s="2" t="inlineStr">
        <is>
          <t>Variador frecuencia 3110PU0061M1VF</t>
        </is>
      </c>
      <c r="D809" s="2" t="n">
        <v>270</v>
      </c>
      <c r="E809" s="2" t="inlineStr">
        <is>
          <t>CC-3000</t>
        </is>
      </c>
      <c r="F809" s="2" t="inlineStr">
        <is>
          <t>P01</t>
        </is>
      </c>
      <c r="G809" s="2" t="n">
        <v>610000</v>
      </c>
      <c r="H809" s="2" t="inlineStr">
        <is>
          <t>Mano obra interna</t>
        </is>
      </c>
      <c r="I809" s="9" t="n">
        <v>1903.1</v>
      </c>
      <c r="J809" s="9" t="n">
        <v>1679.68</v>
      </c>
      <c r="K809" s="9" t="n">
        <v>1891.09</v>
      </c>
      <c r="L809" s="9" t="n">
        <v>1793.92</v>
      </c>
      <c r="M809" s="9" t="n">
        <v>1924.94</v>
      </c>
      <c r="N809" s="9" t="n">
        <v>1810.11</v>
      </c>
      <c r="O809" s="9" t="n">
        <v>1955.35</v>
      </c>
      <c r="P809" s="9" t="n">
        <v>1681.38</v>
      </c>
      <c r="Q809" s="9" t="n">
        <v>1633.34</v>
      </c>
      <c r="R809" s="9" t="n">
        <v>1864.1</v>
      </c>
      <c r="S809" s="9" t="n">
        <v>1621.47</v>
      </c>
      <c r="T809" s="9" t="n">
        <v>1768.04</v>
      </c>
      <c r="U809" s="10">
        <f>SUM(I809:T809)</f>
        <v/>
      </c>
    </row>
    <row r="810">
      <c r="A810" s="2" t="inlineStr">
        <is>
          <t>SN-3000-3100-31ER-3110VF0061</t>
        </is>
      </c>
      <c r="B810" s="2" t="inlineStr">
        <is>
          <t>3110VF0061</t>
        </is>
      </c>
      <c r="C810" s="2" t="inlineStr">
        <is>
          <t>Variador frecuencia 3110PU0061M1VF</t>
        </is>
      </c>
      <c r="D810" s="2" t="n">
        <v>270</v>
      </c>
      <c r="E810" s="2" t="inlineStr">
        <is>
          <t>CC-3000</t>
        </is>
      </c>
      <c r="F810" s="2" t="inlineStr">
        <is>
          <t>P01</t>
        </is>
      </c>
      <c r="G810" s="2" t="n">
        <v>620000</v>
      </c>
      <c r="H810" s="2" t="inlineStr">
        <is>
          <t>Materiales</t>
        </is>
      </c>
      <c r="I810" s="9" t="n">
        <v>1764.85</v>
      </c>
      <c r="J810" s="9" t="n">
        <v>1781.75</v>
      </c>
      <c r="K810" s="9" t="n">
        <v>1979.35</v>
      </c>
      <c r="L810" s="9" t="n">
        <v>1903.6</v>
      </c>
      <c r="M810" s="9" t="n">
        <v>1757.71</v>
      </c>
      <c r="N810" s="9" t="n">
        <v>1691.93</v>
      </c>
      <c r="O810" s="9" t="n">
        <v>1794.56</v>
      </c>
      <c r="P810" s="9" t="n">
        <v>1711.91</v>
      </c>
      <c r="Q810" s="9" t="n">
        <v>1717.72</v>
      </c>
      <c r="R810" s="9" t="n">
        <v>1905.87</v>
      </c>
      <c r="S810" s="9" t="n">
        <v>1847.44</v>
      </c>
      <c r="T810" s="9" t="n">
        <v>1908.62</v>
      </c>
      <c r="U810" s="10">
        <f>SUM(I810:T810)</f>
        <v/>
      </c>
    </row>
    <row r="811">
      <c r="A811" s="2" t="inlineStr">
        <is>
          <t>SN-3000-3100-31ER-3110VF0061</t>
        </is>
      </c>
      <c r="B811" s="2" t="inlineStr">
        <is>
          <t>3110VF0061</t>
        </is>
      </c>
      <c r="C811" s="2" t="inlineStr">
        <is>
          <t>Variador frecuencia 3110PU0061M1VF</t>
        </is>
      </c>
      <c r="D811" s="2" t="n">
        <v>270</v>
      </c>
      <c r="E811" s="2" t="inlineStr">
        <is>
          <t>CC-3000</t>
        </is>
      </c>
      <c r="F811" s="2" t="inlineStr">
        <is>
          <t>P01</t>
        </is>
      </c>
      <c r="G811" s="2" t="n">
        <v>630000</v>
      </c>
      <c r="H811" s="2" t="inlineStr">
        <is>
          <t>Servicios externos</t>
        </is>
      </c>
      <c r="I811" s="9" t="n">
        <v>1799.74</v>
      </c>
      <c r="J811" s="9" t="n">
        <v>1692.49</v>
      </c>
      <c r="K811" s="9" t="n">
        <v>1941.32</v>
      </c>
      <c r="L811" s="9" t="n">
        <v>1837.87</v>
      </c>
      <c r="M811" s="9" t="n">
        <v>1704.96</v>
      </c>
      <c r="N811" s="9" t="n">
        <v>1638.94</v>
      </c>
      <c r="O811" s="9" t="n">
        <v>1706.44</v>
      </c>
      <c r="P811" s="9" t="n">
        <v>1880.66</v>
      </c>
      <c r="Q811" s="9" t="n">
        <v>1604.83</v>
      </c>
      <c r="R811" s="9" t="n">
        <v>1951.77</v>
      </c>
      <c r="S811" s="9" t="n">
        <v>1731.07</v>
      </c>
      <c r="T811" s="9" t="n">
        <v>1852.2</v>
      </c>
      <c r="U811" s="10">
        <f>SUM(I811:T811)</f>
        <v/>
      </c>
    </row>
    <row r="812">
      <c r="A812" s="2" t="inlineStr">
        <is>
          <t>SN-3000-3100-31ER-3110VF0062</t>
        </is>
      </c>
      <c r="B812" s="2" t="inlineStr">
        <is>
          <t>3110VF0062</t>
        </is>
      </c>
      <c r="C812" s="2" t="inlineStr">
        <is>
          <t>Variador frecuencia 3110PU0062M1VF</t>
        </is>
      </c>
      <c r="D812" s="2" t="n">
        <v>271</v>
      </c>
      <c r="E812" s="2" t="inlineStr">
        <is>
          <t>CC-3000</t>
        </is>
      </c>
      <c r="F812" s="2" t="inlineStr">
        <is>
          <t>P01</t>
        </is>
      </c>
      <c r="G812" s="2" t="n">
        <v>610000</v>
      </c>
      <c r="H812" s="2" t="inlineStr">
        <is>
          <t>Mano obra interna</t>
        </is>
      </c>
      <c r="I812" s="9" t="n">
        <v>3158.41</v>
      </c>
      <c r="J812" s="9" t="n">
        <v>2855.22</v>
      </c>
      <c r="K812" s="9" t="n">
        <v>2780.7</v>
      </c>
      <c r="L812" s="9" t="n">
        <v>2951.26</v>
      </c>
      <c r="M812" s="9" t="n">
        <v>2940.9</v>
      </c>
      <c r="N812" s="9" t="n">
        <v>2819.44</v>
      </c>
      <c r="O812" s="9" t="n">
        <v>2994.09</v>
      </c>
      <c r="P812" s="9" t="n">
        <v>2758.2</v>
      </c>
      <c r="Q812" s="9" t="n">
        <v>2783.78</v>
      </c>
      <c r="R812" s="9" t="n">
        <v>2991.14</v>
      </c>
      <c r="S812" s="9" t="n">
        <v>2942.05</v>
      </c>
      <c r="T812" s="9" t="n">
        <v>2889.03</v>
      </c>
      <c r="U812" s="10">
        <f>SUM(I812:T812)</f>
        <v/>
      </c>
    </row>
    <row r="813">
      <c r="A813" s="2" t="inlineStr">
        <is>
          <t>SN-3000-3100-31ER-3110VF0062</t>
        </is>
      </c>
      <c r="B813" s="2" t="inlineStr">
        <is>
          <t>3110VF0062</t>
        </is>
      </c>
      <c r="C813" s="2" t="inlineStr">
        <is>
          <t>Variador frecuencia 3110PU0062M1VF</t>
        </is>
      </c>
      <c r="D813" s="2" t="n">
        <v>271</v>
      </c>
      <c r="E813" s="2" t="inlineStr">
        <is>
          <t>CC-3000</t>
        </is>
      </c>
      <c r="F813" s="2" t="inlineStr">
        <is>
          <t>P01</t>
        </is>
      </c>
      <c r="G813" s="2" t="n">
        <v>620000</v>
      </c>
      <c r="H813" s="2" t="inlineStr">
        <is>
          <t>Materiales</t>
        </is>
      </c>
      <c r="I813" s="9" t="n">
        <v>2550.63</v>
      </c>
      <c r="J813" s="9" t="n">
        <v>2613.5</v>
      </c>
      <c r="K813" s="9" t="n">
        <v>2869.76</v>
      </c>
      <c r="L813" s="9" t="n">
        <v>2632.46</v>
      </c>
      <c r="M813" s="9" t="n">
        <v>2791.46</v>
      </c>
      <c r="N813" s="9" t="n">
        <v>2628.94</v>
      </c>
      <c r="O813" s="9" t="n">
        <v>2732.36</v>
      </c>
      <c r="P813" s="9" t="n">
        <v>2628.31</v>
      </c>
      <c r="Q813" s="9" t="n">
        <v>2500.17</v>
      </c>
      <c r="R813" s="9" t="n">
        <v>2949.86</v>
      </c>
      <c r="S813" s="9" t="n">
        <v>2595.88</v>
      </c>
      <c r="T813" s="9" t="n">
        <v>2820.11</v>
      </c>
      <c r="U813" s="10">
        <f>SUM(I813:T813)</f>
        <v/>
      </c>
    </row>
    <row r="814">
      <c r="A814" s="2" t="inlineStr">
        <is>
          <t>SN-3000-3100-31ER-3110VF0062</t>
        </is>
      </c>
      <c r="B814" s="2" t="inlineStr">
        <is>
          <t>3110VF0062</t>
        </is>
      </c>
      <c r="C814" s="2" t="inlineStr">
        <is>
          <t>Variador frecuencia 3110PU0062M1VF</t>
        </is>
      </c>
      <c r="D814" s="2" t="n">
        <v>271</v>
      </c>
      <c r="E814" s="2" t="inlineStr">
        <is>
          <t>CC-3000</t>
        </is>
      </c>
      <c r="F814" s="2" t="inlineStr">
        <is>
          <t>P01</t>
        </is>
      </c>
      <c r="G814" s="2" t="n">
        <v>630000</v>
      </c>
      <c r="H814" s="2" t="inlineStr">
        <is>
          <t>Servicios externos</t>
        </is>
      </c>
      <c r="I814" s="9" t="n">
        <v>2405.91</v>
      </c>
      <c r="J814" s="9" t="n">
        <v>2325.64</v>
      </c>
      <c r="K814" s="9" t="n">
        <v>2351.1</v>
      </c>
      <c r="L814" s="9" t="n">
        <v>2448.67</v>
      </c>
      <c r="M814" s="9" t="n">
        <v>2546.61</v>
      </c>
      <c r="N814" s="9" t="n">
        <v>2477.3</v>
      </c>
      <c r="O814" s="9" t="n">
        <v>2357.93</v>
      </c>
      <c r="P814" s="9" t="n">
        <v>2654.44</v>
      </c>
      <c r="Q814" s="9" t="n">
        <v>2304.49</v>
      </c>
      <c r="R814" s="9" t="n">
        <v>2846.79</v>
      </c>
      <c r="S814" s="9" t="n">
        <v>2474.89</v>
      </c>
      <c r="T814" s="9" t="n">
        <v>2600.79</v>
      </c>
      <c r="U814" s="10">
        <f>SUM(I814:T814)</f>
        <v/>
      </c>
    </row>
    <row r="815">
      <c r="A815" s="2" t="inlineStr">
        <is>
          <t>SN-3000-3100-31ER-3110XF0001</t>
        </is>
      </c>
      <c r="B815" s="2" t="inlineStr">
        <is>
          <t>3110XF0001</t>
        </is>
      </c>
      <c r="C815" s="2" t="inlineStr">
        <is>
          <t>Transformador potencia 3110MI0001XF</t>
        </is>
      </c>
      <c r="D815" s="2" t="n">
        <v>272</v>
      </c>
      <c r="E815" s="2" t="inlineStr">
        <is>
          <t>CC-3000</t>
        </is>
      </c>
      <c r="F815" s="2" t="inlineStr">
        <is>
          <t>P01</t>
        </is>
      </c>
      <c r="G815" s="2" t="n">
        <v>610000</v>
      </c>
      <c r="H815" s="2" t="inlineStr">
        <is>
          <t>Mano obra interna</t>
        </is>
      </c>
      <c r="I815" s="9" t="n">
        <v>1561.97</v>
      </c>
      <c r="J815" s="9" t="n">
        <v>1453.61</v>
      </c>
      <c r="K815" s="9" t="n">
        <v>1709.67</v>
      </c>
      <c r="L815" s="9" t="n">
        <v>1596.41</v>
      </c>
      <c r="M815" s="9" t="n">
        <v>1657.98</v>
      </c>
      <c r="N815" s="9" t="n">
        <v>1492.01</v>
      </c>
      <c r="O815" s="9" t="n">
        <v>1684.45</v>
      </c>
      <c r="P815" s="9" t="n">
        <v>1506.07</v>
      </c>
      <c r="Q815" s="9" t="n">
        <v>1413.19</v>
      </c>
      <c r="R815" s="9" t="n">
        <v>1683.49</v>
      </c>
      <c r="S815" s="9" t="n">
        <v>1527.98</v>
      </c>
      <c r="T815" s="9" t="n">
        <v>1586.28</v>
      </c>
      <c r="U815" s="10">
        <f>SUM(I815:T815)</f>
        <v/>
      </c>
    </row>
    <row r="816">
      <c r="A816" s="2" t="inlineStr">
        <is>
          <t>SN-3000-3100-31ER-3110XF0001</t>
        </is>
      </c>
      <c r="B816" s="2" t="inlineStr">
        <is>
          <t>3110XF0001</t>
        </is>
      </c>
      <c r="C816" s="2" t="inlineStr">
        <is>
          <t>Transformador potencia 3110MI0001XF</t>
        </is>
      </c>
      <c r="D816" s="2" t="n">
        <v>272</v>
      </c>
      <c r="E816" s="2" t="inlineStr">
        <is>
          <t>CC-3000</t>
        </is>
      </c>
      <c r="F816" s="2" t="inlineStr">
        <is>
          <t>P01</t>
        </is>
      </c>
      <c r="G816" s="2" t="n">
        <v>620000</v>
      </c>
      <c r="H816" s="2" t="inlineStr">
        <is>
          <t>Materiales</t>
        </is>
      </c>
      <c r="I816" s="9" t="n">
        <v>1796.1</v>
      </c>
      <c r="J816" s="9" t="n">
        <v>1808.14</v>
      </c>
      <c r="K816" s="9" t="n">
        <v>2044.91</v>
      </c>
      <c r="L816" s="9" t="n">
        <v>1788.94</v>
      </c>
      <c r="M816" s="9" t="n">
        <v>1992.98</v>
      </c>
      <c r="N816" s="9" t="n">
        <v>1937.99</v>
      </c>
      <c r="O816" s="9" t="n">
        <v>1757.7</v>
      </c>
      <c r="P816" s="9" t="n">
        <v>1816.54</v>
      </c>
      <c r="Q816" s="9" t="n">
        <v>1714.96</v>
      </c>
      <c r="R816" s="9" t="n">
        <v>2117.89</v>
      </c>
      <c r="S816" s="9" t="n">
        <v>1848.59</v>
      </c>
      <c r="T816" s="9" t="n">
        <v>1952.72</v>
      </c>
      <c r="U816" s="10">
        <f>SUM(I816:T816)</f>
        <v/>
      </c>
    </row>
    <row r="817">
      <c r="A817" s="2" t="inlineStr">
        <is>
          <t>SN-3000-3100-31ER-3110XF0001</t>
        </is>
      </c>
      <c r="B817" s="2" t="inlineStr">
        <is>
          <t>3110XF0001</t>
        </is>
      </c>
      <c r="C817" s="2" t="inlineStr">
        <is>
          <t>Transformador potencia 3110MI0001XF</t>
        </is>
      </c>
      <c r="D817" s="2" t="n">
        <v>272</v>
      </c>
      <c r="E817" s="2" t="inlineStr">
        <is>
          <t>CC-3000</t>
        </is>
      </c>
      <c r="F817" s="2" t="inlineStr">
        <is>
          <t>P01</t>
        </is>
      </c>
      <c r="G817" s="2" t="n">
        <v>630000</v>
      </c>
      <c r="H817" s="2" t="inlineStr">
        <is>
          <t>Servicios externos</t>
        </is>
      </c>
      <c r="I817" s="9" t="n">
        <v>1800.26</v>
      </c>
      <c r="J817" s="9" t="n">
        <v>1948.49</v>
      </c>
      <c r="K817" s="9" t="n">
        <v>2001.49</v>
      </c>
      <c r="L817" s="9" t="n">
        <v>1943.47</v>
      </c>
      <c r="M817" s="9" t="n">
        <v>1974.8</v>
      </c>
      <c r="N817" s="9" t="n">
        <v>1853.35</v>
      </c>
      <c r="O817" s="9" t="n">
        <v>1789.47</v>
      </c>
      <c r="P817" s="9" t="n">
        <v>1855.81</v>
      </c>
      <c r="Q817" s="9" t="n">
        <v>1746.81</v>
      </c>
      <c r="R817" s="9" t="n">
        <v>1881.47</v>
      </c>
      <c r="S817" s="9" t="n">
        <v>1950.59</v>
      </c>
      <c r="T817" s="9" t="n">
        <v>1792.92</v>
      </c>
      <c r="U817" s="10">
        <f>SUM(I817:T817)</f>
        <v/>
      </c>
    </row>
    <row r="818">
      <c r="A818" s="2" t="inlineStr">
        <is>
          <t>SN-3000-3100-31ER-3150VF0014</t>
        </is>
      </c>
      <c r="B818" s="2" t="inlineStr">
        <is>
          <t>3150VF0014</t>
        </is>
      </c>
      <c r="C818" s="2" t="inlineStr">
        <is>
          <t>Variador frecuencia 3150CQ0014M1VF</t>
        </is>
      </c>
      <c r="D818" s="2" t="n">
        <v>273</v>
      </c>
      <c r="E818" s="2" t="inlineStr">
        <is>
          <t>CC-3000</t>
        </is>
      </c>
      <c r="F818" s="2" t="inlineStr">
        <is>
          <t>P01</t>
        </is>
      </c>
      <c r="G818" s="2" t="n">
        <v>610000</v>
      </c>
      <c r="H818" s="2" t="inlineStr">
        <is>
          <t>Mano obra interna</t>
        </is>
      </c>
      <c r="I818" s="9" t="n">
        <v>1969.66</v>
      </c>
      <c r="J818" s="9" t="n">
        <v>1754.25</v>
      </c>
      <c r="K818" s="9" t="n">
        <v>2123.65</v>
      </c>
      <c r="L818" s="9" t="n">
        <v>2080.91</v>
      </c>
      <c r="M818" s="9" t="n">
        <v>1914.99</v>
      </c>
      <c r="N818" s="9" t="n">
        <v>1762.92</v>
      </c>
      <c r="O818" s="9" t="n">
        <v>1811.65</v>
      </c>
      <c r="P818" s="9" t="n">
        <v>1883.98</v>
      </c>
      <c r="Q818" s="9" t="n">
        <v>1724.07</v>
      </c>
      <c r="R818" s="9" t="n">
        <v>2080.91</v>
      </c>
      <c r="S818" s="9" t="n">
        <v>2005.21</v>
      </c>
      <c r="T818" s="9" t="n">
        <v>1979.6</v>
      </c>
      <c r="U818" s="10">
        <f>SUM(I818:T818)</f>
        <v/>
      </c>
    </row>
    <row r="819">
      <c r="A819" s="2" t="inlineStr">
        <is>
          <t>SN-3000-3100-31ER-3150VF0014</t>
        </is>
      </c>
      <c r="B819" s="2" t="inlineStr">
        <is>
          <t>3150VF0014</t>
        </is>
      </c>
      <c r="C819" s="2" t="inlineStr">
        <is>
          <t>Variador frecuencia 3150CQ0014M1VF</t>
        </is>
      </c>
      <c r="D819" s="2" t="n">
        <v>273</v>
      </c>
      <c r="E819" s="2" t="inlineStr">
        <is>
          <t>CC-3000</t>
        </is>
      </c>
      <c r="F819" s="2" t="inlineStr">
        <is>
          <t>P01</t>
        </is>
      </c>
      <c r="G819" s="2" t="n">
        <v>620000</v>
      </c>
      <c r="H819" s="2" t="inlineStr">
        <is>
          <t>Materiales</t>
        </is>
      </c>
      <c r="I819" s="9" t="n">
        <v>2030.19</v>
      </c>
      <c r="J819" s="9" t="n">
        <v>1904.88</v>
      </c>
      <c r="K819" s="9" t="n">
        <v>2116.97</v>
      </c>
      <c r="L819" s="9" t="n">
        <v>1975.58</v>
      </c>
      <c r="M819" s="9" t="n">
        <v>2035.12</v>
      </c>
      <c r="N819" s="9" t="n">
        <v>1794.64</v>
      </c>
      <c r="O819" s="9" t="n">
        <v>1827.36</v>
      </c>
      <c r="P819" s="9" t="n">
        <v>2050.72</v>
      </c>
      <c r="Q819" s="9" t="n">
        <v>1832.91</v>
      </c>
      <c r="R819" s="9" t="n">
        <v>2224.52</v>
      </c>
      <c r="S819" s="9" t="n">
        <v>2011.53</v>
      </c>
      <c r="T819" s="9" t="n">
        <v>1829.95</v>
      </c>
      <c r="U819" s="10">
        <f>SUM(I819:T819)</f>
        <v/>
      </c>
    </row>
    <row r="820">
      <c r="A820" s="2" t="inlineStr">
        <is>
          <t>SN-3000-3100-31ER-3150VF0014</t>
        </is>
      </c>
      <c r="B820" s="2" t="inlineStr">
        <is>
          <t>3150VF0014</t>
        </is>
      </c>
      <c r="C820" s="2" t="inlineStr">
        <is>
          <t>Variador frecuencia 3150CQ0014M1VF</t>
        </is>
      </c>
      <c r="D820" s="2" t="n">
        <v>273</v>
      </c>
      <c r="E820" s="2" t="inlineStr">
        <is>
          <t>CC-3000</t>
        </is>
      </c>
      <c r="F820" s="2" t="inlineStr">
        <is>
          <t>P01</t>
        </is>
      </c>
      <c r="G820" s="2" t="n">
        <v>630000</v>
      </c>
      <c r="H820" s="2" t="inlineStr">
        <is>
          <t>Servicios externos</t>
        </is>
      </c>
      <c r="I820" s="9" t="n">
        <v>1757.71</v>
      </c>
      <c r="J820" s="9" t="n">
        <v>1765.21</v>
      </c>
      <c r="K820" s="9" t="n">
        <v>1897.7</v>
      </c>
      <c r="L820" s="9" t="n">
        <v>1732.66</v>
      </c>
      <c r="M820" s="9" t="n">
        <v>1754.59</v>
      </c>
      <c r="N820" s="9" t="n">
        <v>1735.88</v>
      </c>
      <c r="O820" s="9" t="n">
        <v>1654.95</v>
      </c>
      <c r="P820" s="9" t="n">
        <v>1843.88</v>
      </c>
      <c r="Q820" s="9" t="n">
        <v>1663.28</v>
      </c>
      <c r="R820" s="9" t="n">
        <v>2031.04</v>
      </c>
      <c r="S820" s="9" t="n">
        <v>1657.18</v>
      </c>
      <c r="T820" s="9" t="n">
        <v>1671.26</v>
      </c>
      <c r="U820" s="10">
        <f>SUM(I820:T820)</f>
        <v/>
      </c>
    </row>
    <row r="821">
      <c r="A821" s="2" t="inlineStr">
        <is>
          <t>SN-3000-3100-31ER-3150VF0015</t>
        </is>
      </c>
      <c r="B821" s="2" t="inlineStr">
        <is>
          <t>3150VF0015</t>
        </is>
      </c>
      <c r="C821" s="2" t="inlineStr">
        <is>
          <t>Variador frecuencia 3150CQ0015M1VF</t>
        </is>
      </c>
      <c r="D821" s="2" t="n">
        <v>274</v>
      </c>
      <c r="E821" s="2" t="inlineStr">
        <is>
          <t>CC-3000</t>
        </is>
      </c>
      <c r="F821" s="2" t="inlineStr">
        <is>
          <t>P01</t>
        </is>
      </c>
      <c r="G821" s="2" t="n">
        <v>610000</v>
      </c>
      <c r="H821" s="2" t="inlineStr">
        <is>
          <t>Mano obra interna</t>
        </is>
      </c>
      <c r="I821" s="9" t="n">
        <v>1440.94</v>
      </c>
      <c r="J821" s="9" t="n">
        <v>1600.65</v>
      </c>
      <c r="K821" s="9" t="n">
        <v>1444.42</v>
      </c>
      <c r="L821" s="9" t="n">
        <v>1607.69</v>
      </c>
      <c r="M821" s="9" t="n">
        <v>1502.07</v>
      </c>
      <c r="N821" s="9" t="n">
        <v>1414.91</v>
      </c>
      <c r="O821" s="9" t="n">
        <v>1407.33</v>
      </c>
      <c r="P821" s="9" t="n">
        <v>1540.1</v>
      </c>
      <c r="Q821" s="9" t="n">
        <v>1426.39</v>
      </c>
      <c r="R821" s="9" t="n">
        <v>1573.1</v>
      </c>
      <c r="S821" s="9" t="n">
        <v>1559.47</v>
      </c>
      <c r="T821" s="9" t="n">
        <v>1486.06</v>
      </c>
      <c r="U821" s="10">
        <f>SUM(I821:T821)</f>
        <v/>
      </c>
    </row>
    <row r="822">
      <c r="A822" s="2" t="inlineStr">
        <is>
          <t>SN-3000-3100-31ER-3150VF0015</t>
        </is>
      </c>
      <c r="B822" s="2" t="inlineStr">
        <is>
          <t>3150VF0015</t>
        </is>
      </c>
      <c r="C822" s="2" t="inlineStr">
        <is>
          <t>Variador frecuencia 3150CQ0015M1VF</t>
        </is>
      </c>
      <c r="D822" s="2" t="n">
        <v>274</v>
      </c>
      <c r="E822" s="2" t="inlineStr">
        <is>
          <t>CC-3000</t>
        </is>
      </c>
      <c r="F822" s="2" t="inlineStr">
        <is>
          <t>P01</t>
        </is>
      </c>
      <c r="G822" s="2" t="n">
        <v>620000</v>
      </c>
      <c r="H822" s="2" t="inlineStr">
        <is>
          <t>Materiales</t>
        </is>
      </c>
      <c r="I822" s="9" t="n">
        <v>1484.15</v>
      </c>
      <c r="J822" s="9" t="n">
        <v>1330.93</v>
      </c>
      <c r="K822" s="9" t="n">
        <v>1592.4</v>
      </c>
      <c r="L822" s="9" t="n">
        <v>1445.94</v>
      </c>
      <c r="M822" s="9" t="n">
        <v>1332.96</v>
      </c>
      <c r="N822" s="9" t="n">
        <v>1355.42</v>
      </c>
      <c r="O822" s="9" t="n">
        <v>1467.54</v>
      </c>
      <c r="P822" s="9" t="n">
        <v>1445.81</v>
      </c>
      <c r="Q822" s="9" t="n">
        <v>1385.77</v>
      </c>
      <c r="R822" s="9" t="n">
        <v>1446.22</v>
      </c>
      <c r="S822" s="9" t="n">
        <v>1349.45</v>
      </c>
      <c r="T822" s="9" t="n">
        <v>1540.01</v>
      </c>
      <c r="U822" s="10">
        <f>SUM(I822:T822)</f>
        <v/>
      </c>
    </row>
    <row r="823">
      <c r="A823" s="2" t="inlineStr">
        <is>
          <t>SN-3000-3100-31ER-3150VF0015</t>
        </is>
      </c>
      <c r="B823" s="2" t="inlineStr">
        <is>
          <t>3150VF0015</t>
        </is>
      </c>
      <c r="C823" s="2" t="inlineStr">
        <is>
          <t>Variador frecuencia 3150CQ0015M1VF</t>
        </is>
      </c>
      <c r="D823" s="2" t="n">
        <v>274</v>
      </c>
      <c r="E823" s="2" t="inlineStr">
        <is>
          <t>CC-3000</t>
        </is>
      </c>
      <c r="F823" s="2" t="inlineStr">
        <is>
          <t>P01</t>
        </is>
      </c>
      <c r="G823" s="2" t="n">
        <v>630000</v>
      </c>
      <c r="H823" s="2" t="inlineStr">
        <is>
          <t>Servicios externos</t>
        </is>
      </c>
      <c r="I823" s="9" t="n">
        <v>1393.37</v>
      </c>
      <c r="J823" s="9" t="n">
        <v>1188.85</v>
      </c>
      <c r="K823" s="9" t="n">
        <v>1403.62</v>
      </c>
      <c r="L823" s="9" t="n">
        <v>1290.53</v>
      </c>
      <c r="M823" s="9" t="n">
        <v>1301.05</v>
      </c>
      <c r="N823" s="9" t="n">
        <v>1166.15</v>
      </c>
      <c r="O823" s="9" t="n">
        <v>1202.36</v>
      </c>
      <c r="P823" s="9" t="n">
        <v>1231.84</v>
      </c>
      <c r="Q823" s="9" t="n">
        <v>1130.61</v>
      </c>
      <c r="R823" s="9" t="n">
        <v>1350.94</v>
      </c>
      <c r="S823" s="9" t="n">
        <v>1253.09</v>
      </c>
      <c r="T823" s="9" t="n">
        <v>1329.25</v>
      </c>
      <c r="U823" s="10">
        <f>SUM(I823:T823)</f>
        <v/>
      </c>
    </row>
    <row r="824">
      <c r="A824" s="2" t="inlineStr">
        <is>
          <t>SN-3000-3100-31ER-3150VF0016</t>
        </is>
      </c>
      <c r="B824" s="2" t="inlineStr">
        <is>
          <t>3150VF0016</t>
        </is>
      </c>
      <c r="C824" s="2" t="inlineStr">
        <is>
          <t>Variador frecuencia 3150CQ0016M1VF</t>
        </is>
      </c>
      <c r="D824" s="2" t="n">
        <v>275</v>
      </c>
      <c r="E824" s="2" t="inlineStr">
        <is>
          <t>CC-3000</t>
        </is>
      </c>
      <c r="F824" s="2" t="inlineStr">
        <is>
          <t>P01</t>
        </is>
      </c>
      <c r="G824" s="2" t="n">
        <v>610000</v>
      </c>
      <c r="H824" s="2" t="inlineStr">
        <is>
          <t>Mano obra interna</t>
        </is>
      </c>
      <c r="I824" s="9" t="n">
        <v>1559.23</v>
      </c>
      <c r="J824" s="9" t="n">
        <v>1493.11</v>
      </c>
      <c r="K824" s="9" t="n">
        <v>1515.59</v>
      </c>
      <c r="L824" s="9" t="n">
        <v>1516.61</v>
      </c>
      <c r="M824" s="9" t="n">
        <v>1454.56</v>
      </c>
      <c r="N824" s="9" t="n">
        <v>1502.67</v>
      </c>
      <c r="O824" s="9" t="n">
        <v>1426.41</v>
      </c>
      <c r="P824" s="9" t="n">
        <v>1371.27</v>
      </c>
      <c r="Q824" s="9" t="n">
        <v>1420.72</v>
      </c>
      <c r="R824" s="9" t="n">
        <v>1530.5</v>
      </c>
      <c r="S824" s="9" t="n">
        <v>1532.59</v>
      </c>
      <c r="T824" s="9" t="n">
        <v>1599.14</v>
      </c>
      <c r="U824" s="10">
        <f>SUM(I824:T824)</f>
        <v/>
      </c>
    </row>
    <row r="825">
      <c r="A825" s="2" t="inlineStr">
        <is>
          <t>SN-3000-3100-31ER-3150VF0016</t>
        </is>
      </c>
      <c r="B825" s="2" t="inlineStr">
        <is>
          <t>3150VF0016</t>
        </is>
      </c>
      <c r="C825" s="2" t="inlineStr">
        <is>
          <t>Variador frecuencia 3150CQ0016M1VF</t>
        </is>
      </c>
      <c r="D825" s="2" t="n">
        <v>275</v>
      </c>
      <c r="E825" s="2" t="inlineStr">
        <is>
          <t>CC-3000</t>
        </is>
      </c>
      <c r="F825" s="2" t="inlineStr">
        <is>
          <t>P01</t>
        </is>
      </c>
      <c r="G825" s="2" t="n">
        <v>620000</v>
      </c>
      <c r="H825" s="2" t="inlineStr">
        <is>
          <t>Materiales</t>
        </is>
      </c>
      <c r="I825" s="9" t="n">
        <v>1124.48</v>
      </c>
      <c r="J825" s="9" t="n">
        <v>1156.85</v>
      </c>
      <c r="K825" s="9" t="n">
        <v>1233.94</v>
      </c>
      <c r="L825" s="9" t="n">
        <v>1158.19</v>
      </c>
      <c r="M825" s="9" t="n">
        <v>1203.74</v>
      </c>
      <c r="N825" s="9" t="n">
        <v>1140.97</v>
      </c>
      <c r="O825" s="9" t="n">
        <v>1143.12</v>
      </c>
      <c r="P825" s="9" t="n">
        <v>1085.46</v>
      </c>
      <c r="Q825" s="9" t="n">
        <v>1138.09</v>
      </c>
      <c r="R825" s="9" t="n">
        <v>1209.88</v>
      </c>
      <c r="S825" s="9" t="n">
        <v>1198.91</v>
      </c>
      <c r="T825" s="9" t="n">
        <v>1177.79</v>
      </c>
      <c r="U825" s="10">
        <f>SUM(I825:T825)</f>
        <v/>
      </c>
    </row>
    <row r="826">
      <c r="A826" s="2" t="inlineStr">
        <is>
          <t>SN-3000-3100-31ER-3150VF0016</t>
        </is>
      </c>
      <c r="B826" s="2" t="inlineStr">
        <is>
          <t>3150VF0016</t>
        </is>
      </c>
      <c r="C826" s="2" t="inlineStr">
        <is>
          <t>Variador frecuencia 3150CQ0016M1VF</t>
        </is>
      </c>
      <c r="D826" s="2" t="n">
        <v>275</v>
      </c>
      <c r="E826" s="2" t="inlineStr">
        <is>
          <t>CC-3000</t>
        </is>
      </c>
      <c r="F826" s="2" t="inlineStr">
        <is>
          <t>P01</t>
        </is>
      </c>
      <c r="G826" s="2" t="n">
        <v>630000</v>
      </c>
      <c r="H826" s="2" t="inlineStr">
        <is>
          <t>Servicios externos</t>
        </is>
      </c>
      <c r="I826" s="9" t="n">
        <v>1486.7</v>
      </c>
      <c r="J826" s="9" t="n">
        <v>1432.27</v>
      </c>
      <c r="K826" s="9" t="n">
        <v>1388.67</v>
      </c>
      <c r="L826" s="9" t="n">
        <v>1339.2</v>
      </c>
      <c r="M826" s="9" t="n">
        <v>1419.99</v>
      </c>
      <c r="N826" s="9" t="n">
        <v>1299.88</v>
      </c>
      <c r="O826" s="9" t="n">
        <v>1307.2</v>
      </c>
      <c r="P826" s="9" t="n">
        <v>1462.17</v>
      </c>
      <c r="Q826" s="9" t="n">
        <v>1217.54</v>
      </c>
      <c r="R826" s="9" t="n">
        <v>1369.66</v>
      </c>
      <c r="S826" s="9" t="n">
        <v>1228.32</v>
      </c>
      <c r="T826" s="9" t="n">
        <v>1422.03</v>
      </c>
      <c r="U826" s="10">
        <f>SUM(I826:T826)</f>
        <v/>
      </c>
    </row>
    <row r="827">
      <c r="A827" s="2" t="inlineStr">
        <is>
          <t>SN-3000-3100-31ER-3150VF0017</t>
        </is>
      </c>
      <c r="B827" s="2" t="inlineStr">
        <is>
          <t>3150VF0017</t>
        </is>
      </c>
      <c r="C827" s="2" t="inlineStr">
        <is>
          <t>Variador frecuencia 3150CQ0017M1VF</t>
        </is>
      </c>
      <c r="D827" s="2" t="n">
        <v>276</v>
      </c>
      <c r="E827" s="2" t="inlineStr">
        <is>
          <t>CC-3000</t>
        </is>
      </c>
      <c r="F827" s="2" t="inlineStr">
        <is>
          <t>P01</t>
        </is>
      </c>
      <c r="G827" s="2" t="n">
        <v>610000</v>
      </c>
      <c r="H827" s="2" t="inlineStr">
        <is>
          <t>Mano obra interna</t>
        </is>
      </c>
      <c r="I827" s="9" t="n">
        <v>2564.99</v>
      </c>
      <c r="J827" s="9" t="n">
        <v>2478.23</v>
      </c>
      <c r="K827" s="9" t="n">
        <v>2604.28</v>
      </c>
      <c r="L827" s="9" t="n">
        <v>2724.39</v>
      </c>
      <c r="M827" s="9" t="n">
        <v>2382.86</v>
      </c>
      <c r="N827" s="9" t="n">
        <v>2647.19</v>
      </c>
      <c r="O827" s="9" t="n">
        <v>2477.03</v>
      </c>
      <c r="P827" s="9" t="n">
        <v>2795.99</v>
      </c>
      <c r="Q827" s="9" t="n">
        <v>2285.09</v>
      </c>
      <c r="R827" s="9" t="n">
        <v>2915.54</v>
      </c>
      <c r="S827" s="9" t="n">
        <v>2397.2</v>
      </c>
      <c r="T827" s="9" t="n">
        <v>2453.07</v>
      </c>
      <c r="U827" s="10">
        <f>SUM(I827:T827)</f>
        <v/>
      </c>
    </row>
    <row r="828">
      <c r="A828" s="2" t="inlineStr">
        <is>
          <t>SN-3000-3100-31ER-3150VF0017</t>
        </is>
      </c>
      <c r="B828" s="2" t="inlineStr">
        <is>
          <t>3150VF0017</t>
        </is>
      </c>
      <c r="C828" s="2" t="inlineStr">
        <is>
          <t>Variador frecuencia 3150CQ0017M1VF</t>
        </is>
      </c>
      <c r="D828" s="2" t="n">
        <v>276</v>
      </c>
      <c r="E828" s="2" t="inlineStr">
        <is>
          <t>CC-3000</t>
        </is>
      </c>
      <c r="F828" s="2" t="inlineStr">
        <is>
          <t>P01</t>
        </is>
      </c>
      <c r="G828" s="2" t="n">
        <v>620000</v>
      </c>
      <c r="H828" s="2" t="inlineStr">
        <is>
          <t>Materiales</t>
        </is>
      </c>
      <c r="I828" s="9" t="n">
        <v>2834.64</v>
      </c>
      <c r="J828" s="9" t="n">
        <v>2546.36</v>
      </c>
      <c r="K828" s="9" t="n">
        <v>2796.84</v>
      </c>
      <c r="L828" s="9" t="n">
        <v>2708.42</v>
      </c>
      <c r="M828" s="9" t="n">
        <v>2745.62</v>
      </c>
      <c r="N828" s="9" t="n">
        <v>2436.36</v>
      </c>
      <c r="O828" s="9" t="n">
        <v>2637.16</v>
      </c>
      <c r="P828" s="9" t="n">
        <v>2617.92</v>
      </c>
      <c r="Q828" s="9" t="n">
        <v>2387.36</v>
      </c>
      <c r="R828" s="9" t="n">
        <v>3009.34</v>
      </c>
      <c r="S828" s="9" t="n">
        <v>2406.25</v>
      </c>
      <c r="T828" s="9" t="n">
        <v>2515.56</v>
      </c>
      <c r="U828" s="10">
        <f>SUM(I828:T828)</f>
        <v/>
      </c>
    </row>
    <row r="829">
      <c r="A829" s="2" t="inlineStr">
        <is>
          <t>SN-3000-3100-31ER-3150VF0017</t>
        </is>
      </c>
      <c r="B829" s="2" t="inlineStr">
        <is>
          <t>3150VF0017</t>
        </is>
      </c>
      <c r="C829" s="2" t="inlineStr">
        <is>
          <t>Variador frecuencia 3150CQ0017M1VF</t>
        </is>
      </c>
      <c r="D829" s="2" t="n">
        <v>276</v>
      </c>
      <c r="E829" s="2" t="inlineStr">
        <is>
          <t>CC-3000</t>
        </is>
      </c>
      <c r="F829" s="2" t="inlineStr">
        <is>
          <t>P01</t>
        </is>
      </c>
      <c r="G829" s="2" t="n">
        <v>630000</v>
      </c>
      <c r="H829" s="2" t="inlineStr">
        <is>
          <t>Servicios externos</t>
        </is>
      </c>
      <c r="I829" s="9" t="n">
        <v>2505.24</v>
      </c>
      <c r="J829" s="9" t="n">
        <v>2242.32</v>
      </c>
      <c r="K829" s="9" t="n">
        <v>2426.32</v>
      </c>
      <c r="L829" s="9" t="n">
        <v>2621.33</v>
      </c>
      <c r="M829" s="9" t="n">
        <v>2272.96</v>
      </c>
      <c r="N829" s="9" t="n">
        <v>2350.25</v>
      </c>
      <c r="O829" s="9" t="n">
        <v>2486.86</v>
      </c>
      <c r="P829" s="9" t="n">
        <v>2372.12</v>
      </c>
      <c r="Q829" s="9" t="n">
        <v>2384.28</v>
      </c>
      <c r="R829" s="9" t="n">
        <v>2679.24</v>
      </c>
      <c r="S829" s="9" t="n">
        <v>2301.71</v>
      </c>
      <c r="T829" s="9" t="n">
        <v>2456.25</v>
      </c>
      <c r="U829" s="10">
        <f>SUM(I829:T829)</f>
        <v/>
      </c>
    </row>
    <row r="830">
      <c r="A830" s="2" t="inlineStr">
        <is>
          <t>SN-3000-3100-31ER-3200MC0011</t>
        </is>
      </c>
      <c r="B830" s="2" t="inlineStr">
        <is>
          <t>3200MC0011</t>
        </is>
      </c>
      <c r="C830" s="2" t="inlineStr">
        <is>
          <t>Centro control motores 400V/1200A/65kA</t>
        </is>
      </c>
      <c r="D830" s="2" t="n">
        <v>277</v>
      </c>
      <c r="E830" s="2" t="inlineStr">
        <is>
          <t>CC-3000</t>
        </is>
      </c>
      <c r="F830" s="2" t="inlineStr">
        <is>
          <t>P01</t>
        </is>
      </c>
      <c r="G830" s="2" t="n">
        <v>610000</v>
      </c>
      <c r="H830" s="2" t="inlineStr">
        <is>
          <t>Mano obra interna</t>
        </is>
      </c>
      <c r="I830" s="9" t="n">
        <v>1973.98</v>
      </c>
      <c r="J830" s="9" t="n">
        <v>1990.43</v>
      </c>
      <c r="K830" s="9" t="n">
        <v>1920.85</v>
      </c>
      <c r="L830" s="9" t="n">
        <v>1885.22</v>
      </c>
      <c r="M830" s="9" t="n">
        <v>1799.51</v>
      </c>
      <c r="N830" s="9" t="n">
        <v>1687.12</v>
      </c>
      <c r="O830" s="9" t="n">
        <v>1767.03</v>
      </c>
      <c r="P830" s="9" t="n">
        <v>2016.88</v>
      </c>
      <c r="Q830" s="9" t="n">
        <v>1824.48</v>
      </c>
      <c r="R830" s="9" t="n">
        <v>2107.79</v>
      </c>
      <c r="S830" s="9" t="n">
        <v>1878.55</v>
      </c>
      <c r="T830" s="9" t="n">
        <v>2041.91</v>
      </c>
      <c r="U830" s="10">
        <f>SUM(I830:T830)</f>
        <v/>
      </c>
    </row>
    <row r="831">
      <c r="A831" s="2" t="inlineStr">
        <is>
          <t>SN-3000-3100-31ER-3200MC0011</t>
        </is>
      </c>
      <c r="B831" s="2" t="inlineStr">
        <is>
          <t>3200MC0011</t>
        </is>
      </c>
      <c r="C831" s="2" t="inlineStr">
        <is>
          <t>Centro control motores 400V/1200A/65kA</t>
        </is>
      </c>
      <c r="D831" s="2" t="n">
        <v>277</v>
      </c>
      <c r="E831" s="2" t="inlineStr">
        <is>
          <t>CC-3000</t>
        </is>
      </c>
      <c r="F831" s="2" t="inlineStr">
        <is>
          <t>P01</t>
        </is>
      </c>
      <c r="G831" s="2" t="n">
        <v>620000</v>
      </c>
      <c r="H831" s="2" t="inlineStr">
        <is>
          <t>Materiales</t>
        </is>
      </c>
      <c r="I831" s="9" t="n">
        <v>1875.15</v>
      </c>
      <c r="J831" s="9" t="n">
        <v>1669.42</v>
      </c>
      <c r="K831" s="9" t="n">
        <v>1911.09</v>
      </c>
      <c r="L831" s="9" t="n">
        <v>1828.65</v>
      </c>
      <c r="M831" s="9" t="n">
        <v>1649.47</v>
      </c>
      <c r="N831" s="9" t="n">
        <v>1674.9</v>
      </c>
      <c r="O831" s="9" t="n">
        <v>1744.04</v>
      </c>
      <c r="P831" s="9" t="n">
        <v>1632.4</v>
      </c>
      <c r="Q831" s="9" t="n">
        <v>1637.79</v>
      </c>
      <c r="R831" s="9" t="n">
        <v>1814.66</v>
      </c>
      <c r="S831" s="9" t="n">
        <v>1558.47</v>
      </c>
      <c r="T831" s="9" t="n">
        <v>1886.16</v>
      </c>
      <c r="U831" s="10">
        <f>SUM(I831:T831)</f>
        <v/>
      </c>
    </row>
    <row r="832">
      <c r="A832" s="2" t="inlineStr">
        <is>
          <t>SN-3000-3100-31ER-3200MC0011</t>
        </is>
      </c>
      <c r="B832" s="2" t="inlineStr">
        <is>
          <t>3200MC0011</t>
        </is>
      </c>
      <c r="C832" s="2" t="inlineStr">
        <is>
          <t>Centro control motores 400V/1200A/65kA</t>
        </is>
      </c>
      <c r="D832" s="2" t="n">
        <v>277</v>
      </c>
      <c r="E832" s="2" t="inlineStr">
        <is>
          <t>CC-3000</t>
        </is>
      </c>
      <c r="F832" s="2" t="inlineStr">
        <is>
          <t>P01</t>
        </is>
      </c>
      <c r="G832" s="2" t="n">
        <v>630000</v>
      </c>
      <c r="H832" s="2" t="inlineStr">
        <is>
          <t>Servicios externos</t>
        </is>
      </c>
      <c r="I832" s="9" t="n">
        <v>1922.94</v>
      </c>
      <c r="J832" s="9" t="n">
        <v>1798.92</v>
      </c>
      <c r="K832" s="9" t="n">
        <v>1790.81</v>
      </c>
      <c r="L832" s="9" t="n">
        <v>1819.39</v>
      </c>
      <c r="M832" s="9" t="n">
        <v>1807.6</v>
      </c>
      <c r="N832" s="9" t="n">
        <v>1823.57</v>
      </c>
      <c r="O832" s="9" t="n">
        <v>1707.29</v>
      </c>
      <c r="P832" s="9" t="n">
        <v>1881.72</v>
      </c>
      <c r="Q832" s="9" t="n">
        <v>1765.95</v>
      </c>
      <c r="R832" s="9" t="n">
        <v>1968.1</v>
      </c>
      <c r="S832" s="9" t="n">
        <v>1838.47</v>
      </c>
      <c r="T832" s="9" t="n">
        <v>1773.46</v>
      </c>
      <c r="U832" s="10">
        <f>SUM(I832:T832)</f>
        <v/>
      </c>
    </row>
    <row r="833">
      <c r="A833" s="2" t="inlineStr">
        <is>
          <t>SN-3000-3100-31ER-3210VF0081</t>
        </is>
      </c>
      <c r="B833" s="2" t="inlineStr">
        <is>
          <t>3210VF0081</t>
        </is>
      </c>
      <c r="C833" s="2" t="inlineStr">
        <is>
          <t>Variador frecuencia 3210PU0081M1VF</t>
        </is>
      </c>
      <c r="D833" s="2" t="n">
        <v>278</v>
      </c>
      <c r="E833" s="2" t="inlineStr">
        <is>
          <t>CC-3000</t>
        </is>
      </c>
      <c r="F833" s="2" t="inlineStr">
        <is>
          <t>P01</t>
        </is>
      </c>
      <c r="G833" s="2" t="n">
        <v>610000</v>
      </c>
      <c r="H833" s="2" t="inlineStr">
        <is>
          <t>Mano obra interna</t>
        </is>
      </c>
      <c r="I833" s="9" t="n">
        <v>2422.72</v>
      </c>
      <c r="J833" s="9" t="n">
        <v>2097.97</v>
      </c>
      <c r="K833" s="9" t="n">
        <v>2525.78</v>
      </c>
      <c r="L833" s="9" t="n">
        <v>2343.5</v>
      </c>
      <c r="M833" s="9" t="n">
        <v>2260.45</v>
      </c>
      <c r="N833" s="9" t="n">
        <v>2221.05</v>
      </c>
      <c r="O833" s="9" t="n">
        <v>2170.7</v>
      </c>
      <c r="P833" s="9" t="n">
        <v>2285.62</v>
      </c>
      <c r="Q833" s="9" t="n">
        <v>2253.14</v>
      </c>
      <c r="R833" s="9" t="n">
        <v>2286.77</v>
      </c>
      <c r="S833" s="9" t="n">
        <v>2144.41</v>
      </c>
      <c r="T833" s="9" t="n">
        <v>2147.09</v>
      </c>
      <c r="U833" s="10">
        <f>SUM(I833:T833)</f>
        <v/>
      </c>
    </row>
    <row r="834">
      <c r="A834" s="2" t="inlineStr">
        <is>
          <t>SN-3000-3100-31ER-3210VF0081</t>
        </is>
      </c>
      <c r="B834" s="2" t="inlineStr">
        <is>
          <t>3210VF0081</t>
        </is>
      </c>
      <c r="C834" s="2" t="inlineStr">
        <is>
          <t>Variador frecuencia 3210PU0081M1VF</t>
        </is>
      </c>
      <c r="D834" s="2" t="n">
        <v>278</v>
      </c>
      <c r="E834" s="2" t="inlineStr">
        <is>
          <t>CC-3000</t>
        </is>
      </c>
      <c r="F834" s="2" t="inlineStr">
        <is>
          <t>P01</t>
        </is>
      </c>
      <c r="G834" s="2" t="n">
        <v>620000</v>
      </c>
      <c r="H834" s="2" t="inlineStr">
        <is>
          <t>Materiales</t>
        </is>
      </c>
      <c r="I834" s="9" t="n">
        <v>1935.14</v>
      </c>
      <c r="J834" s="9" t="n">
        <v>1887.22</v>
      </c>
      <c r="K834" s="9" t="n">
        <v>2021.07</v>
      </c>
      <c r="L834" s="9" t="n">
        <v>1901.58</v>
      </c>
      <c r="M834" s="9" t="n">
        <v>1738.84</v>
      </c>
      <c r="N834" s="9" t="n">
        <v>1867.13</v>
      </c>
      <c r="O834" s="9" t="n">
        <v>1910.24</v>
      </c>
      <c r="P834" s="9" t="n">
        <v>1849.21</v>
      </c>
      <c r="Q834" s="9" t="n">
        <v>1755.69</v>
      </c>
      <c r="R834" s="9" t="n">
        <v>2106.14</v>
      </c>
      <c r="S834" s="9" t="n">
        <v>1830.57</v>
      </c>
      <c r="T834" s="9" t="n">
        <v>1816.88</v>
      </c>
      <c r="U834" s="10">
        <f>SUM(I834:T834)</f>
        <v/>
      </c>
    </row>
    <row r="835">
      <c r="A835" s="2" t="inlineStr">
        <is>
          <t>SN-3000-3100-31ER-3210VF0081</t>
        </is>
      </c>
      <c r="B835" s="2" t="inlineStr">
        <is>
          <t>3210VF0081</t>
        </is>
      </c>
      <c r="C835" s="2" t="inlineStr">
        <is>
          <t>Variador frecuencia 3210PU0081M1VF</t>
        </is>
      </c>
      <c r="D835" s="2" t="n">
        <v>278</v>
      </c>
      <c r="E835" s="2" t="inlineStr">
        <is>
          <t>CC-3000</t>
        </is>
      </c>
      <c r="F835" s="2" t="inlineStr">
        <is>
          <t>P01</t>
        </is>
      </c>
      <c r="G835" s="2" t="n">
        <v>630000</v>
      </c>
      <c r="H835" s="2" t="inlineStr">
        <is>
          <t>Servicios externos</t>
        </is>
      </c>
      <c r="I835" s="9" t="n">
        <v>1960.87</v>
      </c>
      <c r="J835" s="9" t="n">
        <v>2004.83</v>
      </c>
      <c r="K835" s="9" t="n">
        <v>2106.88</v>
      </c>
      <c r="L835" s="9" t="n">
        <v>2006.08</v>
      </c>
      <c r="M835" s="9" t="n">
        <v>1895.32</v>
      </c>
      <c r="N835" s="9" t="n">
        <v>1865.97</v>
      </c>
      <c r="O835" s="9" t="n">
        <v>2125.59</v>
      </c>
      <c r="P835" s="9" t="n">
        <v>2171.99</v>
      </c>
      <c r="Q835" s="9" t="n">
        <v>2080.78</v>
      </c>
      <c r="R835" s="9" t="n">
        <v>2180.97</v>
      </c>
      <c r="S835" s="9" t="n">
        <v>2039.03</v>
      </c>
      <c r="T835" s="9" t="n">
        <v>2251.29</v>
      </c>
      <c r="U835" s="10">
        <f>SUM(I835:T835)</f>
        <v/>
      </c>
    </row>
    <row r="836">
      <c r="A836" s="2" t="inlineStr">
        <is>
          <t>SN-3000-3100-31ER-3210VF0082</t>
        </is>
      </c>
      <c r="B836" s="2" t="inlineStr">
        <is>
          <t>3210VF0082</t>
        </is>
      </c>
      <c r="C836" s="2" t="inlineStr">
        <is>
          <t>Variador frecuencia 3210PU0082M1VF</t>
        </is>
      </c>
      <c r="D836" s="2" t="n">
        <v>279</v>
      </c>
      <c r="E836" s="2" t="inlineStr">
        <is>
          <t>CC-3000</t>
        </is>
      </c>
      <c r="F836" s="2" t="inlineStr">
        <is>
          <t>P01</t>
        </is>
      </c>
      <c r="G836" s="2" t="n">
        <v>610000</v>
      </c>
      <c r="H836" s="2" t="inlineStr">
        <is>
          <t>Mano obra interna</t>
        </is>
      </c>
      <c r="I836" s="9" t="n">
        <v>947.8</v>
      </c>
      <c r="J836" s="9" t="n">
        <v>919.66</v>
      </c>
      <c r="K836" s="9" t="n">
        <v>864.72</v>
      </c>
      <c r="L836" s="9" t="n">
        <v>969.98</v>
      </c>
      <c r="M836" s="9" t="n">
        <v>932.4</v>
      </c>
      <c r="N836" s="9" t="n">
        <v>793.75</v>
      </c>
      <c r="O836" s="9" t="n">
        <v>838.88</v>
      </c>
      <c r="P836" s="9" t="n">
        <v>831.86</v>
      </c>
      <c r="Q836" s="9" t="n">
        <v>813.1</v>
      </c>
      <c r="R836" s="9" t="n">
        <v>969</v>
      </c>
      <c r="S836" s="9" t="n">
        <v>873.04</v>
      </c>
      <c r="T836" s="9" t="n">
        <v>876.6799999999999</v>
      </c>
      <c r="U836" s="10">
        <f>SUM(I836:T836)</f>
        <v/>
      </c>
    </row>
    <row r="837">
      <c r="A837" s="2" t="inlineStr">
        <is>
          <t>SN-3000-3100-31ER-3210VF0082</t>
        </is>
      </c>
      <c r="B837" s="2" t="inlineStr">
        <is>
          <t>3210VF0082</t>
        </is>
      </c>
      <c r="C837" s="2" t="inlineStr">
        <is>
          <t>Variador frecuencia 3210PU0082M1VF</t>
        </is>
      </c>
      <c r="D837" s="2" t="n">
        <v>279</v>
      </c>
      <c r="E837" s="2" t="inlineStr">
        <is>
          <t>CC-3000</t>
        </is>
      </c>
      <c r="F837" s="2" t="inlineStr">
        <is>
          <t>P01</t>
        </is>
      </c>
      <c r="G837" s="2" t="n">
        <v>620000</v>
      </c>
      <c r="H837" s="2" t="inlineStr">
        <is>
          <t>Materiales</t>
        </is>
      </c>
      <c r="I837" s="9" t="n">
        <v>1084.78</v>
      </c>
      <c r="J837" s="9" t="n">
        <v>991.34</v>
      </c>
      <c r="K837" s="9" t="n">
        <v>1084.06</v>
      </c>
      <c r="L837" s="9" t="n">
        <v>1114.96</v>
      </c>
      <c r="M837" s="9" t="n">
        <v>1058.5</v>
      </c>
      <c r="N837" s="9" t="n">
        <v>1000.27</v>
      </c>
      <c r="O837" s="9" t="n">
        <v>1021.94</v>
      </c>
      <c r="P837" s="9" t="n">
        <v>1140.09</v>
      </c>
      <c r="Q837" s="9" t="n">
        <v>1090.69</v>
      </c>
      <c r="R837" s="9" t="n">
        <v>1138.71</v>
      </c>
      <c r="S837" s="9" t="n">
        <v>1030.94</v>
      </c>
      <c r="T837" s="9" t="n">
        <v>1122.43</v>
      </c>
      <c r="U837" s="10">
        <f>SUM(I837:T837)</f>
        <v/>
      </c>
    </row>
    <row r="838">
      <c r="A838" s="2" t="inlineStr">
        <is>
          <t>SN-3000-3100-31ER-3210VF0082</t>
        </is>
      </c>
      <c r="B838" s="2" t="inlineStr">
        <is>
          <t>3210VF0082</t>
        </is>
      </c>
      <c r="C838" s="2" t="inlineStr">
        <is>
          <t>Variador frecuencia 3210PU0082M1VF</t>
        </is>
      </c>
      <c r="D838" s="2" t="n">
        <v>279</v>
      </c>
      <c r="E838" s="2" t="inlineStr">
        <is>
          <t>CC-3000</t>
        </is>
      </c>
      <c r="F838" s="2" t="inlineStr">
        <is>
          <t>P01</t>
        </is>
      </c>
      <c r="G838" s="2" t="n">
        <v>630000</v>
      </c>
      <c r="H838" s="2" t="inlineStr">
        <is>
          <t>Servicios externos</t>
        </is>
      </c>
      <c r="I838" s="9" t="n">
        <v>1013.97</v>
      </c>
      <c r="J838" s="9" t="n">
        <v>1059.91</v>
      </c>
      <c r="K838" s="9" t="n">
        <v>1052.72</v>
      </c>
      <c r="L838" s="9" t="n">
        <v>1024.81</v>
      </c>
      <c r="M838" s="9" t="n">
        <v>1023.75</v>
      </c>
      <c r="N838" s="9" t="n">
        <v>1036.33</v>
      </c>
      <c r="O838" s="9" t="n">
        <v>1058.84</v>
      </c>
      <c r="P838" s="9" t="n">
        <v>935.64</v>
      </c>
      <c r="Q838" s="9" t="n">
        <v>915.62</v>
      </c>
      <c r="R838" s="9" t="n">
        <v>1084.86</v>
      </c>
      <c r="S838" s="9" t="n">
        <v>949.41</v>
      </c>
      <c r="T838" s="9" t="n">
        <v>1058.59</v>
      </c>
      <c r="U838" s="10">
        <f>SUM(I838:T838)</f>
        <v/>
      </c>
    </row>
    <row r="839">
      <c r="A839" s="2" t="inlineStr">
        <is>
          <t>SN-3000-3100-31ER-3300MC0011</t>
        </is>
      </c>
      <c r="B839" s="2" t="inlineStr">
        <is>
          <t>3300MC0011</t>
        </is>
      </c>
      <c r="C839" s="2" t="inlineStr">
        <is>
          <t>Centro control motores 400V/1200A/65kA</t>
        </is>
      </c>
      <c r="D839" s="2" t="n">
        <v>280</v>
      </c>
      <c r="E839" s="2" t="inlineStr">
        <is>
          <t>CC-3000</t>
        </is>
      </c>
      <c r="F839" s="2" t="inlineStr">
        <is>
          <t>P01</t>
        </is>
      </c>
      <c r="G839" s="2" t="n">
        <v>610000</v>
      </c>
      <c r="H839" s="2" t="inlineStr">
        <is>
          <t>Mano obra interna</t>
        </is>
      </c>
      <c r="I839" s="9" t="n">
        <v>3099.73</v>
      </c>
      <c r="J839" s="9" t="n">
        <v>3109.49</v>
      </c>
      <c r="K839" s="9" t="n">
        <v>2910.77</v>
      </c>
      <c r="L839" s="9" t="n">
        <v>3172.15</v>
      </c>
      <c r="M839" s="9" t="n">
        <v>3021.38</v>
      </c>
      <c r="N839" s="9" t="n">
        <v>2737.68</v>
      </c>
      <c r="O839" s="9" t="n">
        <v>3039.11</v>
      </c>
      <c r="P839" s="9" t="n">
        <v>2740.51</v>
      </c>
      <c r="Q839" s="9" t="n">
        <v>2851.83</v>
      </c>
      <c r="R839" s="9" t="n">
        <v>3174.01</v>
      </c>
      <c r="S839" s="9" t="n">
        <v>2740.33</v>
      </c>
      <c r="T839" s="9" t="n">
        <v>3045.58</v>
      </c>
      <c r="U839" s="10">
        <f>SUM(I839:T839)</f>
        <v/>
      </c>
    </row>
    <row r="840">
      <c r="A840" s="2" t="inlineStr">
        <is>
          <t>SN-3000-3100-31ER-3300MC0011</t>
        </is>
      </c>
      <c r="B840" s="2" t="inlineStr">
        <is>
          <t>3300MC0011</t>
        </is>
      </c>
      <c r="C840" s="2" t="inlineStr">
        <is>
          <t>Centro control motores 400V/1200A/65kA</t>
        </is>
      </c>
      <c r="D840" s="2" t="n">
        <v>280</v>
      </c>
      <c r="E840" s="2" t="inlineStr">
        <is>
          <t>CC-3000</t>
        </is>
      </c>
      <c r="F840" s="2" t="inlineStr">
        <is>
          <t>P01</t>
        </is>
      </c>
      <c r="G840" s="2" t="n">
        <v>620000</v>
      </c>
      <c r="H840" s="2" t="inlineStr">
        <is>
          <t>Materiales</t>
        </is>
      </c>
      <c r="I840" s="9" t="n">
        <v>2661.66</v>
      </c>
      <c r="J840" s="9" t="n">
        <v>2490.67</v>
      </c>
      <c r="K840" s="9" t="n">
        <v>2790.98</v>
      </c>
      <c r="L840" s="9" t="n">
        <v>2825.78</v>
      </c>
      <c r="M840" s="9" t="n">
        <v>2869.19</v>
      </c>
      <c r="N840" s="9" t="n">
        <v>2793.4</v>
      </c>
      <c r="O840" s="9" t="n">
        <v>2748.26</v>
      </c>
      <c r="P840" s="9" t="n">
        <v>2843.33</v>
      </c>
      <c r="Q840" s="9" t="n">
        <v>2520.68</v>
      </c>
      <c r="R840" s="9" t="n">
        <v>3064.97</v>
      </c>
      <c r="S840" s="9" t="n">
        <v>2522.06</v>
      </c>
      <c r="T840" s="9" t="n">
        <v>2717.77</v>
      </c>
      <c r="U840" s="10">
        <f>SUM(I840:T840)</f>
        <v/>
      </c>
    </row>
    <row r="841">
      <c r="A841" s="2" t="inlineStr">
        <is>
          <t>SN-3000-3100-31ER-3300MC0011</t>
        </is>
      </c>
      <c r="B841" s="2" t="inlineStr">
        <is>
          <t>3300MC0011</t>
        </is>
      </c>
      <c r="C841" s="2" t="inlineStr">
        <is>
          <t>Centro control motores 400V/1200A/65kA</t>
        </is>
      </c>
      <c r="D841" s="2" t="n">
        <v>280</v>
      </c>
      <c r="E841" s="2" t="inlineStr">
        <is>
          <t>CC-3000</t>
        </is>
      </c>
      <c r="F841" s="2" t="inlineStr">
        <is>
          <t>P01</t>
        </is>
      </c>
      <c r="G841" s="2" t="n">
        <v>630000</v>
      </c>
      <c r="H841" s="2" t="inlineStr">
        <is>
          <t>Servicios externos</t>
        </is>
      </c>
      <c r="I841" s="9" t="n">
        <v>2571.9</v>
      </c>
      <c r="J841" s="9" t="n">
        <v>2784.2</v>
      </c>
      <c r="K841" s="9" t="n">
        <v>2967.41</v>
      </c>
      <c r="L841" s="9" t="n">
        <v>2745</v>
      </c>
      <c r="M841" s="9" t="n">
        <v>2679.1</v>
      </c>
      <c r="N841" s="9" t="n">
        <v>2756.6</v>
      </c>
      <c r="O841" s="9" t="n">
        <v>2851.53</v>
      </c>
      <c r="P841" s="9" t="n">
        <v>2635.34</v>
      </c>
      <c r="Q841" s="9" t="n">
        <v>2469.58</v>
      </c>
      <c r="R841" s="9" t="n">
        <v>3028.19</v>
      </c>
      <c r="S841" s="9" t="n">
        <v>2669.38</v>
      </c>
      <c r="T841" s="9" t="n">
        <v>2620.65</v>
      </c>
      <c r="U841" s="10">
        <f>SUM(I841:T841)</f>
        <v/>
      </c>
    </row>
    <row r="842">
      <c r="A842" s="2" t="inlineStr">
        <is>
          <t>SN-3000-3100-31ER-3300MC0012</t>
        </is>
      </c>
      <c r="B842" s="2" t="inlineStr">
        <is>
          <t>3300MC0012</t>
        </is>
      </c>
      <c r="C842" s="2" t="inlineStr">
        <is>
          <t>Centro control motores 400V/1200A/65kA</t>
        </is>
      </c>
      <c r="D842" s="2" t="n">
        <v>281</v>
      </c>
      <c r="E842" s="2" t="inlineStr">
        <is>
          <t>CC-3000</t>
        </is>
      </c>
      <c r="F842" s="2" t="inlineStr">
        <is>
          <t>P01</t>
        </is>
      </c>
      <c r="G842" s="2" t="n">
        <v>610000</v>
      </c>
      <c r="H842" s="2" t="inlineStr">
        <is>
          <t>Mano obra interna</t>
        </is>
      </c>
      <c r="I842" s="9" t="n">
        <v>2322.95</v>
      </c>
      <c r="J842" s="9" t="n">
        <v>2169.68</v>
      </c>
      <c r="K842" s="9" t="n">
        <v>2377.87</v>
      </c>
      <c r="L842" s="9" t="n">
        <v>2279.17</v>
      </c>
      <c r="M842" s="9" t="n">
        <v>2266.2</v>
      </c>
      <c r="N842" s="9" t="n">
        <v>1951.84</v>
      </c>
      <c r="O842" s="9" t="n">
        <v>2232.55</v>
      </c>
      <c r="P842" s="9" t="n">
        <v>1973</v>
      </c>
      <c r="Q842" s="9" t="n">
        <v>2045.21</v>
      </c>
      <c r="R842" s="9" t="n">
        <v>2295.03</v>
      </c>
      <c r="S842" s="9" t="n">
        <v>2019.58</v>
      </c>
      <c r="T842" s="9" t="n">
        <v>2296.25</v>
      </c>
      <c r="U842" s="10">
        <f>SUM(I842:T842)</f>
        <v/>
      </c>
    </row>
    <row r="843">
      <c r="A843" s="2" t="inlineStr">
        <is>
          <t>SN-3000-3100-31ER-3300MC0012</t>
        </is>
      </c>
      <c r="B843" s="2" t="inlineStr">
        <is>
          <t>3300MC0012</t>
        </is>
      </c>
      <c r="C843" s="2" t="inlineStr">
        <is>
          <t>Centro control motores 400V/1200A/65kA</t>
        </is>
      </c>
      <c r="D843" s="2" t="n">
        <v>281</v>
      </c>
      <c r="E843" s="2" t="inlineStr">
        <is>
          <t>CC-3000</t>
        </is>
      </c>
      <c r="F843" s="2" t="inlineStr">
        <is>
          <t>P01</t>
        </is>
      </c>
      <c r="G843" s="2" t="n">
        <v>620000</v>
      </c>
      <c r="H843" s="2" t="inlineStr">
        <is>
          <t>Materiales</t>
        </is>
      </c>
      <c r="I843" s="9" t="n">
        <v>2360.15</v>
      </c>
      <c r="J843" s="9" t="n">
        <v>2508.58</v>
      </c>
      <c r="K843" s="9" t="n">
        <v>2527.88</v>
      </c>
      <c r="L843" s="9" t="n">
        <v>2523.95</v>
      </c>
      <c r="M843" s="9" t="n">
        <v>2609.01</v>
      </c>
      <c r="N843" s="9" t="n">
        <v>2320.5</v>
      </c>
      <c r="O843" s="9" t="n">
        <v>2681.95</v>
      </c>
      <c r="P843" s="9" t="n">
        <v>2373.2</v>
      </c>
      <c r="Q843" s="9" t="n">
        <v>2390.92</v>
      </c>
      <c r="R843" s="9" t="n">
        <v>2773.95</v>
      </c>
      <c r="S843" s="9" t="n">
        <v>2327.26</v>
      </c>
      <c r="T843" s="9" t="n">
        <v>2469.22</v>
      </c>
      <c r="U843" s="10">
        <f>SUM(I843:T843)</f>
        <v/>
      </c>
    </row>
    <row r="844">
      <c r="A844" s="2" t="inlineStr">
        <is>
          <t>SN-3000-3100-31ER-3300MC0012</t>
        </is>
      </c>
      <c r="B844" s="2" t="inlineStr">
        <is>
          <t>3300MC0012</t>
        </is>
      </c>
      <c r="C844" s="2" t="inlineStr">
        <is>
          <t>Centro control motores 400V/1200A/65kA</t>
        </is>
      </c>
      <c r="D844" s="2" t="n">
        <v>281</v>
      </c>
      <c r="E844" s="2" t="inlineStr">
        <is>
          <t>CC-3000</t>
        </is>
      </c>
      <c r="F844" s="2" t="inlineStr">
        <is>
          <t>P01</t>
        </is>
      </c>
      <c r="G844" s="2" t="n">
        <v>630000</v>
      </c>
      <c r="H844" s="2" t="inlineStr">
        <is>
          <t>Servicios externos</t>
        </is>
      </c>
      <c r="I844" s="9" t="n">
        <v>2611.97</v>
      </c>
      <c r="J844" s="9" t="n">
        <v>2352.44</v>
      </c>
      <c r="K844" s="9" t="n">
        <v>2547.23</v>
      </c>
      <c r="L844" s="9" t="n">
        <v>2333.88</v>
      </c>
      <c r="M844" s="9" t="n">
        <v>2317.11</v>
      </c>
      <c r="N844" s="9" t="n">
        <v>2342.55</v>
      </c>
      <c r="O844" s="9" t="n">
        <v>2294.12</v>
      </c>
      <c r="P844" s="9" t="n">
        <v>2588.73</v>
      </c>
      <c r="Q844" s="9" t="n">
        <v>2365.75</v>
      </c>
      <c r="R844" s="9" t="n">
        <v>2836.34</v>
      </c>
      <c r="S844" s="9" t="n">
        <v>2450.93</v>
      </c>
      <c r="T844" s="9" t="n">
        <v>2667.84</v>
      </c>
      <c r="U844" s="10">
        <f>SUM(I844:T844)</f>
        <v/>
      </c>
    </row>
    <row r="845">
      <c r="A845" s="2" t="inlineStr">
        <is>
          <t>SN-3000-3100-31ER-3310VF0101</t>
        </is>
      </c>
      <c r="B845" s="2" t="inlineStr">
        <is>
          <t>3310VF0101</t>
        </is>
      </c>
      <c r="C845" s="2" t="inlineStr">
        <is>
          <t>Variador frecuencia 3310PU0101M1VF</t>
        </is>
      </c>
      <c r="D845" s="2" t="n">
        <v>282</v>
      </c>
      <c r="E845" s="2" t="inlineStr">
        <is>
          <t>CC-3000</t>
        </is>
      </c>
      <c r="F845" s="2" t="inlineStr">
        <is>
          <t>P01</t>
        </is>
      </c>
      <c r="G845" s="2" t="n">
        <v>610000</v>
      </c>
      <c r="H845" s="2" t="inlineStr">
        <is>
          <t>Mano obra interna</t>
        </is>
      </c>
      <c r="I845" s="9" t="n">
        <v>2813.46</v>
      </c>
      <c r="J845" s="9" t="n">
        <v>2875.31</v>
      </c>
      <c r="K845" s="9" t="n">
        <v>2861.98</v>
      </c>
      <c r="L845" s="9" t="n">
        <v>2564.18</v>
      </c>
      <c r="M845" s="9" t="n">
        <v>2780.58</v>
      </c>
      <c r="N845" s="9" t="n">
        <v>2761.59</v>
      </c>
      <c r="O845" s="9" t="n">
        <v>2842.08</v>
      </c>
      <c r="P845" s="9" t="n">
        <v>2746.84</v>
      </c>
      <c r="Q845" s="9" t="n">
        <v>2594.22</v>
      </c>
      <c r="R845" s="9" t="n">
        <v>3154.67</v>
      </c>
      <c r="S845" s="9" t="n">
        <v>2453.91</v>
      </c>
      <c r="T845" s="9" t="n">
        <v>2826.45</v>
      </c>
      <c r="U845" s="10">
        <f>SUM(I845:T845)</f>
        <v/>
      </c>
    </row>
    <row r="846">
      <c r="A846" s="2" t="inlineStr">
        <is>
          <t>SN-3000-3100-31ER-3310VF0101</t>
        </is>
      </c>
      <c r="B846" s="2" t="inlineStr">
        <is>
          <t>3310VF0101</t>
        </is>
      </c>
      <c r="C846" s="2" t="inlineStr">
        <is>
          <t>Variador frecuencia 3310PU0101M1VF</t>
        </is>
      </c>
      <c r="D846" s="2" t="n">
        <v>282</v>
      </c>
      <c r="E846" s="2" t="inlineStr">
        <is>
          <t>CC-3000</t>
        </is>
      </c>
      <c r="F846" s="2" t="inlineStr">
        <is>
          <t>P01</t>
        </is>
      </c>
      <c r="G846" s="2" t="n">
        <v>620000</v>
      </c>
      <c r="H846" s="2" t="inlineStr">
        <is>
          <t>Materiales</t>
        </is>
      </c>
      <c r="I846" s="9" t="n">
        <v>2604.6</v>
      </c>
      <c r="J846" s="9" t="n">
        <v>2500.02</v>
      </c>
      <c r="K846" s="9" t="n">
        <v>2431.7</v>
      </c>
      <c r="L846" s="9" t="n">
        <v>2430.82</v>
      </c>
      <c r="M846" s="9" t="n">
        <v>2517.73</v>
      </c>
      <c r="N846" s="9" t="n">
        <v>2243.93</v>
      </c>
      <c r="O846" s="9" t="n">
        <v>2402.81</v>
      </c>
      <c r="P846" s="9" t="n">
        <v>2627.37</v>
      </c>
      <c r="Q846" s="9" t="n">
        <v>2258.72</v>
      </c>
      <c r="R846" s="9" t="n">
        <v>2686.05</v>
      </c>
      <c r="S846" s="9" t="n">
        <v>2586.3</v>
      </c>
      <c r="T846" s="9" t="n">
        <v>2421.97</v>
      </c>
      <c r="U846" s="10">
        <f>SUM(I846:T846)</f>
        <v/>
      </c>
    </row>
    <row r="847">
      <c r="A847" s="2" t="inlineStr">
        <is>
          <t>SN-3000-3100-31ER-3310VF0101</t>
        </is>
      </c>
      <c r="B847" s="2" t="inlineStr">
        <is>
          <t>3310VF0101</t>
        </is>
      </c>
      <c r="C847" s="2" t="inlineStr">
        <is>
          <t>Variador frecuencia 3310PU0101M1VF</t>
        </is>
      </c>
      <c r="D847" s="2" t="n">
        <v>282</v>
      </c>
      <c r="E847" s="2" t="inlineStr">
        <is>
          <t>CC-3000</t>
        </is>
      </c>
      <c r="F847" s="2" t="inlineStr">
        <is>
          <t>P01</t>
        </is>
      </c>
      <c r="G847" s="2" t="n">
        <v>630000</v>
      </c>
      <c r="H847" s="2" t="inlineStr">
        <is>
          <t>Servicios externos</t>
        </is>
      </c>
      <c r="I847" s="9" t="n">
        <v>2651.59</v>
      </c>
      <c r="J847" s="9" t="n">
        <v>2618.03</v>
      </c>
      <c r="K847" s="9" t="n">
        <v>2804.07</v>
      </c>
      <c r="L847" s="9" t="n">
        <v>2783.76</v>
      </c>
      <c r="M847" s="9" t="n">
        <v>2639.4</v>
      </c>
      <c r="N847" s="9" t="n">
        <v>2335.6</v>
      </c>
      <c r="O847" s="9" t="n">
        <v>2360.83</v>
      </c>
      <c r="P847" s="9" t="n">
        <v>2504.57</v>
      </c>
      <c r="Q847" s="9" t="n">
        <v>2241.05</v>
      </c>
      <c r="R847" s="9" t="n">
        <v>2846.95</v>
      </c>
      <c r="S847" s="9" t="n">
        <v>2536.12</v>
      </c>
      <c r="T847" s="9" t="n">
        <v>2402.75</v>
      </c>
      <c r="U847" s="10">
        <f>SUM(I847:T847)</f>
        <v/>
      </c>
    </row>
    <row r="848">
      <c r="A848" s="2" t="inlineStr">
        <is>
          <t>SN-3000-3100-31ER-3310VF0102</t>
        </is>
      </c>
      <c r="B848" s="2" t="inlineStr">
        <is>
          <t>3310VF0102</t>
        </is>
      </c>
      <c r="C848" s="2" t="inlineStr">
        <is>
          <t>Variador frecuencia 3310PU0102M1VF</t>
        </is>
      </c>
      <c r="D848" s="2" t="n">
        <v>283</v>
      </c>
      <c r="E848" s="2" t="inlineStr">
        <is>
          <t>CC-3000</t>
        </is>
      </c>
      <c r="F848" s="2" t="inlineStr">
        <is>
          <t>P01</t>
        </is>
      </c>
      <c r="G848" s="2" t="n">
        <v>610000</v>
      </c>
      <c r="H848" s="2" t="inlineStr">
        <is>
          <t>Mano obra interna</t>
        </is>
      </c>
      <c r="I848" s="9" t="n">
        <v>271.27</v>
      </c>
      <c r="J848" s="9" t="n">
        <v>269.71</v>
      </c>
      <c r="K848" s="9" t="n">
        <v>293.29</v>
      </c>
      <c r="L848" s="9" t="n">
        <v>279.77</v>
      </c>
      <c r="M848" s="9" t="n">
        <v>271.42</v>
      </c>
      <c r="N848" s="9" t="n">
        <v>246.3</v>
      </c>
      <c r="O848" s="9" t="n">
        <v>272.62</v>
      </c>
      <c r="P848" s="9" t="n">
        <v>288.37</v>
      </c>
      <c r="Q848" s="9" t="n">
        <v>274.84</v>
      </c>
      <c r="R848" s="9" t="n">
        <v>294.44</v>
      </c>
      <c r="S848" s="9" t="n">
        <v>264.74</v>
      </c>
      <c r="T848" s="9" t="n">
        <v>290.08</v>
      </c>
      <c r="U848" s="10">
        <f>SUM(I848:T848)</f>
        <v/>
      </c>
    </row>
    <row r="849">
      <c r="A849" s="2" t="inlineStr">
        <is>
          <t>SN-3000-3100-31ER-3310VF0102</t>
        </is>
      </c>
      <c r="B849" s="2" t="inlineStr">
        <is>
          <t>3310VF0102</t>
        </is>
      </c>
      <c r="C849" s="2" t="inlineStr">
        <is>
          <t>Variador frecuencia 3310PU0102M1VF</t>
        </is>
      </c>
      <c r="D849" s="2" t="n">
        <v>283</v>
      </c>
      <c r="E849" s="2" t="inlineStr">
        <is>
          <t>CC-3000</t>
        </is>
      </c>
      <c r="F849" s="2" t="inlineStr">
        <is>
          <t>P01</t>
        </is>
      </c>
      <c r="G849" s="2" t="n">
        <v>620000</v>
      </c>
      <c r="H849" s="2" t="inlineStr">
        <is>
          <t>Materiales</t>
        </is>
      </c>
      <c r="I849" s="9" t="n">
        <v>272.35</v>
      </c>
      <c r="J849" s="9" t="n">
        <v>270.3</v>
      </c>
      <c r="K849" s="9" t="n">
        <v>299.42</v>
      </c>
      <c r="L849" s="9" t="n">
        <v>288.19</v>
      </c>
      <c r="M849" s="9" t="n">
        <v>257.16</v>
      </c>
      <c r="N849" s="9" t="n">
        <v>270.35</v>
      </c>
      <c r="O849" s="9" t="n">
        <v>263.34</v>
      </c>
      <c r="P849" s="9" t="n">
        <v>277.36</v>
      </c>
      <c r="Q849" s="9" t="n">
        <v>259.16</v>
      </c>
      <c r="R849" s="9" t="n">
        <v>316.83</v>
      </c>
      <c r="S849" s="9" t="n">
        <v>266.65</v>
      </c>
      <c r="T849" s="9" t="n">
        <v>271.3</v>
      </c>
      <c r="U849" s="10">
        <f>SUM(I849:T849)</f>
        <v/>
      </c>
    </row>
    <row r="850">
      <c r="A850" s="2" t="inlineStr">
        <is>
          <t>SN-3000-3100-31ER-3310VF0102</t>
        </is>
      </c>
      <c r="B850" s="2" t="inlineStr">
        <is>
          <t>3310VF0102</t>
        </is>
      </c>
      <c r="C850" s="2" t="inlineStr">
        <is>
          <t>Variador frecuencia 3310PU0102M1VF</t>
        </is>
      </c>
      <c r="D850" s="2" t="n">
        <v>283</v>
      </c>
      <c r="E850" s="2" t="inlineStr">
        <is>
          <t>CC-3000</t>
        </is>
      </c>
      <c r="F850" s="2" t="inlineStr">
        <is>
          <t>P01</t>
        </is>
      </c>
      <c r="G850" s="2" t="n">
        <v>630000</v>
      </c>
      <c r="H850" s="2" t="inlineStr">
        <is>
          <t>Servicios externos</t>
        </is>
      </c>
      <c r="I850" s="9" t="n">
        <v>240.44</v>
      </c>
      <c r="J850" s="9" t="n">
        <v>207.34</v>
      </c>
      <c r="K850" s="9" t="n">
        <v>226.53</v>
      </c>
      <c r="L850" s="9" t="n">
        <v>215.75</v>
      </c>
      <c r="M850" s="9" t="n">
        <v>229.54</v>
      </c>
      <c r="N850" s="9" t="n">
        <v>211.59</v>
      </c>
      <c r="O850" s="9" t="n">
        <v>217.03</v>
      </c>
      <c r="P850" s="9" t="n">
        <v>217.12</v>
      </c>
      <c r="Q850" s="9" t="n">
        <v>218.52</v>
      </c>
      <c r="R850" s="9" t="n">
        <v>241.71</v>
      </c>
      <c r="S850" s="9" t="n">
        <v>222.62</v>
      </c>
      <c r="T850" s="9" t="n">
        <v>239.85</v>
      </c>
      <c r="U850" s="10">
        <f>SUM(I850:T850)</f>
        <v/>
      </c>
    </row>
    <row r="851">
      <c r="A851" s="2" t="inlineStr">
        <is>
          <t>SN-3000-3100-31ER-3310VF0103</t>
        </is>
      </c>
      <c r="B851" s="2" t="inlineStr">
        <is>
          <t>3310VF0103</t>
        </is>
      </c>
      <c r="C851" s="2" t="inlineStr">
        <is>
          <t>Variador frecuencia 3310PU0103M1VF</t>
        </is>
      </c>
      <c r="D851" s="2" t="n">
        <v>284</v>
      </c>
      <c r="E851" s="2" t="inlineStr">
        <is>
          <t>CC-3000</t>
        </is>
      </c>
      <c r="F851" s="2" t="inlineStr">
        <is>
          <t>P01</t>
        </is>
      </c>
      <c r="G851" s="2" t="n">
        <v>610000</v>
      </c>
      <c r="H851" s="2" t="inlineStr">
        <is>
          <t>Mano obra interna</t>
        </is>
      </c>
      <c r="I851" s="9" t="n">
        <v>1013.58</v>
      </c>
      <c r="J851" s="9" t="n">
        <v>1078.23</v>
      </c>
      <c r="K851" s="9" t="n">
        <v>973.14</v>
      </c>
      <c r="L851" s="9" t="n">
        <v>1022.84</v>
      </c>
      <c r="M851" s="9" t="n">
        <v>1074.32</v>
      </c>
      <c r="N851" s="9" t="n">
        <v>940.85</v>
      </c>
      <c r="O851" s="9" t="n">
        <v>984.28</v>
      </c>
      <c r="P851" s="9" t="n">
        <v>987.92</v>
      </c>
      <c r="Q851" s="9" t="n">
        <v>967.41</v>
      </c>
      <c r="R851" s="9" t="n">
        <v>1090.1</v>
      </c>
      <c r="S851" s="9" t="n">
        <v>1024.15</v>
      </c>
      <c r="T851" s="9" t="n">
        <v>1101.52</v>
      </c>
      <c r="U851" s="10">
        <f>SUM(I851:T851)</f>
        <v/>
      </c>
    </row>
    <row r="852">
      <c r="A852" s="2" t="inlineStr">
        <is>
          <t>SN-3000-3100-31ER-3310VF0103</t>
        </is>
      </c>
      <c r="B852" s="2" t="inlineStr">
        <is>
          <t>3310VF0103</t>
        </is>
      </c>
      <c r="C852" s="2" t="inlineStr">
        <is>
          <t>Variador frecuencia 3310PU0103M1VF</t>
        </is>
      </c>
      <c r="D852" s="2" t="n">
        <v>284</v>
      </c>
      <c r="E852" s="2" t="inlineStr">
        <is>
          <t>CC-3000</t>
        </is>
      </c>
      <c r="F852" s="2" t="inlineStr">
        <is>
          <t>P01</t>
        </is>
      </c>
      <c r="G852" s="2" t="n">
        <v>620000</v>
      </c>
      <c r="H852" s="2" t="inlineStr">
        <is>
          <t>Materiales</t>
        </is>
      </c>
      <c r="I852" s="9" t="n">
        <v>925.12</v>
      </c>
      <c r="J852" s="9" t="n">
        <v>1001.66</v>
      </c>
      <c r="K852" s="9" t="n">
        <v>944.33</v>
      </c>
      <c r="L852" s="9" t="n">
        <v>917.72</v>
      </c>
      <c r="M852" s="9" t="n">
        <v>879.61</v>
      </c>
      <c r="N852" s="9" t="n">
        <v>918.64</v>
      </c>
      <c r="O852" s="9" t="n">
        <v>892.83</v>
      </c>
      <c r="P852" s="9" t="n">
        <v>895.5599999999999</v>
      </c>
      <c r="Q852" s="9" t="n">
        <v>857.12</v>
      </c>
      <c r="R852" s="9" t="n">
        <v>989.97</v>
      </c>
      <c r="S852" s="9" t="n">
        <v>936.1799999999999</v>
      </c>
      <c r="T852" s="9" t="n">
        <v>1014.25</v>
      </c>
      <c r="U852" s="10">
        <f>SUM(I852:T852)</f>
        <v/>
      </c>
    </row>
    <row r="853">
      <c r="A853" s="2" t="inlineStr">
        <is>
          <t>SN-3000-3100-31ER-3310VF0103</t>
        </is>
      </c>
      <c r="B853" s="2" t="inlineStr">
        <is>
          <t>3310VF0103</t>
        </is>
      </c>
      <c r="C853" s="2" t="inlineStr">
        <is>
          <t>Variador frecuencia 3310PU0103M1VF</t>
        </is>
      </c>
      <c r="D853" s="2" t="n">
        <v>284</v>
      </c>
      <c r="E853" s="2" t="inlineStr">
        <is>
          <t>CC-3000</t>
        </is>
      </c>
      <c r="F853" s="2" t="inlineStr">
        <is>
          <t>P01</t>
        </is>
      </c>
      <c r="G853" s="2" t="n">
        <v>630000</v>
      </c>
      <c r="H853" s="2" t="inlineStr">
        <is>
          <t>Servicios externos</t>
        </is>
      </c>
      <c r="I853" s="9" t="n">
        <v>938.1799999999999</v>
      </c>
      <c r="J853" s="9" t="n">
        <v>902.52</v>
      </c>
      <c r="K853" s="9" t="n">
        <v>1059.01</v>
      </c>
      <c r="L853" s="9" t="n">
        <v>899.5599999999999</v>
      </c>
      <c r="M853" s="9" t="n">
        <v>1002.89</v>
      </c>
      <c r="N853" s="9" t="n">
        <v>869.48</v>
      </c>
      <c r="O853" s="9" t="n">
        <v>1024.16</v>
      </c>
      <c r="P853" s="9" t="n">
        <v>930.53</v>
      </c>
      <c r="Q853" s="9" t="n">
        <v>880.8099999999999</v>
      </c>
      <c r="R853" s="9" t="n">
        <v>1064.39</v>
      </c>
      <c r="S853" s="9" t="n">
        <v>937.79</v>
      </c>
      <c r="T853" s="9" t="n">
        <v>941.27</v>
      </c>
      <c r="U853" s="10">
        <f>SUM(I853:T853)</f>
        <v/>
      </c>
    </row>
    <row r="854">
      <c r="A854" s="2" t="inlineStr">
        <is>
          <t>SN-3000-3100-31ER-3310VF0104</t>
        </is>
      </c>
      <c r="B854" s="2" t="inlineStr">
        <is>
          <t>3310VF0104</t>
        </is>
      </c>
      <c r="C854" s="2" t="inlineStr">
        <is>
          <t>Variador frecuencia 3310PU0104M1VF</t>
        </is>
      </c>
      <c r="D854" s="2" t="n">
        <v>285</v>
      </c>
      <c r="E854" s="2" t="inlineStr">
        <is>
          <t>CC-3000</t>
        </is>
      </c>
      <c r="F854" s="2" t="inlineStr">
        <is>
          <t>P01</t>
        </is>
      </c>
      <c r="G854" s="2" t="n">
        <v>610000</v>
      </c>
      <c r="H854" s="2" t="inlineStr">
        <is>
          <t>Mano obra interna</t>
        </is>
      </c>
      <c r="I854" s="9" t="n">
        <v>1643.02</v>
      </c>
      <c r="J854" s="9" t="n">
        <v>1416.73</v>
      </c>
      <c r="K854" s="9" t="n">
        <v>1476.05</v>
      </c>
      <c r="L854" s="9" t="n">
        <v>1575.75</v>
      </c>
      <c r="M854" s="9" t="n">
        <v>1445.63</v>
      </c>
      <c r="N854" s="9" t="n">
        <v>1523.01</v>
      </c>
      <c r="O854" s="9" t="n">
        <v>1481.83</v>
      </c>
      <c r="P854" s="9" t="n">
        <v>1534.35</v>
      </c>
      <c r="Q854" s="9" t="n">
        <v>1374.99</v>
      </c>
      <c r="R854" s="9" t="n">
        <v>1686.89</v>
      </c>
      <c r="S854" s="9" t="n">
        <v>1410.3</v>
      </c>
      <c r="T854" s="9" t="n">
        <v>1455.03</v>
      </c>
      <c r="U854" s="10">
        <f>SUM(I854:T854)</f>
        <v/>
      </c>
    </row>
    <row r="855">
      <c r="A855" s="2" t="inlineStr">
        <is>
          <t>SN-3000-3100-31ER-3310VF0104</t>
        </is>
      </c>
      <c r="B855" s="2" t="inlineStr">
        <is>
          <t>3310VF0104</t>
        </is>
      </c>
      <c r="C855" s="2" t="inlineStr">
        <is>
          <t>Variador frecuencia 3310PU0104M1VF</t>
        </is>
      </c>
      <c r="D855" s="2" t="n">
        <v>285</v>
      </c>
      <c r="E855" s="2" t="inlineStr">
        <is>
          <t>CC-3000</t>
        </is>
      </c>
      <c r="F855" s="2" t="inlineStr">
        <is>
          <t>P01</t>
        </is>
      </c>
      <c r="G855" s="2" t="n">
        <v>620000</v>
      </c>
      <c r="H855" s="2" t="inlineStr">
        <is>
          <t>Materiales</t>
        </is>
      </c>
      <c r="I855" s="9" t="n">
        <v>1347.35</v>
      </c>
      <c r="J855" s="9" t="n">
        <v>1142.42</v>
      </c>
      <c r="K855" s="9" t="n">
        <v>1311.68</v>
      </c>
      <c r="L855" s="9" t="n">
        <v>1170.6</v>
      </c>
      <c r="M855" s="9" t="n">
        <v>1141.34</v>
      </c>
      <c r="N855" s="9" t="n">
        <v>1178.03</v>
      </c>
      <c r="O855" s="9" t="n">
        <v>1224.05</v>
      </c>
      <c r="P855" s="9" t="n">
        <v>1318.33</v>
      </c>
      <c r="Q855" s="9" t="n">
        <v>1226.88</v>
      </c>
      <c r="R855" s="9" t="n">
        <v>1386.27</v>
      </c>
      <c r="S855" s="9" t="n">
        <v>1210.57</v>
      </c>
      <c r="T855" s="9" t="n">
        <v>1239.68</v>
      </c>
      <c r="U855" s="10">
        <f>SUM(I855:T855)</f>
        <v/>
      </c>
    </row>
    <row r="856">
      <c r="A856" s="2" t="inlineStr">
        <is>
          <t>SN-3000-3100-31ER-3310VF0104</t>
        </is>
      </c>
      <c r="B856" s="2" t="inlineStr">
        <is>
          <t>3310VF0104</t>
        </is>
      </c>
      <c r="C856" s="2" t="inlineStr">
        <is>
          <t>Variador frecuencia 3310PU0104M1VF</t>
        </is>
      </c>
      <c r="D856" s="2" t="n">
        <v>285</v>
      </c>
      <c r="E856" s="2" t="inlineStr">
        <is>
          <t>CC-3000</t>
        </is>
      </c>
      <c r="F856" s="2" t="inlineStr">
        <is>
          <t>P01</t>
        </is>
      </c>
      <c r="G856" s="2" t="n">
        <v>630000</v>
      </c>
      <c r="H856" s="2" t="inlineStr">
        <is>
          <t>Servicios externos</t>
        </is>
      </c>
      <c r="I856" s="9" t="n">
        <v>1502.25</v>
      </c>
      <c r="J856" s="9" t="n">
        <v>1374.81</v>
      </c>
      <c r="K856" s="9" t="n">
        <v>1434.72</v>
      </c>
      <c r="L856" s="9" t="n">
        <v>1343.4</v>
      </c>
      <c r="M856" s="9" t="n">
        <v>1260.56</v>
      </c>
      <c r="N856" s="9" t="n">
        <v>1406.53</v>
      </c>
      <c r="O856" s="9" t="n">
        <v>1333.01</v>
      </c>
      <c r="P856" s="9" t="n">
        <v>1359.71</v>
      </c>
      <c r="Q856" s="9" t="n">
        <v>1199.58</v>
      </c>
      <c r="R856" s="9" t="n">
        <v>1560.88</v>
      </c>
      <c r="S856" s="9" t="n">
        <v>1229</v>
      </c>
      <c r="T856" s="9" t="n">
        <v>1468.21</v>
      </c>
      <c r="U856" s="10">
        <f>SUM(I856:T856)</f>
        <v/>
      </c>
    </row>
    <row r="857">
      <c r="A857" s="2" t="inlineStr">
        <is>
          <t>SN-3000-3100-31ER-3330VF0150</t>
        </is>
      </c>
      <c r="B857" s="2" t="inlineStr">
        <is>
          <t>3330VF0150</t>
        </is>
      </c>
      <c r="C857" s="2" t="inlineStr">
        <is>
          <t>Variador frecuencia 3330PU0150M1VF</t>
        </is>
      </c>
      <c r="D857" s="2" t="n">
        <v>286</v>
      </c>
      <c r="E857" s="2" t="inlineStr">
        <is>
          <t>CC-3000</t>
        </is>
      </c>
      <c r="F857" s="2" t="inlineStr">
        <is>
          <t>P01</t>
        </is>
      </c>
      <c r="G857" s="2" t="n">
        <v>610000</v>
      </c>
      <c r="H857" s="2" t="inlineStr">
        <is>
          <t>Mano obra interna</t>
        </is>
      </c>
      <c r="I857" s="9" t="n">
        <v>1689.78</v>
      </c>
      <c r="J857" s="9" t="n">
        <v>1591.7</v>
      </c>
      <c r="K857" s="9" t="n">
        <v>1521.9</v>
      </c>
      <c r="L857" s="9" t="n">
        <v>1610.01</v>
      </c>
      <c r="M857" s="9" t="n">
        <v>1496.49</v>
      </c>
      <c r="N857" s="9" t="n">
        <v>1413.65</v>
      </c>
      <c r="O857" s="9" t="n">
        <v>1649.19</v>
      </c>
      <c r="P857" s="9" t="n">
        <v>1533.65</v>
      </c>
      <c r="Q857" s="9" t="n">
        <v>1427.55</v>
      </c>
      <c r="R857" s="9" t="n">
        <v>1592.32</v>
      </c>
      <c r="S857" s="9" t="n">
        <v>1480.84</v>
      </c>
      <c r="T857" s="9" t="n">
        <v>1676.07</v>
      </c>
      <c r="U857" s="10">
        <f>SUM(I857:T857)</f>
        <v/>
      </c>
    </row>
    <row r="858">
      <c r="A858" s="2" t="inlineStr">
        <is>
          <t>SN-3000-3100-31ER-3330VF0150</t>
        </is>
      </c>
      <c r="B858" s="2" t="inlineStr">
        <is>
          <t>3330VF0150</t>
        </is>
      </c>
      <c r="C858" s="2" t="inlineStr">
        <is>
          <t>Variador frecuencia 3330PU0150M1VF</t>
        </is>
      </c>
      <c r="D858" s="2" t="n">
        <v>286</v>
      </c>
      <c r="E858" s="2" t="inlineStr">
        <is>
          <t>CC-3000</t>
        </is>
      </c>
      <c r="F858" s="2" t="inlineStr">
        <is>
          <t>P01</t>
        </is>
      </c>
      <c r="G858" s="2" t="n">
        <v>620000</v>
      </c>
      <c r="H858" s="2" t="inlineStr">
        <is>
          <t>Materiales</t>
        </is>
      </c>
      <c r="I858" s="9" t="n">
        <v>1792.79</v>
      </c>
      <c r="J858" s="9" t="n">
        <v>1728.22</v>
      </c>
      <c r="K858" s="9" t="n">
        <v>1593.66</v>
      </c>
      <c r="L858" s="9" t="n">
        <v>1587.52</v>
      </c>
      <c r="M858" s="9" t="n">
        <v>1714.95</v>
      </c>
      <c r="N858" s="9" t="n">
        <v>1539.02</v>
      </c>
      <c r="O858" s="9" t="n">
        <v>1508.64</v>
      </c>
      <c r="P858" s="9" t="n">
        <v>1577.4</v>
      </c>
      <c r="Q858" s="9" t="n">
        <v>1548.44</v>
      </c>
      <c r="R858" s="9" t="n">
        <v>1850.86</v>
      </c>
      <c r="S858" s="9" t="n">
        <v>1492.53</v>
      </c>
      <c r="T858" s="9" t="n">
        <v>1558.58</v>
      </c>
      <c r="U858" s="10">
        <f>SUM(I858:T858)</f>
        <v/>
      </c>
    </row>
    <row r="859">
      <c r="A859" s="2" t="inlineStr">
        <is>
          <t>SN-3000-3100-31ER-3330VF0150</t>
        </is>
      </c>
      <c r="B859" s="2" t="inlineStr">
        <is>
          <t>3330VF0150</t>
        </is>
      </c>
      <c r="C859" s="2" t="inlineStr">
        <is>
          <t>Variador frecuencia 3330PU0150M1VF</t>
        </is>
      </c>
      <c r="D859" s="2" t="n">
        <v>286</v>
      </c>
      <c r="E859" s="2" t="inlineStr">
        <is>
          <t>CC-3000</t>
        </is>
      </c>
      <c r="F859" s="2" t="inlineStr">
        <is>
          <t>P01</t>
        </is>
      </c>
      <c r="G859" s="2" t="n">
        <v>630000</v>
      </c>
      <c r="H859" s="2" t="inlineStr">
        <is>
          <t>Servicios externos</t>
        </is>
      </c>
      <c r="I859" s="9" t="n">
        <v>1990.31</v>
      </c>
      <c r="J859" s="9" t="n">
        <v>1872.49</v>
      </c>
      <c r="K859" s="9" t="n">
        <v>2016.94</v>
      </c>
      <c r="L859" s="9" t="n">
        <v>1893.87</v>
      </c>
      <c r="M859" s="9" t="n">
        <v>1931.67</v>
      </c>
      <c r="N859" s="9" t="n">
        <v>1755.25</v>
      </c>
      <c r="O859" s="9" t="n">
        <v>1798.42</v>
      </c>
      <c r="P859" s="9" t="n">
        <v>1941.58</v>
      </c>
      <c r="Q859" s="9" t="n">
        <v>1722.37</v>
      </c>
      <c r="R859" s="9" t="n">
        <v>2177.03</v>
      </c>
      <c r="S859" s="9" t="n">
        <v>1770.8</v>
      </c>
      <c r="T859" s="9" t="n">
        <v>2030.53</v>
      </c>
      <c r="U859" s="10">
        <f>SUM(I859:T859)</f>
        <v/>
      </c>
    </row>
    <row r="860">
      <c r="A860" s="2" t="inlineStr">
        <is>
          <t>SN-3000-3100-31ER-3330VF0151</t>
        </is>
      </c>
      <c r="B860" s="2" t="inlineStr">
        <is>
          <t>3330VF0151</t>
        </is>
      </c>
      <c r="C860" s="2" t="inlineStr">
        <is>
          <t>Variador frecuencia 3330PU0151M1VF</t>
        </is>
      </c>
      <c r="D860" s="2" t="n">
        <v>287</v>
      </c>
      <c r="E860" s="2" t="inlineStr">
        <is>
          <t>CC-3000</t>
        </is>
      </c>
      <c r="F860" s="2" t="inlineStr">
        <is>
          <t>P01</t>
        </is>
      </c>
      <c r="G860" s="2" t="n">
        <v>610000</v>
      </c>
      <c r="H860" s="2" t="inlineStr">
        <is>
          <t>Mano obra interna</t>
        </is>
      </c>
      <c r="I860" s="9" t="n">
        <v>2655.7</v>
      </c>
      <c r="J860" s="9" t="n">
        <v>2799.98</v>
      </c>
      <c r="K860" s="9" t="n">
        <v>2769.43</v>
      </c>
      <c r="L860" s="9" t="n">
        <v>2958.64</v>
      </c>
      <c r="M860" s="9" t="n">
        <v>2664.05</v>
      </c>
      <c r="N860" s="9" t="n">
        <v>2695.75</v>
      </c>
      <c r="O860" s="9" t="n">
        <v>2700.43</v>
      </c>
      <c r="P860" s="9" t="n">
        <v>2593.43</v>
      </c>
      <c r="Q860" s="9" t="n">
        <v>2404.47</v>
      </c>
      <c r="R860" s="9" t="n">
        <v>2891.44</v>
      </c>
      <c r="S860" s="9" t="n">
        <v>2734.27</v>
      </c>
      <c r="T860" s="9" t="n">
        <v>2800.13</v>
      </c>
      <c r="U860" s="10">
        <f>SUM(I860:T860)</f>
        <v/>
      </c>
    </row>
    <row r="861">
      <c r="A861" s="2" t="inlineStr">
        <is>
          <t>SN-3000-3100-31ER-3330VF0151</t>
        </is>
      </c>
      <c r="B861" s="2" t="inlineStr">
        <is>
          <t>3330VF0151</t>
        </is>
      </c>
      <c r="C861" s="2" t="inlineStr">
        <is>
          <t>Variador frecuencia 3330PU0151M1VF</t>
        </is>
      </c>
      <c r="D861" s="2" t="n">
        <v>287</v>
      </c>
      <c r="E861" s="2" t="inlineStr">
        <is>
          <t>CC-3000</t>
        </is>
      </c>
      <c r="F861" s="2" t="inlineStr">
        <is>
          <t>P01</t>
        </is>
      </c>
      <c r="G861" s="2" t="n">
        <v>620000</v>
      </c>
      <c r="H861" s="2" t="inlineStr">
        <is>
          <t>Materiales</t>
        </is>
      </c>
      <c r="I861" s="9" t="n">
        <v>2452.02</v>
      </c>
      <c r="J861" s="9" t="n">
        <v>2443.66</v>
      </c>
      <c r="K861" s="9" t="n">
        <v>2380.21</v>
      </c>
      <c r="L861" s="9" t="n">
        <v>2672.71</v>
      </c>
      <c r="M861" s="9" t="n">
        <v>2655.93</v>
      </c>
      <c r="N861" s="9" t="n">
        <v>2343.84</v>
      </c>
      <c r="O861" s="9" t="n">
        <v>2294.94</v>
      </c>
      <c r="P861" s="9" t="n">
        <v>2355.38</v>
      </c>
      <c r="Q861" s="9" t="n">
        <v>2373.14</v>
      </c>
      <c r="R861" s="9" t="n">
        <v>2731.92</v>
      </c>
      <c r="S861" s="9" t="n">
        <v>2520.11</v>
      </c>
      <c r="T861" s="9" t="n">
        <v>2426.12</v>
      </c>
      <c r="U861" s="10">
        <f>SUM(I861:T861)</f>
        <v/>
      </c>
    </row>
    <row r="862">
      <c r="A862" s="2" t="inlineStr">
        <is>
          <t>SN-3000-3100-31ER-3330VF0151</t>
        </is>
      </c>
      <c r="B862" s="2" t="inlineStr">
        <is>
          <t>3330VF0151</t>
        </is>
      </c>
      <c r="C862" s="2" t="inlineStr">
        <is>
          <t>Variador frecuencia 3330PU0151M1VF</t>
        </is>
      </c>
      <c r="D862" s="2" t="n">
        <v>287</v>
      </c>
      <c r="E862" s="2" t="inlineStr">
        <is>
          <t>CC-3000</t>
        </is>
      </c>
      <c r="F862" s="2" t="inlineStr">
        <is>
          <t>P01</t>
        </is>
      </c>
      <c r="G862" s="2" t="n">
        <v>630000</v>
      </c>
      <c r="H862" s="2" t="inlineStr">
        <is>
          <t>Servicios externos</t>
        </is>
      </c>
      <c r="I862" s="9" t="n">
        <v>2650.01</v>
      </c>
      <c r="J862" s="9" t="n">
        <v>2411.58</v>
      </c>
      <c r="K862" s="9" t="n">
        <v>2618.76</v>
      </c>
      <c r="L862" s="9" t="n">
        <v>2430.3</v>
      </c>
      <c r="M862" s="9" t="n">
        <v>2475.11</v>
      </c>
      <c r="N862" s="9" t="n">
        <v>2556.34</v>
      </c>
      <c r="O862" s="9" t="n">
        <v>2489.45</v>
      </c>
      <c r="P862" s="9" t="n">
        <v>2655.04</v>
      </c>
      <c r="Q862" s="9" t="n">
        <v>2379.78</v>
      </c>
      <c r="R862" s="9" t="n">
        <v>2583.76</v>
      </c>
      <c r="S862" s="9" t="n">
        <v>2471.28</v>
      </c>
      <c r="T862" s="9" t="n">
        <v>2559.97</v>
      </c>
      <c r="U862" s="10">
        <f>SUM(I862:T862)</f>
        <v/>
      </c>
    </row>
    <row r="863">
      <c r="A863" s="2" t="inlineStr">
        <is>
          <t>SN-3000-3200-3200-3200PR0001</t>
        </is>
      </c>
      <c r="B863" s="2" t="inlineStr">
        <is>
          <t>3200PR0001</t>
        </is>
      </c>
      <c r="C863" s="2" t="inlineStr">
        <is>
          <t>Tablero de enchufes</t>
        </is>
      </c>
      <c r="D863" s="2" t="n">
        <v>288</v>
      </c>
      <c r="E863" s="2" t="inlineStr">
        <is>
          <t>CC-3000</t>
        </is>
      </c>
      <c r="F863" s="2" t="inlineStr">
        <is>
          <t>P01</t>
        </is>
      </c>
      <c r="G863" s="2" t="n">
        <v>610000</v>
      </c>
      <c r="H863" s="2" t="inlineStr">
        <is>
          <t>Mano obra interna</t>
        </is>
      </c>
      <c r="I863" s="9" t="n">
        <v>2014.46</v>
      </c>
      <c r="J863" s="9" t="n">
        <v>2041.8</v>
      </c>
      <c r="K863" s="9" t="n">
        <v>2019.51</v>
      </c>
      <c r="L863" s="9" t="n">
        <v>2009.66</v>
      </c>
      <c r="M863" s="9" t="n">
        <v>2051.49</v>
      </c>
      <c r="N863" s="9" t="n">
        <v>1946.33</v>
      </c>
      <c r="O863" s="9" t="n">
        <v>2245.28</v>
      </c>
      <c r="P863" s="9" t="n">
        <v>2057.87</v>
      </c>
      <c r="Q863" s="9" t="n">
        <v>2036.65</v>
      </c>
      <c r="R863" s="9" t="n">
        <v>2276.95</v>
      </c>
      <c r="S863" s="9" t="n">
        <v>2100.52</v>
      </c>
      <c r="T863" s="9" t="n">
        <v>2050.55</v>
      </c>
      <c r="U863" s="10">
        <f>SUM(I863:T863)</f>
        <v/>
      </c>
    </row>
    <row r="864">
      <c r="A864" s="2" t="inlineStr">
        <is>
          <t>SN-3000-3200-3200-3200PR0001</t>
        </is>
      </c>
      <c r="B864" s="2" t="inlineStr">
        <is>
          <t>3200PR0001</t>
        </is>
      </c>
      <c r="C864" s="2" t="inlineStr">
        <is>
          <t>Tablero de enchufes</t>
        </is>
      </c>
      <c r="D864" s="2" t="n">
        <v>288</v>
      </c>
      <c r="E864" s="2" t="inlineStr">
        <is>
          <t>CC-3000</t>
        </is>
      </c>
      <c r="F864" s="2" t="inlineStr">
        <is>
          <t>P01</t>
        </is>
      </c>
      <c r="G864" s="2" t="n">
        <v>620000</v>
      </c>
      <c r="H864" s="2" t="inlineStr">
        <is>
          <t>Materiales</t>
        </is>
      </c>
      <c r="I864" s="9" t="n">
        <v>2405.68</v>
      </c>
      <c r="J864" s="9" t="n">
        <v>2432.19</v>
      </c>
      <c r="K864" s="9" t="n">
        <v>2367.23</v>
      </c>
      <c r="L864" s="9" t="n">
        <v>2243.64</v>
      </c>
      <c r="M864" s="9" t="n">
        <v>2385.51</v>
      </c>
      <c r="N864" s="9" t="n">
        <v>2065.64</v>
      </c>
      <c r="O864" s="9" t="n">
        <v>2337.05</v>
      </c>
      <c r="P864" s="9" t="n">
        <v>2228.32</v>
      </c>
      <c r="Q864" s="9" t="n">
        <v>2227.64</v>
      </c>
      <c r="R864" s="9" t="n">
        <v>2723.2</v>
      </c>
      <c r="S864" s="9" t="n">
        <v>2257.43</v>
      </c>
      <c r="T864" s="9" t="n">
        <v>2500.99</v>
      </c>
      <c r="U864" s="10">
        <f>SUM(I864:T864)</f>
        <v/>
      </c>
    </row>
    <row r="865">
      <c r="A865" s="2" t="inlineStr">
        <is>
          <t>SN-3000-3200-3200-3200PR0001</t>
        </is>
      </c>
      <c r="B865" s="2" t="inlineStr">
        <is>
          <t>3200PR0001</t>
        </is>
      </c>
      <c r="C865" s="2" t="inlineStr">
        <is>
          <t>Tablero de enchufes</t>
        </is>
      </c>
      <c r="D865" s="2" t="n">
        <v>288</v>
      </c>
      <c r="E865" s="2" t="inlineStr">
        <is>
          <t>CC-3000</t>
        </is>
      </c>
      <c r="F865" s="2" t="inlineStr">
        <is>
          <t>P01</t>
        </is>
      </c>
      <c r="G865" s="2" t="n">
        <v>630000</v>
      </c>
      <c r="H865" s="2" t="inlineStr">
        <is>
          <t>Servicios externos</t>
        </is>
      </c>
      <c r="I865" s="9" t="n">
        <v>2085.2</v>
      </c>
      <c r="J865" s="9" t="n">
        <v>2151.66</v>
      </c>
      <c r="K865" s="9" t="n">
        <v>2240.22</v>
      </c>
      <c r="L865" s="9" t="n">
        <v>2184.57</v>
      </c>
      <c r="M865" s="9" t="n">
        <v>1956.89</v>
      </c>
      <c r="N865" s="9" t="n">
        <v>1968.26</v>
      </c>
      <c r="O865" s="9" t="n">
        <v>1954.57</v>
      </c>
      <c r="P865" s="9" t="n">
        <v>2024.12</v>
      </c>
      <c r="Q865" s="9" t="n">
        <v>1897.89</v>
      </c>
      <c r="R865" s="9" t="n">
        <v>2321.24</v>
      </c>
      <c r="S865" s="9" t="n">
        <v>2104.08</v>
      </c>
      <c r="T865" s="9" t="n">
        <v>2045.99</v>
      </c>
      <c r="U865" s="10">
        <f>SUM(I865:T865)</f>
        <v/>
      </c>
    </row>
    <row r="866">
      <c r="A866" s="2" t="inlineStr">
        <is>
          <t>SN-3000-3200-3200-3200PR0002</t>
        </is>
      </c>
      <c r="B866" s="2" t="inlineStr">
        <is>
          <t>3200PR0002</t>
        </is>
      </c>
      <c r="C866" s="2" t="inlineStr">
        <is>
          <t>Tablero de enchufes</t>
        </is>
      </c>
      <c r="D866" s="2" t="n">
        <v>289</v>
      </c>
      <c r="E866" s="2" t="inlineStr">
        <is>
          <t>CC-3000</t>
        </is>
      </c>
      <c r="F866" s="2" t="inlineStr">
        <is>
          <t>P01</t>
        </is>
      </c>
      <c r="G866" s="2" t="n">
        <v>610000</v>
      </c>
      <c r="H866" s="2" t="inlineStr">
        <is>
          <t>Mano obra interna</t>
        </is>
      </c>
      <c r="I866" s="9" t="n">
        <v>1128.86</v>
      </c>
      <c r="J866" s="9" t="n">
        <v>975.83</v>
      </c>
      <c r="K866" s="9" t="n">
        <v>1099.41</v>
      </c>
      <c r="L866" s="9" t="n">
        <v>987.15</v>
      </c>
      <c r="M866" s="9" t="n">
        <v>1017.86</v>
      </c>
      <c r="N866" s="9" t="n">
        <v>1077.09</v>
      </c>
      <c r="O866" s="9" t="n">
        <v>978.97</v>
      </c>
      <c r="P866" s="9" t="n">
        <v>1031.77</v>
      </c>
      <c r="Q866" s="9" t="n">
        <v>943.03</v>
      </c>
      <c r="R866" s="9" t="n">
        <v>1200.35</v>
      </c>
      <c r="S866" s="9" t="n">
        <v>1071.72</v>
      </c>
      <c r="T866" s="9" t="n">
        <v>1016.31</v>
      </c>
      <c r="U866" s="10">
        <f>SUM(I866:T866)</f>
        <v/>
      </c>
    </row>
    <row r="867">
      <c r="A867" s="2" t="inlineStr">
        <is>
          <t>SN-3000-3200-3200-3200PR0002</t>
        </is>
      </c>
      <c r="B867" s="2" t="inlineStr">
        <is>
          <t>3200PR0002</t>
        </is>
      </c>
      <c r="C867" s="2" t="inlineStr">
        <is>
          <t>Tablero de enchufes</t>
        </is>
      </c>
      <c r="D867" s="2" t="n">
        <v>289</v>
      </c>
      <c r="E867" s="2" t="inlineStr">
        <is>
          <t>CC-3000</t>
        </is>
      </c>
      <c r="F867" s="2" t="inlineStr">
        <is>
          <t>P01</t>
        </is>
      </c>
      <c r="G867" s="2" t="n">
        <v>620000</v>
      </c>
      <c r="H867" s="2" t="inlineStr">
        <is>
          <t>Materiales</t>
        </is>
      </c>
      <c r="I867" s="9" t="n">
        <v>1090.16</v>
      </c>
      <c r="J867" s="9" t="n">
        <v>1003.78</v>
      </c>
      <c r="K867" s="9" t="n">
        <v>1109.46</v>
      </c>
      <c r="L867" s="9" t="n">
        <v>989.61</v>
      </c>
      <c r="M867" s="9" t="n">
        <v>975.03</v>
      </c>
      <c r="N867" s="9" t="n">
        <v>1030.47</v>
      </c>
      <c r="O867" s="9" t="n">
        <v>998.9</v>
      </c>
      <c r="P867" s="9" t="n">
        <v>1105.67</v>
      </c>
      <c r="Q867" s="9" t="n">
        <v>905.46</v>
      </c>
      <c r="R867" s="9" t="n">
        <v>1077.31</v>
      </c>
      <c r="S867" s="9" t="n">
        <v>1094.01</v>
      </c>
      <c r="T867" s="9" t="n">
        <v>1050.78</v>
      </c>
      <c r="U867" s="10">
        <f>SUM(I867:T867)</f>
        <v/>
      </c>
    </row>
    <row r="868">
      <c r="A868" s="2" t="inlineStr">
        <is>
          <t>SN-3000-3200-3200-3200PR0002</t>
        </is>
      </c>
      <c r="B868" s="2" t="inlineStr">
        <is>
          <t>3200PR0002</t>
        </is>
      </c>
      <c r="C868" s="2" t="inlineStr">
        <is>
          <t>Tablero de enchufes</t>
        </is>
      </c>
      <c r="D868" s="2" t="n">
        <v>289</v>
      </c>
      <c r="E868" s="2" t="inlineStr">
        <is>
          <t>CC-3000</t>
        </is>
      </c>
      <c r="F868" s="2" t="inlineStr">
        <is>
          <t>P01</t>
        </is>
      </c>
      <c r="G868" s="2" t="n">
        <v>630000</v>
      </c>
      <c r="H868" s="2" t="inlineStr">
        <is>
          <t>Servicios externos</t>
        </is>
      </c>
      <c r="I868" s="9" t="n">
        <v>1223.84</v>
      </c>
      <c r="J868" s="9" t="n">
        <v>1265.72</v>
      </c>
      <c r="K868" s="9" t="n">
        <v>1350.07</v>
      </c>
      <c r="L868" s="9" t="n">
        <v>1252.5</v>
      </c>
      <c r="M868" s="9" t="n">
        <v>1315.68</v>
      </c>
      <c r="N868" s="9" t="n">
        <v>1227.47</v>
      </c>
      <c r="O868" s="9" t="n">
        <v>1241.13</v>
      </c>
      <c r="P868" s="9" t="n">
        <v>1273.67</v>
      </c>
      <c r="Q868" s="9" t="n">
        <v>1190.11</v>
      </c>
      <c r="R868" s="9" t="n">
        <v>1289.14</v>
      </c>
      <c r="S868" s="9" t="n">
        <v>1203.61</v>
      </c>
      <c r="T868" s="9" t="n">
        <v>1249.62</v>
      </c>
      <c r="U868" s="10">
        <f>SUM(I868:T868)</f>
        <v/>
      </c>
    </row>
    <row r="869">
      <c r="A869" s="2" t="inlineStr">
        <is>
          <t>SN-3000-3200-3210-3210CT0001</t>
        </is>
      </c>
      <c r="B869" s="2" t="inlineStr">
        <is>
          <t>3210CT0001</t>
        </is>
      </c>
      <c r="C869" s="2" t="inlineStr">
        <is>
          <t>Sistema CCTV Muestreadores lixiviación</t>
        </is>
      </c>
      <c r="D869" s="2" t="n">
        <v>290</v>
      </c>
      <c r="E869" s="2" t="inlineStr">
        <is>
          <t>CC-3000</t>
        </is>
      </c>
      <c r="F869" s="2" t="inlineStr">
        <is>
          <t>P01</t>
        </is>
      </c>
      <c r="G869" s="2" t="n">
        <v>610000</v>
      </c>
      <c r="H869" s="2" t="inlineStr">
        <is>
          <t>Mano obra interna</t>
        </is>
      </c>
      <c r="I869" s="9" t="n">
        <v>1718.05</v>
      </c>
      <c r="J869" s="9" t="n">
        <v>1586.57</v>
      </c>
      <c r="K869" s="9" t="n">
        <v>1784.01</v>
      </c>
      <c r="L869" s="9" t="n">
        <v>1596.59</v>
      </c>
      <c r="M869" s="9" t="n">
        <v>1577.21</v>
      </c>
      <c r="N869" s="9" t="n">
        <v>1615.42</v>
      </c>
      <c r="O869" s="9" t="n">
        <v>1628.11</v>
      </c>
      <c r="P869" s="9" t="n">
        <v>1626.42</v>
      </c>
      <c r="Q869" s="9" t="n">
        <v>1396.34</v>
      </c>
      <c r="R869" s="9" t="n">
        <v>1713.91</v>
      </c>
      <c r="S869" s="9" t="n">
        <v>1506.52</v>
      </c>
      <c r="T869" s="9" t="n">
        <v>1770.45</v>
      </c>
      <c r="U869" s="10">
        <f>SUM(I869:T869)</f>
        <v/>
      </c>
    </row>
    <row r="870">
      <c r="A870" s="2" t="inlineStr">
        <is>
          <t>SN-3000-3200-3210-3210CT0001</t>
        </is>
      </c>
      <c r="B870" s="2" t="inlineStr">
        <is>
          <t>3210CT0001</t>
        </is>
      </c>
      <c r="C870" s="2" t="inlineStr">
        <is>
          <t>Sistema CCTV Muestreadores lixiviación</t>
        </is>
      </c>
      <c r="D870" s="2" t="n">
        <v>290</v>
      </c>
      <c r="E870" s="2" t="inlineStr">
        <is>
          <t>CC-3000</t>
        </is>
      </c>
      <c r="F870" s="2" t="inlineStr">
        <is>
          <t>P01</t>
        </is>
      </c>
      <c r="G870" s="2" t="n">
        <v>620000</v>
      </c>
      <c r="H870" s="2" t="inlineStr">
        <is>
          <t>Materiales</t>
        </is>
      </c>
      <c r="I870" s="9" t="n">
        <v>1652.22</v>
      </c>
      <c r="J870" s="9" t="n">
        <v>1543.94</v>
      </c>
      <c r="K870" s="9" t="n">
        <v>1532.89</v>
      </c>
      <c r="L870" s="9" t="n">
        <v>1569.15</v>
      </c>
      <c r="M870" s="9" t="n">
        <v>1591.13</v>
      </c>
      <c r="N870" s="9" t="n">
        <v>1547.11</v>
      </c>
      <c r="O870" s="9" t="n">
        <v>1442.49</v>
      </c>
      <c r="P870" s="9" t="n">
        <v>1484.44</v>
      </c>
      <c r="Q870" s="9" t="n">
        <v>1381.87</v>
      </c>
      <c r="R870" s="9" t="n">
        <v>1523.78</v>
      </c>
      <c r="S870" s="9" t="n">
        <v>1499.19</v>
      </c>
      <c r="T870" s="9" t="n">
        <v>1635.16</v>
      </c>
      <c r="U870" s="10">
        <f>SUM(I870:T870)</f>
        <v/>
      </c>
    </row>
    <row r="871">
      <c r="A871" s="2" t="inlineStr">
        <is>
          <t>SN-3000-3200-3210-3210CT0001</t>
        </is>
      </c>
      <c r="B871" s="2" t="inlineStr">
        <is>
          <t>3210CT0001</t>
        </is>
      </c>
      <c r="C871" s="2" t="inlineStr">
        <is>
          <t>Sistema CCTV Muestreadores lixiviación</t>
        </is>
      </c>
      <c r="D871" s="2" t="n">
        <v>290</v>
      </c>
      <c r="E871" s="2" t="inlineStr">
        <is>
          <t>CC-3000</t>
        </is>
      </c>
      <c r="F871" s="2" t="inlineStr">
        <is>
          <t>P01</t>
        </is>
      </c>
      <c r="G871" s="2" t="n">
        <v>630000</v>
      </c>
      <c r="H871" s="2" t="inlineStr">
        <is>
          <t>Servicios externos</t>
        </is>
      </c>
      <c r="I871" s="9" t="n">
        <v>1670.11</v>
      </c>
      <c r="J871" s="9" t="n">
        <v>1583.35</v>
      </c>
      <c r="K871" s="9" t="n">
        <v>1593.01</v>
      </c>
      <c r="L871" s="9" t="n">
        <v>1517.76</v>
      </c>
      <c r="M871" s="9" t="n">
        <v>1611.42</v>
      </c>
      <c r="N871" s="9" t="n">
        <v>1591.74</v>
      </c>
      <c r="O871" s="9" t="n">
        <v>1623.09</v>
      </c>
      <c r="P871" s="9" t="n">
        <v>1452.88</v>
      </c>
      <c r="Q871" s="9" t="n">
        <v>1400.01</v>
      </c>
      <c r="R871" s="9" t="n">
        <v>1582.02</v>
      </c>
      <c r="S871" s="9" t="n">
        <v>1542.36</v>
      </c>
      <c r="T871" s="9" t="n">
        <v>1664.51</v>
      </c>
      <c r="U871" s="10">
        <f>SUM(I871:T871)</f>
        <v/>
      </c>
    </row>
    <row r="872">
      <c r="A872" s="2" t="inlineStr">
        <is>
          <t>SN-3000-3200-3210-3210HT0036</t>
        </is>
      </c>
      <c r="B872" s="2" t="inlineStr">
        <is>
          <t>3210HT0036</t>
        </is>
      </c>
      <c r="C872" s="2" t="inlineStr">
        <is>
          <t>Carro espesador lixiviación</t>
        </is>
      </c>
      <c r="D872" s="2" t="n">
        <v>291</v>
      </c>
      <c r="E872" s="2" t="inlineStr">
        <is>
          <t>CC-3000</t>
        </is>
      </c>
      <c r="F872" s="2" t="inlineStr">
        <is>
          <t>P01</t>
        </is>
      </c>
      <c r="G872" s="2" t="n">
        <v>610000</v>
      </c>
      <c r="H872" s="2" t="inlineStr">
        <is>
          <t>Mano obra interna</t>
        </is>
      </c>
      <c r="I872" s="9" t="n">
        <v>1636.07</v>
      </c>
      <c r="J872" s="9" t="n">
        <v>1510.63</v>
      </c>
      <c r="K872" s="9" t="n">
        <v>1616.13</v>
      </c>
      <c r="L872" s="9" t="n">
        <v>1671.07</v>
      </c>
      <c r="M872" s="9" t="n">
        <v>1404.4</v>
      </c>
      <c r="N872" s="9" t="n">
        <v>1546.88</v>
      </c>
      <c r="O872" s="9" t="n">
        <v>1430.05</v>
      </c>
      <c r="P872" s="9" t="n">
        <v>1493.2</v>
      </c>
      <c r="Q872" s="9" t="n">
        <v>1494.84</v>
      </c>
      <c r="R872" s="9" t="n">
        <v>1746.16</v>
      </c>
      <c r="S872" s="9" t="n">
        <v>1473.3</v>
      </c>
      <c r="T872" s="9" t="n">
        <v>1566.16</v>
      </c>
      <c r="U872" s="10">
        <f>SUM(I872:T872)</f>
        <v/>
      </c>
    </row>
    <row r="873">
      <c r="A873" s="2" t="inlineStr">
        <is>
          <t>SN-3000-3200-3210-3210HT0036</t>
        </is>
      </c>
      <c r="B873" s="2" t="inlineStr">
        <is>
          <t>3210HT0036</t>
        </is>
      </c>
      <c r="C873" s="2" t="inlineStr">
        <is>
          <t>Carro espesador lixiviación</t>
        </is>
      </c>
      <c r="D873" s="2" t="n">
        <v>291</v>
      </c>
      <c r="E873" s="2" t="inlineStr">
        <is>
          <t>CC-3000</t>
        </is>
      </c>
      <c r="F873" s="2" t="inlineStr">
        <is>
          <t>P01</t>
        </is>
      </c>
      <c r="G873" s="2" t="n">
        <v>620000</v>
      </c>
      <c r="H873" s="2" t="inlineStr">
        <is>
          <t>Materiales</t>
        </is>
      </c>
      <c r="I873" s="9" t="n">
        <v>1918.29</v>
      </c>
      <c r="J873" s="9" t="n">
        <v>1650.71</v>
      </c>
      <c r="K873" s="9" t="n">
        <v>1931.9</v>
      </c>
      <c r="L873" s="9" t="n">
        <v>1818</v>
      </c>
      <c r="M873" s="9" t="n">
        <v>1751.73</v>
      </c>
      <c r="N873" s="9" t="n">
        <v>1684.98</v>
      </c>
      <c r="O873" s="9" t="n">
        <v>1787.57</v>
      </c>
      <c r="P873" s="9" t="n">
        <v>1909.75</v>
      </c>
      <c r="Q873" s="9" t="n">
        <v>1673.61</v>
      </c>
      <c r="R873" s="9" t="n">
        <v>2063.56</v>
      </c>
      <c r="S873" s="9" t="n">
        <v>1638.8</v>
      </c>
      <c r="T873" s="9" t="n">
        <v>1875.55</v>
      </c>
      <c r="U873" s="10">
        <f>SUM(I873:T873)</f>
        <v/>
      </c>
    </row>
    <row r="874">
      <c r="A874" s="2" t="inlineStr">
        <is>
          <t>SN-3000-3200-3210-3210HT0036</t>
        </is>
      </c>
      <c r="B874" s="2" t="inlineStr">
        <is>
          <t>3210HT0036</t>
        </is>
      </c>
      <c r="C874" s="2" t="inlineStr">
        <is>
          <t>Carro espesador lixiviación</t>
        </is>
      </c>
      <c r="D874" s="2" t="n">
        <v>291</v>
      </c>
      <c r="E874" s="2" t="inlineStr">
        <is>
          <t>CC-3000</t>
        </is>
      </c>
      <c r="F874" s="2" t="inlineStr">
        <is>
          <t>P01</t>
        </is>
      </c>
      <c r="G874" s="2" t="n">
        <v>630000</v>
      </c>
      <c r="H874" s="2" t="inlineStr">
        <is>
          <t>Servicios externos</t>
        </is>
      </c>
      <c r="I874" s="9" t="n">
        <v>1920.78</v>
      </c>
      <c r="J874" s="9" t="n">
        <v>1832.26</v>
      </c>
      <c r="K874" s="9" t="n">
        <v>1906.58</v>
      </c>
      <c r="L874" s="9" t="n">
        <v>1977.42</v>
      </c>
      <c r="M874" s="9" t="n">
        <v>1903.37</v>
      </c>
      <c r="N874" s="9" t="n">
        <v>1643.09</v>
      </c>
      <c r="O874" s="9" t="n">
        <v>1932.03</v>
      </c>
      <c r="P874" s="9" t="n">
        <v>1802.64</v>
      </c>
      <c r="Q874" s="9" t="n">
        <v>1635.6</v>
      </c>
      <c r="R874" s="9" t="n">
        <v>2089.29</v>
      </c>
      <c r="S874" s="9" t="n">
        <v>1751.46</v>
      </c>
      <c r="T874" s="9" t="n">
        <v>1947.88</v>
      </c>
      <c r="U874" s="10">
        <f>SUM(I874:T874)</f>
        <v/>
      </c>
    </row>
    <row r="875">
      <c r="A875" s="2" t="inlineStr">
        <is>
          <t>SN-3000-3200-3210-3210HT0063</t>
        </is>
      </c>
      <c r="B875" s="2" t="inlineStr">
        <is>
          <t>3210HT0063</t>
        </is>
      </c>
      <c r="C875" s="2" t="inlineStr">
        <is>
          <t>Carro espesador lixiviación</t>
        </is>
      </c>
      <c r="D875" s="2" t="n">
        <v>292</v>
      </c>
      <c r="E875" s="2" t="inlineStr">
        <is>
          <t>CC-3000</t>
        </is>
      </c>
      <c r="F875" s="2" t="inlineStr">
        <is>
          <t>P01</t>
        </is>
      </c>
      <c r="G875" s="2" t="n">
        <v>610000</v>
      </c>
      <c r="H875" s="2" t="inlineStr">
        <is>
          <t>Mano obra interna</t>
        </is>
      </c>
      <c r="I875" s="9" t="n">
        <v>1673.8</v>
      </c>
      <c r="J875" s="9" t="n">
        <v>1752.74</v>
      </c>
      <c r="K875" s="9" t="n">
        <v>1719.81</v>
      </c>
      <c r="L875" s="9" t="n">
        <v>1894.33</v>
      </c>
      <c r="M875" s="9" t="n">
        <v>1699.41</v>
      </c>
      <c r="N875" s="9" t="n">
        <v>1687.39</v>
      </c>
      <c r="O875" s="9" t="n">
        <v>1664.06</v>
      </c>
      <c r="P875" s="9" t="n">
        <v>1718.9</v>
      </c>
      <c r="Q875" s="9" t="n">
        <v>1732.54</v>
      </c>
      <c r="R875" s="9" t="n">
        <v>1813.59</v>
      </c>
      <c r="S875" s="9" t="n">
        <v>1764.7</v>
      </c>
      <c r="T875" s="9" t="n">
        <v>1928.14</v>
      </c>
      <c r="U875" s="10">
        <f>SUM(I875:T875)</f>
        <v/>
      </c>
    </row>
    <row r="876">
      <c r="A876" s="2" t="inlineStr">
        <is>
          <t>SN-3000-3200-3210-3210HT0063</t>
        </is>
      </c>
      <c r="B876" s="2" t="inlineStr">
        <is>
          <t>3210HT0063</t>
        </is>
      </c>
      <c r="C876" s="2" t="inlineStr">
        <is>
          <t>Carro espesador lixiviación</t>
        </is>
      </c>
      <c r="D876" s="2" t="n">
        <v>292</v>
      </c>
      <c r="E876" s="2" t="inlineStr">
        <is>
          <t>CC-3000</t>
        </is>
      </c>
      <c r="F876" s="2" t="inlineStr">
        <is>
          <t>P01</t>
        </is>
      </c>
      <c r="G876" s="2" t="n">
        <v>620000</v>
      </c>
      <c r="H876" s="2" t="inlineStr">
        <is>
          <t>Materiales</t>
        </is>
      </c>
      <c r="I876" s="9" t="n">
        <v>2055.81</v>
      </c>
      <c r="J876" s="9" t="n">
        <v>1771.11</v>
      </c>
      <c r="K876" s="9" t="n">
        <v>1900.13</v>
      </c>
      <c r="L876" s="9" t="n">
        <v>2084.42</v>
      </c>
      <c r="M876" s="9" t="n">
        <v>1963.86</v>
      </c>
      <c r="N876" s="9" t="n">
        <v>1875.04</v>
      </c>
      <c r="O876" s="9" t="n">
        <v>1969.52</v>
      </c>
      <c r="P876" s="9" t="n">
        <v>1890.61</v>
      </c>
      <c r="Q876" s="9" t="n">
        <v>1655.63</v>
      </c>
      <c r="R876" s="9" t="n">
        <v>2162.96</v>
      </c>
      <c r="S876" s="9" t="n">
        <v>1910.2</v>
      </c>
      <c r="T876" s="9" t="n">
        <v>1938.37</v>
      </c>
      <c r="U876" s="10">
        <f>SUM(I876:T876)</f>
        <v/>
      </c>
    </row>
    <row r="877">
      <c r="A877" s="2" t="inlineStr">
        <is>
          <t>SN-3000-3200-3210-3210HT0063</t>
        </is>
      </c>
      <c r="B877" s="2" t="inlineStr">
        <is>
          <t>3210HT0063</t>
        </is>
      </c>
      <c r="C877" s="2" t="inlineStr">
        <is>
          <t>Carro espesador lixiviación</t>
        </is>
      </c>
      <c r="D877" s="2" t="n">
        <v>292</v>
      </c>
      <c r="E877" s="2" t="inlineStr">
        <is>
          <t>CC-3000</t>
        </is>
      </c>
      <c r="F877" s="2" t="inlineStr">
        <is>
          <t>P01</t>
        </is>
      </c>
      <c r="G877" s="2" t="n">
        <v>630000</v>
      </c>
      <c r="H877" s="2" t="inlineStr">
        <is>
          <t>Servicios externos</t>
        </is>
      </c>
      <c r="I877" s="9" t="n">
        <v>2017.8</v>
      </c>
      <c r="J877" s="9" t="n">
        <v>1933.28</v>
      </c>
      <c r="K877" s="9" t="n">
        <v>2218.93</v>
      </c>
      <c r="L877" s="9" t="n">
        <v>2173.13</v>
      </c>
      <c r="M877" s="9" t="n">
        <v>2013.62</v>
      </c>
      <c r="N877" s="9" t="n">
        <v>1825.97</v>
      </c>
      <c r="O877" s="9" t="n">
        <v>1938.14</v>
      </c>
      <c r="P877" s="9" t="n">
        <v>2078.99</v>
      </c>
      <c r="Q877" s="9" t="n">
        <v>1854.74</v>
      </c>
      <c r="R877" s="9" t="n">
        <v>2306.84</v>
      </c>
      <c r="S877" s="9" t="n">
        <v>2106.44</v>
      </c>
      <c r="T877" s="9" t="n">
        <v>2160.68</v>
      </c>
      <c r="U877" s="10">
        <f>SUM(I877:T877)</f>
        <v/>
      </c>
    </row>
    <row r="878">
      <c r="A878" s="2" t="inlineStr">
        <is>
          <t>SN-3000-3200-3210-3210HT0064</t>
        </is>
      </c>
      <c r="B878" s="2" t="inlineStr">
        <is>
          <t>3210HT0064</t>
        </is>
      </c>
      <c r="C878" s="2" t="inlineStr">
        <is>
          <t>Carro espesador lixiviación</t>
        </is>
      </c>
      <c r="D878" s="2" t="n">
        <v>293</v>
      </c>
      <c r="E878" s="2" t="inlineStr">
        <is>
          <t>CC-3000</t>
        </is>
      </c>
      <c r="F878" s="2" t="inlineStr">
        <is>
          <t>P01</t>
        </is>
      </c>
      <c r="G878" s="2" t="n">
        <v>610000</v>
      </c>
      <c r="H878" s="2" t="inlineStr">
        <is>
          <t>Mano obra interna</t>
        </is>
      </c>
      <c r="I878" s="9" t="n">
        <v>1788.43</v>
      </c>
      <c r="J878" s="9" t="n">
        <v>1610.01</v>
      </c>
      <c r="K878" s="9" t="n">
        <v>1635.53</v>
      </c>
      <c r="L878" s="9" t="n">
        <v>1583.71</v>
      </c>
      <c r="M878" s="9" t="n">
        <v>1626.94</v>
      </c>
      <c r="N878" s="9" t="n">
        <v>1704.37</v>
      </c>
      <c r="O878" s="9" t="n">
        <v>1605.36</v>
      </c>
      <c r="P878" s="9" t="n">
        <v>1594.74</v>
      </c>
      <c r="Q878" s="9" t="n">
        <v>1675.99</v>
      </c>
      <c r="R878" s="9" t="n">
        <v>1668.65</v>
      </c>
      <c r="S878" s="9" t="n">
        <v>1695.21</v>
      </c>
      <c r="T878" s="9" t="n">
        <v>1650.86</v>
      </c>
      <c r="U878" s="10">
        <f>SUM(I878:T878)</f>
        <v/>
      </c>
    </row>
    <row r="879">
      <c r="A879" s="2" t="inlineStr">
        <is>
          <t>SN-3000-3200-3210-3210HT0064</t>
        </is>
      </c>
      <c r="B879" s="2" t="inlineStr">
        <is>
          <t>3210HT0064</t>
        </is>
      </c>
      <c r="C879" s="2" t="inlineStr">
        <is>
          <t>Carro espesador lixiviación</t>
        </is>
      </c>
      <c r="D879" s="2" t="n">
        <v>293</v>
      </c>
      <c r="E879" s="2" t="inlineStr">
        <is>
          <t>CC-3000</t>
        </is>
      </c>
      <c r="F879" s="2" t="inlineStr">
        <is>
          <t>P01</t>
        </is>
      </c>
      <c r="G879" s="2" t="n">
        <v>620000</v>
      </c>
      <c r="H879" s="2" t="inlineStr">
        <is>
          <t>Materiales</t>
        </is>
      </c>
      <c r="I879" s="9" t="n">
        <v>1601.11</v>
      </c>
      <c r="J879" s="9" t="n">
        <v>1364.4</v>
      </c>
      <c r="K879" s="9" t="n">
        <v>1529.22</v>
      </c>
      <c r="L879" s="9" t="n">
        <v>1448.23</v>
      </c>
      <c r="M879" s="9" t="n">
        <v>1353.71</v>
      </c>
      <c r="N879" s="9" t="n">
        <v>1304.34</v>
      </c>
      <c r="O879" s="9" t="n">
        <v>1380.33</v>
      </c>
      <c r="P879" s="9" t="n">
        <v>1368.29</v>
      </c>
      <c r="Q879" s="9" t="n">
        <v>1425.57</v>
      </c>
      <c r="R879" s="9" t="n">
        <v>1581.77</v>
      </c>
      <c r="S879" s="9" t="n">
        <v>1387.41</v>
      </c>
      <c r="T879" s="9" t="n">
        <v>1472.48</v>
      </c>
      <c r="U879" s="10">
        <f>SUM(I879:T879)</f>
        <v/>
      </c>
    </row>
    <row r="880">
      <c r="A880" s="2" t="inlineStr">
        <is>
          <t>SN-3000-3200-3210-3210HT0064</t>
        </is>
      </c>
      <c r="B880" s="2" t="inlineStr">
        <is>
          <t>3210HT0064</t>
        </is>
      </c>
      <c r="C880" s="2" t="inlineStr">
        <is>
          <t>Carro espesador lixiviación</t>
        </is>
      </c>
      <c r="D880" s="2" t="n">
        <v>293</v>
      </c>
      <c r="E880" s="2" t="inlineStr">
        <is>
          <t>CC-3000</t>
        </is>
      </c>
      <c r="F880" s="2" t="inlineStr">
        <is>
          <t>P01</t>
        </is>
      </c>
      <c r="G880" s="2" t="n">
        <v>630000</v>
      </c>
      <c r="H880" s="2" t="inlineStr">
        <is>
          <t>Servicios externos</t>
        </is>
      </c>
      <c r="I880" s="9" t="n">
        <v>2002.9</v>
      </c>
      <c r="J880" s="9" t="n">
        <v>1875.7</v>
      </c>
      <c r="K880" s="9" t="n">
        <v>2016.16</v>
      </c>
      <c r="L880" s="9" t="n">
        <v>1827.3</v>
      </c>
      <c r="M880" s="9" t="n">
        <v>1787.31</v>
      </c>
      <c r="N880" s="9" t="n">
        <v>1792.16</v>
      </c>
      <c r="O880" s="9" t="n">
        <v>1878.28</v>
      </c>
      <c r="P880" s="9" t="n">
        <v>1834.25</v>
      </c>
      <c r="Q880" s="9" t="n">
        <v>1686.52</v>
      </c>
      <c r="R880" s="9" t="n">
        <v>2139.84</v>
      </c>
      <c r="S880" s="9" t="n">
        <v>1873.79</v>
      </c>
      <c r="T880" s="9" t="n">
        <v>1848.91</v>
      </c>
      <c r="U880" s="10">
        <f>SUM(I880:T880)</f>
        <v/>
      </c>
    </row>
    <row r="881">
      <c r="A881" s="2" t="inlineStr">
        <is>
          <t>SN-3000-3200-3210-3210HT0065</t>
        </is>
      </c>
      <c r="B881" s="2" t="inlineStr">
        <is>
          <t>3210HT0065</t>
        </is>
      </c>
      <c r="C881" s="2" t="inlineStr">
        <is>
          <t>Carro espesador lixiviación</t>
        </is>
      </c>
      <c r="D881" s="2" t="n">
        <v>294</v>
      </c>
      <c r="E881" s="2" t="inlineStr">
        <is>
          <t>CC-3000</t>
        </is>
      </c>
      <c r="F881" s="2" t="inlineStr">
        <is>
          <t>P01</t>
        </is>
      </c>
      <c r="G881" s="2" t="n">
        <v>610000</v>
      </c>
      <c r="H881" s="2" t="inlineStr">
        <is>
          <t>Mano obra interna</t>
        </is>
      </c>
      <c r="I881" s="9" t="n">
        <v>1304.29</v>
      </c>
      <c r="J881" s="9" t="n">
        <v>1222.9</v>
      </c>
      <c r="K881" s="9" t="n">
        <v>1336.23</v>
      </c>
      <c r="L881" s="9" t="n">
        <v>1334.77</v>
      </c>
      <c r="M881" s="9" t="n">
        <v>1211.29</v>
      </c>
      <c r="N881" s="9" t="n">
        <v>1332.17</v>
      </c>
      <c r="O881" s="9" t="n">
        <v>1297.27</v>
      </c>
      <c r="P881" s="9" t="n">
        <v>1342.63</v>
      </c>
      <c r="Q881" s="9" t="n">
        <v>1150.7</v>
      </c>
      <c r="R881" s="9" t="n">
        <v>1356.21</v>
      </c>
      <c r="S881" s="9" t="n">
        <v>1364.28</v>
      </c>
      <c r="T881" s="9" t="n">
        <v>1369.68</v>
      </c>
      <c r="U881" s="10">
        <f>SUM(I881:T881)</f>
        <v/>
      </c>
    </row>
    <row r="882">
      <c r="A882" s="2" t="inlineStr">
        <is>
          <t>SN-3000-3200-3210-3210HT0065</t>
        </is>
      </c>
      <c r="B882" s="2" t="inlineStr">
        <is>
          <t>3210HT0065</t>
        </is>
      </c>
      <c r="C882" s="2" t="inlineStr">
        <is>
          <t>Carro espesador lixiviación</t>
        </is>
      </c>
      <c r="D882" s="2" t="n">
        <v>294</v>
      </c>
      <c r="E882" s="2" t="inlineStr">
        <is>
          <t>CC-3000</t>
        </is>
      </c>
      <c r="F882" s="2" t="inlineStr">
        <is>
          <t>P01</t>
        </is>
      </c>
      <c r="G882" s="2" t="n">
        <v>620000</v>
      </c>
      <c r="H882" s="2" t="inlineStr">
        <is>
          <t>Materiales</t>
        </is>
      </c>
      <c r="I882" s="9" t="n">
        <v>1438.35</v>
      </c>
      <c r="J882" s="9" t="n">
        <v>1258.75</v>
      </c>
      <c r="K882" s="9" t="n">
        <v>1302.81</v>
      </c>
      <c r="L882" s="9" t="n">
        <v>1410.08</v>
      </c>
      <c r="M882" s="9" t="n">
        <v>1394.38</v>
      </c>
      <c r="N882" s="9" t="n">
        <v>1273.41</v>
      </c>
      <c r="O882" s="9" t="n">
        <v>1367.09</v>
      </c>
      <c r="P882" s="9" t="n">
        <v>1362.66</v>
      </c>
      <c r="Q882" s="9" t="n">
        <v>1186.54</v>
      </c>
      <c r="R882" s="9" t="n">
        <v>1423.91</v>
      </c>
      <c r="S882" s="9" t="n">
        <v>1330.5</v>
      </c>
      <c r="T882" s="9" t="n">
        <v>1364.08</v>
      </c>
      <c r="U882" s="10">
        <f>SUM(I882:T882)</f>
        <v/>
      </c>
    </row>
    <row r="883">
      <c r="A883" s="2" t="inlineStr">
        <is>
          <t>SN-3000-3200-3210-3210HT0065</t>
        </is>
      </c>
      <c r="B883" s="2" t="inlineStr">
        <is>
          <t>3210HT0065</t>
        </is>
      </c>
      <c r="C883" s="2" t="inlineStr">
        <is>
          <t>Carro espesador lixiviación</t>
        </is>
      </c>
      <c r="D883" s="2" t="n">
        <v>294</v>
      </c>
      <c r="E883" s="2" t="inlineStr">
        <is>
          <t>CC-3000</t>
        </is>
      </c>
      <c r="F883" s="2" t="inlineStr">
        <is>
          <t>P01</t>
        </is>
      </c>
      <c r="G883" s="2" t="n">
        <v>630000</v>
      </c>
      <c r="H883" s="2" t="inlineStr">
        <is>
          <t>Servicios externos</t>
        </is>
      </c>
      <c r="I883" s="9" t="n">
        <v>1035.54</v>
      </c>
      <c r="J883" s="9" t="n">
        <v>967.48</v>
      </c>
      <c r="K883" s="9" t="n">
        <v>1028.66</v>
      </c>
      <c r="L883" s="9" t="n">
        <v>1133.64</v>
      </c>
      <c r="M883" s="9" t="n">
        <v>954.45</v>
      </c>
      <c r="N883" s="9" t="n">
        <v>951.2</v>
      </c>
      <c r="O883" s="9" t="n">
        <v>1010.33</v>
      </c>
      <c r="P883" s="9" t="n">
        <v>1060.3</v>
      </c>
      <c r="Q883" s="9" t="n">
        <v>974.9</v>
      </c>
      <c r="R883" s="9" t="n">
        <v>1072.66</v>
      </c>
      <c r="S883" s="9" t="n">
        <v>954.17</v>
      </c>
      <c r="T883" s="9" t="n">
        <v>1012.56</v>
      </c>
      <c r="U883" s="10">
        <f>SUM(I883:T883)</f>
        <v/>
      </c>
    </row>
    <row r="884">
      <c r="A884" s="2" t="inlineStr">
        <is>
          <t>SN-3000-3200-3210-3210HT0066</t>
        </is>
      </c>
      <c r="B884" s="2" t="inlineStr">
        <is>
          <t>3210HT0066</t>
        </is>
      </c>
      <c r="C884" s="2" t="inlineStr">
        <is>
          <t>Carro clarificador</t>
        </is>
      </c>
      <c r="D884" s="2" t="n">
        <v>295</v>
      </c>
      <c r="E884" s="2" t="inlineStr">
        <is>
          <t>CC-3000</t>
        </is>
      </c>
      <c r="F884" s="2" t="inlineStr">
        <is>
          <t>P01</t>
        </is>
      </c>
      <c r="G884" s="2" t="n">
        <v>610000</v>
      </c>
      <c r="H884" s="2" t="inlineStr">
        <is>
          <t>Mano obra interna</t>
        </is>
      </c>
      <c r="I884" s="9" t="n">
        <v>2081.34</v>
      </c>
      <c r="J884" s="9" t="n">
        <v>2233.54</v>
      </c>
      <c r="K884" s="9" t="n">
        <v>2170.66</v>
      </c>
      <c r="L884" s="9" t="n">
        <v>2010.28</v>
      </c>
      <c r="M884" s="9" t="n">
        <v>2171.26</v>
      </c>
      <c r="N884" s="9" t="n">
        <v>1967.93</v>
      </c>
      <c r="O884" s="9" t="n">
        <v>2169.27</v>
      </c>
      <c r="P884" s="9" t="n">
        <v>2040.16</v>
      </c>
      <c r="Q884" s="9" t="n">
        <v>1992.33</v>
      </c>
      <c r="R884" s="9" t="n">
        <v>2381.67</v>
      </c>
      <c r="S884" s="9" t="n">
        <v>2189.03</v>
      </c>
      <c r="T884" s="9" t="n">
        <v>2065.65</v>
      </c>
      <c r="U884" s="10">
        <f>SUM(I884:T884)</f>
        <v/>
      </c>
    </row>
    <row r="885">
      <c r="A885" s="2" t="inlineStr">
        <is>
          <t>SN-3000-3200-3210-3210HT0066</t>
        </is>
      </c>
      <c r="B885" s="2" t="inlineStr">
        <is>
          <t>3210HT0066</t>
        </is>
      </c>
      <c r="C885" s="2" t="inlineStr">
        <is>
          <t>Carro clarificador</t>
        </is>
      </c>
      <c r="D885" s="2" t="n">
        <v>295</v>
      </c>
      <c r="E885" s="2" t="inlineStr">
        <is>
          <t>CC-3000</t>
        </is>
      </c>
      <c r="F885" s="2" t="inlineStr">
        <is>
          <t>P01</t>
        </is>
      </c>
      <c r="G885" s="2" t="n">
        <v>620000</v>
      </c>
      <c r="H885" s="2" t="inlineStr">
        <is>
          <t>Materiales</t>
        </is>
      </c>
      <c r="I885" s="9" t="n">
        <v>1980.78</v>
      </c>
      <c r="J885" s="9" t="n">
        <v>2053.3</v>
      </c>
      <c r="K885" s="9" t="n">
        <v>2142.53</v>
      </c>
      <c r="L885" s="9" t="n">
        <v>1863.63</v>
      </c>
      <c r="M885" s="9" t="n">
        <v>1817.57</v>
      </c>
      <c r="N885" s="9" t="n">
        <v>1864.41</v>
      </c>
      <c r="O885" s="9" t="n">
        <v>1829.49</v>
      </c>
      <c r="P885" s="9" t="n">
        <v>1901.85</v>
      </c>
      <c r="Q885" s="9" t="n">
        <v>1714.4</v>
      </c>
      <c r="R885" s="9" t="n">
        <v>2150.34</v>
      </c>
      <c r="S885" s="9" t="n">
        <v>2025.03</v>
      </c>
      <c r="T885" s="9" t="n">
        <v>2137.86</v>
      </c>
      <c r="U885" s="10">
        <f>SUM(I885:T885)</f>
        <v/>
      </c>
    </row>
    <row r="886">
      <c r="A886" s="2" t="inlineStr">
        <is>
          <t>SN-3000-3200-3210-3210HT0066</t>
        </is>
      </c>
      <c r="B886" s="2" t="inlineStr">
        <is>
          <t>3210HT0066</t>
        </is>
      </c>
      <c r="C886" s="2" t="inlineStr">
        <is>
          <t>Carro clarificador</t>
        </is>
      </c>
      <c r="D886" s="2" t="n">
        <v>295</v>
      </c>
      <c r="E886" s="2" t="inlineStr">
        <is>
          <t>CC-3000</t>
        </is>
      </c>
      <c r="F886" s="2" t="inlineStr">
        <is>
          <t>P01</t>
        </is>
      </c>
      <c r="G886" s="2" t="n">
        <v>630000</v>
      </c>
      <c r="H886" s="2" t="inlineStr">
        <is>
          <t>Servicios externos</t>
        </is>
      </c>
      <c r="I886" s="9" t="n">
        <v>2091.64</v>
      </c>
      <c r="J886" s="9" t="n">
        <v>2099.67</v>
      </c>
      <c r="K886" s="9" t="n">
        <v>1953.44</v>
      </c>
      <c r="L886" s="9" t="n">
        <v>2123.97</v>
      </c>
      <c r="M886" s="9" t="n">
        <v>1967</v>
      </c>
      <c r="N886" s="9" t="n">
        <v>1837.7</v>
      </c>
      <c r="O886" s="9" t="n">
        <v>1986.49</v>
      </c>
      <c r="P886" s="9" t="n">
        <v>1878.73</v>
      </c>
      <c r="Q886" s="9" t="n">
        <v>1936.26</v>
      </c>
      <c r="R886" s="9" t="n">
        <v>2089.11</v>
      </c>
      <c r="S886" s="9" t="n">
        <v>1893.65</v>
      </c>
      <c r="T886" s="9" t="n">
        <v>1922.83</v>
      </c>
      <c r="U886" s="10">
        <f>SUM(I886:T886)</f>
        <v/>
      </c>
    </row>
    <row r="887">
      <c r="A887" s="2" t="inlineStr">
        <is>
          <t>SN-3000-3200-3210-3210IO0001</t>
        </is>
      </c>
      <c r="B887" s="2" t="inlineStr">
        <is>
          <t>3210IO0001</t>
        </is>
      </c>
      <c r="C887" s="2" t="inlineStr">
        <is>
          <t xml:space="preserve">Gabinete RIO  </t>
        </is>
      </c>
      <c r="D887" s="2" t="n">
        <v>296</v>
      </c>
      <c r="E887" s="2" t="inlineStr">
        <is>
          <t>CC-3000</t>
        </is>
      </c>
      <c r="F887" s="2" t="inlineStr">
        <is>
          <t>P01</t>
        </is>
      </c>
      <c r="G887" s="2" t="n">
        <v>610000</v>
      </c>
      <c r="H887" s="2" t="inlineStr">
        <is>
          <t>Mano obra interna</t>
        </is>
      </c>
      <c r="I887" s="9" t="n">
        <v>1169.67</v>
      </c>
      <c r="J887" s="9" t="n">
        <v>1142.66</v>
      </c>
      <c r="K887" s="9" t="n">
        <v>1196.42</v>
      </c>
      <c r="L887" s="9" t="n">
        <v>1155.48</v>
      </c>
      <c r="M887" s="9" t="n">
        <v>1079.28</v>
      </c>
      <c r="N887" s="9" t="n">
        <v>1139.61</v>
      </c>
      <c r="O887" s="9" t="n">
        <v>1079.03</v>
      </c>
      <c r="P887" s="9" t="n">
        <v>1073.49</v>
      </c>
      <c r="Q887" s="9" t="n">
        <v>1103.6</v>
      </c>
      <c r="R887" s="9" t="n">
        <v>1179.31</v>
      </c>
      <c r="S887" s="9" t="n">
        <v>1076.03</v>
      </c>
      <c r="T887" s="9" t="n">
        <v>1159.4</v>
      </c>
      <c r="U887" s="10">
        <f>SUM(I887:T887)</f>
        <v/>
      </c>
    </row>
    <row r="888">
      <c r="A888" s="2" t="inlineStr">
        <is>
          <t>SN-3000-3200-3210-3210IO0001</t>
        </is>
      </c>
      <c r="B888" s="2" t="inlineStr">
        <is>
          <t>3210IO0001</t>
        </is>
      </c>
      <c r="C888" s="2" t="inlineStr">
        <is>
          <t xml:space="preserve">Gabinete RIO  </t>
        </is>
      </c>
      <c r="D888" s="2" t="n">
        <v>296</v>
      </c>
      <c r="E888" s="2" t="inlineStr">
        <is>
          <t>CC-3000</t>
        </is>
      </c>
      <c r="F888" s="2" t="inlineStr">
        <is>
          <t>P01</t>
        </is>
      </c>
      <c r="G888" s="2" t="n">
        <v>620000</v>
      </c>
      <c r="H888" s="2" t="inlineStr">
        <is>
          <t>Materiales</t>
        </is>
      </c>
      <c r="I888" s="9" t="n">
        <v>1026.35</v>
      </c>
      <c r="J888" s="9" t="n">
        <v>977.12</v>
      </c>
      <c r="K888" s="9" t="n">
        <v>1026.9</v>
      </c>
      <c r="L888" s="9" t="n">
        <v>1028.43</v>
      </c>
      <c r="M888" s="9" t="n">
        <v>930.91</v>
      </c>
      <c r="N888" s="9" t="n">
        <v>903.74</v>
      </c>
      <c r="O888" s="9" t="n">
        <v>963.71</v>
      </c>
      <c r="P888" s="9" t="n">
        <v>942.25</v>
      </c>
      <c r="Q888" s="9" t="n">
        <v>975.95</v>
      </c>
      <c r="R888" s="9" t="n">
        <v>1101.95</v>
      </c>
      <c r="S888" s="9" t="n">
        <v>891.3200000000001</v>
      </c>
      <c r="T888" s="9" t="n">
        <v>909.27</v>
      </c>
      <c r="U888" s="10">
        <f>SUM(I888:T888)</f>
        <v/>
      </c>
    </row>
    <row r="889">
      <c r="A889" s="2" t="inlineStr">
        <is>
          <t>SN-3000-3200-3210-3210IO0001</t>
        </is>
      </c>
      <c r="B889" s="2" t="inlineStr">
        <is>
          <t>3210IO0001</t>
        </is>
      </c>
      <c r="C889" s="2" t="inlineStr">
        <is>
          <t xml:space="preserve">Gabinete RIO  </t>
        </is>
      </c>
      <c r="D889" s="2" t="n">
        <v>296</v>
      </c>
      <c r="E889" s="2" t="inlineStr">
        <is>
          <t>CC-3000</t>
        </is>
      </c>
      <c r="F889" s="2" t="inlineStr">
        <is>
          <t>P01</t>
        </is>
      </c>
      <c r="G889" s="2" t="n">
        <v>630000</v>
      </c>
      <c r="H889" s="2" t="inlineStr">
        <is>
          <t>Servicios externos</t>
        </is>
      </c>
      <c r="I889" s="9" t="n">
        <v>827.36</v>
      </c>
      <c r="J889" s="9" t="n">
        <v>780.91</v>
      </c>
      <c r="K889" s="9" t="n">
        <v>876.46</v>
      </c>
      <c r="L889" s="9" t="n">
        <v>913.1799999999999</v>
      </c>
      <c r="M889" s="9" t="n">
        <v>868.01</v>
      </c>
      <c r="N889" s="9" t="n">
        <v>771.1799999999999</v>
      </c>
      <c r="O889" s="9" t="n">
        <v>831.83</v>
      </c>
      <c r="P889" s="9" t="n">
        <v>845.51</v>
      </c>
      <c r="Q889" s="9" t="n">
        <v>825.7</v>
      </c>
      <c r="R889" s="9" t="n">
        <v>960.8</v>
      </c>
      <c r="S889" s="9" t="n">
        <v>871.71</v>
      </c>
      <c r="T889" s="9" t="n">
        <v>858.89</v>
      </c>
      <c r="U889" s="10">
        <f>SUM(I889:T889)</f>
        <v/>
      </c>
    </row>
    <row r="890">
      <c r="A890" s="2" t="inlineStr">
        <is>
          <t>SN-3000-3200-3210-3210IO0002</t>
        </is>
      </c>
      <c r="B890" s="2" t="inlineStr">
        <is>
          <t>3210IO0002</t>
        </is>
      </c>
      <c r="C890" s="2" t="inlineStr">
        <is>
          <t xml:space="preserve">Gabinete RIO  </t>
        </is>
      </c>
      <c r="D890" s="2" t="n">
        <v>297</v>
      </c>
      <c r="E890" s="2" t="inlineStr">
        <is>
          <t>CC-3000</t>
        </is>
      </c>
      <c r="F890" s="2" t="inlineStr">
        <is>
          <t>P01</t>
        </is>
      </c>
      <c r="G890" s="2" t="n">
        <v>610000</v>
      </c>
      <c r="H890" s="2" t="inlineStr">
        <is>
          <t>Mano obra interna</t>
        </is>
      </c>
      <c r="I890" s="9" t="n">
        <v>1284.59</v>
      </c>
      <c r="J890" s="9" t="n">
        <v>1335.18</v>
      </c>
      <c r="K890" s="9" t="n">
        <v>1328.49</v>
      </c>
      <c r="L890" s="9" t="n">
        <v>1356.29</v>
      </c>
      <c r="M890" s="9" t="n">
        <v>1356.29</v>
      </c>
      <c r="N890" s="9" t="n">
        <v>1232.87</v>
      </c>
      <c r="O890" s="9" t="n">
        <v>1246.12</v>
      </c>
      <c r="P890" s="9" t="n">
        <v>1235.63</v>
      </c>
      <c r="Q890" s="9" t="n">
        <v>1153.46</v>
      </c>
      <c r="R890" s="9" t="n">
        <v>1333.09</v>
      </c>
      <c r="S890" s="9" t="n">
        <v>1217.87</v>
      </c>
      <c r="T890" s="9" t="n">
        <v>1304.86</v>
      </c>
      <c r="U890" s="10">
        <f>SUM(I890:T890)</f>
        <v/>
      </c>
    </row>
    <row r="891">
      <c r="A891" s="2" t="inlineStr">
        <is>
          <t>SN-3000-3200-3210-3210IO0002</t>
        </is>
      </c>
      <c r="B891" s="2" t="inlineStr">
        <is>
          <t>3210IO0002</t>
        </is>
      </c>
      <c r="C891" s="2" t="inlineStr">
        <is>
          <t xml:space="preserve">Gabinete RIO  </t>
        </is>
      </c>
      <c r="D891" s="2" t="n">
        <v>297</v>
      </c>
      <c r="E891" s="2" t="inlineStr">
        <is>
          <t>CC-3000</t>
        </is>
      </c>
      <c r="F891" s="2" t="inlineStr">
        <is>
          <t>P01</t>
        </is>
      </c>
      <c r="G891" s="2" t="n">
        <v>620000</v>
      </c>
      <c r="H891" s="2" t="inlineStr">
        <is>
          <t>Materiales</t>
        </is>
      </c>
      <c r="I891" s="9" t="n">
        <v>1165.19</v>
      </c>
      <c r="J891" s="9" t="n">
        <v>1010.51</v>
      </c>
      <c r="K891" s="9" t="n">
        <v>1027.3</v>
      </c>
      <c r="L891" s="9" t="n">
        <v>1090.15</v>
      </c>
      <c r="M891" s="9" t="n">
        <v>1107.98</v>
      </c>
      <c r="N891" s="9" t="n">
        <v>1041.24</v>
      </c>
      <c r="O891" s="9" t="n">
        <v>1024.83</v>
      </c>
      <c r="P891" s="9" t="n">
        <v>1068.56</v>
      </c>
      <c r="Q891" s="9" t="n">
        <v>1019.61</v>
      </c>
      <c r="R891" s="9" t="n">
        <v>1183.64</v>
      </c>
      <c r="S891" s="9" t="n">
        <v>1052.41</v>
      </c>
      <c r="T891" s="9" t="n">
        <v>1138.4</v>
      </c>
      <c r="U891" s="10">
        <f>SUM(I891:T891)</f>
        <v/>
      </c>
    </row>
    <row r="892">
      <c r="A892" s="2" t="inlineStr">
        <is>
          <t>SN-3000-3200-3210-3210IO0002</t>
        </is>
      </c>
      <c r="B892" s="2" t="inlineStr">
        <is>
          <t>3210IO0002</t>
        </is>
      </c>
      <c r="C892" s="2" t="inlineStr">
        <is>
          <t xml:space="preserve">Gabinete RIO  </t>
        </is>
      </c>
      <c r="D892" s="2" t="n">
        <v>297</v>
      </c>
      <c r="E892" s="2" t="inlineStr">
        <is>
          <t>CC-3000</t>
        </is>
      </c>
      <c r="F892" s="2" t="inlineStr">
        <is>
          <t>P01</t>
        </is>
      </c>
      <c r="G892" s="2" t="n">
        <v>630000</v>
      </c>
      <c r="H892" s="2" t="inlineStr">
        <is>
          <t>Servicios externos</t>
        </is>
      </c>
      <c r="I892" s="9" t="n">
        <v>1354.92</v>
      </c>
      <c r="J892" s="9" t="n">
        <v>1276.36</v>
      </c>
      <c r="K892" s="9" t="n">
        <v>1382.8</v>
      </c>
      <c r="L892" s="9" t="n">
        <v>1407.79</v>
      </c>
      <c r="M892" s="9" t="n">
        <v>1194.54</v>
      </c>
      <c r="N892" s="9" t="n">
        <v>1351.76</v>
      </c>
      <c r="O892" s="9" t="n">
        <v>1244.76</v>
      </c>
      <c r="P892" s="9" t="n">
        <v>1303.48</v>
      </c>
      <c r="Q892" s="9" t="n">
        <v>1292.72</v>
      </c>
      <c r="R892" s="9" t="n">
        <v>1351.3</v>
      </c>
      <c r="S892" s="9" t="n">
        <v>1264.13</v>
      </c>
      <c r="T892" s="9" t="n">
        <v>1251.96</v>
      </c>
      <c r="U892" s="10">
        <f>SUM(I892:T892)</f>
        <v/>
      </c>
    </row>
    <row r="893">
      <c r="A893" s="2" t="inlineStr">
        <is>
          <t>SN-3000-3200-3210-3210IO0003</t>
        </is>
      </c>
      <c r="B893" s="2" t="inlineStr">
        <is>
          <t>3210IO0003</t>
        </is>
      </c>
      <c r="C893" s="2" t="inlineStr">
        <is>
          <t xml:space="preserve">Gabinete RIO  </t>
        </is>
      </c>
      <c r="D893" s="2" t="n">
        <v>298</v>
      </c>
      <c r="E893" s="2" t="inlineStr">
        <is>
          <t>CC-3000</t>
        </is>
      </c>
      <c r="F893" s="2" t="inlineStr">
        <is>
          <t>P01</t>
        </is>
      </c>
      <c r="G893" s="2" t="n">
        <v>610000</v>
      </c>
      <c r="H893" s="2" t="inlineStr">
        <is>
          <t>Mano obra interna</t>
        </is>
      </c>
      <c r="I893" s="9" t="n">
        <v>2027.34</v>
      </c>
      <c r="J893" s="9" t="n">
        <v>2017.41</v>
      </c>
      <c r="K893" s="9" t="n">
        <v>2116.64</v>
      </c>
      <c r="L893" s="9" t="n">
        <v>2309.17</v>
      </c>
      <c r="M893" s="9" t="n">
        <v>2236.53</v>
      </c>
      <c r="N893" s="9" t="n">
        <v>1878.72</v>
      </c>
      <c r="O893" s="9" t="n">
        <v>2170.81</v>
      </c>
      <c r="P893" s="9" t="n">
        <v>1942.47</v>
      </c>
      <c r="Q893" s="9" t="n">
        <v>1802.83</v>
      </c>
      <c r="R893" s="9" t="n">
        <v>2115.74</v>
      </c>
      <c r="S893" s="9" t="n">
        <v>2178.22</v>
      </c>
      <c r="T893" s="9" t="n">
        <v>2275.12</v>
      </c>
      <c r="U893" s="10">
        <f>SUM(I893:T893)</f>
        <v/>
      </c>
    </row>
    <row r="894">
      <c r="A894" s="2" t="inlineStr">
        <is>
          <t>SN-3000-3200-3210-3210IO0003</t>
        </is>
      </c>
      <c r="B894" s="2" t="inlineStr">
        <is>
          <t>3210IO0003</t>
        </is>
      </c>
      <c r="C894" s="2" t="inlineStr">
        <is>
          <t xml:space="preserve">Gabinete RIO  </t>
        </is>
      </c>
      <c r="D894" s="2" t="n">
        <v>298</v>
      </c>
      <c r="E894" s="2" t="inlineStr">
        <is>
          <t>CC-3000</t>
        </is>
      </c>
      <c r="F894" s="2" t="inlineStr">
        <is>
          <t>P01</t>
        </is>
      </c>
      <c r="G894" s="2" t="n">
        <v>620000</v>
      </c>
      <c r="H894" s="2" t="inlineStr">
        <is>
          <t>Materiales</t>
        </is>
      </c>
      <c r="I894" s="9" t="n">
        <v>1827.5</v>
      </c>
      <c r="J894" s="9" t="n">
        <v>1786.6</v>
      </c>
      <c r="K894" s="9" t="n">
        <v>1957.38</v>
      </c>
      <c r="L894" s="9" t="n">
        <v>1955.94</v>
      </c>
      <c r="M894" s="9" t="n">
        <v>1789.63</v>
      </c>
      <c r="N894" s="9" t="n">
        <v>1883.79</v>
      </c>
      <c r="O894" s="9" t="n">
        <v>1835.8</v>
      </c>
      <c r="P894" s="9" t="n">
        <v>2018.96</v>
      </c>
      <c r="Q894" s="9" t="n">
        <v>1805.99</v>
      </c>
      <c r="R894" s="9" t="n">
        <v>2020.29</v>
      </c>
      <c r="S894" s="9" t="n">
        <v>1917.18</v>
      </c>
      <c r="T894" s="9" t="n">
        <v>2018.44</v>
      </c>
      <c r="U894" s="10">
        <f>SUM(I894:T894)</f>
        <v/>
      </c>
    </row>
    <row r="895">
      <c r="A895" s="2" t="inlineStr">
        <is>
          <t>SN-3000-3200-3210-3210IO0003</t>
        </is>
      </c>
      <c r="B895" s="2" t="inlineStr">
        <is>
          <t>3210IO0003</t>
        </is>
      </c>
      <c r="C895" s="2" t="inlineStr">
        <is>
          <t xml:space="preserve">Gabinete RIO  </t>
        </is>
      </c>
      <c r="D895" s="2" t="n">
        <v>298</v>
      </c>
      <c r="E895" s="2" t="inlineStr">
        <is>
          <t>CC-3000</t>
        </is>
      </c>
      <c r="F895" s="2" t="inlineStr">
        <is>
          <t>P01</t>
        </is>
      </c>
      <c r="G895" s="2" t="n">
        <v>630000</v>
      </c>
      <c r="H895" s="2" t="inlineStr">
        <is>
          <t>Servicios externos</t>
        </is>
      </c>
      <c r="I895" s="9" t="n">
        <v>1942.96</v>
      </c>
      <c r="J895" s="9" t="n">
        <v>2058</v>
      </c>
      <c r="K895" s="9" t="n">
        <v>1907.09</v>
      </c>
      <c r="L895" s="9" t="n">
        <v>1850.19</v>
      </c>
      <c r="M895" s="9" t="n">
        <v>1918.97</v>
      </c>
      <c r="N895" s="9" t="n">
        <v>1957.57</v>
      </c>
      <c r="O895" s="9" t="n">
        <v>2039.21</v>
      </c>
      <c r="P895" s="9" t="n">
        <v>2082.95</v>
      </c>
      <c r="Q895" s="9" t="n">
        <v>1828.02</v>
      </c>
      <c r="R895" s="9" t="n">
        <v>1971.78</v>
      </c>
      <c r="S895" s="9" t="n">
        <v>1917.83</v>
      </c>
      <c r="T895" s="9" t="n">
        <v>2070.69</v>
      </c>
      <c r="U895" s="10">
        <f>SUM(I895:T895)</f>
        <v/>
      </c>
    </row>
    <row r="896">
      <c r="A896" s="2" t="inlineStr">
        <is>
          <t>SN-3000-3200-3210-3210PL0001</t>
        </is>
      </c>
      <c r="B896" s="2" t="inlineStr">
        <is>
          <t>3210PL0001</t>
        </is>
      </c>
      <c r="C896" s="2" t="inlineStr">
        <is>
          <t>Línea pulpa 3210-1203-ATNA-8"-SL-N</t>
        </is>
      </c>
      <c r="D896" s="2" t="n">
        <v>299</v>
      </c>
      <c r="E896" s="2" t="inlineStr">
        <is>
          <t>CC-3000</t>
        </is>
      </c>
      <c r="F896" s="2" t="inlineStr">
        <is>
          <t>P01</t>
        </is>
      </c>
      <c r="G896" s="2" t="n">
        <v>610000</v>
      </c>
      <c r="H896" s="2" t="inlineStr">
        <is>
          <t>Mano obra interna</t>
        </is>
      </c>
      <c r="I896" s="9" t="n">
        <v>615.8</v>
      </c>
      <c r="J896" s="9" t="n">
        <v>578</v>
      </c>
      <c r="K896" s="9" t="n">
        <v>666.55</v>
      </c>
      <c r="L896" s="9" t="n">
        <v>690.86</v>
      </c>
      <c r="M896" s="9" t="n">
        <v>647.1799999999999</v>
      </c>
      <c r="N896" s="9" t="n">
        <v>655.54</v>
      </c>
      <c r="O896" s="9" t="n">
        <v>592.33</v>
      </c>
      <c r="P896" s="9" t="n">
        <v>677.1</v>
      </c>
      <c r="Q896" s="9" t="n">
        <v>622.34</v>
      </c>
      <c r="R896" s="9" t="n">
        <v>666.08</v>
      </c>
      <c r="S896" s="9" t="n">
        <v>662.92</v>
      </c>
      <c r="T896" s="9" t="n">
        <v>624.1</v>
      </c>
      <c r="U896" s="10">
        <f>SUM(I896:T896)</f>
        <v/>
      </c>
    </row>
    <row r="897">
      <c r="A897" s="2" t="inlineStr">
        <is>
          <t>SN-3000-3200-3210-3210PL0001</t>
        </is>
      </c>
      <c r="B897" s="2" t="inlineStr">
        <is>
          <t>3210PL0001</t>
        </is>
      </c>
      <c r="C897" s="2" t="inlineStr">
        <is>
          <t>Línea pulpa 3210-1203-ATNA-8"-SL-N</t>
        </is>
      </c>
      <c r="D897" s="2" t="n">
        <v>299</v>
      </c>
      <c r="E897" s="2" t="inlineStr">
        <is>
          <t>CC-3000</t>
        </is>
      </c>
      <c r="F897" s="2" t="inlineStr">
        <is>
          <t>P01</t>
        </is>
      </c>
      <c r="G897" s="2" t="n">
        <v>620000</v>
      </c>
      <c r="H897" s="2" t="inlineStr">
        <is>
          <t>Materiales</t>
        </is>
      </c>
      <c r="I897" s="9" t="n">
        <v>842.66</v>
      </c>
      <c r="J897" s="9" t="n">
        <v>797.87</v>
      </c>
      <c r="K897" s="9" t="n">
        <v>810.83</v>
      </c>
      <c r="L897" s="9" t="n">
        <v>746.86</v>
      </c>
      <c r="M897" s="9" t="n">
        <v>773.95</v>
      </c>
      <c r="N897" s="9" t="n">
        <v>726.83</v>
      </c>
      <c r="O897" s="9" t="n">
        <v>814.8</v>
      </c>
      <c r="P897" s="9" t="n">
        <v>809.59</v>
      </c>
      <c r="Q897" s="9" t="n">
        <v>771.86</v>
      </c>
      <c r="R897" s="9" t="n">
        <v>773.9400000000001</v>
      </c>
      <c r="S897" s="9" t="n">
        <v>790.46</v>
      </c>
      <c r="T897" s="9" t="n">
        <v>845</v>
      </c>
      <c r="U897" s="10">
        <f>SUM(I897:T897)</f>
        <v/>
      </c>
    </row>
    <row r="898">
      <c r="A898" s="2" t="inlineStr">
        <is>
          <t>SN-3000-3200-3210-3210PL0001</t>
        </is>
      </c>
      <c r="B898" s="2" t="inlineStr">
        <is>
          <t>3210PL0001</t>
        </is>
      </c>
      <c r="C898" s="2" t="inlineStr">
        <is>
          <t>Línea pulpa 3210-1203-ATNA-8"-SL-N</t>
        </is>
      </c>
      <c r="D898" s="2" t="n">
        <v>299</v>
      </c>
      <c r="E898" s="2" t="inlineStr">
        <is>
          <t>CC-3000</t>
        </is>
      </c>
      <c r="F898" s="2" t="inlineStr">
        <is>
          <t>P01</t>
        </is>
      </c>
      <c r="G898" s="2" t="n">
        <v>630000</v>
      </c>
      <c r="H898" s="2" t="inlineStr">
        <is>
          <t>Servicios externos</t>
        </is>
      </c>
      <c r="I898" s="9" t="n">
        <v>736.85</v>
      </c>
      <c r="J898" s="9" t="n">
        <v>704.96</v>
      </c>
      <c r="K898" s="9" t="n">
        <v>730.79</v>
      </c>
      <c r="L898" s="9" t="n">
        <v>800.26</v>
      </c>
      <c r="M898" s="9" t="n">
        <v>775.01</v>
      </c>
      <c r="N898" s="9" t="n">
        <v>790.63</v>
      </c>
      <c r="O898" s="9" t="n">
        <v>755.02</v>
      </c>
      <c r="P898" s="9" t="n">
        <v>746</v>
      </c>
      <c r="Q898" s="9" t="n">
        <v>728.38</v>
      </c>
      <c r="R898" s="9" t="n">
        <v>870.47</v>
      </c>
      <c r="S898" s="9" t="n">
        <v>794.6</v>
      </c>
      <c r="T898" s="9" t="n">
        <v>816.35</v>
      </c>
      <c r="U898" s="10">
        <f>SUM(I898:T898)</f>
        <v/>
      </c>
    </row>
    <row r="899">
      <c r="A899" s="2" t="inlineStr">
        <is>
          <t>SN-3000-3200-3210-3210PU0081</t>
        </is>
      </c>
      <c r="B899" s="2" t="inlineStr">
        <is>
          <t>3210PU0081</t>
        </is>
      </c>
      <c r="C899" s="2" t="inlineStr">
        <is>
          <t>Bomba descarga espesador lixiviación</t>
        </is>
      </c>
      <c r="D899" s="2" t="n">
        <v>300</v>
      </c>
      <c r="E899" s="2" t="inlineStr">
        <is>
          <t>CC-3000</t>
        </is>
      </c>
      <c r="F899" s="2" t="inlineStr">
        <is>
          <t>P01</t>
        </is>
      </c>
      <c r="G899" s="2" t="n">
        <v>610000</v>
      </c>
      <c r="H899" s="2" t="inlineStr">
        <is>
          <t>Mano obra interna</t>
        </is>
      </c>
      <c r="I899" s="9" t="n">
        <v>228.89</v>
      </c>
      <c r="J899" s="9" t="n">
        <v>228.48</v>
      </c>
      <c r="K899" s="9" t="n">
        <v>226.09</v>
      </c>
      <c r="L899" s="9" t="n">
        <v>214.15</v>
      </c>
      <c r="M899" s="9" t="n">
        <v>205.73</v>
      </c>
      <c r="N899" s="9" t="n">
        <v>193.06</v>
      </c>
      <c r="O899" s="9" t="n">
        <v>227.25</v>
      </c>
      <c r="P899" s="9" t="n">
        <v>205.67</v>
      </c>
      <c r="Q899" s="9" t="n">
        <v>195.94</v>
      </c>
      <c r="R899" s="9" t="n">
        <v>229.04</v>
      </c>
      <c r="S899" s="9" t="n">
        <v>214.52</v>
      </c>
      <c r="T899" s="9" t="n">
        <v>219.1</v>
      </c>
      <c r="U899" s="10">
        <f>SUM(I899:T899)</f>
        <v/>
      </c>
    </row>
    <row r="900">
      <c r="A900" s="2" t="inlineStr">
        <is>
          <t>SN-3000-3200-3210-3210PU0081</t>
        </is>
      </c>
      <c r="B900" s="2" t="inlineStr">
        <is>
          <t>3210PU0081</t>
        </is>
      </c>
      <c r="C900" s="2" t="inlineStr">
        <is>
          <t>Bomba descarga espesador lixiviación</t>
        </is>
      </c>
      <c r="D900" s="2" t="n">
        <v>300</v>
      </c>
      <c r="E900" s="2" t="inlineStr">
        <is>
          <t>CC-3000</t>
        </is>
      </c>
      <c r="F900" s="2" t="inlineStr">
        <is>
          <t>P01</t>
        </is>
      </c>
      <c r="G900" s="2" t="n">
        <v>620000</v>
      </c>
      <c r="H900" s="2" t="inlineStr">
        <is>
          <t>Materiales</t>
        </is>
      </c>
      <c r="I900" s="9" t="n">
        <v>217.11</v>
      </c>
      <c r="J900" s="9" t="n">
        <v>211.92</v>
      </c>
      <c r="K900" s="9" t="n">
        <v>236.17</v>
      </c>
      <c r="L900" s="9" t="n">
        <v>227.9</v>
      </c>
      <c r="M900" s="9" t="n">
        <v>219.18</v>
      </c>
      <c r="N900" s="9" t="n">
        <v>203.73</v>
      </c>
      <c r="O900" s="9" t="n">
        <v>243.56</v>
      </c>
      <c r="P900" s="9" t="n">
        <v>235.8</v>
      </c>
      <c r="Q900" s="9" t="n">
        <v>200.22</v>
      </c>
      <c r="R900" s="9" t="n">
        <v>229.73</v>
      </c>
      <c r="S900" s="9" t="n">
        <v>238.48</v>
      </c>
      <c r="T900" s="9" t="n">
        <v>239.09</v>
      </c>
      <c r="U900" s="10">
        <f>SUM(I900:T900)</f>
        <v/>
      </c>
    </row>
    <row r="901">
      <c r="A901" s="2" t="inlineStr">
        <is>
          <t>SN-3000-3200-3210-3210PU0081</t>
        </is>
      </c>
      <c r="B901" s="2" t="inlineStr">
        <is>
          <t>3210PU0081</t>
        </is>
      </c>
      <c r="C901" s="2" t="inlineStr">
        <is>
          <t>Bomba descarga espesador lixiviación</t>
        </is>
      </c>
      <c r="D901" s="2" t="n">
        <v>300</v>
      </c>
      <c r="E901" s="2" t="inlineStr">
        <is>
          <t>CC-3000</t>
        </is>
      </c>
      <c r="F901" s="2" t="inlineStr">
        <is>
          <t>P01</t>
        </is>
      </c>
      <c r="G901" s="2" t="n">
        <v>630000</v>
      </c>
      <c r="H901" s="2" t="inlineStr">
        <is>
          <t>Servicios externos</t>
        </is>
      </c>
      <c r="I901" s="9" t="n">
        <v>214.87</v>
      </c>
      <c r="J901" s="9" t="n">
        <v>209.05</v>
      </c>
      <c r="K901" s="9" t="n">
        <v>219.78</v>
      </c>
      <c r="L901" s="9" t="n">
        <v>207.66</v>
      </c>
      <c r="M901" s="9" t="n">
        <v>199.53</v>
      </c>
      <c r="N901" s="9" t="n">
        <v>179.69</v>
      </c>
      <c r="O901" s="9" t="n">
        <v>217.92</v>
      </c>
      <c r="P901" s="9" t="n">
        <v>207.12</v>
      </c>
      <c r="Q901" s="9" t="n">
        <v>180.79</v>
      </c>
      <c r="R901" s="9" t="n">
        <v>234.66</v>
      </c>
      <c r="S901" s="9" t="n">
        <v>210.5</v>
      </c>
      <c r="T901" s="9" t="n">
        <v>223.13</v>
      </c>
      <c r="U901" s="10">
        <f>SUM(I901:T901)</f>
        <v/>
      </c>
    </row>
    <row r="902">
      <c r="A902" s="2" t="inlineStr">
        <is>
          <t>SN-3000-3200-3210-3210PU0082</t>
        </is>
      </c>
      <c r="B902" s="2" t="inlineStr">
        <is>
          <t>3210PU0082</t>
        </is>
      </c>
      <c r="C902" s="2" t="inlineStr">
        <is>
          <t>Bomba descarga espesador lixiviación</t>
        </is>
      </c>
      <c r="D902" s="2" t="n">
        <v>301</v>
      </c>
      <c r="E902" s="2" t="inlineStr">
        <is>
          <t>CC-3000</t>
        </is>
      </c>
      <c r="F902" s="2" t="inlineStr">
        <is>
          <t>P01</t>
        </is>
      </c>
      <c r="G902" s="2" t="n">
        <v>610000</v>
      </c>
      <c r="H902" s="2" t="inlineStr">
        <is>
          <t>Mano obra interna</t>
        </is>
      </c>
      <c r="I902" s="9" t="n">
        <v>2154.06</v>
      </c>
      <c r="J902" s="9" t="n">
        <v>1846.19</v>
      </c>
      <c r="K902" s="9" t="n">
        <v>2126.66</v>
      </c>
      <c r="L902" s="9" t="n">
        <v>2100.74</v>
      </c>
      <c r="M902" s="9" t="n">
        <v>1850.93</v>
      </c>
      <c r="N902" s="9" t="n">
        <v>1748.5</v>
      </c>
      <c r="O902" s="9" t="n">
        <v>2105.28</v>
      </c>
      <c r="P902" s="9" t="n">
        <v>1889.21</v>
      </c>
      <c r="Q902" s="9" t="n">
        <v>1927.28</v>
      </c>
      <c r="R902" s="9" t="n">
        <v>1940.46</v>
      </c>
      <c r="S902" s="9" t="n">
        <v>1747</v>
      </c>
      <c r="T902" s="9" t="n">
        <v>1972.6</v>
      </c>
      <c r="U902" s="10">
        <f>SUM(I902:T902)</f>
        <v/>
      </c>
    </row>
    <row r="903">
      <c r="A903" s="2" t="inlineStr">
        <is>
          <t>SN-3000-3200-3210-3210PU0082</t>
        </is>
      </c>
      <c r="B903" s="2" t="inlineStr">
        <is>
          <t>3210PU0082</t>
        </is>
      </c>
      <c r="C903" s="2" t="inlineStr">
        <is>
          <t>Bomba descarga espesador lixiviación</t>
        </is>
      </c>
      <c r="D903" s="2" t="n">
        <v>301</v>
      </c>
      <c r="E903" s="2" t="inlineStr">
        <is>
          <t>CC-3000</t>
        </is>
      </c>
      <c r="F903" s="2" t="inlineStr">
        <is>
          <t>P01</t>
        </is>
      </c>
      <c r="G903" s="2" t="n">
        <v>620000</v>
      </c>
      <c r="H903" s="2" t="inlineStr">
        <is>
          <t>Materiales</t>
        </is>
      </c>
      <c r="I903" s="9" t="n">
        <v>1693.42</v>
      </c>
      <c r="J903" s="9" t="n">
        <v>1602.19</v>
      </c>
      <c r="K903" s="9" t="n">
        <v>1548.6</v>
      </c>
      <c r="L903" s="9" t="n">
        <v>1556.61</v>
      </c>
      <c r="M903" s="9" t="n">
        <v>1564.74</v>
      </c>
      <c r="N903" s="9" t="n">
        <v>1461.78</v>
      </c>
      <c r="O903" s="9" t="n">
        <v>1685.97</v>
      </c>
      <c r="P903" s="9" t="n">
        <v>1587.13</v>
      </c>
      <c r="Q903" s="9" t="n">
        <v>1401.16</v>
      </c>
      <c r="R903" s="9" t="n">
        <v>1731.85</v>
      </c>
      <c r="S903" s="9" t="n">
        <v>1456.49</v>
      </c>
      <c r="T903" s="9" t="n">
        <v>1536.84</v>
      </c>
      <c r="U903" s="10">
        <f>SUM(I903:T903)</f>
        <v/>
      </c>
    </row>
    <row r="904">
      <c r="A904" s="2" t="inlineStr">
        <is>
          <t>SN-3000-3200-3210-3210PU0082</t>
        </is>
      </c>
      <c r="B904" s="2" t="inlineStr">
        <is>
          <t>3210PU0082</t>
        </is>
      </c>
      <c r="C904" s="2" t="inlineStr">
        <is>
          <t>Bomba descarga espesador lixiviación</t>
        </is>
      </c>
      <c r="D904" s="2" t="n">
        <v>301</v>
      </c>
      <c r="E904" s="2" t="inlineStr">
        <is>
          <t>CC-3000</t>
        </is>
      </c>
      <c r="F904" s="2" t="inlineStr">
        <is>
          <t>P01</t>
        </is>
      </c>
      <c r="G904" s="2" t="n">
        <v>630000</v>
      </c>
      <c r="H904" s="2" t="inlineStr">
        <is>
          <t>Servicios externos</t>
        </is>
      </c>
      <c r="I904" s="9" t="n">
        <v>1668.27</v>
      </c>
      <c r="J904" s="9" t="n">
        <v>1625.31</v>
      </c>
      <c r="K904" s="9" t="n">
        <v>1677.43</v>
      </c>
      <c r="L904" s="9" t="n">
        <v>1537.45</v>
      </c>
      <c r="M904" s="9" t="n">
        <v>1473.65</v>
      </c>
      <c r="N904" s="9" t="n">
        <v>1489.05</v>
      </c>
      <c r="O904" s="9" t="n">
        <v>1600.89</v>
      </c>
      <c r="P904" s="9" t="n">
        <v>1666.06</v>
      </c>
      <c r="Q904" s="9" t="n">
        <v>1353.7</v>
      </c>
      <c r="R904" s="9" t="n">
        <v>1546.33</v>
      </c>
      <c r="S904" s="9" t="n">
        <v>1542.48</v>
      </c>
      <c r="T904" s="9" t="n">
        <v>1651.62</v>
      </c>
      <c r="U904" s="10">
        <f>SUM(I904:T904)</f>
        <v/>
      </c>
    </row>
    <row r="905">
      <c r="A905" s="2" t="inlineStr">
        <is>
          <t>SN-3000-3200-3210-3210PU0084</t>
        </is>
      </c>
      <c r="B905" s="2" t="inlineStr">
        <is>
          <t>3210PU0084</t>
        </is>
      </c>
      <c r="C905" s="2" t="inlineStr">
        <is>
          <t>Bomba sumidero espesador lixiviación</t>
        </is>
      </c>
      <c r="D905" s="2" t="n">
        <v>302</v>
      </c>
      <c r="E905" s="2" t="inlineStr">
        <is>
          <t>CC-3000</t>
        </is>
      </c>
      <c r="F905" s="2" t="inlineStr">
        <is>
          <t>P01</t>
        </is>
      </c>
      <c r="G905" s="2" t="n">
        <v>610000</v>
      </c>
      <c r="H905" s="2" t="inlineStr">
        <is>
          <t>Mano obra interna</t>
        </is>
      </c>
      <c r="I905" s="9" t="n">
        <v>1942.96</v>
      </c>
      <c r="J905" s="9" t="n">
        <v>1954.81</v>
      </c>
      <c r="K905" s="9" t="n">
        <v>1912.36</v>
      </c>
      <c r="L905" s="9" t="n">
        <v>2016.46</v>
      </c>
      <c r="M905" s="9" t="n">
        <v>1968.38</v>
      </c>
      <c r="N905" s="9" t="n">
        <v>1867.42</v>
      </c>
      <c r="O905" s="9" t="n">
        <v>1794.93</v>
      </c>
      <c r="P905" s="9" t="n">
        <v>1759.19</v>
      </c>
      <c r="Q905" s="9" t="n">
        <v>1735.8</v>
      </c>
      <c r="R905" s="9" t="n">
        <v>1980.57</v>
      </c>
      <c r="S905" s="9" t="n">
        <v>1899.62</v>
      </c>
      <c r="T905" s="9" t="n">
        <v>1757.74</v>
      </c>
      <c r="U905" s="10">
        <f>SUM(I905:T905)</f>
        <v/>
      </c>
    </row>
    <row r="906">
      <c r="A906" s="2" t="inlineStr">
        <is>
          <t>SN-3000-3200-3210-3210PU0084</t>
        </is>
      </c>
      <c r="B906" s="2" t="inlineStr">
        <is>
          <t>3210PU0084</t>
        </is>
      </c>
      <c r="C906" s="2" t="inlineStr">
        <is>
          <t>Bomba sumidero espesador lixiviación</t>
        </is>
      </c>
      <c r="D906" s="2" t="n">
        <v>302</v>
      </c>
      <c r="E906" s="2" t="inlineStr">
        <is>
          <t>CC-3000</t>
        </is>
      </c>
      <c r="F906" s="2" t="inlineStr">
        <is>
          <t>P01</t>
        </is>
      </c>
      <c r="G906" s="2" t="n">
        <v>620000</v>
      </c>
      <c r="H906" s="2" t="inlineStr">
        <is>
          <t>Materiales</t>
        </is>
      </c>
      <c r="I906" s="9" t="n">
        <v>1642.82</v>
      </c>
      <c r="J906" s="9" t="n">
        <v>1424.8</v>
      </c>
      <c r="K906" s="9" t="n">
        <v>1550.14</v>
      </c>
      <c r="L906" s="9" t="n">
        <v>1552.51</v>
      </c>
      <c r="M906" s="9" t="n">
        <v>1560.98</v>
      </c>
      <c r="N906" s="9" t="n">
        <v>1398.09</v>
      </c>
      <c r="O906" s="9" t="n">
        <v>1636.95</v>
      </c>
      <c r="P906" s="9" t="n">
        <v>1532.82</v>
      </c>
      <c r="Q906" s="9" t="n">
        <v>1536.11</v>
      </c>
      <c r="R906" s="9" t="n">
        <v>1659.7</v>
      </c>
      <c r="S906" s="9" t="n">
        <v>1443.65</v>
      </c>
      <c r="T906" s="9" t="n">
        <v>1479.95</v>
      </c>
      <c r="U906" s="10">
        <f>SUM(I906:T906)</f>
        <v/>
      </c>
    </row>
    <row r="907">
      <c r="A907" s="2" t="inlineStr">
        <is>
          <t>SN-3000-3200-3210-3210PU0084</t>
        </is>
      </c>
      <c r="B907" s="2" t="inlineStr">
        <is>
          <t>3210PU0084</t>
        </is>
      </c>
      <c r="C907" s="2" t="inlineStr">
        <is>
          <t>Bomba sumidero espesador lixiviación</t>
        </is>
      </c>
      <c r="D907" s="2" t="n">
        <v>302</v>
      </c>
      <c r="E907" s="2" t="inlineStr">
        <is>
          <t>CC-3000</t>
        </is>
      </c>
      <c r="F907" s="2" t="inlineStr">
        <is>
          <t>P01</t>
        </is>
      </c>
      <c r="G907" s="2" t="n">
        <v>630000</v>
      </c>
      <c r="H907" s="2" t="inlineStr">
        <is>
          <t>Servicios externos</t>
        </is>
      </c>
      <c r="I907" s="9" t="n">
        <v>1464.49</v>
      </c>
      <c r="J907" s="9" t="n">
        <v>1317.28</v>
      </c>
      <c r="K907" s="9" t="n">
        <v>1446.89</v>
      </c>
      <c r="L907" s="9" t="n">
        <v>1479.54</v>
      </c>
      <c r="M907" s="9" t="n">
        <v>1361.78</v>
      </c>
      <c r="N907" s="9" t="n">
        <v>1293.63</v>
      </c>
      <c r="O907" s="9" t="n">
        <v>1490.65</v>
      </c>
      <c r="P907" s="9" t="n">
        <v>1528.13</v>
      </c>
      <c r="Q907" s="9" t="n">
        <v>1243.65</v>
      </c>
      <c r="R907" s="9" t="n">
        <v>1454.36</v>
      </c>
      <c r="S907" s="9" t="n">
        <v>1483.35</v>
      </c>
      <c r="T907" s="9" t="n">
        <v>1341.31</v>
      </c>
      <c r="U907" s="10">
        <f>SUM(I907:T907)</f>
        <v/>
      </c>
    </row>
    <row r="908">
      <c r="A908" s="2" t="inlineStr">
        <is>
          <t>SN-3000-3200-3210-3210SA0001</t>
        </is>
      </c>
      <c r="B908" s="2" t="inlineStr">
        <is>
          <t>3210SA0001</t>
        </is>
      </c>
      <c r="C908" s="2" t="inlineStr">
        <is>
          <t>Muestreador primario alimentación lixiviación</t>
        </is>
      </c>
      <c r="D908" s="2" t="n">
        <v>303</v>
      </c>
      <c r="E908" s="2" t="inlineStr">
        <is>
          <t>CC-3000</t>
        </is>
      </c>
      <c r="F908" s="2" t="inlineStr">
        <is>
          <t>P01</t>
        </is>
      </c>
      <c r="G908" s="2" t="n">
        <v>610000</v>
      </c>
      <c r="H908" s="2" t="inlineStr">
        <is>
          <t>Mano obra interna</t>
        </is>
      </c>
      <c r="I908" s="9" t="n">
        <v>1694.44</v>
      </c>
      <c r="J908" s="9" t="n">
        <v>1881.56</v>
      </c>
      <c r="K908" s="9" t="n">
        <v>1802.42</v>
      </c>
      <c r="L908" s="9" t="n">
        <v>1971.75</v>
      </c>
      <c r="M908" s="9" t="n">
        <v>1731.81</v>
      </c>
      <c r="N908" s="9" t="n">
        <v>1766.07</v>
      </c>
      <c r="O908" s="9" t="n">
        <v>1682.34</v>
      </c>
      <c r="P908" s="9" t="n">
        <v>1727.1</v>
      </c>
      <c r="Q908" s="9" t="n">
        <v>1751.59</v>
      </c>
      <c r="R908" s="9" t="n">
        <v>1953.02</v>
      </c>
      <c r="S908" s="9" t="n">
        <v>1864.64</v>
      </c>
      <c r="T908" s="9" t="n">
        <v>1808.62</v>
      </c>
      <c r="U908" s="10">
        <f>SUM(I908:T908)</f>
        <v/>
      </c>
    </row>
    <row r="909">
      <c r="A909" s="2" t="inlineStr">
        <is>
          <t>SN-3000-3200-3210-3210SA0001</t>
        </is>
      </c>
      <c r="B909" s="2" t="inlineStr">
        <is>
          <t>3210SA0001</t>
        </is>
      </c>
      <c r="C909" s="2" t="inlineStr">
        <is>
          <t>Muestreador primario alimentación lixiviación</t>
        </is>
      </c>
      <c r="D909" s="2" t="n">
        <v>303</v>
      </c>
      <c r="E909" s="2" t="inlineStr">
        <is>
          <t>CC-3000</t>
        </is>
      </c>
      <c r="F909" s="2" t="inlineStr">
        <is>
          <t>P01</t>
        </is>
      </c>
      <c r="G909" s="2" t="n">
        <v>620000</v>
      </c>
      <c r="H909" s="2" t="inlineStr">
        <is>
          <t>Materiales</t>
        </is>
      </c>
      <c r="I909" s="9" t="n">
        <v>1711.07</v>
      </c>
      <c r="J909" s="9" t="n">
        <v>1791.97</v>
      </c>
      <c r="K909" s="9" t="n">
        <v>1871.68</v>
      </c>
      <c r="L909" s="9" t="n">
        <v>1679.97</v>
      </c>
      <c r="M909" s="9" t="n">
        <v>1775.73</v>
      </c>
      <c r="N909" s="9" t="n">
        <v>1705.56</v>
      </c>
      <c r="O909" s="9" t="n">
        <v>1612.44</v>
      </c>
      <c r="P909" s="9" t="n">
        <v>1722.26</v>
      </c>
      <c r="Q909" s="9" t="n">
        <v>1465.57</v>
      </c>
      <c r="R909" s="9" t="n">
        <v>1920.65</v>
      </c>
      <c r="S909" s="9" t="n">
        <v>1550.78</v>
      </c>
      <c r="T909" s="9" t="n">
        <v>1597.26</v>
      </c>
      <c r="U909" s="10">
        <f>SUM(I909:T909)</f>
        <v/>
      </c>
    </row>
    <row r="910">
      <c r="A910" s="2" t="inlineStr">
        <is>
          <t>SN-3000-3200-3210-3210SA0001</t>
        </is>
      </c>
      <c r="B910" s="2" t="inlineStr">
        <is>
          <t>3210SA0001</t>
        </is>
      </c>
      <c r="C910" s="2" t="inlineStr">
        <is>
          <t>Muestreador primario alimentación lixiviación</t>
        </is>
      </c>
      <c r="D910" s="2" t="n">
        <v>303</v>
      </c>
      <c r="E910" s="2" t="inlineStr">
        <is>
          <t>CC-3000</t>
        </is>
      </c>
      <c r="F910" s="2" t="inlineStr">
        <is>
          <t>P01</t>
        </is>
      </c>
      <c r="G910" s="2" t="n">
        <v>630000</v>
      </c>
      <c r="H910" s="2" t="inlineStr">
        <is>
          <t>Servicios externos</t>
        </is>
      </c>
      <c r="I910" s="9" t="n">
        <v>1522.55</v>
      </c>
      <c r="J910" s="9" t="n">
        <v>1533.42</v>
      </c>
      <c r="K910" s="9" t="n">
        <v>1635.28</v>
      </c>
      <c r="L910" s="9" t="n">
        <v>1491.23</v>
      </c>
      <c r="M910" s="9" t="n">
        <v>1355.55</v>
      </c>
      <c r="N910" s="9" t="n">
        <v>1464.75</v>
      </c>
      <c r="O910" s="9" t="n">
        <v>1489.37</v>
      </c>
      <c r="P910" s="9" t="n">
        <v>1459.96</v>
      </c>
      <c r="Q910" s="9" t="n">
        <v>1329.64</v>
      </c>
      <c r="R910" s="9" t="n">
        <v>1589.49</v>
      </c>
      <c r="S910" s="9" t="n">
        <v>1389.46</v>
      </c>
      <c r="T910" s="9" t="n">
        <v>1556.69</v>
      </c>
      <c r="U910" s="10">
        <f>SUM(I910:T910)</f>
        <v/>
      </c>
    </row>
    <row r="911">
      <c r="A911" s="2" t="inlineStr">
        <is>
          <t>SN-3000-3200-3210-3210TH0001</t>
        </is>
      </c>
      <c r="B911" s="2" t="inlineStr">
        <is>
          <t>3210TH0001</t>
        </is>
      </c>
      <c r="C911" s="2" t="inlineStr">
        <is>
          <t>Espesador lixiviación</t>
        </is>
      </c>
      <c r="D911" s="2" t="n">
        <v>304</v>
      </c>
      <c r="E911" s="2" t="inlineStr">
        <is>
          <t>CC-3000</t>
        </is>
      </c>
      <c r="F911" s="2" t="inlineStr">
        <is>
          <t>P01</t>
        </is>
      </c>
      <c r="G911" s="2" t="n">
        <v>610000</v>
      </c>
      <c r="H911" s="2" t="inlineStr">
        <is>
          <t>Mano obra interna</t>
        </is>
      </c>
      <c r="I911" s="9" t="n">
        <v>1273.37</v>
      </c>
      <c r="J911" s="9" t="n">
        <v>1166.69</v>
      </c>
      <c r="K911" s="9" t="n">
        <v>1162.83</v>
      </c>
      <c r="L911" s="9" t="n">
        <v>1269.91</v>
      </c>
      <c r="M911" s="9" t="n">
        <v>1174.92</v>
      </c>
      <c r="N911" s="9" t="n">
        <v>1071.99</v>
      </c>
      <c r="O911" s="9" t="n">
        <v>1200.22</v>
      </c>
      <c r="P911" s="9" t="n">
        <v>1148.79</v>
      </c>
      <c r="Q911" s="9" t="n">
        <v>1155.46</v>
      </c>
      <c r="R911" s="9" t="n">
        <v>1259.22</v>
      </c>
      <c r="S911" s="9" t="n">
        <v>1180.12</v>
      </c>
      <c r="T911" s="9" t="n">
        <v>1116.64</v>
      </c>
      <c r="U911" s="10">
        <f>SUM(I911:T911)</f>
        <v/>
      </c>
    </row>
    <row r="912">
      <c r="A912" s="2" t="inlineStr">
        <is>
          <t>SN-3000-3200-3210-3210TH0001</t>
        </is>
      </c>
      <c r="B912" s="2" t="inlineStr">
        <is>
          <t>3210TH0001</t>
        </is>
      </c>
      <c r="C912" s="2" t="inlineStr">
        <is>
          <t>Espesador lixiviación</t>
        </is>
      </c>
      <c r="D912" s="2" t="n">
        <v>304</v>
      </c>
      <c r="E912" s="2" t="inlineStr">
        <is>
          <t>CC-3000</t>
        </is>
      </c>
      <c r="F912" s="2" t="inlineStr">
        <is>
          <t>P01</t>
        </is>
      </c>
      <c r="G912" s="2" t="n">
        <v>620000</v>
      </c>
      <c r="H912" s="2" t="inlineStr">
        <is>
          <t>Materiales</t>
        </is>
      </c>
      <c r="I912" s="9" t="n">
        <v>1196.81</v>
      </c>
      <c r="J912" s="9" t="n">
        <v>1124.65</v>
      </c>
      <c r="K912" s="9" t="n">
        <v>1061.58</v>
      </c>
      <c r="L912" s="9" t="n">
        <v>1072.67</v>
      </c>
      <c r="M912" s="9" t="n">
        <v>1047.65</v>
      </c>
      <c r="N912" s="9" t="n">
        <v>1065.46</v>
      </c>
      <c r="O912" s="9" t="n">
        <v>1133.49</v>
      </c>
      <c r="P912" s="9" t="n">
        <v>1130.83</v>
      </c>
      <c r="Q912" s="9" t="n">
        <v>1014.61</v>
      </c>
      <c r="R912" s="9" t="n">
        <v>1231.94</v>
      </c>
      <c r="S912" s="9" t="n">
        <v>1042.87</v>
      </c>
      <c r="T912" s="9" t="n">
        <v>1037.93</v>
      </c>
      <c r="U912" s="10">
        <f>SUM(I912:T912)</f>
        <v/>
      </c>
    </row>
    <row r="913">
      <c r="A913" s="2" t="inlineStr">
        <is>
          <t>SN-3000-3200-3210-3210TH0001</t>
        </is>
      </c>
      <c r="B913" s="2" t="inlineStr">
        <is>
          <t>3210TH0001</t>
        </is>
      </c>
      <c r="C913" s="2" t="inlineStr">
        <is>
          <t>Espesador lixiviación</t>
        </is>
      </c>
      <c r="D913" s="2" t="n">
        <v>304</v>
      </c>
      <c r="E913" s="2" t="inlineStr">
        <is>
          <t>CC-3000</t>
        </is>
      </c>
      <c r="F913" s="2" t="inlineStr">
        <is>
          <t>P01</t>
        </is>
      </c>
      <c r="G913" s="2" t="n">
        <v>630000</v>
      </c>
      <c r="H913" s="2" t="inlineStr">
        <is>
          <t>Servicios externos</t>
        </is>
      </c>
      <c r="I913" s="9" t="n">
        <v>1235.93</v>
      </c>
      <c r="J913" s="9" t="n">
        <v>1164.02</v>
      </c>
      <c r="K913" s="9" t="n">
        <v>1179.38</v>
      </c>
      <c r="L913" s="9" t="n">
        <v>1180.98</v>
      </c>
      <c r="M913" s="9" t="n">
        <v>1194.28</v>
      </c>
      <c r="N913" s="9" t="n">
        <v>1067.02</v>
      </c>
      <c r="O913" s="9" t="n">
        <v>1099.03</v>
      </c>
      <c r="P913" s="9" t="n">
        <v>1214.29</v>
      </c>
      <c r="Q913" s="9" t="n">
        <v>1112.06</v>
      </c>
      <c r="R913" s="9" t="n">
        <v>1183.06</v>
      </c>
      <c r="S913" s="9" t="n">
        <v>1086.6</v>
      </c>
      <c r="T913" s="9" t="n">
        <v>1130.19</v>
      </c>
      <c r="U913" s="10">
        <f>SUM(I913:T913)</f>
        <v/>
      </c>
    </row>
    <row r="914">
      <c r="A914" s="2" t="inlineStr">
        <is>
          <t>SN-3000-3200-3220-3220AG0001</t>
        </is>
      </c>
      <c r="B914" s="2" t="inlineStr">
        <is>
          <t>3220AG0001</t>
        </is>
      </c>
      <c r="C914" s="2" t="inlineStr">
        <is>
          <t>Agitador estanque lixiviación</t>
        </is>
      </c>
      <c r="D914" s="2" t="n">
        <v>305</v>
      </c>
      <c r="E914" s="2" t="inlineStr">
        <is>
          <t>CC-3000</t>
        </is>
      </c>
      <c r="F914" s="2" t="inlineStr">
        <is>
          <t>P01</t>
        </is>
      </c>
      <c r="G914" s="2" t="n">
        <v>610000</v>
      </c>
      <c r="H914" s="2" t="inlineStr">
        <is>
          <t>Mano obra interna</t>
        </is>
      </c>
      <c r="I914" s="9" t="n">
        <v>1307.38</v>
      </c>
      <c r="J914" s="9" t="n">
        <v>1157.21</v>
      </c>
      <c r="K914" s="9" t="n">
        <v>1304.95</v>
      </c>
      <c r="L914" s="9" t="n">
        <v>1158.96</v>
      </c>
      <c r="M914" s="9" t="n">
        <v>1189.97</v>
      </c>
      <c r="N914" s="9" t="n">
        <v>1053.95</v>
      </c>
      <c r="O914" s="9" t="n">
        <v>1244.28</v>
      </c>
      <c r="P914" s="9" t="n">
        <v>1207.82</v>
      </c>
      <c r="Q914" s="9" t="n">
        <v>1133.11</v>
      </c>
      <c r="R914" s="9" t="n">
        <v>1194.55</v>
      </c>
      <c r="S914" s="9" t="n">
        <v>1101.75</v>
      </c>
      <c r="T914" s="9" t="n">
        <v>1128.51</v>
      </c>
      <c r="U914" s="10">
        <f>SUM(I914:T914)</f>
        <v/>
      </c>
    </row>
    <row r="915">
      <c r="A915" s="2" t="inlineStr">
        <is>
          <t>SN-3000-3200-3220-3220AG0001</t>
        </is>
      </c>
      <c r="B915" s="2" t="inlineStr">
        <is>
          <t>3220AG0001</t>
        </is>
      </c>
      <c r="C915" s="2" t="inlineStr">
        <is>
          <t>Agitador estanque lixiviación</t>
        </is>
      </c>
      <c r="D915" s="2" t="n">
        <v>305</v>
      </c>
      <c r="E915" s="2" t="inlineStr">
        <is>
          <t>CC-3000</t>
        </is>
      </c>
      <c r="F915" s="2" t="inlineStr">
        <is>
          <t>P01</t>
        </is>
      </c>
      <c r="G915" s="2" t="n">
        <v>620000</v>
      </c>
      <c r="H915" s="2" t="inlineStr">
        <is>
          <t>Materiales</t>
        </is>
      </c>
      <c r="I915" s="9" t="n">
        <v>1256.01</v>
      </c>
      <c r="J915" s="9" t="n">
        <v>1200.09</v>
      </c>
      <c r="K915" s="9" t="n">
        <v>1266.25</v>
      </c>
      <c r="L915" s="9" t="n">
        <v>1242.07</v>
      </c>
      <c r="M915" s="9" t="n">
        <v>1149.97</v>
      </c>
      <c r="N915" s="9" t="n">
        <v>1105.68</v>
      </c>
      <c r="O915" s="9" t="n">
        <v>1136.27</v>
      </c>
      <c r="P915" s="9" t="n">
        <v>1272.17</v>
      </c>
      <c r="Q915" s="9" t="n">
        <v>1143.35</v>
      </c>
      <c r="R915" s="9" t="n">
        <v>1235.12</v>
      </c>
      <c r="S915" s="9" t="n">
        <v>1106.98</v>
      </c>
      <c r="T915" s="9" t="n">
        <v>1296.71</v>
      </c>
      <c r="U915" s="10">
        <f>SUM(I915:T915)</f>
        <v/>
      </c>
    </row>
    <row r="916">
      <c r="A916" s="2" t="inlineStr">
        <is>
          <t>SN-3000-3200-3220-3220AG0001</t>
        </is>
      </c>
      <c r="B916" s="2" t="inlineStr">
        <is>
          <t>3220AG0001</t>
        </is>
      </c>
      <c r="C916" s="2" t="inlineStr">
        <is>
          <t>Agitador estanque lixiviación</t>
        </is>
      </c>
      <c r="D916" s="2" t="n">
        <v>305</v>
      </c>
      <c r="E916" s="2" t="inlineStr">
        <is>
          <t>CC-3000</t>
        </is>
      </c>
      <c r="F916" s="2" t="inlineStr">
        <is>
          <t>P01</t>
        </is>
      </c>
      <c r="G916" s="2" t="n">
        <v>630000</v>
      </c>
      <c r="H916" s="2" t="inlineStr">
        <is>
          <t>Servicios externos</t>
        </is>
      </c>
      <c r="I916" s="9" t="n">
        <v>1439.13</v>
      </c>
      <c r="J916" s="9" t="n">
        <v>1333.69</v>
      </c>
      <c r="K916" s="9" t="n">
        <v>1364.17</v>
      </c>
      <c r="L916" s="9" t="n">
        <v>1512.77</v>
      </c>
      <c r="M916" s="9" t="n">
        <v>1425.16</v>
      </c>
      <c r="N916" s="9" t="n">
        <v>1272.61</v>
      </c>
      <c r="O916" s="9" t="n">
        <v>1451.78</v>
      </c>
      <c r="P916" s="9" t="n">
        <v>1430.56</v>
      </c>
      <c r="Q916" s="9" t="n">
        <v>1238.11</v>
      </c>
      <c r="R916" s="9" t="n">
        <v>1465.07</v>
      </c>
      <c r="S916" s="9" t="n">
        <v>1263.91</v>
      </c>
      <c r="T916" s="9" t="n">
        <v>1308.27</v>
      </c>
      <c r="U916" s="10">
        <f>SUM(I916:T916)</f>
        <v/>
      </c>
    </row>
    <row r="917">
      <c r="A917" s="2" t="inlineStr">
        <is>
          <t>SN-3000-3200-3220-3220AG0002</t>
        </is>
      </c>
      <c r="B917" s="2" t="inlineStr">
        <is>
          <t>3220AG0002</t>
        </is>
      </c>
      <c r="C917" s="2" t="inlineStr">
        <is>
          <t>Agitador estanque lixiviación</t>
        </is>
      </c>
      <c r="D917" s="2" t="n">
        <v>306</v>
      </c>
      <c r="E917" s="2" t="inlineStr">
        <is>
          <t>CC-3000</t>
        </is>
      </c>
      <c r="F917" s="2" t="inlineStr">
        <is>
          <t>P01</t>
        </is>
      </c>
      <c r="G917" s="2" t="n">
        <v>610000</v>
      </c>
      <c r="H917" s="2" t="inlineStr">
        <is>
          <t>Mano obra interna</t>
        </is>
      </c>
      <c r="I917" s="9" t="n">
        <v>146.4</v>
      </c>
      <c r="J917" s="9" t="n">
        <v>154.21</v>
      </c>
      <c r="K917" s="9" t="n">
        <v>165.85</v>
      </c>
      <c r="L917" s="9" t="n">
        <v>141.93</v>
      </c>
      <c r="M917" s="9" t="n">
        <v>146.78</v>
      </c>
      <c r="N917" s="9" t="n">
        <v>149.29</v>
      </c>
      <c r="O917" s="9" t="n">
        <v>155.91</v>
      </c>
      <c r="P917" s="9" t="n">
        <v>155.04</v>
      </c>
      <c r="Q917" s="9" t="n">
        <v>135.31</v>
      </c>
      <c r="R917" s="9" t="n">
        <v>159.45</v>
      </c>
      <c r="S917" s="9" t="n">
        <v>146.39</v>
      </c>
      <c r="T917" s="9" t="n">
        <v>162.63</v>
      </c>
      <c r="U917" s="10">
        <f>SUM(I917:T917)</f>
        <v/>
      </c>
    </row>
    <row r="918">
      <c r="A918" s="2" t="inlineStr">
        <is>
          <t>SN-3000-3200-3220-3220AG0002</t>
        </is>
      </c>
      <c r="B918" s="2" t="inlineStr">
        <is>
          <t>3220AG0002</t>
        </is>
      </c>
      <c r="C918" s="2" t="inlineStr">
        <is>
          <t>Agitador estanque lixiviación</t>
        </is>
      </c>
      <c r="D918" s="2" t="n">
        <v>306</v>
      </c>
      <c r="E918" s="2" t="inlineStr">
        <is>
          <t>CC-3000</t>
        </is>
      </c>
      <c r="F918" s="2" t="inlineStr">
        <is>
          <t>P01</t>
        </is>
      </c>
      <c r="G918" s="2" t="n">
        <v>620000</v>
      </c>
      <c r="H918" s="2" t="inlineStr">
        <is>
          <t>Materiales</t>
        </is>
      </c>
      <c r="I918" s="9" t="n">
        <v>142.88</v>
      </c>
      <c r="J918" s="9" t="n">
        <v>124.34</v>
      </c>
      <c r="K918" s="9" t="n">
        <v>145.82</v>
      </c>
      <c r="L918" s="9" t="n">
        <v>137.63</v>
      </c>
      <c r="M918" s="9" t="n">
        <v>128.98</v>
      </c>
      <c r="N918" s="9" t="n">
        <v>127.61</v>
      </c>
      <c r="O918" s="9" t="n">
        <v>126.38</v>
      </c>
      <c r="P918" s="9" t="n">
        <v>126.26</v>
      </c>
      <c r="Q918" s="9" t="n">
        <v>114.48</v>
      </c>
      <c r="R918" s="9" t="n">
        <v>132.64</v>
      </c>
      <c r="S918" s="9" t="n">
        <v>123.81</v>
      </c>
      <c r="T918" s="9" t="n">
        <v>138.63</v>
      </c>
      <c r="U918" s="10">
        <f>SUM(I918:T918)</f>
        <v/>
      </c>
    </row>
    <row r="919">
      <c r="A919" s="2" t="inlineStr">
        <is>
          <t>SN-3000-3200-3220-3220AG0002</t>
        </is>
      </c>
      <c r="B919" s="2" t="inlineStr">
        <is>
          <t>3220AG0002</t>
        </is>
      </c>
      <c r="C919" s="2" t="inlineStr">
        <is>
          <t>Agitador estanque lixiviación</t>
        </is>
      </c>
      <c r="D919" s="2" t="n">
        <v>306</v>
      </c>
      <c r="E919" s="2" t="inlineStr">
        <is>
          <t>CC-3000</t>
        </is>
      </c>
      <c r="F919" s="2" t="inlineStr">
        <is>
          <t>P01</t>
        </is>
      </c>
      <c r="G919" s="2" t="n">
        <v>630000</v>
      </c>
      <c r="H919" s="2" t="inlineStr">
        <is>
          <t>Servicios externos</t>
        </is>
      </c>
      <c r="I919" s="9" t="n">
        <v>138.13</v>
      </c>
      <c r="J919" s="9" t="n">
        <v>150.33</v>
      </c>
      <c r="K919" s="9" t="n">
        <v>151.49</v>
      </c>
      <c r="L919" s="9" t="n">
        <v>158.58</v>
      </c>
      <c r="M919" s="9" t="n">
        <v>146.9</v>
      </c>
      <c r="N919" s="9" t="n">
        <v>130.97</v>
      </c>
      <c r="O919" s="9" t="n">
        <v>143.96</v>
      </c>
      <c r="P919" s="9" t="n">
        <v>147.82</v>
      </c>
      <c r="Q919" s="9" t="n">
        <v>124.36</v>
      </c>
      <c r="R919" s="9" t="n">
        <v>143.74</v>
      </c>
      <c r="S919" s="9" t="n">
        <v>131.59</v>
      </c>
      <c r="T919" s="9" t="n">
        <v>140.82</v>
      </c>
      <c r="U919" s="10">
        <f>SUM(I919:T919)</f>
        <v/>
      </c>
    </row>
    <row r="920">
      <c r="A920" s="2" t="inlineStr">
        <is>
          <t>SN-3000-3200-3220-3220AG0003</t>
        </is>
      </c>
      <c r="B920" s="2" t="inlineStr">
        <is>
          <t>3220AG0003</t>
        </is>
      </c>
      <c r="C920" s="2" t="inlineStr">
        <is>
          <t>Agitador estanque lixiviación</t>
        </is>
      </c>
      <c r="D920" s="2" t="n">
        <v>307</v>
      </c>
      <c r="E920" s="2" t="inlineStr">
        <is>
          <t>CC-3000</t>
        </is>
      </c>
      <c r="F920" s="2" t="inlineStr">
        <is>
          <t>P01</t>
        </is>
      </c>
      <c r="G920" s="2" t="n">
        <v>610000</v>
      </c>
      <c r="H920" s="2" t="inlineStr">
        <is>
          <t>Mano obra interna</t>
        </is>
      </c>
      <c r="I920" s="9" t="n">
        <v>1826.35</v>
      </c>
      <c r="J920" s="9" t="n">
        <v>1663.27</v>
      </c>
      <c r="K920" s="9" t="n">
        <v>1900.69</v>
      </c>
      <c r="L920" s="9" t="n">
        <v>1860.37</v>
      </c>
      <c r="M920" s="9" t="n">
        <v>1715.78</v>
      </c>
      <c r="N920" s="9" t="n">
        <v>1580.54</v>
      </c>
      <c r="O920" s="9" t="n">
        <v>1672.28</v>
      </c>
      <c r="P920" s="9" t="n">
        <v>1760.28</v>
      </c>
      <c r="Q920" s="9" t="n">
        <v>1576.36</v>
      </c>
      <c r="R920" s="9" t="n">
        <v>1895.15</v>
      </c>
      <c r="S920" s="9" t="n">
        <v>1771</v>
      </c>
      <c r="T920" s="9" t="n">
        <v>1833.03</v>
      </c>
      <c r="U920" s="10">
        <f>SUM(I920:T920)</f>
        <v/>
      </c>
    </row>
    <row r="921">
      <c r="A921" s="2" t="inlineStr">
        <is>
          <t>SN-3000-3200-3220-3220AG0003</t>
        </is>
      </c>
      <c r="B921" s="2" t="inlineStr">
        <is>
          <t>3220AG0003</t>
        </is>
      </c>
      <c r="C921" s="2" t="inlineStr">
        <is>
          <t>Agitador estanque lixiviación</t>
        </is>
      </c>
      <c r="D921" s="2" t="n">
        <v>307</v>
      </c>
      <c r="E921" s="2" t="inlineStr">
        <is>
          <t>CC-3000</t>
        </is>
      </c>
      <c r="F921" s="2" t="inlineStr">
        <is>
          <t>P01</t>
        </is>
      </c>
      <c r="G921" s="2" t="n">
        <v>620000</v>
      </c>
      <c r="H921" s="2" t="inlineStr">
        <is>
          <t>Materiales</t>
        </is>
      </c>
      <c r="I921" s="9" t="n">
        <v>1567.52</v>
      </c>
      <c r="J921" s="9" t="n">
        <v>1579.31</v>
      </c>
      <c r="K921" s="9" t="n">
        <v>1718.5</v>
      </c>
      <c r="L921" s="9" t="n">
        <v>1674.79</v>
      </c>
      <c r="M921" s="9" t="n">
        <v>1571.89</v>
      </c>
      <c r="N921" s="9" t="n">
        <v>1472.5</v>
      </c>
      <c r="O921" s="9" t="n">
        <v>1541.55</v>
      </c>
      <c r="P921" s="9" t="n">
        <v>1669.22</v>
      </c>
      <c r="Q921" s="9" t="n">
        <v>1357.93</v>
      </c>
      <c r="R921" s="9" t="n">
        <v>1830.97</v>
      </c>
      <c r="S921" s="9" t="n">
        <v>1564.66</v>
      </c>
      <c r="T921" s="9" t="n">
        <v>1644.56</v>
      </c>
      <c r="U921" s="10">
        <f>SUM(I921:T921)</f>
        <v/>
      </c>
    </row>
    <row r="922">
      <c r="A922" s="2" t="inlineStr">
        <is>
          <t>SN-3000-3200-3220-3220AG0003</t>
        </is>
      </c>
      <c r="B922" s="2" t="inlineStr">
        <is>
          <t>3220AG0003</t>
        </is>
      </c>
      <c r="C922" s="2" t="inlineStr">
        <is>
          <t>Agitador estanque lixiviación</t>
        </is>
      </c>
      <c r="D922" s="2" t="n">
        <v>307</v>
      </c>
      <c r="E922" s="2" t="inlineStr">
        <is>
          <t>CC-3000</t>
        </is>
      </c>
      <c r="F922" s="2" t="inlineStr">
        <is>
          <t>P01</t>
        </is>
      </c>
      <c r="G922" s="2" t="n">
        <v>630000</v>
      </c>
      <c r="H922" s="2" t="inlineStr">
        <is>
          <t>Servicios externos</t>
        </is>
      </c>
      <c r="I922" s="9" t="n">
        <v>1557.78</v>
      </c>
      <c r="J922" s="9" t="n">
        <v>1474.31</v>
      </c>
      <c r="K922" s="9" t="n">
        <v>1450.46</v>
      </c>
      <c r="L922" s="9" t="n">
        <v>1479.21</v>
      </c>
      <c r="M922" s="9" t="n">
        <v>1577.85</v>
      </c>
      <c r="N922" s="9" t="n">
        <v>1446.18</v>
      </c>
      <c r="O922" s="9" t="n">
        <v>1480.51</v>
      </c>
      <c r="P922" s="9" t="n">
        <v>1396.98</v>
      </c>
      <c r="Q922" s="9" t="n">
        <v>1444.76</v>
      </c>
      <c r="R922" s="9" t="n">
        <v>1670.84</v>
      </c>
      <c r="S922" s="9" t="n">
        <v>1479.21</v>
      </c>
      <c r="T922" s="9" t="n">
        <v>1525.41</v>
      </c>
      <c r="U922" s="10">
        <f>SUM(I922:T922)</f>
        <v/>
      </c>
    </row>
    <row r="923">
      <c r="A923" s="2" t="inlineStr">
        <is>
          <t>SN-3000-3200-3220-3220AG0004</t>
        </is>
      </c>
      <c r="B923" s="2" t="inlineStr">
        <is>
          <t>3220AG0004</t>
        </is>
      </c>
      <c r="C923" s="2" t="inlineStr">
        <is>
          <t>Agitador estanque lixiviación</t>
        </is>
      </c>
      <c r="D923" s="2" t="n">
        <v>308</v>
      </c>
      <c r="E923" s="2" t="inlineStr">
        <is>
          <t>CC-3000</t>
        </is>
      </c>
      <c r="F923" s="2" t="inlineStr">
        <is>
          <t>P01</t>
        </is>
      </c>
      <c r="G923" s="2" t="n">
        <v>610000</v>
      </c>
      <c r="H923" s="2" t="inlineStr">
        <is>
          <t>Mano obra interna</t>
        </is>
      </c>
      <c r="I923" s="9" t="n">
        <v>1818.1</v>
      </c>
      <c r="J923" s="9" t="n">
        <v>1654.49</v>
      </c>
      <c r="K923" s="9" t="n">
        <v>1938.12</v>
      </c>
      <c r="L923" s="9" t="n">
        <v>1818.95</v>
      </c>
      <c r="M923" s="9" t="n">
        <v>1684.17</v>
      </c>
      <c r="N923" s="9" t="n">
        <v>1664.18</v>
      </c>
      <c r="O923" s="9" t="n">
        <v>1841.44</v>
      </c>
      <c r="P923" s="9" t="n">
        <v>1658.54</v>
      </c>
      <c r="Q923" s="9" t="n">
        <v>1579.34</v>
      </c>
      <c r="R923" s="9" t="n">
        <v>1946.76</v>
      </c>
      <c r="S923" s="9" t="n">
        <v>1648.59</v>
      </c>
      <c r="T923" s="9" t="n">
        <v>1864.18</v>
      </c>
      <c r="U923" s="10">
        <f>SUM(I923:T923)</f>
        <v/>
      </c>
    </row>
    <row r="924">
      <c r="A924" s="2" t="inlineStr">
        <is>
          <t>SN-3000-3200-3220-3220AG0004</t>
        </is>
      </c>
      <c r="B924" s="2" t="inlineStr">
        <is>
          <t>3220AG0004</t>
        </is>
      </c>
      <c r="C924" s="2" t="inlineStr">
        <is>
          <t>Agitador estanque lixiviación</t>
        </is>
      </c>
      <c r="D924" s="2" t="n">
        <v>308</v>
      </c>
      <c r="E924" s="2" t="inlineStr">
        <is>
          <t>CC-3000</t>
        </is>
      </c>
      <c r="F924" s="2" t="inlineStr">
        <is>
          <t>P01</t>
        </is>
      </c>
      <c r="G924" s="2" t="n">
        <v>620000</v>
      </c>
      <c r="H924" s="2" t="inlineStr">
        <is>
          <t>Materiales</t>
        </is>
      </c>
      <c r="I924" s="9" t="n">
        <v>1633.8</v>
      </c>
      <c r="J924" s="9" t="n">
        <v>1408.16</v>
      </c>
      <c r="K924" s="9" t="n">
        <v>1460.92</v>
      </c>
      <c r="L924" s="9" t="n">
        <v>1669.76</v>
      </c>
      <c r="M924" s="9" t="n">
        <v>1539.78</v>
      </c>
      <c r="N924" s="9" t="n">
        <v>1433.6</v>
      </c>
      <c r="O924" s="9" t="n">
        <v>1470.84</v>
      </c>
      <c r="P924" s="9" t="n">
        <v>1563.44</v>
      </c>
      <c r="Q924" s="9" t="n">
        <v>1431.78</v>
      </c>
      <c r="R924" s="9" t="n">
        <v>1786.62</v>
      </c>
      <c r="S924" s="9" t="n">
        <v>1601.79</v>
      </c>
      <c r="T924" s="9" t="n">
        <v>1592.37</v>
      </c>
      <c r="U924" s="10">
        <f>SUM(I924:T924)</f>
        <v/>
      </c>
    </row>
    <row r="925">
      <c r="A925" s="2" t="inlineStr">
        <is>
          <t>SN-3000-3200-3220-3220AG0004</t>
        </is>
      </c>
      <c r="B925" s="2" t="inlineStr">
        <is>
          <t>3220AG0004</t>
        </is>
      </c>
      <c r="C925" s="2" t="inlineStr">
        <is>
          <t>Agitador estanque lixiviación</t>
        </is>
      </c>
      <c r="D925" s="2" t="n">
        <v>308</v>
      </c>
      <c r="E925" s="2" t="inlineStr">
        <is>
          <t>CC-3000</t>
        </is>
      </c>
      <c r="F925" s="2" t="inlineStr">
        <is>
          <t>P01</t>
        </is>
      </c>
      <c r="G925" s="2" t="n">
        <v>630000</v>
      </c>
      <c r="H925" s="2" t="inlineStr">
        <is>
          <t>Servicios externos</t>
        </is>
      </c>
      <c r="I925" s="9" t="n">
        <v>1791.71</v>
      </c>
      <c r="J925" s="9" t="n">
        <v>1781.54</v>
      </c>
      <c r="K925" s="9" t="n">
        <v>1697.64</v>
      </c>
      <c r="L925" s="9" t="n">
        <v>1747.03</v>
      </c>
      <c r="M925" s="9" t="n">
        <v>1621.23</v>
      </c>
      <c r="N925" s="9" t="n">
        <v>1565.69</v>
      </c>
      <c r="O925" s="9" t="n">
        <v>1672.84</v>
      </c>
      <c r="P925" s="9" t="n">
        <v>1752.16</v>
      </c>
      <c r="Q925" s="9" t="n">
        <v>1710.67</v>
      </c>
      <c r="R925" s="9" t="n">
        <v>1891.06</v>
      </c>
      <c r="S925" s="9" t="n">
        <v>1656.69</v>
      </c>
      <c r="T925" s="9" t="n">
        <v>1664.52</v>
      </c>
      <c r="U925" s="10">
        <f>SUM(I925:T925)</f>
        <v/>
      </c>
    </row>
    <row r="926">
      <c r="A926" s="2" t="inlineStr">
        <is>
          <t>SN-3000-3200-3220-3220BX0002</t>
        </is>
      </c>
      <c r="B926" s="2" t="inlineStr">
        <is>
          <t>3220BX0002</t>
        </is>
      </c>
      <c r="C926" s="2" t="inlineStr">
        <is>
          <t>Cajón alimentación lixiviación</t>
        </is>
      </c>
      <c r="D926" s="2" t="n">
        <v>309</v>
      </c>
      <c r="E926" s="2" t="inlineStr">
        <is>
          <t>CC-3000</t>
        </is>
      </c>
      <c r="F926" s="2" t="inlineStr">
        <is>
          <t>P01</t>
        </is>
      </c>
      <c r="G926" s="2" t="n">
        <v>610000</v>
      </c>
      <c r="H926" s="2" t="inlineStr">
        <is>
          <t>Mano obra interna</t>
        </is>
      </c>
      <c r="I926" s="9" t="n">
        <v>1013.85</v>
      </c>
      <c r="J926" s="9" t="n">
        <v>1033.94</v>
      </c>
      <c r="K926" s="9" t="n">
        <v>1144.69</v>
      </c>
      <c r="L926" s="9" t="n">
        <v>988.08</v>
      </c>
      <c r="M926" s="9" t="n">
        <v>973.22</v>
      </c>
      <c r="N926" s="9" t="n">
        <v>981.34</v>
      </c>
      <c r="O926" s="9" t="n">
        <v>1108.67</v>
      </c>
      <c r="P926" s="9" t="n">
        <v>1074.9</v>
      </c>
      <c r="Q926" s="9" t="n">
        <v>1020.76</v>
      </c>
      <c r="R926" s="9" t="n">
        <v>1082.14</v>
      </c>
      <c r="S926" s="9" t="n">
        <v>1076.52</v>
      </c>
      <c r="T926" s="9" t="n">
        <v>979.7</v>
      </c>
      <c r="U926" s="10">
        <f>SUM(I926:T926)</f>
        <v/>
      </c>
    </row>
    <row r="927">
      <c r="A927" s="2" t="inlineStr">
        <is>
          <t>SN-3000-3200-3220-3220BX0002</t>
        </is>
      </c>
      <c r="B927" s="2" t="inlineStr">
        <is>
          <t>3220BX0002</t>
        </is>
      </c>
      <c r="C927" s="2" t="inlineStr">
        <is>
          <t>Cajón alimentación lixiviación</t>
        </is>
      </c>
      <c r="D927" s="2" t="n">
        <v>309</v>
      </c>
      <c r="E927" s="2" t="inlineStr">
        <is>
          <t>CC-3000</t>
        </is>
      </c>
      <c r="F927" s="2" t="inlineStr">
        <is>
          <t>P01</t>
        </is>
      </c>
      <c r="G927" s="2" t="n">
        <v>620000</v>
      </c>
      <c r="H927" s="2" t="inlineStr">
        <is>
          <t>Materiales</t>
        </is>
      </c>
      <c r="I927" s="9" t="n">
        <v>928.28</v>
      </c>
      <c r="J927" s="9" t="n">
        <v>905.27</v>
      </c>
      <c r="K927" s="9" t="n">
        <v>829.45</v>
      </c>
      <c r="L927" s="9" t="n">
        <v>824.95</v>
      </c>
      <c r="M927" s="9" t="n">
        <v>787.87</v>
      </c>
      <c r="N927" s="9" t="n">
        <v>770.52</v>
      </c>
      <c r="O927" s="9" t="n">
        <v>820.74</v>
      </c>
      <c r="P927" s="9" t="n">
        <v>924.39</v>
      </c>
      <c r="Q927" s="9" t="n">
        <v>822.41</v>
      </c>
      <c r="R927" s="9" t="n">
        <v>969.2</v>
      </c>
      <c r="S927" s="9" t="n">
        <v>869.6900000000001</v>
      </c>
      <c r="T927" s="9" t="n">
        <v>878.04</v>
      </c>
      <c r="U927" s="10">
        <f>SUM(I927:T927)</f>
        <v/>
      </c>
    </row>
    <row r="928">
      <c r="A928" s="2" t="inlineStr">
        <is>
          <t>SN-3000-3200-3220-3220BX0002</t>
        </is>
      </c>
      <c r="B928" s="2" t="inlineStr">
        <is>
          <t>3220BX0002</t>
        </is>
      </c>
      <c r="C928" s="2" t="inlineStr">
        <is>
          <t>Cajón alimentación lixiviación</t>
        </is>
      </c>
      <c r="D928" s="2" t="n">
        <v>309</v>
      </c>
      <c r="E928" s="2" t="inlineStr">
        <is>
          <t>CC-3000</t>
        </is>
      </c>
      <c r="F928" s="2" t="inlineStr">
        <is>
          <t>P01</t>
        </is>
      </c>
      <c r="G928" s="2" t="n">
        <v>630000</v>
      </c>
      <c r="H928" s="2" t="inlineStr">
        <is>
          <t>Servicios externos</t>
        </is>
      </c>
      <c r="I928" s="9" t="n">
        <v>1118.27</v>
      </c>
      <c r="J928" s="9" t="n">
        <v>1031.03</v>
      </c>
      <c r="K928" s="9" t="n">
        <v>1123.92</v>
      </c>
      <c r="L928" s="9" t="n">
        <v>1108.59</v>
      </c>
      <c r="M928" s="9" t="n">
        <v>1123</v>
      </c>
      <c r="N928" s="9" t="n">
        <v>1111</v>
      </c>
      <c r="O928" s="9" t="n">
        <v>1064.02</v>
      </c>
      <c r="P928" s="9" t="n">
        <v>1123.53</v>
      </c>
      <c r="Q928" s="9" t="n">
        <v>940.01</v>
      </c>
      <c r="R928" s="9" t="n">
        <v>1215.05</v>
      </c>
      <c r="S928" s="9" t="n">
        <v>1022.95</v>
      </c>
      <c r="T928" s="9" t="n">
        <v>1014.22</v>
      </c>
      <c r="U928" s="10">
        <f>SUM(I928:T928)</f>
        <v/>
      </c>
    </row>
    <row r="929">
      <c r="A929" s="2" t="inlineStr">
        <is>
          <t>SN-3000-3200-3220-3220BX0011</t>
        </is>
      </c>
      <c r="B929" s="2" t="inlineStr">
        <is>
          <t>3220BX0011</t>
        </is>
      </c>
      <c r="C929" s="2" t="inlineStr">
        <is>
          <t>Cajón (Futuro)</t>
        </is>
      </c>
      <c r="D929" s="2" t="n">
        <v>310</v>
      </c>
      <c r="E929" s="2" t="inlineStr">
        <is>
          <t>CC-3000</t>
        </is>
      </c>
      <c r="F929" s="2" t="inlineStr">
        <is>
          <t>P01</t>
        </is>
      </c>
      <c r="G929" s="2" t="n">
        <v>610000</v>
      </c>
      <c r="H929" s="2" t="inlineStr">
        <is>
          <t>Mano obra interna</t>
        </is>
      </c>
      <c r="I929" s="9" t="n">
        <v>952.2</v>
      </c>
      <c r="J929" s="9" t="n">
        <v>847.66</v>
      </c>
      <c r="K929" s="9" t="n">
        <v>1009.68</v>
      </c>
      <c r="L929" s="9" t="n">
        <v>873.4400000000001</v>
      </c>
      <c r="M929" s="9" t="n">
        <v>969.46</v>
      </c>
      <c r="N929" s="9" t="n">
        <v>905.3099999999999</v>
      </c>
      <c r="O929" s="9" t="n">
        <v>891.96</v>
      </c>
      <c r="P929" s="9" t="n">
        <v>899.84</v>
      </c>
      <c r="Q929" s="9" t="n">
        <v>886.05</v>
      </c>
      <c r="R929" s="9" t="n">
        <v>1004.46</v>
      </c>
      <c r="S929" s="9" t="n">
        <v>911.63</v>
      </c>
      <c r="T929" s="9" t="n">
        <v>913.65</v>
      </c>
      <c r="U929" s="10">
        <f>SUM(I929:T929)</f>
        <v/>
      </c>
    </row>
    <row r="930">
      <c r="A930" s="2" t="inlineStr">
        <is>
          <t>SN-3000-3200-3220-3220BX0011</t>
        </is>
      </c>
      <c r="B930" s="2" t="inlineStr">
        <is>
          <t>3220BX0011</t>
        </is>
      </c>
      <c r="C930" s="2" t="inlineStr">
        <is>
          <t>Cajón (Futuro)</t>
        </is>
      </c>
      <c r="D930" s="2" t="n">
        <v>310</v>
      </c>
      <c r="E930" s="2" t="inlineStr">
        <is>
          <t>CC-3000</t>
        </is>
      </c>
      <c r="F930" s="2" t="inlineStr">
        <is>
          <t>P01</t>
        </is>
      </c>
      <c r="G930" s="2" t="n">
        <v>620000</v>
      </c>
      <c r="H930" s="2" t="inlineStr">
        <is>
          <t>Materiales</t>
        </is>
      </c>
      <c r="I930" s="9" t="n">
        <v>1028.22</v>
      </c>
      <c r="J930" s="9" t="n">
        <v>877.77</v>
      </c>
      <c r="K930" s="9" t="n">
        <v>950.91</v>
      </c>
      <c r="L930" s="9" t="n">
        <v>922.8099999999999</v>
      </c>
      <c r="M930" s="9" t="n">
        <v>963.5599999999999</v>
      </c>
      <c r="N930" s="9" t="n">
        <v>930.7</v>
      </c>
      <c r="O930" s="9" t="n">
        <v>903.41</v>
      </c>
      <c r="P930" s="9" t="n">
        <v>870.8099999999999</v>
      </c>
      <c r="Q930" s="9" t="n">
        <v>801.49</v>
      </c>
      <c r="R930" s="9" t="n">
        <v>995.5700000000001</v>
      </c>
      <c r="S930" s="9" t="n">
        <v>891.22</v>
      </c>
      <c r="T930" s="9" t="n">
        <v>1021.95</v>
      </c>
      <c r="U930" s="10">
        <f>SUM(I930:T930)</f>
        <v/>
      </c>
    </row>
    <row r="931">
      <c r="A931" s="2" t="inlineStr">
        <is>
          <t>SN-3000-3200-3220-3220BX0011</t>
        </is>
      </c>
      <c r="B931" s="2" t="inlineStr">
        <is>
          <t>3220BX0011</t>
        </is>
      </c>
      <c r="C931" s="2" t="inlineStr">
        <is>
          <t>Cajón (Futuro)</t>
        </is>
      </c>
      <c r="D931" s="2" t="n">
        <v>310</v>
      </c>
      <c r="E931" s="2" t="inlineStr">
        <is>
          <t>CC-3000</t>
        </is>
      </c>
      <c r="F931" s="2" t="inlineStr">
        <is>
          <t>P01</t>
        </is>
      </c>
      <c r="G931" s="2" t="n">
        <v>630000</v>
      </c>
      <c r="H931" s="2" t="inlineStr">
        <is>
          <t>Servicios externos</t>
        </is>
      </c>
      <c r="I931" s="9" t="n">
        <v>902.61</v>
      </c>
      <c r="J931" s="9" t="n">
        <v>962.8200000000001</v>
      </c>
      <c r="K931" s="9" t="n">
        <v>947.79</v>
      </c>
      <c r="L931" s="9" t="n">
        <v>955.23</v>
      </c>
      <c r="M931" s="9" t="n">
        <v>851.61</v>
      </c>
      <c r="N931" s="9" t="n">
        <v>863.13</v>
      </c>
      <c r="O931" s="9" t="n">
        <v>985.87</v>
      </c>
      <c r="P931" s="9" t="n">
        <v>932.51</v>
      </c>
      <c r="Q931" s="9" t="n">
        <v>835.13</v>
      </c>
      <c r="R931" s="9" t="n">
        <v>1012.13</v>
      </c>
      <c r="S931" s="9" t="n">
        <v>949.13</v>
      </c>
      <c r="T931" s="9" t="n">
        <v>899.9299999999999</v>
      </c>
      <c r="U931" s="10">
        <f>SUM(I931:T931)</f>
        <v/>
      </c>
    </row>
    <row r="932">
      <c r="A932" s="2" t="inlineStr">
        <is>
          <t>SN-3000-3200-3220-3220CT0001</t>
        </is>
      </c>
      <c r="B932" s="2" t="inlineStr">
        <is>
          <t>3220CT0001</t>
        </is>
      </c>
      <c r="C932" s="2" t="inlineStr">
        <is>
          <t>Sistema CCTV Lixiviación</t>
        </is>
      </c>
      <c r="D932" s="2" t="n">
        <v>311</v>
      </c>
      <c r="E932" s="2" t="inlineStr">
        <is>
          <t>CC-3000</t>
        </is>
      </c>
      <c r="F932" s="2" t="inlineStr">
        <is>
          <t>P01</t>
        </is>
      </c>
      <c r="G932" s="2" t="n">
        <v>610000</v>
      </c>
      <c r="H932" s="2" t="inlineStr">
        <is>
          <t>Mano obra interna</t>
        </is>
      </c>
      <c r="I932" s="9" t="n">
        <v>1134.64</v>
      </c>
      <c r="J932" s="9" t="n">
        <v>966.34</v>
      </c>
      <c r="K932" s="9" t="n">
        <v>1105.78</v>
      </c>
      <c r="L932" s="9" t="n">
        <v>1077.69</v>
      </c>
      <c r="M932" s="9" t="n">
        <v>1054.22</v>
      </c>
      <c r="N932" s="9" t="n">
        <v>966.42</v>
      </c>
      <c r="O932" s="9" t="n">
        <v>1005.09</v>
      </c>
      <c r="P932" s="9" t="n">
        <v>1065.2</v>
      </c>
      <c r="Q932" s="9" t="n">
        <v>920.03</v>
      </c>
      <c r="R932" s="9" t="n">
        <v>1102.33</v>
      </c>
      <c r="S932" s="9" t="n">
        <v>952.39</v>
      </c>
      <c r="T932" s="9" t="n">
        <v>968.1799999999999</v>
      </c>
      <c r="U932" s="10">
        <f>SUM(I932:T932)</f>
        <v/>
      </c>
    </row>
    <row r="933">
      <c r="A933" s="2" t="inlineStr">
        <is>
          <t>SN-3000-3200-3220-3220CT0001</t>
        </is>
      </c>
      <c r="B933" s="2" t="inlineStr">
        <is>
          <t>3220CT0001</t>
        </is>
      </c>
      <c r="C933" s="2" t="inlineStr">
        <is>
          <t>Sistema CCTV Lixiviación</t>
        </is>
      </c>
      <c r="D933" s="2" t="n">
        <v>311</v>
      </c>
      <c r="E933" s="2" t="inlineStr">
        <is>
          <t>CC-3000</t>
        </is>
      </c>
      <c r="F933" s="2" t="inlineStr">
        <is>
          <t>P01</t>
        </is>
      </c>
      <c r="G933" s="2" t="n">
        <v>620000</v>
      </c>
      <c r="H933" s="2" t="inlineStr">
        <is>
          <t>Materiales</t>
        </is>
      </c>
      <c r="I933" s="9" t="n">
        <v>1136.59</v>
      </c>
      <c r="J933" s="9" t="n">
        <v>1191.89</v>
      </c>
      <c r="K933" s="9" t="n">
        <v>1094.47</v>
      </c>
      <c r="L933" s="9" t="n">
        <v>1166.58</v>
      </c>
      <c r="M933" s="9" t="n">
        <v>1060.74</v>
      </c>
      <c r="N933" s="9" t="n">
        <v>1126.18</v>
      </c>
      <c r="O933" s="9" t="n">
        <v>1177.31</v>
      </c>
      <c r="P933" s="9" t="n">
        <v>1055.12</v>
      </c>
      <c r="Q933" s="9" t="n">
        <v>1116.96</v>
      </c>
      <c r="R933" s="9" t="n">
        <v>1154.65</v>
      </c>
      <c r="S933" s="9" t="n">
        <v>1109.43</v>
      </c>
      <c r="T933" s="9" t="n">
        <v>1231.16</v>
      </c>
      <c r="U933" s="10">
        <f>SUM(I933:T933)</f>
        <v/>
      </c>
    </row>
    <row r="934">
      <c r="A934" s="2" t="inlineStr">
        <is>
          <t>SN-3000-3200-3220-3220CT0001</t>
        </is>
      </c>
      <c r="B934" s="2" t="inlineStr">
        <is>
          <t>3220CT0001</t>
        </is>
      </c>
      <c r="C934" s="2" t="inlineStr">
        <is>
          <t>Sistema CCTV Lixiviación</t>
        </is>
      </c>
      <c r="D934" s="2" t="n">
        <v>311</v>
      </c>
      <c r="E934" s="2" t="inlineStr">
        <is>
          <t>CC-3000</t>
        </is>
      </c>
      <c r="F934" s="2" t="inlineStr">
        <is>
          <t>P01</t>
        </is>
      </c>
      <c r="G934" s="2" t="n">
        <v>630000</v>
      </c>
      <c r="H934" s="2" t="inlineStr">
        <is>
          <t>Servicios externos</t>
        </is>
      </c>
      <c r="I934" s="9" t="n">
        <v>1223.79</v>
      </c>
      <c r="J934" s="9" t="n">
        <v>1072.57</v>
      </c>
      <c r="K934" s="9" t="n">
        <v>1079.81</v>
      </c>
      <c r="L934" s="9" t="n">
        <v>1084.88</v>
      </c>
      <c r="M934" s="9" t="n">
        <v>1105.72</v>
      </c>
      <c r="N934" s="9" t="n">
        <v>1118.22</v>
      </c>
      <c r="O934" s="9" t="n">
        <v>1055.13</v>
      </c>
      <c r="P934" s="9" t="n">
        <v>1144.89</v>
      </c>
      <c r="Q934" s="9" t="n">
        <v>1010.61</v>
      </c>
      <c r="R934" s="9" t="n">
        <v>1174.2</v>
      </c>
      <c r="S934" s="9" t="n">
        <v>1109.53</v>
      </c>
      <c r="T934" s="9" t="n">
        <v>1127.79</v>
      </c>
      <c r="U934" s="10">
        <f>SUM(I934:T934)</f>
        <v/>
      </c>
    </row>
    <row r="935">
      <c r="A935" s="2" t="inlineStr">
        <is>
          <t>SN-3000-3800-3840-3840CT0001</t>
        </is>
      </c>
      <c r="B935" s="2" t="inlineStr">
        <is>
          <t>3840CT0001</t>
        </is>
      </c>
      <c r="C935" s="2" t="inlineStr">
        <is>
          <t>Sistema CCTV Reactivos detoxificantes</t>
        </is>
      </c>
      <c r="D935" s="2" t="n">
        <v>312</v>
      </c>
      <c r="E935" s="2" t="inlineStr">
        <is>
          <t>CC-3000</t>
        </is>
      </c>
      <c r="F935" s="2" t="inlineStr">
        <is>
          <t>P01</t>
        </is>
      </c>
      <c r="G935" s="2" t="n">
        <v>610000</v>
      </c>
      <c r="H935" s="2" t="inlineStr">
        <is>
          <t>Mano obra interna</t>
        </is>
      </c>
      <c r="I935" s="9" t="n">
        <v>256.09</v>
      </c>
      <c r="J935" s="9" t="n">
        <v>273.58</v>
      </c>
      <c r="K935" s="9" t="n">
        <v>254.78</v>
      </c>
      <c r="L935" s="9" t="n">
        <v>258.04</v>
      </c>
      <c r="M935" s="9" t="n">
        <v>269.29</v>
      </c>
      <c r="N935" s="9" t="n">
        <v>268.22</v>
      </c>
      <c r="O935" s="9" t="n">
        <v>255.08</v>
      </c>
      <c r="P935" s="9" t="n">
        <v>257.94</v>
      </c>
      <c r="Q935" s="9" t="n">
        <v>248.59</v>
      </c>
      <c r="R935" s="9" t="n">
        <v>273.08</v>
      </c>
      <c r="S935" s="9" t="n">
        <v>269.79</v>
      </c>
      <c r="T935" s="9" t="n">
        <v>281.21</v>
      </c>
      <c r="U935" s="10">
        <f>SUM(I935:T935)</f>
        <v/>
      </c>
    </row>
    <row r="936">
      <c r="A936" s="2" t="inlineStr">
        <is>
          <t>SN-3000-3800-3840-3840CT0001</t>
        </is>
      </c>
      <c r="B936" s="2" t="inlineStr">
        <is>
          <t>3840CT0001</t>
        </is>
      </c>
      <c r="C936" s="2" t="inlineStr">
        <is>
          <t>Sistema CCTV Reactivos detoxificantes</t>
        </is>
      </c>
      <c r="D936" s="2" t="n">
        <v>312</v>
      </c>
      <c r="E936" s="2" t="inlineStr">
        <is>
          <t>CC-3000</t>
        </is>
      </c>
      <c r="F936" s="2" t="inlineStr">
        <is>
          <t>P01</t>
        </is>
      </c>
      <c r="G936" s="2" t="n">
        <v>620000</v>
      </c>
      <c r="H936" s="2" t="inlineStr">
        <is>
          <t>Materiales</t>
        </is>
      </c>
      <c r="I936" s="9" t="n">
        <v>214.26</v>
      </c>
      <c r="J936" s="9" t="n">
        <v>217.05</v>
      </c>
      <c r="K936" s="9" t="n">
        <v>212.12</v>
      </c>
      <c r="L936" s="9" t="n">
        <v>220.36</v>
      </c>
      <c r="M936" s="9" t="n">
        <v>193.89</v>
      </c>
      <c r="N936" s="9" t="n">
        <v>205.34</v>
      </c>
      <c r="O936" s="9" t="n">
        <v>199.47</v>
      </c>
      <c r="P936" s="9" t="n">
        <v>222.11</v>
      </c>
      <c r="Q936" s="9" t="n">
        <v>191.97</v>
      </c>
      <c r="R936" s="9" t="n">
        <v>219.71</v>
      </c>
      <c r="S936" s="9" t="n">
        <v>215.51</v>
      </c>
      <c r="T936" s="9" t="n">
        <v>198.82</v>
      </c>
      <c r="U936" s="10">
        <f>SUM(I936:T936)</f>
        <v/>
      </c>
    </row>
    <row r="937">
      <c r="A937" s="2" t="inlineStr">
        <is>
          <t>SN-3000-3800-3840-3840CT0001</t>
        </is>
      </c>
      <c r="B937" s="2" t="inlineStr">
        <is>
          <t>3840CT0001</t>
        </is>
      </c>
      <c r="C937" s="2" t="inlineStr">
        <is>
          <t>Sistema CCTV Reactivos detoxificantes</t>
        </is>
      </c>
      <c r="D937" s="2" t="n">
        <v>312</v>
      </c>
      <c r="E937" s="2" t="inlineStr">
        <is>
          <t>CC-3000</t>
        </is>
      </c>
      <c r="F937" s="2" t="inlineStr">
        <is>
          <t>P01</t>
        </is>
      </c>
      <c r="G937" s="2" t="n">
        <v>630000</v>
      </c>
      <c r="H937" s="2" t="inlineStr">
        <is>
          <t>Servicios externos</t>
        </is>
      </c>
      <c r="I937" s="9" t="n">
        <v>225.53</v>
      </c>
      <c r="J937" s="9" t="n">
        <v>214.55</v>
      </c>
      <c r="K937" s="9" t="n">
        <v>248.09</v>
      </c>
      <c r="L937" s="9" t="n">
        <v>239.85</v>
      </c>
      <c r="M937" s="9" t="n">
        <v>207.71</v>
      </c>
      <c r="N937" s="9" t="n">
        <v>223.12</v>
      </c>
      <c r="O937" s="9" t="n">
        <v>226.71</v>
      </c>
      <c r="P937" s="9" t="n">
        <v>239.91</v>
      </c>
      <c r="Q937" s="9" t="n">
        <v>203.74</v>
      </c>
      <c r="R937" s="9" t="n">
        <v>246.2</v>
      </c>
      <c r="S937" s="9" t="n">
        <v>218.44</v>
      </c>
      <c r="T937" s="9" t="n">
        <v>228.59</v>
      </c>
      <c r="U937" s="10">
        <f>SUM(I937:T937)</f>
        <v/>
      </c>
    </row>
    <row r="938">
      <c r="A938" s="2" t="inlineStr">
        <is>
          <t>SN-3000-3300-3330-3330CT0001</t>
        </is>
      </c>
      <c r="B938" s="2" t="inlineStr">
        <is>
          <t>3330CT0001</t>
        </is>
      </c>
      <c r="C938" s="2" t="inlineStr">
        <is>
          <t>Sistema CCTV Merril Crowe</t>
        </is>
      </c>
      <c r="D938" s="2" t="n">
        <v>313</v>
      </c>
      <c r="E938" s="2" t="inlineStr">
        <is>
          <t>CC-3000</t>
        </is>
      </c>
      <c r="F938" s="2" t="inlineStr">
        <is>
          <t>P01</t>
        </is>
      </c>
      <c r="G938" s="2" t="n">
        <v>610000</v>
      </c>
      <c r="H938" s="2" t="inlineStr">
        <is>
          <t>Mano obra interna</t>
        </is>
      </c>
      <c r="I938" s="9" t="n">
        <v>2034.8</v>
      </c>
      <c r="J938" s="9" t="n">
        <v>2144.39</v>
      </c>
      <c r="K938" s="9" t="n">
        <v>2141.16</v>
      </c>
      <c r="L938" s="9" t="n">
        <v>2294.73</v>
      </c>
      <c r="M938" s="9" t="n">
        <v>1990.91</v>
      </c>
      <c r="N938" s="9" t="n">
        <v>2058.35</v>
      </c>
      <c r="O938" s="9" t="n">
        <v>2240.29</v>
      </c>
      <c r="P938" s="9" t="n">
        <v>2144.88</v>
      </c>
      <c r="Q938" s="9" t="n">
        <v>2062.85</v>
      </c>
      <c r="R938" s="9" t="n">
        <v>2374.02</v>
      </c>
      <c r="S938" s="9" t="n">
        <v>1979.65</v>
      </c>
      <c r="T938" s="9" t="n">
        <v>2156.84</v>
      </c>
      <c r="U938" s="10">
        <f>SUM(I938:T938)</f>
        <v/>
      </c>
    </row>
    <row r="939">
      <c r="A939" s="2" t="inlineStr">
        <is>
          <t>SN-3000-3300-3330-3330CT0001</t>
        </is>
      </c>
      <c r="B939" s="2" t="inlineStr">
        <is>
          <t>3330CT0001</t>
        </is>
      </c>
      <c r="C939" s="2" t="inlineStr">
        <is>
          <t>Sistema CCTV Merril Crowe</t>
        </is>
      </c>
      <c r="D939" s="2" t="n">
        <v>313</v>
      </c>
      <c r="E939" s="2" t="inlineStr">
        <is>
          <t>CC-3000</t>
        </is>
      </c>
      <c r="F939" s="2" t="inlineStr">
        <is>
          <t>P01</t>
        </is>
      </c>
      <c r="G939" s="2" t="n">
        <v>620000</v>
      </c>
      <c r="H939" s="2" t="inlineStr">
        <is>
          <t>Materiales</t>
        </is>
      </c>
      <c r="I939" s="9" t="n">
        <v>1933.54</v>
      </c>
      <c r="J939" s="9" t="n">
        <v>1774.83</v>
      </c>
      <c r="K939" s="9" t="n">
        <v>2018.72</v>
      </c>
      <c r="L939" s="9" t="n">
        <v>1933.51</v>
      </c>
      <c r="M939" s="9" t="n">
        <v>1837.4</v>
      </c>
      <c r="N939" s="9" t="n">
        <v>1734</v>
      </c>
      <c r="O939" s="9" t="n">
        <v>2034.55</v>
      </c>
      <c r="P939" s="9" t="n">
        <v>1752.98</v>
      </c>
      <c r="Q939" s="9" t="n">
        <v>1625.13</v>
      </c>
      <c r="R939" s="9" t="n">
        <v>1939.17</v>
      </c>
      <c r="S939" s="9" t="n">
        <v>1960.62</v>
      </c>
      <c r="T939" s="9" t="n">
        <v>2057.87</v>
      </c>
      <c r="U939" s="10">
        <f>SUM(I939:T939)</f>
        <v/>
      </c>
    </row>
    <row r="940">
      <c r="A940" s="2" t="inlineStr">
        <is>
          <t>SN-3000-3300-3330-3330CT0001</t>
        </is>
      </c>
      <c r="B940" s="2" t="inlineStr">
        <is>
          <t>3330CT0001</t>
        </is>
      </c>
      <c r="C940" s="2" t="inlineStr">
        <is>
          <t>Sistema CCTV Merril Crowe</t>
        </is>
      </c>
      <c r="D940" s="2" t="n">
        <v>313</v>
      </c>
      <c r="E940" s="2" t="inlineStr">
        <is>
          <t>CC-3000</t>
        </is>
      </c>
      <c r="F940" s="2" t="inlineStr">
        <is>
          <t>P01</t>
        </is>
      </c>
      <c r="G940" s="2" t="n">
        <v>630000</v>
      </c>
      <c r="H940" s="2" t="inlineStr">
        <is>
          <t>Servicios externos</t>
        </is>
      </c>
      <c r="I940" s="9" t="n">
        <v>2387.24</v>
      </c>
      <c r="J940" s="9" t="n">
        <v>2071.69</v>
      </c>
      <c r="K940" s="9" t="n">
        <v>2445.94</v>
      </c>
      <c r="L940" s="9" t="n">
        <v>2124.26</v>
      </c>
      <c r="M940" s="9" t="n">
        <v>2042.4</v>
      </c>
      <c r="N940" s="9" t="n">
        <v>1976.82</v>
      </c>
      <c r="O940" s="9" t="n">
        <v>2231.23</v>
      </c>
      <c r="P940" s="9" t="n">
        <v>2301.81</v>
      </c>
      <c r="Q940" s="9" t="n">
        <v>2008.27</v>
      </c>
      <c r="R940" s="9" t="n">
        <v>2559.09</v>
      </c>
      <c r="S940" s="9" t="n">
        <v>2111.64</v>
      </c>
      <c r="T940" s="9" t="n">
        <v>2112.04</v>
      </c>
      <c r="U940" s="10">
        <f>SUM(I940:T940)</f>
        <v/>
      </c>
    </row>
    <row r="941">
      <c r="A941" s="2" t="inlineStr">
        <is>
          <t>SN-3000-3200-3220-3220HT0051</t>
        </is>
      </c>
      <c r="B941" s="2" t="inlineStr">
        <is>
          <t>3220HT0051</t>
        </is>
      </c>
      <c r="C941" s="2" t="inlineStr">
        <is>
          <t>Tecle eléctrico muestreador</t>
        </is>
      </c>
      <c r="D941" s="2" t="n">
        <v>314</v>
      </c>
      <c r="E941" s="2" t="inlineStr">
        <is>
          <t>CC-3000</t>
        </is>
      </c>
      <c r="F941" s="2" t="inlineStr">
        <is>
          <t>P01</t>
        </is>
      </c>
      <c r="G941" s="2" t="n">
        <v>610000</v>
      </c>
      <c r="H941" s="2" t="inlineStr">
        <is>
          <t>Mano obra interna</t>
        </is>
      </c>
      <c r="I941" s="9" t="n">
        <v>1605.94</v>
      </c>
      <c r="J941" s="9" t="n">
        <v>1586.24</v>
      </c>
      <c r="K941" s="9" t="n">
        <v>1567.32</v>
      </c>
      <c r="L941" s="9" t="n">
        <v>1586.46</v>
      </c>
      <c r="M941" s="9" t="n">
        <v>1457.18</v>
      </c>
      <c r="N941" s="9" t="n">
        <v>1496.29</v>
      </c>
      <c r="O941" s="9" t="n">
        <v>1649</v>
      </c>
      <c r="P941" s="9" t="n">
        <v>1417.93</v>
      </c>
      <c r="Q941" s="9" t="n">
        <v>1511.67</v>
      </c>
      <c r="R941" s="9" t="n">
        <v>1665.71</v>
      </c>
      <c r="S941" s="9" t="n">
        <v>1421.77</v>
      </c>
      <c r="T941" s="9" t="n">
        <v>1665.01</v>
      </c>
      <c r="U941" s="10">
        <f>SUM(I941:T941)</f>
        <v/>
      </c>
    </row>
    <row r="942">
      <c r="A942" s="2" t="inlineStr">
        <is>
          <t>SN-3000-3200-3220-3220HT0051</t>
        </is>
      </c>
      <c r="B942" s="2" t="inlineStr">
        <is>
          <t>3220HT0051</t>
        </is>
      </c>
      <c r="C942" s="2" t="inlineStr">
        <is>
          <t>Tecle eléctrico muestreador</t>
        </is>
      </c>
      <c r="D942" s="2" t="n">
        <v>314</v>
      </c>
      <c r="E942" s="2" t="inlineStr">
        <is>
          <t>CC-3000</t>
        </is>
      </c>
      <c r="F942" s="2" t="inlineStr">
        <is>
          <t>P01</t>
        </is>
      </c>
      <c r="G942" s="2" t="n">
        <v>620000</v>
      </c>
      <c r="H942" s="2" t="inlineStr">
        <is>
          <t>Materiales</t>
        </is>
      </c>
      <c r="I942" s="9" t="n">
        <v>1511.55</v>
      </c>
      <c r="J942" s="9" t="n">
        <v>1422.25</v>
      </c>
      <c r="K942" s="9" t="n">
        <v>1505.62</v>
      </c>
      <c r="L942" s="9" t="n">
        <v>1638.03</v>
      </c>
      <c r="M942" s="9" t="n">
        <v>1533.49</v>
      </c>
      <c r="N942" s="9" t="n">
        <v>1551</v>
      </c>
      <c r="O942" s="9" t="n">
        <v>1457.06</v>
      </c>
      <c r="P942" s="9" t="n">
        <v>1428.35</v>
      </c>
      <c r="Q942" s="9" t="n">
        <v>1304.54</v>
      </c>
      <c r="R942" s="9" t="n">
        <v>1643.06</v>
      </c>
      <c r="S942" s="9" t="n">
        <v>1590.51</v>
      </c>
      <c r="T942" s="9" t="n">
        <v>1592.42</v>
      </c>
      <c r="U942" s="10">
        <f>SUM(I942:T942)</f>
        <v/>
      </c>
    </row>
    <row r="943">
      <c r="A943" s="2" t="inlineStr">
        <is>
          <t>SN-3000-3200-3220-3220HT0051</t>
        </is>
      </c>
      <c r="B943" s="2" t="inlineStr">
        <is>
          <t>3220HT0051</t>
        </is>
      </c>
      <c r="C943" s="2" t="inlineStr">
        <is>
          <t>Tecle eléctrico muestreador</t>
        </is>
      </c>
      <c r="D943" s="2" t="n">
        <v>314</v>
      </c>
      <c r="E943" s="2" t="inlineStr">
        <is>
          <t>CC-3000</t>
        </is>
      </c>
      <c r="F943" s="2" t="inlineStr">
        <is>
          <t>P01</t>
        </is>
      </c>
      <c r="G943" s="2" t="n">
        <v>630000</v>
      </c>
      <c r="H943" s="2" t="inlineStr">
        <is>
          <t>Servicios externos</t>
        </is>
      </c>
      <c r="I943" s="9" t="n">
        <v>1568.18</v>
      </c>
      <c r="J943" s="9" t="n">
        <v>1491.18</v>
      </c>
      <c r="K943" s="9" t="n">
        <v>1378.76</v>
      </c>
      <c r="L943" s="9" t="n">
        <v>1555.81</v>
      </c>
      <c r="M943" s="9" t="n">
        <v>1388.05</v>
      </c>
      <c r="N943" s="9" t="n">
        <v>1307.51</v>
      </c>
      <c r="O943" s="9" t="n">
        <v>1385.99</v>
      </c>
      <c r="P943" s="9" t="n">
        <v>1440.44</v>
      </c>
      <c r="Q943" s="9" t="n">
        <v>1332.44</v>
      </c>
      <c r="R943" s="9" t="n">
        <v>1509.65</v>
      </c>
      <c r="S943" s="9" t="n">
        <v>1328.97</v>
      </c>
      <c r="T943" s="9" t="n">
        <v>1532</v>
      </c>
      <c r="U943" s="10">
        <f>SUM(I943:T943)</f>
        <v/>
      </c>
    </row>
    <row r="944">
      <c r="A944" s="2" t="inlineStr">
        <is>
          <t>SN-3000-3200-3220-3220HT0052</t>
        </is>
      </c>
      <c r="B944" s="2" t="inlineStr">
        <is>
          <t>3220HT0052</t>
        </is>
      </c>
      <c r="C944" s="2" t="inlineStr">
        <is>
          <t>Tecle agitador lixiviación</t>
        </is>
      </c>
      <c r="D944" s="2" t="n">
        <v>315</v>
      </c>
      <c r="E944" s="2" t="inlineStr">
        <is>
          <t>CC-3000</t>
        </is>
      </c>
      <c r="F944" s="2" t="inlineStr">
        <is>
          <t>P01</t>
        </is>
      </c>
      <c r="G944" s="2" t="n">
        <v>610000</v>
      </c>
      <c r="H944" s="2" t="inlineStr">
        <is>
          <t>Mano obra interna</t>
        </is>
      </c>
      <c r="I944" s="9" t="n">
        <v>2974.02</v>
      </c>
      <c r="J944" s="9" t="n">
        <v>2657.39</v>
      </c>
      <c r="K944" s="9" t="n">
        <v>2760.08</v>
      </c>
      <c r="L944" s="9" t="n">
        <v>2722.02</v>
      </c>
      <c r="M944" s="9" t="n">
        <v>2600</v>
      </c>
      <c r="N944" s="9" t="n">
        <v>2688.68</v>
      </c>
      <c r="O944" s="9" t="n">
        <v>2837.64</v>
      </c>
      <c r="P944" s="9" t="n">
        <v>2878.88</v>
      </c>
      <c r="Q944" s="9" t="n">
        <v>2671.38</v>
      </c>
      <c r="R944" s="9" t="n">
        <v>2908.12</v>
      </c>
      <c r="S944" s="9" t="n">
        <v>2626.92</v>
      </c>
      <c r="T944" s="9" t="n">
        <v>2912.94</v>
      </c>
      <c r="U944" s="10">
        <f>SUM(I944:T944)</f>
        <v/>
      </c>
    </row>
    <row r="945">
      <c r="A945" s="2" t="inlineStr">
        <is>
          <t>SN-3000-3200-3220-3220HT0052</t>
        </is>
      </c>
      <c r="B945" s="2" t="inlineStr">
        <is>
          <t>3220HT0052</t>
        </is>
      </c>
      <c r="C945" s="2" t="inlineStr">
        <is>
          <t>Tecle agitador lixiviación</t>
        </is>
      </c>
      <c r="D945" s="2" t="n">
        <v>315</v>
      </c>
      <c r="E945" s="2" t="inlineStr">
        <is>
          <t>CC-3000</t>
        </is>
      </c>
      <c r="F945" s="2" t="inlineStr">
        <is>
          <t>P01</t>
        </is>
      </c>
      <c r="G945" s="2" t="n">
        <v>620000</v>
      </c>
      <c r="H945" s="2" t="inlineStr">
        <is>
          <t>Materiales</t>
        </is>
      </c>
      <c r="I945" s="9" t="n">
        <v>2232.4</v>
      </c>
      <c r="J945" s="9" t="n">
        <v>2212.11</v>
      </c>
      <c r="K945" s="9" t="n">
        <v>2278.5</v>
      </c>
      <c r="L945" s="9" t="n">
        <v>2188.42</v>
      </c>
      <c r="M945" s="9" t="n">
        <v>2388.32</v>
      </c>
      <c r="N945" s="9" t="n">
        <v>2315.32</v>
      </c>
      <c r="O945" s="9" t="n">
        <v>2190.42</v>
      </c>
      <c r="P945" s="9" t="n">
        <v>2130.99</v>
      </c>
      <c r="Q945" s="9" t="n">
        <v>2215.3</v>
      </c>
      <c r="R945" s="9" t="n">
        <v>2357.88</v>
      </c>
      <c r="S945" s="9" t="n">
        <v>2181.17</v>
      </c>
      <c r="T945" s="9" t="n">
        <v>2164.01</v>
      </c>
      <c r="U945" s="10">
        <f>SUM(I945:T945)</f>
        <v/>
      </c>
    </row>
    <row r="946">
      <c r="A946" s="2" t="inlineStr">
        <is>
          <t>SN-3000-3200-3220-3220HT0052</t>
        </is>
      </c>
      <c r="B946" s="2" t="inlineStr">
        <is>
          <t>3220HT0052</t>
        </is>
      </c>
      <c r="C946" s="2" t="inlineStr">
        <is>
          <t>Tecle agitador lixiviación</t>
        </is>
      </c>
      <c r="D946" s="2" t="n">
        <v>315</v>
      </c>
      <c r="E946" s="2" t="inlineStr">
        <is>
          <t>CC-3000</t>
        </is>
      </c>
      <c r="F946" s="2" t="inlineStr">
        <is>
          <t>P01</t>
        </is>
      </c>
      <c r="G946" s="2" t="n">
        <v>630000</v>
      </c>
      <c r="H946" s="2" t="inlineStr">
        <is>
          <t>Servicios externos</t>
        </is>
      </c>
      <c r="I946" s="9" t="n">
        <v>2270.15</v>
      </c>
      <c r="J946" s="9" t="n">
        <v>2193.97</v>
      </c>
      <c r="K946" s="9" t="n">
        <v>2088.75</v>
      </c>
      <c r="L946" s="9" t="n">
        <v>2114.07</v>
      </c>
      <c r="M946" s="9" t="n">
        <v>1979.24</v>
      </c>
      <c r="N946" s="9" t="n">
        <v>1892.55</v>
      </c>
      <c r="O946" s="9" t="n">
        <v>2292.56</v>
      </c>
      <c r="P946" s="9" t="n">
        <v>2175.5</v>
      </c>
      <c r="Q946" s="9" t="n">
        <v>1990.73</v>
      </c>
      <c r="R946" s="9" t="n">
        <v>2388.15</v>
      </c>
      <c r="S946" s="9" t="n">
        <v>2168.29</v>
      </c>
      <c r="T946" s="9" t="n">
        <v>2261.57</v>
      </c>
      <c r="U946" s="10">
        <f>SUM(I946:T946)</f>
        <v/>
      </c>
    </row>
    <row r="947">
      <c r="A947" s="2" t="inlineStr">
        <is>
          <t>SN-3000-3200-3220-3220HT0054</t>
        </is>
      </c>
      <c r="B947" s="2" t="inlineStr">
        <is>
          <t>3220HT0054</t>
        </is>
      </c>
      <c r="C947" s="2" t="inlineStr">
        <is>
          <t>Tecle bomba sumergible lixiviación</t>
        </is>
      </c>
      <c r="D947" s="2" t="n">
        <v>316</v>
      </c>
      <c r="E947" s="2" t="inlineStr">
        <is>
          <t>CC-3000</t>
        </is>
      </c>
      <c r="F947" s="2" t="inlineStr">
        <is>
          <t>P01</t>
        </is>
      </c>
      <c r="G947" s="2" t="n">
        <v>610000</v>
      </c>
      <c r="H947" s="2" t="inlineStr">
        <is>
          <t>Mano obra interna</t>
        </is>
      </c>
      <c r="I947" s="9" t="n">
        <v>261.05</v>
      </c>
      <c r="J947" s="9" t="n">
        <v>271.7</v>
      </c>
      <c r="K947" s="9" t="n">
        <v>272.2</v>
      </c>
      <c r="L947" s="9" t="n">
        <v>296.38</v>
      </c>
      <c r="M947" s="9" t="n">
        <v>273.47</v>
      </c>
      <c r="N947" s="9" t="n">
        <v>276.18</v>
      </c>
      <c r="O947" s="9" t="n">
        <v>256.46</v>
      </c>
      <c r="P947" s="9" t="n">
        <v>284.67</v>
      </c>
      <c r="Q947" s="9" t="n">
        <v>243.43</v>
      </c>
      <c r="R947" s="9" t="n">
        <v>313.06</v>
      </c>
      <c r="S947" s="9" t="n">
        <v>246.33</v>
      </c>
      <c r="T947" s="9" t="n">
        <v>273.92</v>
      </c>
      <c r="U947" s="10">
        <f>SUM(I947:T947)</f>
        <v/>
      </c>
    </row>
    <row r="948">
      <c r="A948" s="2" t="inlineStr">
        <is>
          <t>SN-3000-3200-3220-3220HT0054</t>
        </is>
      </c>
      <c r="B948" s="2" t="inlineStr">
        <is>
          <t>3220HT0054</t>
        </is>
      </c>
      <c r="C948" s="2" t="inlineStr">
        <is>
          <t>Tecle bomba sumergible lixiviación</t>
        </is>
      </c>
      <c r="D948" s="2" t="n">
        <v>316</v>
      </c>
      <c r="E948" s="2" t="inlineStr">
        <is>
          <t>CC-3000</t>
        </is>
      </c>
      <c r="F948" s="2" t="inlineStr">
        <is>
          <t>P01</t>
        </is>
      </c>
      <c r="G948" s="2" t="n">
        <v>620000</v>
      </c>
      <c r="H948" s="2" t="inlineStr">
        <is>
          <t>Materiales</t>
        </is>
      </c>
      <c r="I948" s="9" t="n">
        <v>342.2</v>
      </c>
      <c r="J948" s="9" t="n">
        <v>332.03</v>
      </c>
      <c r="K948" s="9" t="n">
        <v>376.79</v>
      </c>
      <c r="L948" s="9" t="n">
        <v>342.2</v>
      </c>
      <c r="M948" s="9" t="n">
        <v>340.95</v>
      </c>
      <c r="N948" s="9" t="n">
        <v>300.89</v>
      </c>
      <c r="O948" s="9" t="n">
        <v>357.58</v>
      </c>
      <c r="P948" s="9" t="n">
        <v>346.64</v>
      </c>
      <c r="Q948" s="9" t="n">
        <v>310.6</v>
      </c>
      <c r="R948" s="9" t="n">
        <v>337.15</v>
      </c>
      <c r="S948" s="9" t="n">
        <v>332.86</v>
      </c>
      <c r="T948" s="9" t="n">
        <v>317.08</v>
      </c>
      <c r="U948" s="10">
        <f>SUM(I948:T948)</f>
        <v/>
      </c>
    </row>
    <row r="949">
      <c r="A949" s="2" t="inlineStr">
        <is>
          <t>SN-3000-3200-3220-3220HT0054</t>
        </is>
      </c>
      <c r="B949" s="2" t="inlineStr">
        <is>
          <t>3220HT0054</t>
        </is>
      </c>
      <c r="C949" s="2" t="inlineStr">
        <is>
          <t>Tecle bomba sumergible lixiviación</t>
        </is>
      </c>
      <c r="D949" s="2" t="n">
        <v>316</v>
      </c>
      <c r="E949" s="2" t="inlineStr">
        <is>
          <t>CC-3000</t>
        </is>
      </c>
      <c r="F949" s="2" t="inlineStr">
        <is>
          <t>P01</t>
        </is>
      </c>
      <c r="G949" s="2" t="n">
        <v>630000</v>
      </c>
      <c r="H949" s="2" t="inlineStr">
        <is>
          <t>Servicios externos</t>
        </is>
      </c>
      <c r="I949" s="9" t="n">
        <v>279.11</v>
      </c>
      <c r="J949" s="9" t="n">
        <v>251.2</v>
      </c>
      <c r="K949" s="9" t="n">
        <v>263.26</v>
      </c>
      <c r="L949" s="9" t="n">
        <v>281.07</v>
      </c>
      <c r="M949" s="9" t="n">
        <v>246.68</v>
      </c>
      <c r="N949" s="9" t="n">
        <v>248.97</v>
      </c>
      <c r="O949" s="9" t="n">
        <v>253.48</v>
      </c>
      <c r="P949" s="9" t="n">
        <v>271.66</v>
      </c>
      <c r="Q949" s="9" t="n">
        <v>256.33</v>
      </c>
      <c r="R949" s="9" t="n">
        <v>299.71</v>
      </c>
      <c r="S949" s="9" t="n">
        <v>249.67</v>
      </c>
      <c r="T949" s="9" t="n">
        <v>254.5</v>
      </c>
      <c r="U949" s="10">
        <f>SUM(I949:T949)</f>
        <v/>
      </c>
    </row>
    <row r="950">
      <c r="A950" s="2" t="inlineStr">
        <is>
          <t>SN-3000-3200-3220-3220IO0001</t>
        </is>
      </c>
      <c r="B950" s="2" t="inlineStr">
        <is>
          <t>3220IO0001</t>
        </is>
      </c>
      <c r="C950" s="2" t="inlineStr">
        <is>
          <t xml:space="preserve">Gabinete RIO  </t>
        </is>
      </c>
      <c r="D950" s="2" t="n">
        <v>317</v>
      </c>
      <c r="E950" s="2" t="inlineStr">
        <is>
          <t>CC-3000</t>
        </is>
      </c>
      <c r="F950" s="2" t="inlineStr">
        <is>
          <t>P01</t>
        </is>
      </c>
      <c r="G950" s="2" t="n">
        <v>610000</v>
      </c>
      <c r="H950" s="2" t="inlineStr">
        <is>
          <t>Mano obra interna</t>
        </is>
      </c>
      <c r="I950" s="9" t="n">
        <v>1704.75</v>
      </c>
      <c r="J950" s="9" t="n">
        <v>1783.05</v>
      </c>
      <c r="K950" s="9" t="n">
        <v>1664.65</v>
      </c>
      <c r="L950" s="9" t="n">
        <v>1659.94</v>
      </c>
      <c r="M950" s="9" t="n">
        <v>1565.63</v>
      </c>
      <c r="N950" s="9" t="n">
        <v>1642.96</v>
      </c>
      <c r="O950" s="9" t="n">
        <v>1739.33</v>
      </c>
      <c r="P950" s="9" t="n">
        <v>1727.27</v>
      </c>
      <c r="Q950" s="9" t="n">
        <v>1663.99</v>
      </c>
      <c r="R950" s="9" t="n">
        <v>1818.48</v>
      </c>
      <c r="S950" s="9" t="n">
        <v>1540.26</v>
      </c>
      <c r="T950" s="9" t="n">
        <v>1657.21</v>
      </c>
      <c r="U950" s="10">
        <f>SUM(I950:T950)</f>
        <v/>
      </c>
    </row>
    <row r="951">
      <c r="A951" s="2" t="inlineStr">
        <is>
          <t>SN-3000-3200-3220-3220IO0001</t>
        </is>
      </c>
      <c r="B951" s="2" t="inlineStr">
        <is>
          <t>3220IO0001</t>
        </is>
      </c>
      <c r="C951" s="2" t="inlineStr">
        <is>
          <t xml:space="preserve">Gabinete RIO  </t>
        </is>
      </c>
      <c r="D951" s="2" t="n">
        <v>317</v>
      </c>
      <c r="E951" s="2" t="inlineStr">
        <is>
          <t>CC-3000</t>
        </is>
      </c>
      <c r="F951" s="2" t="inlineStr">
        <is>
          <t>P01</t>
        </is>
      </c>
      <c r="G951" s="2" t="n">
        <v>620000</v>
      </c>
      <c r="H951" s="2" t="inlineStr">
        <is>
          <t>Materiales</t>
        </is>
      </c>
      <c r="I951" s="9" t="n">
        <v>1989.66</v>
      </c>
      <c r="J951" s="9" t="n">
        <v>1894.75</v>
      </c>
      <c r="K951" s="9" t="n">
        <v>2032.77</v>
      </c>
      <c r="L951" s="9" t="n">
        <v>1999.6</v>
      </c>
      <c r="M951" s="9" t="n">
        <v>2010.18</v>
      </c>
      <c r="N951" s="9" t="n">
        <v>1855.47</v>
      </c>
      <c r="O951" s="9" t="n">
        <v>2000.63</v>
      </c>
      <c r="P951" s="9" t="n">
        <v>1836.04</v>
      </c>
      <c r="Q951" s="9" t="n">
        <v>1832.86</v>
      </c>
      <c r="R951" s="9" t="n">
        <v>2197.38</v>
      </c>
      <c r="S951" s="9" t="n">
        <v>1819.36</v>
      </c>
      <c r="T951" s="9" t="n">
        <v>2029.57</v>
      </c>
      <c r="U951" s="10">
        <f>SUM(I951:T951)</f>
        <v/>
      </c>
    </row>
    <row r="952">
      <c r="A952" s="2" t="inlineStr">
        <is>
          <t>SN-3000-3200-3220-3220IO0001</t>
        </is>
      </c>
      <c r="B952" s="2" t="inlineStr">
        <is>
          <t>3220IO0001</t>
        </is>
      </c>
      <c r="C952" s="2" t="inlineStr">
        <is>
          <t xml:space="preserve">Gabinete RIO  </t>
        </is>
      </c>
      <c r="D952" s="2" t="n">
        <v>317</v>
      </c>
      <c r="E952" s="2" t="inlineStr">
        <is>
          <t>CC-3000</t>
        </is>
      </c>
      <c r="F952" s="2" t="inlineStr">
        <is>
          <t>P01</t>
        </is>
      </c>
      <c r="G952" s="2" t="n">
        <v>630000</v>
      </c>
      <c r="H952" s="2" t="inlineStr">
        <is>
          <t>Servicios externos</t>
        </is>
      </c>
      <c r="I952" s="9" t="n">
        <v>1926.21</v>
      </c>
      <c r="J952" s="9" t="n">
        <v>2025.27</v>
      </c>
      <c r="K952" s="9" t="n">
        <v>1970.26</v>
      </c>
      <c r="L952" s="9" t="n">
        <v>2229.81</v>
      </c>
      <c r="M952" s="9" t="n">
        <v>2109.04</v>
      </c>
      <c r="N952" s="9" t="n">
        <v>1819.57</v>
      </c>
      <c r="O952" s="9" t="n">
        <v>1907.95</v>
      </c>
      <c r="P952" s="9" t="n">
        <v>2059.08</v>
      </c>
      <c r="Q952" s="9" t="n">
        <v>1842.72</v>
      </c>
      <c r="R952" s="9" t="n">
        <v>2026.23</v>
      </c>
      <c r="S952" s="9" t="n">
        <v>1978.2</v>
      </c>
      <c r="T952" s="9" t="n">
        <v>2023.11</v>
      </c>
      <c r="U952" s="10">
        <f>SUM(I952:T952)</f>
        <v/>
      </c>
    </row>
    <row r="953">
      <c r="A953" s="2" t="inlineStr">
        <is>
          <t>SN-3000-3200-3220-3220IO0002</t>
        </is>
      </c>
      <c r="B953" s="2" t="inlineStr">
        <is>
          <t>3220IO0002</t>
        </is>
      </c>
      <c r="C953" s="2" t="inlineStr">
        <is>
          <t xml:space="preserve">Gabinete RIO  </t>
        </is>
      </c>
      <c r="D953" s="2" t="n">
        <v>318</v>
      </c>
      <c r="E953" s="2" t="inlineStr">
        <is>
          <t>CC-3000</t>
        </is>
      </c>
      <c r="F953" s="2" t="inlineStr">
        <is>
          <t>P01</t>
        </is>
      </c>
      <c r="G953" s="2" t="n">
        <v>610000</v>
      </c>
      <c r="H953" s="2" t="inlineStr">
        <is>
          <t>Mano obra interna</t>
        </is>
      </c>
      <c r="I953" s="9" t="n">
        <v>502.83</v>
      </c>
      <c r="J953" s="9" t="n">
        <v>493.49</v>
      </c>
      <c r="K953" s="9" t="n">
        <v>504.64</v>
      </c>
      <c r="L953" s="9" t="n">
        <v>505</v>
      </c>
      <c r="M953" s="9" t="n">
        <v>443.91</v>
      </c>
      <c r="N953" s="9" t="n">
        <v>432.23</v>
      </c>
      <c r="O953" s="9" t="n">
        <v>448.16</v>
      </c>
      <c r="P953" s="9" t="n">
        <v>489.43</v>
      </c>
      <c r="Q953" s="9" t="n">
        <v>468.73</v>
      </c>
      <c r="R953" s="9" t="n">
        <v>524.3</v>
      </c>
      <c r="S953" s="9" t="n">
        <v>482.62</v>
      </c>
      <c r="T953" s="9" t="n">
        <v>487.43</v>
      </c>
      <c r="U953" s="10">
        <f>SUM(I953:T953)</f>
        <v/>
      </c>
    </row>
    <row r="954">
      <c r="A954" s="2" t="inlineStr">
        <is>
          <t>SN-3000-3200-3220-3220IO0002</t>
        </is>
      </c>
      <c r="B954" s="2" t="inlineStr">
        <is>
          <t>3220IO0002</t>
        </is>
      </c>
      <c r="C954" s="2" t="inlineStr">
        <is>
          <t xml:space="preserve">Gabinete RIO  </t>
        </is>
      </c>
      <c r="D954" s="2" t="n">
        <v>318</v>
      </c>
      <c r="E954" s="2" t="inlineStr">
        <is>
          <t>CC-3000</t>
        </is>
      </c>
      <c r="F954" s="2" t="inlineStr">
        <is>
          <t>P01</t>
        </is>
      </c>
      <c r="G954" s="2" t="n">
        <v>620000</v>
      </c>
      <c r="H954" s="2" t="inlineStr">
        <is>
          <t>Materiales</t>
        </is>
      </c>
      <c r="I954" s="9" t="n">
        <v>523.52</v>
      </c>
      <c r="J954" s="9" t="n">
        <v>476.41</v>
      </c>
      <c r="K954" s="9" t="n">
        <v>495.28</v>
      </c>
      <c r="L954" s="9" t="n">
        <v>547.03</v>
      </c>
      <c r="M954" s="9" t="n">
        <v>508.57</v>
      </c>
      <c r="N954" s="9" t="n">
        <v>500.34</v>
      </c>
      <c r="O954" s="9" t="n">
        <v>524.02</v>
      </c>
      <c r="P954" s="9" t="n">
        <v>500.14</v>
      </c>
      <c r="Q954" s="9" t="n">
        <v>481.26</v>
      </c>
      <c r="R954" s="9" t="n">
        <v>557.08</v>
      </c>
      <c r="S954" s="9" t="n">
        <v>493.45</v>
      </c>
      <c r="T954" s="9" t="n">
        <v>553.73</v>
      </c>
      <c r="U954" s="10">
        <f>SUM(I954:T954)</f>
        <v/>
      </c>
    </row>
    <row r="955">
      <c r="A955" s="2" t="inlineStr">
        <is>
          <t>SN-3000-3200-3220-3220IO0002</t>
        </is>
      </c>
      <c r="B955" s="2" t="inlineStr">
        <is>
          <t>3220IO0002</t>
        </is>
      </c>
      <c r="C955" s="2" t="inlineStr">
        <is>
          <t xml:space="preserve">Gabinete RIO  </t>
        </is>
      </c>
      <c r="D955" s="2" t="n">
        <v>318</v>
      </c>
      <c r="E955" s="2" t="inlineStr">
        <is>
          <t>CC-3000</t>
        </is>
      </c>
      <c r="F955" s="2" t="inlineStr">
        <is>
          <t>P01</t>
        </is>
      </c>
      <c r="G955" s="2" t="n">
        <v>630000</v>
      </c>
      <c r="H955" s="2" t="inlineStr">
        <is>
          <t>Servicios externos</t>
        </is>
      </c>
      <c r="I955" s="9" t="n">
        <v>544.11</v>
      </c>
      <c r="J955" s="9" t="n">
        <v>549.04</v>
      </c>
      <c r="K955" s="9" t="n">
        <v>572.59</v>
      </c>
      <c r="L955" s="9" t="n">
        <v>569.34</v>
      </c>
      <c r="M955" s="9" t="n">
        <v>499.79</v>
      </c>
      <c r="N955" s="9" t="n">
        <v>463.98</v>
      </c>
      <c r="O955" s="9" t="n">
        <v>504.49</v>
      </c>
      <c r="P955" s="9" t="n">
        <v>505.36</v>
      </c>
      <c r="Q955" s="9" t="n">
        <v>520.03</v>
      </c>
      <c r="R955" s="9" t="n">
        <v>578.9299999999999</v>
      </c>
      <c r="S955" s="9" t="n">
        <v>473.59</v>
      </c>
      <c r="T955" s="9" t="n">
        <v>501.05</v>
      </c>
      <c r="U955" s="10">
        <f>SUM(I955:T955)</f>
        <v/>
      </c>
    </row>
    <row r="956">
      <c r="A956" s="2" t="inlineStr">
        <is>
          <t>SN-3000-3200-3220-3220PU0083</t>
        </is>
      </c>
      <c r="B956" s="2" t="inlineStr">
        <is>
          <t>3220PU0083</t>
        </is>
      </c>
      <c r="C956" s="2" t="inlineStr">
        <is>
          <t>Bomba sumidero lixiviación</t>
        </is>
      </c>
      <c r="D956" s="2" t="n">
        <v>319</v>
      </c>
      <c r="E956" s="2" t="inlineStr">
        <is>
          <t>CC-3000</t>
        </is>
      </c>
      <c r="F956" s="2" t="inlineStr">
        <is>
          <t>P01</t>
        </is>
      </c>
      <c r="G956" s="2" t="n">
        <v>610000</v>
      </c>
      <c r="H956" s="2" t="inlineStr">
        <is>
          <t>Mano obra interna</t>
        </is>
      </c>
      <c r="I956" s="9" t="n">
        <v>2152.82</v>
      </c>
      <c r="J956" s="9" t="n">
        <v>2111.1</v>
      </c>
      <c r="K956" s="9" t="n">
        <v>2253.75</v>
      </c>
      <c r="L956" s="9" t="n">
        <v>2260.14</v>
      </c>
      <c r="M956" s="9" t="n">
        <v>1946.81</v>
      </c>
      <c r="N956" s="9" t="n">
        <v>1914.89</v>
      </c>
      <c r="O956" s="9" t="n">
        <v>1980.82</v>
      </c>
      <c r="P956" s="9" t="n">
        <v>2017.56</v>
      </c>
      <c r="Q956" s="9" t="n">
        <v>2050.54</v>
      </c>
      <c r="R956" s="9" t="n">
        <v>2254.53</v>
      </c>
      <c r="S956" s="9" t="n">
        <v>2075.99</v>
      </c>
      <c r="T956" s="9" t="n">
        <v>2093.11</v>
      </c>
      <c r="U956" s="10">
        <f>SUM(I956:T956)</f>
        <v/>
      </c>
    </row>
    <row r="957">
      <c r="A957" s="2" t="inlineStr">
        <is>
          <t>SN-3000-3200-3220-3220PU0083</t>
        </is>
      </c>
      <c r="B957" s="2" t="inlineStr">
        <is>
          <t>3220PU0083</t>
        </is>
      </c>
      <c r="C957" s="2" t="inlineStr">
        <is>
          <t>Bomba sumidero lixiviación</t>
        </is>
      </c>
      <c r="D957" s="2" t="n">
        <v>319</v>
      </c>
      <c r="E957" s="2" t="inlineStr">
        <is>
          <t>CC-3000</t>
        </is>
      </c>
      <c r="F957" s="2" t="inlineStr">
        <is>
          <t>P01</t>
        </is>
      </c>
      <c r="G957" s="2" t="n">
        <v>620000</v>
      </c>
      <c r="H957" s="2" t="inlineStr">
        <is>
          <t>Materiales</t>
        </is>
      </c>
      <c r="I957" s="9" t="n">
        <v>1821.75</v>
      </c>
      <c r="J957" s="9" t="n">
        <v>1900.73</v>
      </c>
      <c r="K957" s="9" t="n">
        <v>2048.29</v>
      </c>
      <c r="L957" s="9" t="n">
        <v>1871.3</v>
      </c>
      <c r="M957" s="9" t="n">
        <v>1965.88</v>
      </c>
      <c r="N957" s="9" t="n">
        <v>1925.2</v>
      </c>
      <c r="O957" s="9" t="n">
        <v>1892.13</v>
      </c>
      <c r="P957" s="9" t="n">
        <v>1992.46</v>
      </c>
      <c r="Q957" s="9" t="n">
        <v>1758.29</v>
      </c>
      <c r="R957" s="9" t="n">
        <v>2127.79</v>
      </c>
      <c r="S957" s="9" t="n">
        <v>1935.49</v>
      </c>
      <c r="T957" s="9" t="n">
        <v>2100.02</v>
      </c>
      <c r="U957" s="10">
        <f>SUM(I957:T957)</f>
        <v/>
      </c>
    </row>
    <row r="958">
      <c r="A958" s="2" t="inlineStr">
        <is>
          <t>SN-3000-3200-3220-3220PU0083</t>
        </is>
      </c>
      <c r="B958" s="2" t="inlineStr">
        <is>
          <t>3220PU0083</t>
        </is>
      </c>
      <c r="C958" s="2" t="inlineStr">
        <is>
          <t>Bomba sumidero lixiviación</t>
        </is>
      </c>
      <c r="D958" s="2" t="n">
        <v>319</v>
      </c>
      <c r="E958" s="2" t="inlineStr">
        <is>
          <t>CC-3000</t>
        </is>
      </c>
      <c r="F958" s="2" t="inlineStr">
        <is>
          <t>P01</t>
        </is>
      </c>
      <c r="G958" s="2" t="n">
        <v>630000</v>
      </c>
      <c r="H958" s="2" t="inlineStr">
        <is>
          <t>Servicios externos</t>
        </is>
      </c>
      <c r="I958" s="9" t="n">
        <v>2204.71</v>
      </c>
      <c r="J958" s="9" t="n">
        <v>2042.26</v>
      </c>
      <c r="K958" s="9" t="n">
        <v>2153.18</v>
      </c>
      <c r="L958" s="9" t="n">
        <v>2308.46</v>
      </c>
      <c r="M958" s="9" t="n">
        <v>2312.89</v>
      </c>
      <c r="N958" s="9" t="n">
        <v>2059.3</v>
      </c>
      <c r="O958" s="9" t="n">
        <v>2079.59</v>
      </c>
      <c r="P958" s="9" t="n">
        <v>2113.96</v>
      </c>
      <c r="Q958" s="9" t="n">
        <v>2024.77</v>
      </c>
      <c r="R958" s="9" t="n">
        <v>2283.55</v>
      </c>
      <c r="S958" s="9" t="n">
        <v>2030.5</v>
      </c>
      <c r="T958" s="9" t="n">
        <v>2307.35</v>
      </c>
      <c r="U958" s="10">
        <f>SUM(I958:T958)</f>
        <v/>
      </c>
    </row>
    <row r="959">
      <c r="A959" s="2" t="inlineStr">
        <is>
          <t>SN-3000-3200-3220-3220PU0087</t>
        </is>
      </c>
      <c r="B959" s="2" t="inlineStr">
        <is>
          <t>3220PU0087</t>
        </is>
      </c>
      <c r="C959" s="2" t="inlineStr">
        <is>
          <t>Bomba portátil estanque Lixiviación</t>
        </is>
      </c>
      <c r="D959" s="2" t="n">
        <v>320</v>
      </c>
      <c r="E959" s="2" t="inlineStr">
        <is>
          <t>CC-3000</t>
        </is>
      </c>
      <c r="F959" s="2" t="inlineStr">
        <is>
          <t>P01</t>
        </is>
      </c>
      <c r="G959" s="2" t="n">
        <v>610000</v>
      </c>
      <c r="H959" s="2" t="inlineStr">
        <is>
          <t>Mano obra interna</t>
        </is>
      </c>
      <c r="I959" s="9" t="n">
        <v>631.1</v>
      </c>
      <c r="J959" s="9" t="n">
        <v>633.5</v>
      </c>
      <c r="K959" s="9" t="n">
        <v>610.09</v>
      </c>
      <c r="L959" s="9" t="n">
        <v>638.28</v>
      </c>
      <c r="M959" s="9" t="n">
        <v>624.4400000000001</v>
      </c>
      <c r="N959" s="9" t="n">
        <v>601.9400000000001</v>
      </c>
      <c r="O959" s="9" t="n">
        <v>609.3099999999999</v>
      </c>
      <c r="P959" s="9" t="n">
        <v>598.83</v>
      </c>
      <c r="Q959" s="9" t="n">
        <v>602.63</v>
      </c>
      <c r="R959" s="9" t="n">
        <v>689.9400000000001</v>
      </c>
      <c r="S959" s="9" t="n">
        <v>577.73</v>
      </c>
      <c r="T959" s="9" t="n">
        <v>583.88</v>
      </c>
      <c r="U959" s="10">
        <f>SUM(I959:T959)</f>
        <v/>
      </c>
    </row>
    <row r="960">
      <c r="A960" s="2" t="inlineStr">
        <is>
          <t>SN-3000-3200-3220-3220PU0087</t>
        </is>
      </c>
      <c r="B960" s="2" t="inlineStr">
        <is>
          <t>3220PU0087</t>
        </is>
      </c>
      <c r="C960" s="2" t="inlineStr">
        <is>
          <t>Bomba portátil estanque Lixiviación</t>
        </is>
      </c>
      <c r="D960" s="2" t="n">
        <v>320</v>
      </c>
      <c r="E960" s="2" t="inlineStr">
        <is>
          <t>CC-3000</t>
        </is>
      </c>
      <c r="F960" s="2" t="inlineStr">
        <is>
          <t>P01</t>
        </is>
      </c>
      <c r="G960" s="2" t="n">
        <v>620000</v>
      </c>
      <c r="H960" s="2" t="inlineStr">
        <is>
          <t>Materiales</t>
        </is>
      </c>
      <c r="I960" s="9" t="n">
        <v>586.46</v>
      </c>
      <c r="J960" s="9" t="n">
        <v>613.09</v>
      </c>
      <c r="K960" s="9" t="n">
        <v>588.34</v>
      </c>
      <c r="L960" s="9" t="n">
        <v>611.53</v>
      </c>
      <c r="M960" s="9" t="n">
        <v>632.65</v>
      </c>
      <c r="N960" s="9" t="n">
        <v>568.05</v>
      </c>
      <c r="O960" s="9" t="n">
        <v>640.54</v>
      </c>
      <c r="P960" s="9" t="n">
        <v>638.02</v>
      </c>
      <c r="Q960" s="9" t="n">
        <v>548.64</v>
      </c>
      <c r="R960" s="9" t="n">
        <v>686.8099999999999</v>
      </c>
      <c r="S960" s="9" t="n">
        <v>618.33</v>
      </c>
      <c r="T960" s="9" t="n">
        <v>613.26</v>
      </c>
      <c r="U960" s="10">
        <f>SUM(I960:T960)</f>
        <v/>
      </c>
    </row>
    <row r="961">
      <c r="A961" s="2" t="inlineStr">
        <is>
          <t>SN-3000-3200-3220-3220PU0087</t>
        </is>
      </c>
      <c r="B961" s="2" t="inlineStr">
        <is>
          <t>3220PU0087</t>
        </is>
      </c>
      <c r="C961" s="2" t="inlineStr">
        <is>
          <t>Bomba portátil estanque Lixiviación</t>
        </is>
      </c>
      <c r="D961" s="2" t="n">
        <v>320</v>
      </c>
      <c r="E961" s="2" t="inlineStr">
        <is>
          <t>CC-3000</t>
        </is>
      </c>
      <c r="F961" s="2" t="inlineStr">
        <is>
          <t>P01</t>
        </is>
      </c>
      <c r="G961" s="2" t="n">
        <v>630000</v>
      </c>
      <c r="H961" s="2" t="inlineStr">
        <is>
          <t>Servicios externos</t>
        </is>
      </c>
      <c r="I961" s="9" t="n">
        <v>645.34</v>
      </c>
      <c r="J961" s="9" t="n">
        <v>662.3099999999999</v>
      </c>
      <c r="K961" s="9" t="n">
        <v>664.47</v>
      </c>
      <c r="L961" s="9" t="n">
        <v>610.21</v>
      </c>
      <c r="M961" s="9" t="n">
        <v>641.73</v>
      </c>
      <c r="N961" s="9" t="n">
        <v>595.3200000000001</v>
      </c>
      <c r="O961" s="9" t="n">
        <v>639.53</v>
      </c>
      <c r="P961" s="9" t="n">
        <v>653.12</v>
      </c>
      <c r="Q961" s="9" t="n">
        <v>587.87</v>
      </c>
      <c r="R961" s="9" t="n">
        <v>713.5599999999999</v>
      </c>
      <c r="S961" s="9" t="n">
        <v>631.58</v>
      </c>
      <c r="T961" s="9" t="n">
        <v>651.14</v>
      </c>
      <c r="U961" s="10">
        <f>SUM(I961:T961)</f>
        <v/>
      </c>
    </row>
    <row r="962">
      <c r="A962" s="2" t="inlineStr">
        <is>
          <t>SN-3000-3200-3220-3220PU0526</t>
        </is>
      </c>
      <c r="B962" s="2" t="inlineStr">
        <is>
          <t>3220PU0526</t>
        </is>
      </c>
      <c r="C962" s="2" t="inlineStr">
        <is>
          <t>Bomba drenaje sumergible</t>
        </is>
      </c>
      <c r="D962" s="2" t="n">
        <v>321</v>
      </c>
      <c r="E962" s="2" t="inlineStr">
        <is>
          <t>CC-3000</t>
        </is>
      </c>
      <c r="F962" s="2" t="inlineStr">
        <is>
          <t>P01</t>
        </is>
      </c>
      <c r="G962" s="2" t="n">
        <v>610000</v>
      </c>
      <c r="H962" s="2" t="inlineStr">
        <is>
          <t>Mano obra interna</t>
        </is>
      </c>
      <c r="I962" s="9" t="n">
        <v>2343.91</v>
      </c>
      <c r="J962" s="9" t="n">
        <v>2295.61</v>
      </c>
      <c r="K962" s="9" t="n">
        <v>2117.31</v>
      </c>
      <c r="L962" s="9" t="n">
        <v>2222.78</v>
      </c>
      <c r="M962" s="9" t="n">
        <v>2073.2</v>
      </c>
      <c r="N962" s="9" t="n">
        <v>2168.04</v>
      </c>
      <c r="O962" s="9" t="n">
        <v>2257.22</v>
      </c>
      <c r="P962" s="9" t="n">
        <v>2052.2</v>
      </c>
      <c r="Q962" s="9" t="n">
        <v>2150.67</v>
      </c>
      <c r="R962" s="9" t="n">
        <v>2229.87</v>
      </c>
      <c r="S962" s="9" t="n">
        <v>2209.67</v>
      </c>
      <c r="T962" s="9" t="n">
        <v>2196.06</v>
      </c>
      <c r="U962" s="10">
        <f>SUM(I962:T962)</f>
        <v/>
      </c>
    </row>
    <row r="963">
      <c r="A963" s="2" t="inlineStr">
        <is>
          <t>SN-3000-3200-3220-3220PU0526</t>
        </is>
      </c>
      <c r="B963" s="2" t="inlineStr">
        <is>
          <t>3220PU0526</t>
        </is>
      </c>
      <c r="C963" s="2" t="inlineStr">
        <is>
          <t>Bomba drenaje sumergible</t>
        </is>
      </c>
      <c r="D963" s="2" t="n">
        <v>321</v>
      </c>
      <c r="E963" s="2" t="inlineStr">
        <is>
          <t>CC-3000</t>
        </is>
      </c>
      <c r="F963" s="2" t="inlineStr">
        <is>
          <t>P01</t>
        </is>
      </c>
      <c r="G963" s="2" t="n">
        <v>620000</v>
      </c>
      <c r="H963" s="2" t="inlineStr">
        <is>
          <t>Materiales</t>
        </is>
      </c>
      <c r="I963" s="9" t="n">
        <v>2237.32</v>
      </c>
      <c r="J963" s="9" t="n">
        <v>2161.88</v>
      </c>
      <c r="K963" s="9" t="n">
        <v>2453.72</v>
      </c>
      <c r="L963" s="9" t="n">
        <v>2388.64</v>
      </c>
      <c r="M963" s="9" t="n">
        <v>2155.7</v>
      </c>
      <c r="N963" s="9" t="n">
        <v>2079.2</v>
      </c>
      <c r="O963" s="9" t="n">
        <v>2160.74</v>
      </c>
      <c r="P963" s="9" t="n">
        <v>2407.04</v>
      </c>
      <c r="Q963" s="9" t="n">
        <v>2231.32</v>
      </c>
      <c r="R963" s="9" t="n">
        <v>2323.59</v>
      </c>
      <c r="S963" s="9" t="n">
        <v>2266.01</v>
      </c>
      <c r="T963" s="9" t="n">
        <v>2196.48</v>
      </c>
      <c r="U963" s="10">
        <f>SUM(I963:T963)</f>
        <v/>
      </c>
    </row>
    <row r="964">
      <c r="A964" s="2" t="inlineStr">
        <is>
          <t>SN-3000-3200-3220-3220PU0526</t>
        </is>
      </c>
      <c r="B964" s="2" t="inlineStr">
        <is>
          <t>3220PU0526</t>
        </is>
      </c>
      <c r="C964" s="2" t="inlineStr">
        <is>
          <t>Bomba drenaje sumergible</t>
        </is>
      </c>
      <c r="D964" s="2" t="n">
        <v>321</v>
      </c>
      <c r="E964" s="2" t="inlineStr">
        <is>
          <t>CC-3000</t>
        </is>
      </c>
      <c r="F964" s="2" t="inlineStr">
        <is>
          <t>P01</t>
        </is>
      </c>
      <c r="G964" s="2" t="n">
        <v>630000</v>
      </c>
      <c r="H964" s="2" t="inlineStr">
        <is>
          <t>Servicios externos</t>
        </is>
      </c>
      <c r="I964" s="9" t="n">
        <v>2872.32</v>
      </c>
      <c r="J964" s="9" t="n">
        <v>2684.11</v>
      </c>
      <c r="K964" s="9" t="n">
        <v>2911.01</v>
      </c>
      <c r="L964" s="9" t="n">
        <v>2834.37</v>
      </c>
      <c r="M964" s="9" t="n">
        <v>2751.7</v>
      </c>
      <c r="N964" s="9" t="n">
        <v>2553.71</v>
      </c>
      <c r="O964" s="9" t="n">
        <v>2560.79</v>
      </c>
      <c r="P964" s="9" t="n">
        <v>2520.44</v>
      </c>
      <c r="Q964" s="9" t="n">
        <v>2391.01</v>
      </c>
      <c r="R964" s="9" t="n">
        <v>2907.33</v>
      </c>
      <c r="S964" s="9" t="n">
        <v>2423.3</v>
      </c>
      <c r="T964" s="9" t="n">
        <v>2577.29</v>
      </c>
      <c r="U964" s="10">
        <f>SUM(I964:T964)</f>
        <v/>
      </c>
    </row>
    <row r="965">
      <c r="A965" s="2" t="inlineStr">
        <is>
          <t>SN-3000-3200-3220-3220SY0022</t>
        </is>
      </c>
      <c r="B965" s="2" t="inlineStr">
        <is>
          <t>3220SY0022</t>
        </is>
      </c>
      <c r="C965" s="2" t="inlineStr">
        <is>
          <t>Lava ojos emergencia</t>
        </is>
      </c>
      <c r="D965" s="2" t="n">
        <v>322</v>
      </c>
      <c r="E965" s="2" t="inlineStr">
        <is>
          <t>CC-3000</t>
        </is>
      </c>
      <c r="F965" s="2" t="inlineStr">
        <is>
          <t>P01</t>
        </is>
      </c>
      <c r="G965" s="2" t="n">
        <v>610000</v>
      </c>
      <c r="H965" s="2" t="inlineStr">
        <is>
          <t>Mano obra interna</t>
        </is>
      </c>
      <c r="I965" s="9" t="n">
        <v>2275.05</v>
      </c>
      <c r="J965" s="9" t="n">
        <v>2325.29</v>
      </c>
      <c r="K965" s="9" t="n">
        <v>2564.3</v>
      </c>
      <c r="L965" s="9" t="n">
        <v>2473.79</v>
      </c>
      <c r="M965" s="9" t="n">
        <v>2365.29</v>
      </c>
      <c r="N965" s="9" t="n">
        <v>2255.21</v>
      </c>
      <c r="O965" s="9" t="n">
        <v>2324.59</v>
      </c>
      <c r="P965" s="9" t="n">
        <v>2209.62</v>
      </c>
      <c r="Q965" s="9" t="n">
        <v>2303.96</v>
      </c>
      <c r="R965" s="9" t="n">
        <v>2409.59</v>
      </c>
      <c r="S965" s="9" t="n">
        <v>2106.31</v>
      </c>
      <c r="T965" s="9" t="n">
        <v>2457.1</v>
      </c>
      <c r="U965" s="10">
        <f>SUM(I965:T965)</f>
        <v/>
      </c>
    </row>
    <row r="966">
      <c r="A966" s="2" t="inlineStr">
        <is>
          <t>SN-3000-3200-3220-3220SY0022</t>
        </is>
      </c>
      <c r="B966" s="2" t="inlineStr">
        <is>
          <t>3220SY0022</t>
        </is>
      </c>
      <c r="C966" s="2" t="inlineStr">
        <is>
          <t>Lava ojos emergencia</t>
        </is>
      </c>
      <c r="D966" s="2" t="n">
        <v>322</v>
      </c>
      <c r="E966" s="2" t="inlineStr">
        <is>
          <t>CC-3000</t>
        </is>
      </c>
      <c r="F966" s="2" t="inlineStr">
        <is>
          <t>P01</t>
        </is>
      </c>
      <c r="G966" s="2" t="n">
        <v>620000</v>
      </c>
      <c r="H966" s="2" t="inlineStr">
        <is>
          <t>Materiales</t>
        </is>
      </c>
      <c r="I966" s="9" t="n">
        <v>2122.5</v>
      </c>
      <c r="J966" s="9" t="n">
        <v>1932.74</v>
      </c>
      <c r="K966" s="9" t="n">
        <v>2062.67</v>
      </c>
      <c r="L966" s="9" t="n">
        <v>2056.02</v>
      </c>
      <c r="M966" s="9" t="n">
        <v>1950.94</v>
      </c>
      <c r="N966" s="9" t="n">
        <v>2080.28</v>
      </c>
      <c r="O966" s="9" t="n">
        <v>2238.13</v>
      </c>
      <c r="P966" s="9" t="n">
        <v>2078.08</v>
      </c>
      <c r="Q966" s="9" t="n">
        <v>2094.36</v>
      </c>
      <c r="R966" s="9" t="n">
        <v>2184.14</v>
      </c>
      <c r="S966" s="9" t="n">
        <v>1997.47</v>
      </c>
      <c r="T966" s="9" t="n">
        <v>2033.8</v>
      </c>
      <c r="U966" s="10">
        <f>SUM(I966:T966)</f>
        <v/>
      </c>
    </row>
    <row r="967">
      <c r="A967" s="2" t="inlineStr">
        <is>
          <t>SN-3000-3200-3220-3220SY0022</t>
        </is>
      </c>
      <c r="B967" s="2" t="inlineStr">
        <is>
          <t>3220SY0022</t>
        </is>
      </c>
      <c r="C967" s="2" t="inlineStr">
        <is>
          <t>Lava ojos emergencia</t>
        </is>
      </c>
      <c r="D967" s="2" t="n">
        <v>322</v>
      </c>
      <c r="E967" s="2" t="inlineStr">
        <is>
          <t>CC-3000</t>
        </is>
      </c>
      <c r="F967" s="2" t="inlineStr">
        <is>
          <t>P01</t>
        </is>
      </c>
      <c r="G967" s="2" t="n">
        <v>630000</v>
      </c>
      <c r="H967" s="2" t="inlineStr">
        <is>
          <t>Servicios externos</t>
        </is>
      </c>
      <c r="I967" s="9" t="n">
        <v>2380.52</v>
      </c>
      <c r="J967" s="9" t="n">
        <v>2368.6</v>
      </c>
      <c r="K967" s="9" t="n">
        <v>2538.97</v>
      </c>
      <c r="L967" s="9" t="n">
        <v>2431.93</v>
      </c>
      <c r="M967" s="9" t="n">
        <v>2385.5</v>
      </c>
      <c r="N967" s="9" t="n">
        <v>2415.7</v>
      </c>
      <c r="O967" s="9" t="n">
        <v>2287.29</v>
      </c>
      <c r="P967" s="9" t="n">
        <v>2307.24</v>
      </c>
      <c r="Q967" s="9" t="n">
        <v>2275.51</v>
      </c>
      <c r="R967" s="9" t="n">
        <v>2592.82</v>
      </c>
      <c r="S967" s="9" t="n">
        <v>2169.14</v>
      </c>
      <c r="T967" s="9" t="n">
        <v>2349.77</v>
      </c>
      <c r="U967" s="10">
        <f>SUM(I967:T967)</f>
        <v/>
      </c>
    </row>
    <row r="968">
      <c r="A968" s="2" t="inlineStr">
        <is>
          <t>SN-3000-3200-3220-3220SY0023</t>
        </is>
      </c>
      <c r="B968" s="2" t="inlineStr">
        <is>
          <t>3220SY0023</t>
        </is>
      </c>
      <c r="C968" s="2" t="inlineStr">
        <is>
          <t>Lava ojos emergencia</t>
        </is>
      </c>
      <c r="D968" s="2" t="n">
        <v>323</v>
      </c>
      <c r="E968" s="2" t="inlineStr">
        <is>
          <t>CC-3000</t>
        </is>
      </c>
      <c r="F968" s="2" t="inlineStr">
        <is>
          <t>P01</t>
        </is>
      </c>
      <c r="G968" s="2" t="n">
        <v>610000</v>
      </c>
      <c r="H968" s="2" t="inlineStr">
        <is>
          <t>Mano obra interna</t>
        </is>
      </c>
      <c r="I968" s="9" t="n">
        <v>746.47</v>
      </c>
      <c r="J968" s="9" t="n">
        <v>692.01</v>
      </c>
      <c r="K968" s="9" t="n">
        <v>816.12</v>
      </c>
      <c r="L968" s="9" t="n">
        <v>788.89</v>
      </c>
      <c r="M968" s="9" t="n">
        <v>730.9400000000001</v>
      </c>
      <c r="N968" s="9" t="n">
        <v>728.64</v>
      </c>
      <c r="O968" s="9" t="n">
        <v>788.23</v>
      </c>
      <c r="P968" s="9" t="n">
        <v>697.14</v>
      </c>
      <c r="Q968" s="9" t="n">
        <v>662.04</v>
      </c>
      <c r="R968" s="9" t="n">
        <v>804.34</v>
      </c>
      <c r="S968" s="9" t="n">
        <v>751.4400000000001</v>
      </c>
      <c r="T968" s="9" t="n">
        <v>696</v>
      </c>
      <c r="U968" s="10">
        <f>SUM(I968:T968)</f>
        <v/>
      </c>
    </row>
    <row r="969">
      <c r="A969" s="2" t="inlineStr">
        <is>
          <t>SN-3000-3200-3220-3220SY0023</t>
        </is>
      </c>
      <c r="B969" s="2" t="inlineStr">
        <is>
          <t>3220SY0023</t>
        </is>
      </c>
      <c r="C969" s="2" t="inlineStr">
        <is>
          <t>Lava ojos emergencia</t>
        </is>
      </c>
      <c r="D969" s="2" t="n">
        <v>323</v>
      </c>
      <c r="E969" s="2" t="inlineStr">
        <is>
          <t>CC-3000</t>
        </is>
      </c>
      <c r="F969" s="2" t="inlineStr">
        <is>
          <t>P01</t>
        </is>
      </c>
      <c r="G969" s="2" t="n">
        <v>620000</v>
      </c>
      <c r="H969" s="2" t="inlineStr">
        <is>
          <t>Materiales</t>
        </is>
      </c>
      <c r="I969" s="9" t="n">
        <v>835.79</v>
      </c>
      <c r="J969" s="9" t="n">
        <v>793.89</v>
      </c>
      <c r="K969" s="9" t="n">
        <v>822.55</v>
      </c>
      <c r="L969" s="9" t="n">
        <v>798.9299999999999</v>
      </c>
      <c r="M969" s="9" t="n">
        <v>854.21</v>
      </c>
      <c r="N969" s="9" t="n">
        <v>845.89</v>
      </c>
      <c r="O969" s="9" t="n">
        <v>813.64</v>
      </c>
      <c r="P969" s="9" t="n">
        <v>883.7</v>
      </c>
      <c r="Q969" s="9" t="n">
        <v>807.4400000000001</v>
      </c>
      <c r="R969" s="9" t="n">
        <v>886.65</v>
      </c>
      <c r="S969" s="9" t="n">
        <v>820.5599999999999</v>
      </c>
      <c r="T969" s="9" t="n">
        <v>828.21</v>
      </c>
      <c r="U969" s="10">
        <f>SUM(I969:T969)</f>
        <v/>
      </c>
    </row>
    <row r="970">
      <c r="A970" s="2" t="inlineStr">
        <is>
          <t>SN-3000-3200-3220-3220SY0023</t>
        </is>
      </c>
      <c r="B970" s="2" t="inlineStr">
        <is>
          <t>3220SY0023</t>
        </is>
      </c>
      <c r="C970" s="2" t="inlineStr">
        <is>
          <t>Lava ojos emergencia</t>
        </is>
      </c>
      <c r="D970" s="2" t="n">
        <v>323</v>
      </c>
      <c r="E970" s="2" t="inlineStr">
        <is>
          <t>CC-3000</t>
        </is>
      </c>
      <c r="F970" s="2" t="inlineStr">
        <is>
          <t>P01</t>
        </is>
      </c>
      <c r="G970" s="2" t="n">
        <v>630000</v>
      </c>
      <c r="H970" s="2" t="inlineStr">
        <is>
          <t>Servicios externos</t>
        </is>
      </c>
      <c r="I970" s="9" t="n">
        <v>709.38</v>
      </c>
      <c r="J970" s="9" t="n">
        <v>759.5700000000001</v>
      </c>
      <c r="K970" s="9" t="n">
        <v>716.24</v>
      </c>
      <c r="L970" s="9" t="n">
        <v>803.03</v>
      </c>
      <c r="M970" s="9" t="n">
        <v>778.51</v>
      </c>
      <c r="N970" s="9" t="n">
        <v>684.85</v>
      </c>
      <c r="O970" s="9" t="n">
        <v>727</v>
      </c>
      <c r="P970" s="9" t="n">
        <v>744.98</v>
      </c>
      <c r="Q970" s="9" t="n">
        <v>706.85</v>
      </c>
      <c r="R970" s="9" t="n">
        <v>778.98</v>
      </c>
      <c r="S970" s="9" t="n">
        <v>734.6</v>
      </c>
      <c r="T970" s="9" t="n">
        <v>734.3200000000001</v>
      </c>
      <c r="U970" s="10">
        <f>SUM(I970:T970)</f>
        <v/>
      </c>
    </row>
    <row r="971">
      <c r="A971" s="2" t="inlineStr">
        <is>
          <t>SN-3000-3300-3300-3300FP1001</t>
        </is>
      </c>
      <c r="B971" s="2" t="inlineStr">
        <is>
          <t>3300FP1001</t>
        </is>
      </c>
      <c r="C971" s="2" t="inlineStr">
        <is>
          <t>Tablero SCI</t>
        </is>
      </c>
      <c r="D971" s="2" t="n">
        <v>324</v>
      </c>
      <c r="E971" s="2" t="inlineStr">
        <is>
          <t>CC-3000</t>
        </is>
      </c>
      <c r="F971" s="2" t="inlineStr">
        <is>
          <t>P01</t>
        </is>
      </c>
      <c r="G971" s="2" t="n">
        <v>610000</v>
      </c>
      <c r="H971" s="2" t="inlineStr">
        <is>
          <t>Mano obra interna</t>
        </is>
      </c>
      <c r="I971" s="9" t="n">
        <v>1764.47</v>
      </c>
      <c r="J971" s="9" t="n">
        <v>1731.46</v>
      </c>
      <c r="K971" s="9" t="n">
        <v>2027.93</v>
      </c>
      <c r="L971" s="9" t="n">
        <v>2061.02</v>
      </c>
      <c r="M971" s="9" t="n">
        <v>1836.78</v>
      </c>
      <c r="N971" s="9" t="n">
        <v>1799.06</v>
      </c>
      <c r="O971" s="9" t="n">
        <v>1772.61</v>
      </c>
      <c r="P971" s="9" t="n">
        <v>1891.84</v>
      </c>
      <c r="Q971" s="9" t="n">
        <v>1648.72</v>
      </c>
      <c r="R971" s="9" t="n">
        <v>2061.23</v>
      </c>
      <c r="S971" s="9" t="n">
        <v>1943.97</v>
      </c>
      <c r="T971" s="9" t="n">
        <v>1813.01</v>
      </c>
      <c r="U971" s="10">
        <f>SUM(I971:T971)</f>
        <v/>
      </c>
    </row>
    <row r="972">
      <c r="A972" s="2" t="inlineStr">
        <is>
          <t>SN-3000-3300-3300-3300FP1001</t>
        </is>
      </c>
      <c r="B972" s="2" t="inlineStr">
        <is>
          <t>3300FP1001</t>
        </is>
      </c>
      <c r="C972" s="2" t="inlineStr">
        <is>
          <t>Tablero SCI</t>
        </is>
      </c>
      <c r="D972" s="2" t="n">
        <v>324</v>
      </c>
      <c r="E972" s="2" t="inlineStr">
        <is>
          <t>CC-3000</t>
        </is>
      </c>
      <c r="F972" s="2" t="inlineStr">
        <is>
          <t>P01</t>
        </is>
      </c>
      <c r="G972" s="2" t="n">
        <v>620000</v>
      </c>
      <c r="H972" s="2" t="inlineStr">
        <is>
          <t>Materiales</t>
        </is>
      </c>
      <c r="I972" s="9" t="n">
        <v>2173.08</v>
      </c>
      <c r="J972" s="9" t="n">
        <v>2224.29</v>
      </c>
      <c r="K972" s="9" t="n">
        <v>2229.25</v>
      </c>
      <c r="L972" s="9" t="n">
        <v>2299.6</v>
      </c>
      <c r="M972" s="9" t="n">
        <v>2161.44</v>
      </c>
      <c r="N972" s="9" t="n">
        <v>2158.5</v>
      </c>
      <c r="O972" s="9" t="n">
        <v>2275.01</v>
      </c>
      <c r="P972" s="9" t="n">
        <v>2229.2</v>
      </c>
      <c r="Q972" s="9" t="n">
        <v>2198.86</v>
      </c>
      <c r="R972" s="9" t="n">
        <v>2651.66</v>
      </c>
      <c r="S972" s="9" t="n">
        <v>2195.32</v>
      </c>
      <c r="T972" s="9" t="n">
        <v>2223.49</v>
      </c>
      <c r="U972" s="10">
        <f>SUM(I972:T972)</f>
        <v/>
      </c>
    </row>
    <row r="973">
      <c r="A973" s="2" t="inlineStr">
        <is>
          <t>SN-3000-3300-3300-3300FP1001</t>
        </is>
      </c>
      <c r="B973" s="2" t="inlineStr">
        <is>
          <t>3300FP1001</t>
        </is>
      </c>
      <c r="C973" s="2" t="inlineStr">
        <is>
          <t>Tablero SCI</t>
        </is>
      </c>
      <c r="D973" s="2" t="n">
        <v>324</v>
      </c>
      <c r="E973" s="2" t="inlineStr">
        <is>
          <t>CC-3000</t>
        </is>
      </c>
      <c r="F973" s="2" t="inlineStr">
        <is>
          <t>P01</t>
        </is>
      </c>
      <c r="G973" s="2" t="n">
        <v>630000</v>
      </c>
      <c r="H973" s="2" t="inlineStr">
        <is>
          <t>Servicios externos</t>
        </is>
      </c>
      <c r="I973" s="9" t="n">
        <v>2099.65</v>
      </c>
      <c r="J973" s="9" t="n">
        <v>1939.02</v>
      </c>
      <c r="K973" s="9" t="n">
        <v>1993.66</v>
      </c>
      <c r="L973" s="9" t="n">
        <v>1877.91</v>
      </c>
      <c r="M973" s="9" t="n">
        <v>1910.89</v>
      </c>
      <c r="N973" s="9" t="n">
        <v>1795.05</v>
      </c>
      <c r="O973" s="9" t="n">
        <v>2085.48</v>
      </c>
      <c r="P973" s="9" t="n">
        <v>2064.59</v>
      </c>
      <c r="Q973" s="9" t="n">
        <v>1691.34</v>
      </c>
      <c r="R973" s="9" t="n">
        <v>2104.77</v>
      </c>
      <c r="S973" s="9" t="n">
        <v>1801.46</v>
      </c>
      <c r="T973" s="9" t="n">
        <v>1947.22</v>
      </c>
      <c r="U973" s="10">
        <f>SUM(I973:T973)</f>
        <v/>
      </c>
    </row>
    <row r="974">
      <c r="A974" s="2" t="inlineStr">
        <is>
          <t>SN-3000-3300-3300-3300US0001</t>
        </is>
      </c>
      <c r="B974" s="2" t="inlineStr">
        <is>
          <t>3300US0001</t>
        </is>
      </c>
      <c r="C974" s="2" t="inlineStr">
        <is>
          <t>Subestación unitaria</t>
        </is>
      </c>
      <c r="D974" s="2" t="n">
        <v>325</v>
      </c>
      <c r="E974" s="2" t="inlineStr">
        <is>
          <t>CC-3000</t>
        </is>
      </c>
      <c r="F974" s="2" t="inlineStr">
        <is>
          <t>P01</t>
        </is>
      </c>
      <c r="G974" s="2" t="n">
        <v>610000</v>
      </c>
      <c r="H974" s="2" t="inlineStr">
        <is>
          <t>Mano obra interna</t>
        </is>
      </c>
      <c r="I974" s="9" t="n">
        <v>1631.99</v>
      </c>
      <c r="J974" s="9" t="n">
        <v>1525.98</v>
      </c>
      <c r="K974" s="9" t="n">
        <v>1565.28</v>
      </c>
      <c r="L974" s="9" t="n">
        <v>1704.92</v>
      </c>
      <c r="M974" s="9" t="n">
        <v>1606.58</v>
      </c>
      <c r="N974" s="9" t="n">
        <v>1513.96</v>
      </c>
      <c r="O974" s="9" t="n">
        <v>1520.4</v>
      </c>
      <c r="P974" s="9" t="n">
        <v>1548.29</v>
      </c>
      <c r="Q974" s="9" t="n">
        <v>1590.65</v>
      </c>
      <c r="R974" s="9" t="n">
        <v>1722</v>
      </c>
      <c r="S974" s="9" t="n">
        <v>1516.35</v>
      </c>
      <c r="T974" s="9" t="n">
        <v>1620.83</v>
      </c>
      <c r="U974" s="10">
        <f>SUM(I974:T974)</f>
        <v/>
      </c>
    </row>
    <row r="975">
      <c r="A975" s="2" t="inlineStr">
        <is>
          <t>SN-3000-3300-3300-3300US0001</t>
        </is>
      </c>
      <c r="B975" s="2" t="inlineStr">
        <is>
          <t>3300US0001</t>
        </is>
      </c>
      <c r="C975" s="2" t="inlineStr">
        <is>
          <t>Subestación unitaria</t>
        </is>
      </c>
      <c r="D975" s="2" t="n">
        <v>325</v>
      </c>
      <c r="E975" s="2" t="inlineStr">
        <is>
          <t>CC-3000</t>
        </is>
      </c>
      <c r="F975" s="2" t="inlineStr">
        <is>
          <t>P01</t>
        </is>
      </c>
      <c r="G975" s="2" t="n">
        <v>620000</v>
      </c>
      <c r="H975" s="2" t="inlineStr">
        <is>
          <t>Materiales</t>
        </is>
      </c>
      <c r="I975" s="9" t="n">
        <v>1485.19</v>
      </c>
      <c r="J975" s="9" t="n">
        <v>1394.86</v>
      </c>
      <c r="K975" s="9" t="n">
        <v>1561.23</v>
      </c>
      <c r="L975" s="9" t="n">
        <v>1566.31</v>
      </c>
      <c r="M975" s="9" t="n">
        <v>1527.9</v>
      </c>
      <c r="N975" s="9" t="n">
        <v>1514.71</v>
      </c>
      <c r="O975" s="9" t="n">
        <v>1462.94</v>
      </c>
      <c r="P975" s="9" t="n">
        <v>1390.57</v>
      </c>
      <c r="Q975" s="9" t="n">
        <v>1491.78</v>
      </c>
      <c r="R975" s="9" t="n">
        <v>1593.41</v>
      </c>
      <c r="S975" s="9" t="n">
        <v>1473.88</v>
      </c>
      <c r="T975" s="9" t="n">
        <v>1555.54</v>
      </c>
      <c r="U975" s="10">
        <f>SUM(I975:T975)</f>
        <v/>
      </c>
    </row>
    <row r="976">
      <c r="A976" s="2" t="inlineStr">
        <is>
          <t>SN-3000-3300-3300-3300US0001</t>
        </is>
      </c>
      <c r="B976" s="2" t="inlineStr">
        <is>
          <t>3300US0001</t>
        </is>
      </c>
      <c r="C976" s="2" t="inlineStr">
        <is>
          <t>Subestación unitaria</t>
        </is>
      </c>
      <c r="D976" s="2" t="n">
        <v>325</v>
      </c>
      <c r="E976" s="2" t="inlineStr">
        <is>
          <t>CC-3000</t>
        </is>
      </c>
      <c r="F976" s="2" t="inlineStr">
        <is>
          <t>P01</t>
        </is>
      </c>
      <c r="G976" s="2" t="n">
        <v>630000</v>
      </c>
      <c r="H976" s="2" t="inlineStr">
        <is>
          <t>Servicios externos</t>
        </is>
      </c>
      <c r="I976" s="9" t="n">
        <v>1364.86</v>
      </c>
      <c r="J976" s="9" t="n">
        <v>1438.33</v>
      </c>
      <c r="K976" s="9" t="n">
        <v>1517.92</v>
      </c>
      <c r="L976" s="9" t="n">
        <v>1446.25</v>
      </c>
      <c r="M976" s="9" t="n">
        <v>1386.11</v>
      </c>
      <c r="N976" s="9" t="n">
        <v>1258.66</v>
      </c>
      <c r="O976" s="9" t="n">
        <v>1310.35</v>
      </c>
      <c r="P976" s="9" t="n">
        <v>1366.12</v>
      </c>
      <c r="Q976" s="9" t="n">
        <v>1266.64</v>
      </c>
      <c r="R976" s="9" t="n">
        <v>1623.04</v>
      </c>
      <c r="S976" s="9" t="n">
        <v>1419.99</v>
      </c>
      <c r="T976" s="9" t="n">
        <v>1460.44</v>
      </c>
      <c r="U976" s="10">
        <f>SUM(I976:T976)</f>
        <v/>
      </c>
    </row>
    <row r="977">
      <c r="A977" s="2" t="inlineStr">
        <is>
          <t>SN-3000-3300-3300-3300US0002</t>
        </is>
      </c>
      <c r="B977" s="2" t="inlineStr">
        <is>
          <t>3300US0002</t>
        </is>
      </c>
      <c r="C977" s="2" t="inlineStr">
        <is>
          <t>Subestación unitaria</t>
        </is>
      </c>
      <c r="D977" s="2" t="n">
        <v>326</v>
      </c>
      <c r="E977" s="2" t="inlineStr">
        <is>
          <t>CC-3000</t>
        </is>
      </c>
      <c r="F977" s="2" t="inlineStr">
        <is>
          <t>P01</t>
        </is>
      </c>
      <c r="G977" s="2" t="n">
        <v>610000</v>
      </c>
      <c r="H977" s="2" t="inlineStr">
        <is>
          <t>Mano obra interna</t>
        </is>
      </c>
      <c r="I977" s="9" t="n">
        <v>2315.7</v>
      </c>
      <c r="J977" s="9" t="n">
        <v>2540.28</v>
      </c>
      <c r="K977" s="9" t="n">
        <v>2422.32</v>
      </c>
      <c r="L977" s="9" t="n">
        <v>2294.74</v>
      </c>
      <c r="M977" s="9" t="n">
        <v>2368.79</v>
      </c>
      <c r="N977" s="9" t="n">
        <v>2427.74</v>
      </c>
      <c r="O977" s="9" t="n">
        <v>2545.54</v>
      </c>
      <c r="P977" s="9" t="n">
        <v>2206.8</v>
      </c>
      <c r="Q977" s="9" t="n">
        <v>2368.16</v>
      </c>
      <c r="R977" s="9" t="n">
        <v>2489.35</v>
      </c>
      <c r="S977" s="9" t="n">
        <v>2148.32</v>
      </c>
      <c r="T977" s="9" t="n">
        <v>2566.8</v>
      </c>
      <c r="U977" s="10">
        <f>SUM(I977:T977)</f>
        <v/>
      </c>
    </row>
    <row r="978">
      <c r="A978" s="2" t="inlineStr">
        <is>
          <t>SN-3000-3300-3300-3300US0002</t>
        </is>
      </c>
      <c r="B978" s="2" t="inlineStr">
        <is>
          <t>3300US0002</t>
        </is>
      </c>
      <c r="C978" s="2" t="inlineStr">
        <is>
          <t>Subestación unitaria</t>
        </is>
      </c>
      <c r="D978" s="2" t="n">
        <v>326</v>
      </c>
      <c r="E978" s="2" t="inlineStr">
        <is>
          <t>CC-3000</t>
        </is>
      </c>
      <c r="F978" s="2" t="inlineStr">
        <is>
          <t>P01</t>
        </is>
      </c>
      <c r="G978" s="2" t="n">
        <v>620000</v>
      </c>
      <c r="H978" s="2" t="inlineStr">
        <is>
          <t>Materiales</t>
        </is>
      </c>
      <c r="I978" s="9" t="n">
        <v>2582.86</v>
      </c>
      <c r="J978" s="9" t="n">
        <v>2483.25</v>
      </c>
      <c r="K978" s="9" t="n">
        <v>2699.38</v>
      </c>
      <c r="L978" s="9" t="n">
        <v>2663.34</v>
      </c>
      <c r="M978" s="9" t="n">
        <v>2619.89</v>
      </c>
      <c r="N978" s="9" t="n">
        <v>2402.39</v>
      </c>
      <c r="O978" s="9" t="n">
        <v>2679.4</v>
      </c>
      <c r="P978" s="9" t="n">
        <v>2687.54</v>
      </c>
      <c r="Q978" s="9" t="n">
        <v>2177.2</v>
      </c>
      <c r="R978" s="9" t="n">
        <v>2837.45</v>
      </c>
      <c r="S978" s="9" t="n">
        <v>2412.1</v>
      </c>
      <c r="T978" s="9" t="n">
        <v>2483.26</v>
      </c>
      <c r="U978" s="10">
        <f>SUM(I978:T978)</f>
        <v/>
      </c>
    </row>
    <row r="979">
      <c r="A979" s="2" t="inlineStr">
        <is>
          <t>SN-3000-3300-3300-3300US0002</t>
        </is>
      </c>
      <c r="B979" s="2" t="inlineStr">
        <is>
          <t>3300US0002</t>
        </is>
      </c>
      <c r="C979" s="2" t="inlineStr">
        <is>
          <t>Subestación unitaria</t>
        </is>
      </c>
      <c r="D979" s="2" t="n">
        <v>326</v>
      </c>
      <c r="E979" s="2" t="inlineStr">
        <is>
          <t>CC-3000</t>
        </is>
      </c>
      <c r="F979" s="2" t="inlineStr">
        <is>
          <t>P01</t>
        </is>
      </c>
      <c r="G979" s="2" t="n">
        <v>630000</v>
      </c>
      <c r="H979" s="2" t="inlineStr">
        <is>
          <t>Servicios externos</t>
        </is>
      </c>
      <c r="I979" s="9" t="n">
        <v>2258.88</v>
      </c>
      <c r="J979" s="9" t="n">
        <v>2348.34</v>
      </c>
      <c r="K979" s="9" t="n">
        <v>2603.18</v>
      </c>
      <c r="L979" s="9" t="n">
        <v>2322.88</v>
      </c>
      <c r="M979" s="9" t="n">
        <v>2329.58</v>
      </c>
      <c r="N979" s="9" t="n">
        <v>2437.47</v>
      </c>
      <c r="O979" s="9" t="n">
        <v>2355.82</v>
      </c>
      <c r="P979" s="9" t="n">
        <v>2326.26</v>
      </c>
      <c r="Q979" s="9" t="n">
        <v>2196.23</v>
      </c>
      <c r="R979" s="9" t="n">
        <v>2576.78</v>
      </c>
      <c r="S979" s="9" t="n">
        <v>2354.61</v>
      </c>
      <c r="T979" s="9" t="n">
        <v>2533.65</v>
      </c>
      <c r="U979" s="10">
        <f>SUM(I979:T979)</f>
        <v/>
      </c>
    </row>
    <row r="980">
      <c r="A980" s="2" t="inlineStr">
        <is>
          <t>SN-3000-3300-3310-3310CT0001</t>
        </is>
      </c>
      <c r="B980" s="2" t="inlineStr">
        <is>
          <t>3310CT0001</t>
        </is>
      </c>
      <c r="C980" s="2" t="inlineStr">
        <is>
          <t>Sistema CCTV CCD</t>
        </is>
      </c>
      <c r="D980" s="2" t="n">
        <v>327</v>
      </c>
      <c r="E980" s="2" t="inlineStr">
        <is>
          <t>CC-3000</t>
        </is>
      </c>
      <c r="F980" s="2" t="inlineStr">
        <is>
          <t>P01</t>
        </is>
      </c>
      <c r="G980" s="2" t="n">
        <v>610000</v>
      </c>
      <c r="H980" s="2" t="inlineStr">
        <is>
          <t>Mano obra interna</t>
        </is>
      </c>
      <c r="I980" s="9" t="n">
        <v>2681.32</v>
      </c>
      <c r="J980" s="9" t="n">
        <v>2475.03</v>
      </c>
      <c r="K980" s="9" t="n">
        <v>2512.05</v>
      </c>
      <c r="L980" s="9" t="n">
        <v>2619.26</v>
      </c>
      <c r="M980" s="9" t="n">
        <v>2559.91</v>
      </c>
      <c r="N980" s="9" t="n">
        <v>2411.98</v>
      </c>
      <c r="O980" s="9" t="n">
        <v>2323.32</v>
      </c>
      <c r="P980" s="9" t="n">
        <v>2365.8</v>
      </c>
      <c r="Q980" s="9" t="n">
        <v>2246.88</v>
      </c>
      <c r="R980" s="9" t="n">
        <v>2601.87</v>
      </c>
      <c r="S980" s="9" t="n">
        <v>2486.91</v>
      </c>
      <c r="T980" s="9" t="n">
        <v>2341.22</v>
      </c>
      <c r="U980" s="10">
        <f>SUM(I980:T980)</f>
        <v/>
      </c>
    </row>
    <row r="981">
      <c r="A981" s="2" t="inlineStr">
        <is>
          <t>SN-3000-3300-3310-3310CT0001</t>
        </is>
      </c>
      <c r="B981" s="2" t="inlineStr">
        <is>
          <t>3310CT0001</t>
        </is>
      </c>
      <c r="C981" s="2" t="inlineStr">
        <is>
          <t>Sistema CCTV CCD</t>
        </is>
      </c>
      <c r="D981" s="2" t="n">
        <v>327</v>
      </c>
      <c r="E981" s="2" t="inlineStr">
        <is>
          <t>CC-3000</t>
        </is>
      </c>
      <c r="F981" s="2" t="inlineStr">
        <is>
          <t>P01</t>
        </is>
      </c>
      <c r="G981" s="2" t="n">
        <v>620000</v>
      </c>
      <c r="H981" s="2" t="inlineStr">
        <is>
          <t>Materiales</t>
        </is>
      </c>
      <c r="I981" s="9" t="n">
        <v>2586.05</v>
      </c>
      <c r="J981" s="9" t="n">
        <v>2513.41</v>
      </c>
      <c r="K981" s="9" t="n">
        <v>2727.47</v>
      </c>
      <c r="L981" s="9" t="n">
        <v>2567.82</v>
      </c>
      <c r="M981" s="9" t="n">
        <v>2765.07</v>
      </c>
      <c r="N981" s="9" t="n">
        <v>2349.49</v>
      </c>
      <c r="O981" s="9" t="n">
        <v>2609.82</v>
      </c>
      <c r="P981" s="9" t="n">
        <v>2777.14</v>
      </c>
      <c r="Q981" s="9" t="n">
        <v>2495.54</v>
      </c>
      <c r="R981" s="9" t="n">
        <v>2744.17</v>
      </c>
      <c r="S981" s="9" t="n">
        <v>2515.7</v>
      </c>
      <c r="T981" s="9" t="n">
        <v>2759.48</v>
      </c>
      <c r="U981" s="10">
        <f>SUM(I981:T981)</f>
        <v/>
      </c>
    </row>
    <row r="982">
      <c r="A982" s="2" t="inlineStr">
        <is>
          <t>SN-3000-3300-3310-3310CT0001</t>
        </is>
      </c>
      <c r="B982" s="2" t="inlineStr">
        <is>
          <t>3310CT0001</t>
        </is>
      </c>
      <c r="C982" s="2" t="inlineStr">
        <is>
          <t>Sistema CCTV CCD</t>
        </is>
      </c>
      <c r="D982" s="2" t="n">
        <v>327</v>
      </c>
      <c r="E982" s="2" t="inlineStr">
        <is>
          <t>CC-3000</t>
        </is>
      </c>
      <c r="F982" s="2" t="inlineStr">
        <is>
          <t>P01</t>
        </is>
      </c>
      <c r="G982" s="2" t="n">
        <v>630000</v>
      </c>
      <c r="H982" s="2" t="inlineStr">
        <is>
          <t>Servicios externos</t>
        </is>
      </c>
      <c r="I982" s="9" t="n">
        <v>3038.29</v>
      </c>
      <c r="J982" s="9" t="n">
        <v>2688.19</v>
      </c>
      <c r="K982" s="9" t="n">
        <v>3118.98</v>
      </c>
      <c r="L982" s="9" t="n">
        <v>2634.5</v>
      </c>
      <c r="M982" s="9" t="n">
        <v>2561.71</v>
      </c>
      <c r="N982" s="9" t="n">
        <v>2815.81</v>
      </c>
      <c r="O982" s="9" t="n">
        <v>2666.67</v>
      </c>
      <c r="P982" s="9" t="n">
        <v>2601.39</v>
      </c>
      <c r="Q982" s="9" t="n">
        <v>2496.94</v>
      </c>
      <c r="R982" s="9" t="n">
        <v>2984.01</v>
      </c>
      <c r="S982" s="9" t="n">
        <v>2810.69</v>
      </c>
      <c r="T982" s="9" t="n">
        <v>2898.22</v>
      </c>
      <c r="U982" s="10">
        <f>SUM(I982:T982)</f>
        <v/>
      </c>
    </row>
    <row r="983">
      <c r="A983" s="2" t="inlineStr">
        <is>
          <t>SN-3000-3300-3310-3310IO0001</t>
        </is>
      </c>
      <c r="B983" s="2" t="inlineStr">
        <is>
          <t>3310IO0001</t>
        </is>
      </c>
      <c r="C983" s="2" t="inlineStr">
        <is>
          <t xml:space="preserve">Gabinete RIO  </t>
        </is>
      </c>
      <c r="D983" s="2" t="n">
        <v>328</v>
      </c>
      <c r="E983" s="2" t="inlineStr">
        <is>
          <t>CC-3000</t>
        </is>
      </c>
      <c r="F983" s="2" t="inlineStr">
        <is>
          <t>P01</t>
        </is>
      </c>
      <c r="G983" s="2" t="n">
        <v>610000</v>
      </c>
      <c r="H983" s="2" t="inlineStr">
        <is>
          <t>Mano obra interna</t>
        </is>
      </c>
      <c r="I983" s="9" t="n">
        <v>224.02</v>
      </c>
      <c r="J983" s="9" t="n">
        <v>230.74</v>
      </c>
      <c r="K983" s="9" t="n">
        <v>237.68</v>
      </c>
      <c r="L983" s="9" t="n">
        <v>217.83</v>
      </c>
      <c r="M983" s="9" t="n">
        <v>233.81</v>
      </c>
      <c r="N983" s="9" t="n">
        <v>216.7</v>
      </c>
      <c r="O983" s="9" t="n">
        <v>204.07</v>
      </c>
      <c r="P983" s="9" t="n">
        <v>202.87</v>
      </c>
      <c r="Q983" s="9" t="n">
        <v>193.34</v>
      </c>
      <c r="R983" s="9" t="n">
        <v>245.16</v>
      </c>
      <c r="S983" s="9" t="n">
        <v>201.58</v>
      </c>
      <c r="T983" s="9" t="n">
        <v>223</v>
      </c>
      <c r="U983" s="10">
        <f>SUM(I983:T983)</f>
        <v/>
      </c>
    </row>
    <row r="984">
      <c r="A984" s="2" t="inlineStr">
        <is>
          <t>SN-3000-3300-3310-3310IO0001</t>
        </is>
      </c>
      <c r="B984" s="2" t="inlineStr">
        <is>
          <t>3310IO0001</t>
        </is>
      </c>
      <c r="C984" s="2" t="inlineStr">
        <is>
          <t xml:space="preserve">Gabinete RIO  </t>
        </is>
      </c>
      <c r="D984" s="2" t="n">
        <v>328</v>
      </c>
      <c r="E984" s="2" t="inlineStr">
        <is>
          <t>CC-3000</t>
        </is>
      </c>
      <c r="F984" s="2" t="inlineStr">
        <is>
          <t>P01</t>
        </is>
      </c>
      <c r="G984" s="2" t="n">
        <v>620000</v>
      </c>
      <c r="H984" s="2" t="inlineStr">
        <is>
          <t>Materiales</t>
        </is>
      </c>
      <c r="I984" s="9" t="n">
        <v>222.12</v>
      </c>
      <c r="J984" s="9" t="n">
        <v>195.75</v>
      </c>
      <c r="K984" s="9" t="n">
        <v>224.04</v>
      </c>
      <c r="L984" s="9" t="n">
        <v>223.18</v>
      </c>
      <c r="M984" s="9" t="n">
        <v>185.8</v>
      </c>
      <c r="N984" s="9" t="n">
        <v>193.78</v>
      </c>
      <c r="O984" s="9" t="n">
        <v>188.43</v>
      </c>
      <c r="P984" s="9" t="n">
        <v>217.02</v>
      </c>
      <c r="Q984" s="9" t="n">
        <v>190.32</v>
      </c>
      <c r="R984" s="9" t="n">
        <v>204.89</v>
      </c>
      <c r="S984" s="9" t="n">
        <v>185.04</v>
      </c>
      <c r="T984" s="9" t="n">
        <v>203.02</v>
      </c>
      <c r="U984" s="10">
        <f>SUM(I984:T984)</f>
        <v/>
      </c>
    </row>
    <row r="985">
      <c r="A985" s="2" t="inlineStr">
        <is>
          <t>SN-3000-3300-3310-3310IO0001</t>
        </is>
      </c>
      <c r="B985" s="2" t="inlineStr">
        <is>
          <t>3310IO0001</t>
        </is>
      </c>
      <c r="C985" s="2" t="inlineStr">
        <is>
          <t xml:space="preserve">Gabinete RIO  </t>
        </is>
      </c>
      <c r="D985" s="2" t="n">
        <v>328</v>
      </c>
      <c r="E985" s="2" t="inlineStr">
        <is>
          <t>CC-3000</t>
        </is>
      </c>
      <c r="F985" s="2" t="inlineStr">
        <is>
          <t>P01</t>
        </is>
      </c>
      <c r="G985" s="2" t="n">
        <v>630000</v>
      </c>
      <c r="H985" s="2" t="inlineStr">
        <is>
          <t>Servicios externos</t>
        </is>
      </c>
      <c r="I985" s="9" t="n">
        <v>271.73</v>
      </c>
      <c r="J985" s="9" t="n">
        <v>269.26</v>
      </c>
      <c r="K985" s="9" t="n">
        <v>260.69</v>
      </c>
      <c r="L985" s="9" t="n">
        <v>244.62</v>
      </c>
      <c r="M985" s="9" t="n">
        <v>274.93</v>
      </c>
      <c r="N985" s="9" t="n">
        <v>227.8</v>
      </c>
      <c r="O985" s="9" t="n">
        <v>276.83</v>
      </c>
      <c r="P985" s="9" t="n">
        <v>252.6</v>
      </c>
      <c r="Q985" s="9" t="n">
        <v>221.52</v>
      </c>
      <c r="R985" s="9" t="n">
        <v>286.89</v>
      </c>
      <c r="S985" s="9" t="n">
        <v>269.18</v>
      </c>
      <c r="T985" s="9" t="n">
        <v>281.57</v>
      </c>
      <c r="U985" s="10">
        <f>SUM(I985:T985)</f>
        <v/>
      </c>
    </row>
    <row r="986">
      <c r="A986" s="2" t="inlineStr">
        <is>
          <t>SN-3000-3300-3310-3310IO0002</t>
        </is>
      </c>
      <c r="B986" s="2" t="inlineStr">
        <is>
          <t>3310IO0002</t>
        </is>
      </c>
      <c r="C986" s="2" t="inlineStr">
        <is>
          <t xml:space="preserve">Gabinete RIO  </t>
        </is>
      </c>
      <c r="D986" s="2" t="n">
        <v>329</v>
      </c>
      <c r="E986" s="2" t="inlineStr">
        <is>
          <t>CC-3000</t>
        </is>
      </c>
      <c r="F986" s="2" t="inlineStr">
        <is>
          <t>P01</t>
        </is>
      </c>
      <c r="G986" s="2" t="n">
        <v>610000</v>
      </c>
      <c r="H986" s="2" t="inlineStr">
        <is>
          <t>Mano obra interna</t>
        </is>
      </c>
      <c r="I986" s="9" t="n">
        <v>776.77</v>
      </c>
      <c r="J986" s="9" t="n">
        <v>797.9400000000001</v>
      </c>
      <c r="K986" s="9" t="n">
        <v>845.34</v>
      </c>
      <c r="L986" s="9" t="n">
        <v>850.86</v>
      </c>
      <c r="M986" s="9" t="n">
        <v>753.01</v>
      </c>
      <c r="N986" s="9" t="n">
        <v>822.87</v>
      </c>
      <c r="O986" s="9" t="n">
        <v>819.97</v>
      </c>
      <c r="P986" s="9" t="n">
        <v>845.6900000000001</v>
      </c>
      <c r="Q986" s="9" t="n">
        <v>751.16</v>
      </c>
      <c r="R986" s="9" t="n">
        <v>852.8200000000001</v>
      </c>
      <c r="S986" s="9" t="n">
        <v>835.45</v>
      </c>
      <c r="T986" s="9" t="n">
        <v>824.39</v>
      </c>
      <c r="U986" s="10">
        <f>SUM(I986:T986)</f>
        <v/>
      </c>
    </row>
    <row r="987">
      <c r="A987" s="2" t="inlineStr">
        <is>
          <t>SN-3000-3300-3310-3310IO0002</t>
        </is>
      </c>
      <c r="B987" s="2" t="inlineStr">
        <is>
          <t>3310IO0002</t>
        </is>
      </c>
      <c r="C987" s="2" t="inlineStr">
        <is>
          <t xml:space="preserve">Gabinete RIO  </t>
        </is>
      </c>
      <c r="D987" s="2" t="n">
        <v>329</v>
      </c>
      <c r="E987" s="2" t="inlineStr">
        <is>
          <t>CC-3000</t>
        </is>
      </c>
      <c r="F987" s="2" t="inlineStr">
        <is>
          <t>P01</t>
        </is>
      </c>
      <c r="G987" s="2" t="n">
        <v>620000</v>
      </c>
      <c r="H987" s="2" t="inlineStr">
        <is>
          <t>Materiales</t>
        </is>
      </c>
      <c r="I987" s="9" t="n">
        <v>1098.53</v>
      </c>
      <c r="J987" s="9" t="n">
        <v>1015.86</v>
      </c>
      <c r="K987" s="9" t="n">
        <v>1043.18</v>
      </c>
      <c r="L987" s="9" t="n">
        <v>943.99</v>
      </c>
      <c r="M987" s="9" t="n">
        <v>919.87</v>
      </c>
      <c r="N987" s="9" t="n">
        <v>913.34</v>
      </c>
      <c r="O987" s="9" t="n">
        <v>953.36</v>
      </c>
      <c r="P987" s="9" t="n">
        <v>963.24</v>
      </c>
      <c r="Q987" s="9" t="n">
        <v>904.83</v>
      </c>
      <c r="R987" s="9" t="n">
        <v>1057.79</v>
      </c>
      <c r="S987" s="9" t="n">
        <v>958.9400000000001</v>
      </c>
      <c r="T987" s="9" t="n">
        <v>952.88</v>
      </c>
      <c r="U987" s="10">
        <f>SUM(I987:T987)</f>
        <v/>
      </c>
    </row>
    <row r="988">
      <c r="A988" s="2" t="inlineStr">
        <is>
          <t>SN-3000-3300-3310-3310IO0002</t>
        </is>
      </c>
      <c r="B988" s="2" t="inlineStr">
        <is>
          <t>3310IO0002</t>
        </is>
      </c>
      <c r="C988" s="2" t="inlineStr">
        <is>
          <t xml:space="preserve">Gabinete RIO  </t>
        </is>
      </c>
      <c r="D988" s="2" t="n">
        <v>329</v>
      </c>
      <c r="E988" s="2" t="inlineStr">
        <is>
          <t>CC-3000</t>
        </is>
      </c>
      <c r="F988" s="2" t="inlineStr">
        <is>
          <t>P01</t>
        </is>
      </c>
      <c r="G988" s="2" t="n">
        <v>630000</v>
      </c>
      <c r="H988" s="2" t="inlineStr">
        <is>
          <t>Servicios externos</t>
        </is>
      </c>
      <c r="I988" s="9" t="n">
        <v>784.54</v>
      </c>
      <c r="J988" s="9" t="n">
        <v>740.79</v>
      </c>
      <c r="K988" s="9" t="n">
        <v>764.48</v>
      </c>
      <c r="L988" s="9" t="n">
        <v>780.63</v>
      </c>
      <c r="M988" s="9" t="n">
        <v>778.77</v>
      </c>
      <c r="N988" s="9" t="n">
        <v>706.59</v>
      </c>
      <c r="O988" s="9" t="n">
        <v>764.9400000000001</v>
      </c>
      <c r="P988" s="9" t="n">
        <v>801.37</v>
      </c>
      <c r="Q988" s="9" t="n">
        <v>733.85</v>
      </c>
      <c r="R988" s="9" t="n">
        <v>796.8</v>
      </c>
      <c r="S988" s="9" t="n">
        <v>740.59</v>
      </c>
      <c r="T988" s="9" t="n">
        <v>719.61</v>
      </c>
      <c r="U988" s="10">
        <f>SUM(I988:T988)</f>
        <v/>
      </c>
    </row>
    <row r="989">
      <c r="A989" s="2" t="inlineStr">
        <is>
          <t>SN-3000-3300-3310-3310IO0003</t>
        </is>
      </c>
      <c r="B989" s="2" t="inlineStr">
        <is>
          <t>3310IO0003</t>
        </is>
      </c>
      <c r="C989" s="2" t="inlineStr">
        <is>
          <t xml:space="preserve">Gabinete RIO  </t>
        </is>
      </c>
      <c r="D989" s="2" t="n">
        <v>330</v>
      </c>
      <c r="E989" s="2" t="inlineStr">
        <is>
          <t>CC-3000</t>
        </is>
      </c>
      <c r="F989" s="2" t="inlineStr">
        <is>
          <t>P01</t>
        </is>
      </c>
      <c r="G989" s="2" t="n">
        <v>610000</v>
      </c>
      <c r="H989" s="2" t="inlineStr">
        <is>
          <t>Mano obra interna</t>
        </is>
      </c>
      <c r="I989" s="9" t="n">
        <v>1177.27</v>
      </c>
      <c r="J989" s="9" t="n">
        <v>1057.65</v>
      </c>
      <c r="K989" s="9" t="n">
        <v>1180.24</v>
      </c>
      <c r="L989" s="9" t="n">
        <v>1078.15</v>
      </c>
      <c r="M989" s="9" t="n">
        <v>1144.28</v>
      </c>
      <c r="N989" s="9" t="n">
        <v>1036.71</v>
      </c>
      <c r="O989" s="9" t="n">
        <v>992.8</v>
      </c>
      <c r="P989" s="9" t="n">
        <v>1084.82</v>
      </c>
      <c r="Q989" s="9" t="n">
        <v>960.8099999999999</v>
      </c>
      <c r="R989" s="9" t="n">
        <v>1068.37</v>
      </c>
      <c r="S989" s="9" t="n">
        <v>1089.79</v>
      </c>
      <c r="T989" s="9" t="n">
        <v>1047.68</v>
      </c>
      <c r="U989" s="10">
        <f>SUM(I989:T989)</f>
        <v/>
      </c>
    </row>
    <row r="990">
      <c r="A990" s="2" t="inlineStr">
        <is>
          <t>SN-3000-3300-3310-3310IO0003</t>
        </is>
      </c>
      <c r="B990" s="2" t="inlineStr">
        <is>
          <t>3310IO0003</t>
        </is>
      </c>
      <c r="C990" s="2" t="inlineStr">
        <is>
          <t xml:space="preserve">Gabinete RIO  </t>
        </is>
      </c>
      <c r="D990" s="2" t="n">
        <v>330</v>
      </c>
      <c r="E990" s="2" t="inlineStr">
        <is>
          <t>CC-3000</t>
        </is>
      </c>
      <c r="F990" s="2" t="inlineStr">
        <is>
          <t>P01</t>
        </is>
      </c>
      <c r="G990" s="2" t="n">
        <v>620000</v>
      </c>
      <c r="H990" s="2" t="inlineStr">
        <is>
          <t>Materiales</t>
        </is>
      </c>
      <c r="I990" s="9" t="n">
        <v>1093.76</v>
      </c>
      <c r="J990" s="9" t="n">
        <v>1038.8</v>
      </c>
      <c r="K990" s="9" t="n">
        <v>1230.85</v>
      </c>
      <c r="L990" s="9" t="n">
        <v>1108.36</v>
      </c>
      <c r="M990" s="9" t="n">
        <v>1115.34</v>
      </c>
      <c r="N990" s="9" t="n">
        <v>1078.94</v>
      </c>
      <c r="O990" s="9" t="n">
        <v>1120.24</v>
      </c>
      <c r="P990" s="9" t="n">
        <v>1181.71</v>
      </c>
      <c r="Q990" s="9" t="n">
        <v>1061.16</v>
      </c>
      <c r="R990" s="9" t="n">
        <v>1177.56</v>
      </c>
      <c r="S990" s="9" t="n">
        <v>1135.84</v>
      </c>
      <c r="T990" s="9" t="n">
        <v>1068.04</v>
      </c>
      <c r="U990" s="10">
        <f>SUM(I990:T990)</f>
        <v/>
      </c>
    </row>
    <row r="991">
      <c r="A991" s="2" t="inlineStr">
        <is>
          <t>SN-3000-3300-3310-3310IO0003</t>
        </is>
      </c>
      <c r="B991" s="2" t="inlineStr">
        <is>
          <t>3310IO0003</t>
        </is>
      </c>
      <c r="C991" s="2" t="inlineStr">
        <is>
          <t xml:space="preserve">Gabinete RIO  </t>
        </is>
      </c>
      <c r="D991" s="2" t="n">
        <v>330</v>
      </c>
      <c r="E991" s="2" t="inlineStr">
        <is>
          <t>CC-3000</t>
        </is>
      </c>
      <c r="F991" s="2" t="inlineStr">
        <is>
          <t>P01</t>
        </is>
      </c>
      <c r="G991" s="2" t="n">
        <v>630000</v>
      </c>
      <c r="H991" s="2" t="inlineStr">
        <is>
          <t>Servicios externos</t>
        </is>
      </c>
      <c r="I991" s="9" t="n">
        <v>1127.73</v>
      </c>
      <c r="J991" s="9" t="n">
        <v>1035.18</v>
      </c>
      <c r="K991" s="9" t="n">
        <v>1116.93</v>
      </c>
      <c r="L991" s="9" t="n">
        <v>1079.01</v>
      </c>
      <c r="M991" s="9" t="n">
        <v>1075.13</v>
      </c>
      <c r="N991" s="9" t="n">
        <v>1055.21</v>
      </c>
      <c r="O991" s="9" t="n">
        <v>993.4299999999999</v>
      </c>
      <c r="P991" s="9" t="n">
        <v>975.23</v>
      </c>
      <c r="Q991" s="9" t="n">
        <v>956.74</v>
      </c>
      <c r="R991" s="9" t="n">
        <v>1147.12</v>
      </c>
      <c r="S991" s="9" t="n">
        <v>953.97</v>
      </c>
      <c r="T991" s="9" t="n">
        <v>962.75</v>
      </c>
      <c r="U991" s="10">
        <f>SUM(I991:T991)</f>
        <v/>
      </c>
    </row>
    <row r="992">
      <c r="A992" s="2" t="inlineStr">
        <is>
          <t>SN-3000-3300-3310-3310PL0001</t>
        </is>
      </c>
      <c r="B992" s="2" t="inlineStr">
        <is>
          <t>3310PL0001</t>
        </is>
      </c>
      <c r="C992" s="2" t="inlineStr">
        <is>
          <t>Línea pulpa 3310-2018-ATNA-8"-SL-N</t>
        </is>
      </c>
      <c r="D992" s="2" t="n">
        <v>331</v>
      </c>
      <c r="E992" s="2" t="inlineStr">
        <is>
          <t>CC-3000</t>
        </is>
      </c>
      <c r="F992" s="2" t="inlineStr">
        <is>
          <t>P01</t>
        </is>
      </c>
      <c r="G992" s="2" t="n">
        <v>610000</v>
      </c>
      <c r="H992" s="2" t="inlineStr">
        <is>
          <t>Mano obra interna</t>
        </is>
      </c>
      <c r="I992" s="9" t="n">
        <v>1268.11</v>
      </c>
      <c r="J992" s="9" t="n">
        <v>1173.53</v>
      </c>
      <c r="K992" s="9" t="n">
        <v>1173.27</v>
      </c>
      <c r="L992" s="9" t="n">
        <v>1122.91</v>
      </c>
      <c r="M992" s="9" t="n">
        <v>1117.24</v>
      </c>
      <c r="N992" s="9" t="n">
        <v>1046.4</v>
      </c>
      <c r="O992" s="9" t="n">
        <v>1083.23</v>
      </c>
      <c r="P992" s="9" t="n">
        <v>1229.81</v>
      </c>
      <c r="Q992" s="9" t="n">
        <v>1161.3</v>
      </c>
      <c r="R992" s="9" t="n">
        <v>1179.18</v>
      </c>
      <c r="S992" s="9" t="n">
        <v>1038.89</v>
      </c>
      <c r="T992" s="9" t="n">
        <v>1140.74</v>
      </c>
      <c r="U992" s="10">
        <f>SUM(I992:T992)</f>
        <v/>
      </c>
    </row>
    <row r="993">
      <c r="A993" s="2" t="inlineStr">
        <is>
          <t>SN-3000-3300-3310-3310PL0001</t>
        </is>
      </c>
      <c r="B993" s="2" t="inlineStr">
        <is>
          <t>3310PL0001</t>
        </is>
      </c>
      <c r="C993" s="2" t="inlineStr">
        <is>
          <t>Línea pulpa 3310-2018-ATNA-8"-SL-N</t>
        </is>
      </c>
      <c r="D993" s="2" t="n">
        <v>331</v>
      </c>
      <c r="E993" s="2" t="inlineStr">
        <is>
          <t>CC-3000</t>
        </is>
      </c>
      <c r="F993" s="2" t="inlineStr">
        <is>
          <t>P01</t>
        </is>
      </c>
      <c r="G993" s="2" t="n">
        <v>620000</v>
      </c>
      <c r="H993" s="2" t="inlineStr">
        <is>
          <t>Materiales</t>
        </is>
      </c>
      <c r="I993" s="9" t="n">
        <v>1121.85</v>
      </c>
      <c r="J993" s="9" t="n">
        <v>1099.86</v>
      </c>
      <c r="K993" s="9" t="n">
        <v>1132.96</v>
      </c>
      <c r="L993" s="9" t="n">
        <v>1230.57</v>
      </c>
      <c r="M993" s="9" t="n">
        <v>1180.31</v>
      </c>
      <c r="N993" s="9" t="n">
        <v>1126.55</v>
      </c>
      <c r="O993" s="9" t="n">
        <v>1133.12</v>
      </c>
      <c r="P993" s="9" t="n">
        <v>1227.99</v>
      </c>
      <c r="Q993" s="9" t="n">
        <v>1154.35</v>
      </c>
      <c r="R993" s="9" t="n">
        <v>1178.92</v>
      </c>
      <c r="S993" s="9" t="n">
        <v>1067.1</v>
      </c>
      <c r="T993" s="9" t="n">
        <v>1175.34</v>
      </c>
      <c r="U993" s="10">
        <f>SUM(I993:T993)</f>
        <v/>
      </c>
    </row>
    <row r="994">
      <c r="A994" s="2" t="inlineStr">
        <is>
          <t>SN-3000-3300-3310-3310PL0001</t>
        </is>
      </c>
      <c r="B994" s="2" t="inlineStr">
        <is>
          <t>3310PL0001</t>
        </is>
      </c>
      <c r="C994" s="2" t="inlineStr">
        <is>
          <t>Línea pulpa 3310-2018-ATNA-8"-SL-N</t>
        </is>
      </c>
      <c r="D994" s="2" t="n">
        <v>331</v>
      </c>
      <c r="E994" s="2" t="inlineStr">
        <is>
          <t>CC-3000</t>
        </is>
      </c>
      <c r="F994" s="2" t="inlineStr">
        <is>
          <t>P01</t>
        </is>
      </c>
      <c r="G994" s="2" t="n">
        <v>630000</v>
      </c>
      <c r="H994" s="2" t="inlineStr">
        <is>
          <t>Servicios externos</t>
        </is>
      </c>
      <c r="I994" s="9" t="n">
        <v>1048.31</v>
      </c>
      <c r="J994" s="9" t="n">
        <v>1035.12</v>
      </c>
      <c r="K994" s="9" t="n">
        <v>1074.06</v>
      </c>
      <c r="L994" s="9" t="n">
        <v>1031.64</v>
      </c>
      <c r="M994" s="9" t="n">
        <v>1033.7</v>
      </c>
      <c r="N994" s="9" t="n">
        <v>1064.69</v>
      </c>
      <c r="O994" s="9" t="n">
        <v>989.1</v>
      </c>
      <c r="P994" s="9" t="n">
        <v>1062.36</v>
      </c>
      <c r="Q994" s="9" t="n">
        <v>895.1900000000001</v>
      </c>
      <c r="R994" s="9" t="n">
        <v>1041.2</v>
      </c>
      <c r="S994" s="9" t="n">
        <v>1012.65</v>
      </c>
      <c r="T994" s="9" t="n">
        <v>986.3099999999999</v>
      </c>
      <c r="U994" s="10">
        <f>SUM(I994:T994)</f>
        <v/>
      </c>
    </row>
    <row r="995">
      <c r="A995" s="2" t="inlineStr">
        <is>
          <t>SN-3000-3300-3310-3310PL0002</t>
        </is>
      </c>
      <c r="B995" s="2" t="inlineStr">
        <is>
          <t>3310PL0002</t>
        </is>
      </c>
      <c r="C995" s="2" t="inlineStr">
        <is>
          <t>Línea pulpa 3310-2000-AA1C-8"-SL-AF</t>
        </is>
      </c>
      <c r="D995" s="2" t="n">
        <v>332</v>
      </c>
      <c r="E995" s="2" t="inlineStr">
        <is>
          <t>CC-3000</t>
        </is>
      </c>
      <c r="F995" s="2" t="inlineStr">
        <is>
          <t>P01</t>
        </is>
      </c>
      <c r="G995" s="2" t="n">
        <v>610000</v>
      </c>
      <c r="H995" s="2" t="inlineStr">
        <is>
          <t>Mano obra interna</t>
        </is>
      </c>
      <c r="I995" s="9" t="n">
        <v>2335.82</v>
      </c>
      <c r="J995" s="9" t="n">
        <v>2403.16</v>
      </c>
      <c r="K995" s="9" t="n">
        <v>2572.53</v>
      </c>
      <c r="L995" s="9" t="n">
        <v>2350.8</v>
      </c>
      <c r="M995" s="9" t="n">
        <v>2454.42</v>
      </c>
      <c r="N995" s="9" t="n">
        <v>2191.65</v>
      </c>
      <c r="O995" s="9" t="n">
        <v>2460.01</v>
      </c>
      <c r="P995" s="9" t="n">
        <v>2379.26</v>
      </c>
      <c r="Q995" s="9" t="n">
        <v>2303.44</v>
      </c>
      <c r="R995" s="9" t="n">
        <v>2810.75</v>
      </c>
      <c r="S995" s="9" t="n">
        <v>2501.7</v>
      </c>
      <c r="T995" s="9" t="n">
        <v>2256.52</v>
      </c>
      <c r="U995" s="10">
        <f>SUM(I995:T995)</f>
        <v/>
      </c>
    </row>
    <row r="996">
      <c r="A996" s="2" t="inlineStr">
        <is>
          <t>SN-3000-3300-3310-3310PL0002</t>
        </is>
      </c>
      <c r="B996" s="2" t="inlineStr">
        <is>
          <t>3310PL0002</t>
        </is>
      </c>
      <c r="C996" s="2" t="inlineStr">
        <is>
          <t>Línea pulpa 3310-2000-AA1C-8"-SL-AF</t>
        </is>
      </c>
      <c r="D996" s="2" t="n">
        <v>332</v>
      </c>
      <c r="E996" s="2" t="inlineStr">
        <is>
          <t>CC-3000</t>
        </is>
      </c>
      <c r="F996" s="2" t="inlineStr">
        <is>
          <t>P01</t>
        </is>
      </c>
      <c r="G996" s="2" t="n">
        <v>620000</v>
      </c>
      <c r="H996" s="2" t="inlineStr">
        <is>
          <t>Materiales</t>
        </is>
      </c>
      <c r="I996" s="9" t="n">
        <v>2908.4</v>
      </c>
      <c r="J996" s="9" t="n">
        <v>3233.54</v>
      </c>
      <c r="K996" s="9" t="n">
        <v>3047.97</v>
      </c>
      <c r="L996" s="9" t="n">
        <v>3069.78</v>
      </c>
      <c r="M996" s="9" t="n">
        <v>2831.73</v>
      </c>
      <c r="N996" s="9" t="n">
        <v>2745.29</v>
      </c>
      <c r="O996" s="9" t="n">
        <v>3173.85</v>
      </c>
      <c r="P996" s="9" t="n">
        <v>3276.54</v>
      </c>
      <c r="Q996" s="9" t="n">
        <v>2900.24</v>
      </c>
      <c r="R996" s="9" t="n">
        <v>3415.46</v>
      </c>
      <c r="S996" s="9" t="n">
        <v>3087.8</v>
      </c>
      <c r="T996" s="9" t="n">
        <v>2988.9</v>
      </c>
      <c r="U996" s="10">
        <f>SUM(I996:T996)</f>
        <v/>
      </c>
    </row>
    <row r="997">
      <c r="A997" s="2" t="inlineStr">
        <is>
          <t>SN-3000-3300-3310-3310PL0002</t>
        </is>
      </c>
      <c r="B997" s="2" t="inlineStr">
        <is>
          <t>3310PL0002</t>
        </is>
      </c>
      <c r="C997" s="2" t="inlineStr">
        <is>
          <t>Línea pulpa 3310-2000-AA1C-8"-SL-AF</t>
        </is>
      </c>
      <c r="D997" s="2" t="n">
        <v>332</v>
      </c>
      <c r="E997" s="2" t="inlineStr">
        <is>
          <t>CC-3000</t>
        </is>
      </c>
      <c r="F997" s="2" t="inlineStr">
        <is>
          <t>P01</t>
        </is>
      </c>
      <c r="G997" s="2" t="n">
        <v>630000</v>
      </c>
      <c r="H997" s="2" t="inlineStr">
        <is>
          <t>Servicios externos</t>
        </is>
      </c>
      <c r="I997" s="9" t="n">
        <v>2291.21</v>
      </c>
      <c r="J997" s="9" t="n">
        <v>2344.47</v>
      </c>
      <c r="K997" s="9" t="n">
        <v>2411.89</v>
      </c>
      <c r="L997" s="9" t="n">
        <v>2318.01</v>
      </c>
      <c r="M997" s="9" t="n">
        <v>2289.81</v>
      </c>
      <c r="N997" s="9" t="n">
        <v>2191.57</v>
      </c>
      <c r="O997" s="9" t="n">
        <v>2601.86</v>
      </c>
      <c r="P997" s="9" t="n">
        <v>2296.71</v>
      </c>
      <c r="Q997" s="9" t="n">
        <v>2283.89</v>
      </c>
      <c r="R997" s="9" t="n">
        <v>2669.24</v>
      </c>
      <c r="S997" s="9" t="n">
        <v>2377.34</v>
      </c>
      <c r="T997" s="9" t="n">
        <v>2316.23</v>
      </c>
      <c r="U997" s="10">
        <f>SUM(I997:T997)</f>
        <v/>
      </c>
    </row>
    <row r="998">
      <c r="A998" s="2" t="inlineStr">
        <is>
          <t>SN-3000-3300-3310-3310PL0003</t>
        </is>
      </c>
      <c r="B998" s="2" t="inlineStr">
        <is>
          <t>3310PL0003</t>
        </is>
      </c>
      <c r="C998" s="2" t="inlineStr">
        <is>
          <t>Línea pulpa 3310-2023-ATNA-8"-SL-N</t>
        </is>
      </c>
      <c r="D998" s="2" t="n">
        <v>333</v>
      </c>
      <c r="E998" s="2" t="inlineStr">
        <is>
          <t>CC-3000</t>
        </is>
      </c>
      <c r="F998" s="2" t="inlineStr">
        <is>
          <t>P01</t>
        </is>
      </c>
      <c r="G998" s="2" t="n">
        <v>610000</v>
      </c>
      <c r="H998" s="2" t="inlineStr">
        <is>
          <t>Mano obra interna</t>
        </is>
      </c>
      <c r="I998" s="9" t="n">
        <v>1174.97</v>
      </c>
      <c r="J998" s="9" t="n">
        <v>1200.84</v>
      </c>
      <c r="K998" s="9" t="n">
        <v>1215.51</v>
      </c>
      <c r="L998" s="9" t="n">
        <v>1279.84</v>
      </c>
      <c r="M998" s="9" t="n">
        <v>1265.04</v>
      </c>
      <c r="N998" s="9" t="n">
        <v>1191.62</v>
      </c>
      <c r="O998" s="9" t="n">
        <v>1227.51</v>
      </c>
      <c r="P998" s="9" t="n">
        <v>1216.74</v>
      </c>
      <c r="Q998" s="9" t="n">
        <v>1217.4</v>
      </c>
      <c r="R998" s="9" t="n">
        <v>1277.21</v>
      </c>
      <c r="S998" s="9" t="n">
        <v>1245.39</v>
      </c>
      <c r="T998" s="9" t="n">
        <v>1310.26</v>
      </c>
      <c r="U998" s="10">
        <f>SUM(I998:T998)</f>
        <v/>
      </c>
    </row>
    <row r="999">
      <c r="A999" s="2" t="inlineStr">
        <is>
          <t>SN-3000-3300-3310-3310PL0003</t>
        </is>
      </c>
      <c r="B999" s="2" t="inlineStr">
        <is>
          <t>3310PL0003</t>
        </is>
      </c>
      <c r="C999" s="2" t="inlineStr">
        <is>
          <t>Línea pulpa 3310-2023-ATNA-8"-SL-N</t>
        </is>
      </c>
      <c r="D999" s="2" t="n">
        <v>333</v>
      </c>
      <c r="E999" s="2" t="inlineStr">
        <is>
          <t>CC-3000</t>
        </is>
      </c>
      <c r="F999" s="2" t="inlineStr">
        <is>
          <t>P01</t>
        </is>
      </c>
      <c r="G999" s="2" t="n">
        <v>620000</v>
      </c>
      <c r="H999" s="2" t="inlineStr">
        <is>
          <t>Materiales</t>
        </is>
      </c>
      <c r="I999" s="9" t="n">
        <v>1227.44</v>
      </c>
      <c r="J999" s="9" t="n">
        <v>1218.09</v>
      </c>
      <c r="K999" s="9" t="n">
        <v>1198.56</v>
      </c>
      <c r="L999" s="9" t="n">
        <v>1177.8</v>
      </c>
      <c r="M999" s="9" t="n">
        <v>1153.4</v>
      </c>
      <c r="N999" s="9" t="n">
        <v>1128.61</v>
      </c>
      <c r="O999" s="9" t="n">
        <v>1244.07</v>
      </c>
      <c r="P999" s="9" t="n">
        <v>1311.11</v>
      </c>
      <c r="Q999" s="9" t="n">
        <v>1107.85</v>
      </c>
      <c r="R999" s="9" t="n">
        <v>1433.44</v>
      </c>
      <c r="S999" s="9" t="n">
        <v>1290.55</v>
      </c>
      <c r="T999" s="9" t="n">
        <v>1353.72</v>
      </c>
      <c r="U999" s="10">
        <f>SUM(I999:T999)</f>
        <v/>
      </c>
    </row>
    <row r="1000">
      <c r="A1000" s="2" t="inlineStr">
        <is>
          <t>SN-3000-3300-3310-3310PL0003</t>
        </is>
      </c>
      <c r="B1000" s="2" t="inlineStr">
        <is>
          <t>3310PL0003</t>
        </is>
      </c>
      <c r="C1000" s="2" t="inlineStr">
        <is>
          <t>Línea pulpa 3310-2023-ATNA-8"-SL-N</t>
        </is>
      </c>
      <c r="D1000" s="2" t="n">
        <v>333</v>
      </c>
      <c r="E1000" s="2" t="inlineStr">
        <is>
          <t>CC-3000</t>
        </is>
      </c>
      <c r="F1000" s="2" t="inlineStr">
        <is>
          <t>P01</t>
        </is>
      </c>
      <c r="G1000" s="2" t="n">
        <v>630000</v>
      </c>
      <c r="H1000" s="2" t="inlineStr">
        <is>
          <t>Servicios externos</t>
        </is>
      </c>
      <c r="I1000" s="9" t="n">
        <v>1404.23</v>
      </c>
      <c r="J1000" s="9" t="n">
        <v>1290.21</v>
      </c>
      <c r="K1000" s="9" t="n">
        <v>1466.66</v>
      </c>
      <c r="L1000" s="9" t="n">
        <v>1450.69</v>
      </c>
      <c r="M1000" s="9" t="n">
        <v>1469.58</v>
      </c>
      <c r="N1000" s="9" t="n">
        <v>1451.11</v>
      </c>
      <c r="O1000" s="9" t="n">
        <v>1408.67</v>
      </c>
      <c r="P1000" s="9" t="n">
        <v>1370.34</v>
      </c>
      <c r="Q1000" s="9" t="n">
        <v>1243.21</v>
      </c>
      <c r="R1000" s="9" t="n">
        <v>1396.32</v>
      </c>
      <c r="S1000" s="9" t="n">
        <v>1363.27</v>
      </c>
      <c r="T1000" s="9" t="n">
        <v>1439.75</v>
      </c>
      <c r="U1000" s="10">
        <f>SUM(I1000:T1000)</f>
        <v/>
      </c>
    </row>
    <row r="1001">
      <c r="A1001" s="2" t="inlineStr">
        <is>
          <t>SN-3000-3300-3310-3310PU0101</t>
        </is>
      </c>
      <c r="B1001" s="2" t="inlineStr">
        <is>
          <t>3310PU0101</t>
        </is>
      </c>
      <c r="C1001" s="2" t="inlineStr">
        <is>
          <t>Bomba descarga CCD</t>
        </is>
      </c>
      <c r="D1001" s="2" t="n">
        <v>334</v>
      </c>
      <c r="E1001" s="2" t="inlineStr">
        <is>
          <t>CC-3000</t>
        </is>
      </c>
      <c r="F1001" s="2" t="inlineStr">
        <is>
          <t>P01</t>
        </is>
      </c>
      <c r="G1001" s="2" t="n">
        <v>610000</v>
      </c>
      <c r="H1001" s="2" t="inlineStr">
        <is>
          <t>Mano obra interna</t>
        </is>
      </c>
      <c r="I1001" s="9" t="n">
        <v>637.77</v>
      </c>
      <c r="J1001" s="9" t="n">
        <v>655.8099999999999</v>
      </c>
      <c r="K1001" s="9" t="n">
        <v>657.25</v>
      </c>
      <c r="L1001" s="9" t="n">
        <v>672.8</v>
      </c>
      <c r="M1001" s="9" t="n">
        <v>583.0700000000001</v>
      </c>
      <c r="N1001" s="9" t="n">
        <v>630.8</v>
      </c>
      <c r="O1001" s="9" t="n">
        <v>642.08</v>
      </c>
      <c r="P1001" s="9" t="n">
        <v>590.91</v>
      </c>
      <c r="Q1001" s="9" t="n">
        <v>552.29</v>
      </c>
      <c r="R1001" s="9" t="n">
        <v>719.2</v>
      </c>
      <c r="S1001" s="9" t="n">
        <v>559.12</v>
      </c>
      <c r="T1001" s="9" t="n">
        <v>629.77</v>
      </c>
      <c r="U1001" s="10">
        <f>SUM(I1001:T1001)</f>
        <v/>
      </c>
    </row>
    <row r="1002">
      <c r="A1002" s="2" t="inlineStr">
        <is>
          <t>SN-3000-3300-3310-3310PU0101</t>
        </is>
      </c>
      <c r="B1002" s="2" t="inlineStr">
        <is>
          <t>3310PU0101</t>
        </is>
      </c>
      <c r="C1002" s="2" t="inlineStr">
        <is>
          <t>Bomba descarga CCD</t>
        </is>
      </c>
      <c r="D1002" s="2" t="n">
        <v>334</v>
      </c>
      <c r="E1002" s="2" t="inlineStr">
        <is>
          <t>CC-3000</t>
        </is>
      </c>
      <c r="F1002" s="2" t="inlineStr">
        <is>
          <t>P01</t>
        </is>
      </c>
      <c r="G1002" s="2" t="n">
        <v>620000</v>
      </c>
      <c r="H1002" s="2" t="inlineStr">
        <is>
          <t>Materiales</t>
        </is>
      </c>
      <c r="I1002" s="9" t="n">
        <v>543.0599999999999</v>
      </c>
      <c r="J1002" s="9" t="n">
        <v>538.17</v>
      </c>
      <c r="K1002" s="9" t="n">
        <v>522.74</v>
      </c>
      <c r="L1002" s="9" t="n">
        <v>523.51</v>
      </c>
      <c r="M1002" s="9" t="n">
        <v>552.47</v>
      </c>
      <c r="N1002" s="9" t="n">
        <v>518.02</v>
      </c>
      <c r="O1002" s="9" t="n">
        <v>551.47</v>
      </c>
      <c r="P1002" s="9" t="n">
        <v>512.8200000000001</v>
      </c>
      <c r="Q1002" s="9" t="n">
        <v>461.93</v>
      </c>
      <c r="R1002" s="9" t="n">
        <v>551.05</v>
      </c>
      <c r="S1002" s="9" t="n">
        <v>519.08</v>
      </c>
      <c r="T1002" s="9" t="n">
        <v>493.11</v>
      </c>
      <c r="U1002" s="10">
        <f>SUM(I1002:T1002)</f>
        <v/>
      </c>
    </row>
    <row r="1003">
      <c r="A1003" s="2" t="inlineStr">
        <is>
          <t>SN-3000-3300-3310-3310PU0101</t>
        </is>
      </c>
      <c r="B1003" s="2" t="inlineStr">
        <is>
          <t>3310PU0101</t>
        </is>
      </c>
      <c r="C1003" s="2" t="inlineStr">
        <is>
          <t>Bomba descarga CCD</t>
        </is>
      </c>
      <c r="D1003" s="2" t="n">
        <v>334</v>
      </c>
      <c r="E1003" s="2" t="inlineStr">
        <is>
          <t>CC-3000</t>
        </is>
      </c>
      <c r="F1003" s="2" t="inlineStr">
        <is>
          <t>P01</t>
        </is>
      </c>
      <c r="G1003" s="2" t="n">
        <v>630000</v>
      </c>
      <c r="H1003" s="2" t="inlineStr">
        <is>
          <t>Servicios externos</t>
        </is>
      </c>
      <c r="I1003" s="9" t="n">
        <v>488.65</v>
      </c>
      <c r="J1003" s="9" t="n">
        <v>502.79</v>
      </c>
      <c r="K1003" s="9" t="n">
        <v>560.33</v>
      </c>
      <c r="L1003" s="9" t="n">
        <v>487.37</v>
      </c>
      <c r="M1003" s="9" t="n">
        <v>525.1</v>
      </c>
      <c r="N1003" s="9" t="n">
        <v>527.58</v>
      </c>
      <c r="O1003" s="9" t="n">
        <v>494.61</v>
      </c>
      <c r="P1003" s="9" t="n">
        <v>531.7</v>
      </c>
      <c r="Q1003" s="9" t="n">
        <v>516.95</v>
      </c>
      <c r="R1003" s="9" t="n">
        <v>597.75</v>
      </c>
      <c r="S1003" s="9" t="n">
        <v>478.43</v>
      </c>
      <c r="T1003" s="9" t="n">
        <v>490.28</v>
      </c>
      <c r="U1003" s="10">
        <f>SUM(I1003:T1003)</f>
        <v/>
      </c>
    </row>
    <row r="1004">
      <c r="A1004" s="2" t="inlineStr">
        <is>
          <t>SN-3000-3300-3310-3310PU0102</t>
        </is>
      </c>
      <c r="B1004" s="2" t="inlineStr">
        <is>
          <t>3310PU0102</t>
        </is>
      </c>
      <c r="C1004" s="2" t="inlineStr">
        <is>
          <t>Bomba descarga CCD</t>
        </is>
      </c>
      <c r="D1004" s="2" t="n">
        <v>335</v>
      </c>
      <c r="E1004" s="2" t="inlineStr">
        <is>
          <t>CC-3000</t>
        </is>
      </c>
      <c r="F1004" s="2" t="inlineStr">
        <is>
          <t>P01</t>
        </is>
      </c>
      <c r="G1004" s="2" t="n">
        <v>610000</v>
      </c>
      <c r="H1004" s="2" t="inlineStr">
        <is>
          <t>Mano obra interna</t>
        </is>
      </c>
      <c r="I1004" s="9" t="n">
        <v>605.38</v>
      </c>
      <c r="J1004" s="9" t="n">
        <v>586.1900000000001</v>
      </c>
      <c r="K1004" s="9" t="n">
        <v>609.15</v>
      </c>
      <c r="L1004" s="9" t="n">
        <v>571.72</v>
      </c>
      <c r="M1004" s="9" t="n">
        <v>538.47</v>
      </c>
      <c r="N1004" s="9" t="n">
        <v>556.3099999999999</v>
      </c>
      <c r="O1004" s="9" t="n">
        <v>573.21</v>
      </c>
      <c r="P1004" s="9" t="n">
        <v>595.04</v>
      </c>
      <c r="Q1004" s="9" t="n">
        <v>529.73</v>
      </c>
      <c r="R1004" s="9" t="n">
        <v>603.51</v>
      </c>
      <c r="S1004" s="9" t="n">
        <v>537.73</v>
      </c>
      <c r="T1004" s="9" t="n">
        <v>556.0700000000001</v>
      </c>
      <c r="U1004" s="10">
        <f>SUM(I1004:T1004)</f>
        <v/>
      </c>
    </row>
    <row r="1005">
      <c r="A1005" s="2" t="inlineStr">
        <is>
          <t>SN-3000-3300-3310-3310PU0102</t>
        </is>
      </c>
      <c r="B1005" s="2" t="inlineStr">
        <is>
          <t>3310PU0102</t>
        </is>
      </c>
      <c r="C1005" s="2" t="inlineStr">
        <is>
          <t>Bomba descarga CCD</t>
        </is>
      </c>
      <c r="D1005" s="2" t="n">
        <v>335</v>
      </c>
      <c r="E1005" s="2" t="inlineStr">
        <is>
          <t>CC-3000</t>
        </is>
      </c>
      <c r="F1005" s="2" t="inlineStr">
        <is>
          <t>P01</t>
        </is>
      </c>
      <c r="G1005" s="2" t="n">
        <v>620000</v>
      </c>
      <c r="H1005" s="2" t="inlineStr">
        <is>
          <t>Materiales</t>
        </is>
      </c>
      <c r="I1005" s="9" t="n">
        <v>554.99</v>
      </c>
      <c r="J1005" s="9" t="n">
        <v>558.51</v>
      </c>
      <c r="K1005" s="9" t="n">
        <v>555.27</v>
      </c>
      <c r="L1005" s="9" t="n">
        <v>564.35</v>
      </c>
      <c r="M1005" s="9" t="n">
        <v>598.05</v>
      </c>
      <c r="N1005" s="9" t="n">
        <v>540.28</v>
      </c>
      <c r="O1005" s="9" t="n">
        <v>597.26</v>
      </c>
      <c r="P1005" s="9" t="n">
        <v>601.0700000000001</v>
      </c>
      <c r="Q1005" s="9" t="n">
        <v>548.1900000000001</v>
      </c>
      <c r="R1005" s="9" t="n">
        <v>672.95</v>
      </c>
      <c r="S1005" s="9" t="n">
        <v>519.6900000000001</v>
      </c>
      <c r="T1005" s="9" t="n">
        <v>612.5</v>
      </c>
      <c r="U1005" s="10">
        <f>SUM(I1005:T1005)</f>
        <v/>
      </c>
    </row>
    <row r="1006">
      <c r="A1006" s="2" t="inlineStr">
        <is>
          <t>SN-3000-3300-3310-3310PU0102</t>
        </is>
      </c>
      <c r="B1006" s="2" t="inlineStr">
        <is>
          <t>3310PU0102</t>
        </is>
      </c>
      <c r="C1006" s="2" t="inlineStr">
        <is>
          <t>Bomba descarga CCD</t>
        </is>
      </c>
      <c r="D1006" s="2" t="n">
        <v>335</v>
      </c>
      <c r="E1006" s="2" t="inlineStr">
        <is>
          <t>CC-3000</t>
        </is>
      </c>
      <c r="F1006" s="2" t="inlineStr">
        <is>
          <t>P01</t>
        </is>
      </c>
      <c r="G1006" s="2" t="n">
        <v>630000</v>
      </c>
      <c r="H1006" s="2" t="inlineStr">
        <is>
          <t>Servicios externos</t>
        </is>
      </c>
      <c r="I1006" s="9" t="n">
        <v>758.5700000000001</v>
      </c>
      <c r="J1006" s="9" t="n">
        <v>654.98</v>
      </c>
      <c r="K1006" s="9" t="n">
        <v>704.51</v>
      </c>
      <c r="L1006" s="9" t="n">
        <v>680.23</v>
      </c>
      <c r="M1006" s="9" t="n">
        <v>706.37</v>
      </c>
      <c r="N1006" s="9" t="n">
        <v>694.3099999999999</v>
      </c>
      <c r="O1006" s="9" t="n">
        <v>682.12</v>
      </c>
      <c r="P1006" s="9" t="n">
        <v>706.28</v>
      </c>
      <c r="Q1006" s="9" t="n">
        <v>673.79</v>
      </c>
      <c r="R1006" s="9" t="n">
        <v>747.92</v>
      </c>
      <c r="S1006" s="9" t="n">
        <v>718.45</v>
      </c>
      <c r="T1006" s="9" t="n">
        <v>743.77</v>
      </c>
      <c r="U1006" s="10">
        <f>SUM(I1006:T1006)</f>
        <v/>
      </c>
    </row>
    <row r="1007">
      <c r="A1007" s="2" t="inlineStr">
        <is>
          <t>SN-3000-3300-3310-3310PU0103</t>
        </is>
      </c>
      <c r="B1007" s="2" t="inlineStr">
        <is>
          <t>3310PU0103</t>
        </is>
      </c>
      <c r="C1007" s="2" t="inlineStr">
        <is>
          <t>Bomba descarga CCD</t>
        </is>
      </c>
      <c r="D1007" s="2" t="n">
        <v>336</v>
      </c>
      <c r="E1007" s="2" t="inlineStr">
        <is>
          <t>CC-3000</t>
        </is>
      </c>
      <c r="F1007" s="2" t="inlineStr">
        <is>
          <t>P01</t>
        </is>
      </c>
      <c r="G1007" s="2" t="n">
        <v>610000</v>
      </c>
      <c r="H1007" s="2" t="inlineStr">
        <is>
          <t>Mano obra interna</t>
        </is>
      </c>
      <c r="I1007" s="9" t="n">
        <v>2431.84</v>
      </c>
      <c r="J1007" s="9" t="n">
        <v>2204.04</v>
      </c>
      <c r="K1007" s="9" t="n">
        <v>2433.02</v>
      </c>
      <c r="L1007" s="9" t="n">
        <v>2563</v>
      </c>
      <c r="M1007" s="9" t="n">
        <v>2452.98</v>
      </c>
      <c r="N1007" s="9" t="n">
        <v>2200.09</v>
      </c>
      <c r="O1007" s="9" t="n">
        <v>2259.96</v>
      </c>
      <c r="P1007" s="9" t="n">
        <v>2235.91</v>
      </c>
      <c r="Q1007" s="9" t="n">
        <v>2186.67</v>
      </c>
      <c r="R1007" s="9" t="n">
        <v>2364.62</v>
      </c>
      <c r="S1007" s="9" t="n">
        <v>2280.09</v>
      </c>
      <c r="T1007" s="9" t="n">
        <v>2182.37</v>
      </c>
      <c r="U1007" s="10">
        <f>SUM(I1007:T1007)</f>
        <v/>
      </c>
    </row>
    <row r="1008">
      <c r="A1008" s="2" t="inlineStr">
        <is>
          <t>SN-3000-3300-3310-3310PU0103</t>
        </is>
      </c>
      <c r="B1008" s="2" t="inlineStr">
        <is>
          <t>3310PU0103</t>
        </is>
      </c>
      <c r="C1008" s="2" t="inlineStr">
        <is>
          <t>Bomba descarga CCD</t>
        </is>
      </c>
      <c r="D1008" s="2" t="n">
        <v>336</v>
      </c>
      <c r="E1008" s="2" t="inlineStr">
        <is>
          <t>CC-3000</t>
        </is>
      </c>
      <c r="F1008" s="2" t="inlineStr">
        <is>
          <t>P01</t>
        </is>
      </c>
      <c r="G1008" s="2" t="n">
        <v>620000</v>
      </c>
      <c r="H1008" s="2" t="inlineStr">
        <is>
          <t>Materiales</t>
        </is>
      </c>
      <c r="I1008" s="9" t="n">
        <v>2381.45</v>
      </c>
      <c r="J1008" s="9" t="n">
        <v>2586.63</v>
      </c>
      <c r="K1008" s="9" t="n">
        <v>2611.15</v>
      </c>
      <c r="L1008" s="9" t="n">
        <v>2436.06</v>
      </c>
      <c r="M1008" s="9" t="n">
        <v>2259.55</v>
      </c>
      <c r="N1008" s="9" t="n">
        <v>2341.25</v>
      </c>
      <c r="O1008" s="9" t="n">
        <v>2331.35</v>
      </c>
      <c r="P1008" s="9" t="n">
        <v>2454.67</v>
      </c>
      <c r="Q1008" s="9" t="n">
        <v>2395.44</v>
      </c>
      <c r="R1008" s="9" t="n">
        <v>2682.6</v>
      </c>
      <c r="S1008" s="9" t="n">
        <v>2414.88</v>
      </c>
      <c r="T1008" s="9" t="n">
        <v>2494.8</v>
      </c>
      <c r="U1008" s="10">
        <f>SUM(I1008:T1008)</f>
        <v/>
      </c>
    </row>
    <row r="1009">
      <c r="A1009" s="2" t="inlineStr">
        <is>
          <t>SN-3000-3300-3310-3310PU0103</t>
        </is>
      </c>
      <c r="B1009" s="2" t="inlineStr">
        <is>
          <t>3310PU0103</t>
        </is>
      </c>
      <c r="C1009" s="2" t="inlineStr">
        <is>
          <t>Bomba descarga CCD</t>
        </is>
      </c>
      <c r="D1009" s="2" t="n">
        <v>336</v>
      </c>
      <c r="E1009" s="2" t="inlineStr">
        <is>
          <t>CC-3000</t>
        </is>
      </c>
      <c r="F1009" s="2" t="inlineStr">
        <is>
          <t>P01</t>
        </is>
      </c>
      <c r="G1009" s="2" t="n">
        <v>630000</v>
      </c>
      <c r="H1009" s="2" t="inlineStr">
        <is>
          <t>Servicios externos</t>
        </is>
      </c>
      <c r="I1009" s="9" t="n">
        <v>3194.23</v>
      </c>
      <c r="J1009" s="9" t="n">
        <v>2888.31</v>
      </c>
      <c r="K1009" s="9" t="n">
        <v>2925.53</v>
      </c>
      <c r="L1009" s="9" t="n">
        <v>2971.94</v>
      </c>
      <c r="M1009" s="9" t="n">
        <v>2751.22</v>
      </c>
      <c r="N1009" s="9" t="n">
        <v>2859.22</v>
      </c>
      <c r="O1009" s="9" t="n">
        <v>2928.13</v>
      </c>
      <c r="P1009" s="9" t="n">
        <v>2738.94</v>
      </c>
      <c r="Q1009" s="9" t="n">
        <v>2592.65</v>
      </c>
      <c r="R1009" s="9" t="n">
        <v>3146</v>
      </c>
      <c r="S1009" s="9" t="n">
        <v>3008.99</v>
      </c>
      <c r="T1009" s="9" t="n">
        <v>3001.76</v>
      </c>
      <c r="U1009" s="10">
        <f>SUM(I1009:T1009)</f>
        <v/>
      </c>
    </row>
    <row r="1010">
      <c r="A1010" s="2" t="inlineStr">
        <is>
          <t>SN-3000-3300-3310-3310PU0104</t>
        </is>
      </c>
      <c r="B1010" s="2" t="inlineStr">
        <is>
          <t>3310PU0104</t>
        </is>
      </c>
      <c r="C1010" s="2" t="inlineStr">
        <is>
          <t>Bomba descarga CCD</t>
        </is>
      </c>
      <c r="D1010" s="2" t="n">
        <v>337</v>
      </c>
      <c r="E1010" s="2" t="inlineStr">
        <is>
          <t>CC-3000</t>
        </is>
      </c>
      <c r="F1010" s="2" t="inlineStr">
        <is>
          <t>P01</t>
        </is>
      </c>
      <c r="G1010" s="2" t="n">
        <v>610000</v>
      </c>
      <c r="H1010" s="2" t="inlineStr">
        <is>
          <t>Mano obra interna</t>
        </is>
      </c>
      <c r="I1010" s="9" t="n">
        <v>2378.68</v>
      </c>
      <c r="J1010" s="9" t="n">
        <v>2382.4</v>
      </c>
      <c r="K1010" s="9" t="n">
        <v>2446.61</v>
      </c>
      <c r="L1010" s="9" t="n">
        <v>2506.67</v>
      </c>
      <c r="M1010" s="9" t="n">
        <v>2196.76</v>
      </c>
      <c r="N1010" s="9" t="n">
        <v>2284.18</v>
      </c>
      <c r="O1010" s="9" t="n">
        <v>2314.68</v>
      </c>
      <c r="P1010" s="9" t="n">
        <v>2323.45</v>
      </c>
      <c r="Q1010" s="9" t="n">
        <v>2390.57</v>
      </c>
      <c r="R1010" s="9" t="n">
        <v>2448.33</v>
      </c>
      <c r="S1010" s="9" t="n">
        <v>2245.4</v>
      </c>
      <c r="T1010" s="9" t="n">
        <v>2431.06</v>
      </c>
      <c r="U1010" s="10">
        <f>SUM(I1010:T1010)</f>
        <v/>
      </c>
    </row>
    <row r="1011">
      <c r="A1011" s="2" t="inlineStr">
        <is>
          <t>SN-3000-3300-3310-3310PU0104</t>
        </is>
      </c>
      <c r="B1011" s="2" t="inlineStr">
        <is>
          <t>3310PU0104</t>
        </is>
      </c>
      <c r="C1011" s="2" t="inlineStr">
        <is>
          <t>Bomba descarga CCD</t>
        </is>
      </c>
      <c r="D1011" s="2" t="n">
        <v>337</v>
      </c>
      <c r="E1011" s="2" t="inlineStr">
        <is>
          <t>CC-3000</t>
        </is>
      </c>
      <c r="F1011" s="2" t="inlineStr">
        <is>
          <t>P01</t>
        </is>
      </c>
      <c r="G1011" s="2" t="n">
        <v>620000</v>
      </c>
      <c r="H1011" s="2" t="inlineStr">
        <is>
          <t>Materiales</t>
        </is>
      </c>
      <c r="I1011" s="9" t="n">
        <v>2430.11</v>
      </c>
      <c r="J1011" s="9" t="n">
        <v>2468.83</v>
      </c>
      <c r="K1011" s="9" t="n">
        <v>2630.92</v>
      </c>
      <c r="L1011" s="9" t="n">
        <v>2390.89</v>
      </c>
      <c r="M1011" s="9" t="n">
        <v>2346.72</v>
      </c>
      <c r="N1011" s="9" t="n">
        <v>2253.72</v>
      </c>
      <c r="O1011" s="9" t="n">
        <v>2542.29</v>
      </c>
      <c r="P1011" s="9" t="n">
        <v>2235.09</v>
      </c>
      <c r="Q1011" s="9" t="n">
        <v>2177.04</v>
      </c>
      <c r="R1011" s="9" t="n">
        <v>2676.55</v>
      </c>
      <c r="S1011" s="9" t="n">
        <v>2360.06</v>
      </c>
      <c r="T1011" s="9" t="n">
        <v>2423.52</v>
      </c>
      <c r="U1011" s="10">
        <f>SUM(I1011:T1011)</f>
        <v/>
      </c>
    </row>
    <row r="1012">
      <c r="A1012" s="2" t="inlineStr">
        <is>
          <t>SN-3000-3300-3310-3310PU0104</t>
        </is>
      </c>
      <c r="B1012" s="2" t="inlineStr">
        <is>
          <t>3310PU0104</t>
        </is>
      </c>
      <c r="C1012" s="2" t="inlineStr">
        <is>
          <t>Bomba descarga CCD</t>
        </is>
      </c>
      <c r="D1012" s="2" t="n">
        <v>337</v>
      </c>
      <c r="E1012" s="2" t="inlineStr">
        <is>
          <t>CC-3000</t>
        </is>
      </c>
      <c r="F1012" s="2" t="inlineStr">
        <is>
          <t>P01</t>
        </is>
      </c>
      <c r="G1012" s="2" t="n">
        <v>630000</v>
      </c>
      <c r="H1012" s="2" t="inlineStr">
        <is>
          <t>Servicios externos</t>
        </is>
      </c>
      <c r="I1012" s="9" t="n">
        <v>2127.4</v>
      </c>
      <c r="J1012" s="9" t="n">
        <v>2132.85</v>
      </c>
      <c r="K1012" s="9" t="n">
        <v>2259.83</v>
      </c>
      <c r="L1012" s="9" t="n">
        <v>2381.87</v>
      </c>
      <c r="M1012" s="9" t="n">
        <v>2084.33</v>
      </c>
      <c r="N1012" s="9" t="n">
        <v>2216.93</v>
      </c>
      <c r="O1012" s="9" t="n">
        <v>2241.47</v>
      </c>
      <c r="P1012" s="9" t="n">
        <v>2020.34</v>
      </c>
      <c r="Q1012" s="9" t="n">
        <v>2111.81</v>
      </c>
      <c r="R1012" s="9" t="n">
        <v>2186.16</v>
      </c>
      <c r="S1012" s="9" t="n">
        <v>2288.69</v>
      </c>
      <c r="T1012" s="9" t="n">
        <v>2354.94</v>
      </c>
      <c r="U1012" s="10">
        <f>SUM(I1012:T1012)</f>
        <v/>
      </c>
    </row>
    <row r="1013">
      <c r="A1013" s="2" t="inlineStr">
        <is>
          <t>SN-3000-3300-3310-3310PU0196</t>
        </is>
      </c>
      <c r="B1013" s="2" t="inlineStr">
        <is>
          <t>3310PU0196</t>
        </is>
      </c>
      <c r="C1013" s="2" t="inlineStr">
        <is>
          <t>Bomba sumidero CCD</t>
        </is>
      </c>
      <c r="D1013" s="2" t="n">
        <v>338</v>
      </c>
      <c r="E1013" s="2" t="inlineStr">
        <is>
          <t>CC-3000</t>
        </is>
      </c>
      <c r="F1013" s="2" t="inlineStr">
        <is>
          <t>P01</t>
        </is>
      </c>
      <c r="G1013" s="2" t="n">
        <v>610000</v>
      </c>
      <c r="H1013" s="2" t="inlineStr">
        <is>
          <t>Mano obra interna</t>
        </is>
      </c>
      <c r="I1013" s="9" t="n">
        <v>322.14</v>
      </c>
      <c r="J1013" s="9" t="n">
        <v>317.21</v>
      </c>
      <c r="K1013" s="9" t="n">
        <v>330.9</v>
      </c>
      <c r="L1013" s="9" t="n">
        <v>328.69</v>
      </c>
      <c r="M1013" s="9" t="n">
        <v>315.47</v>
      </c>
      <c r="N1013" s="9" t="n">
        <v>319.97</v>
      </c>
      <c r="O1013" s="9" t="n">
        <v>310.81</v>
      </c>
      <c r="P1013" s="9" t="n">
        <v>346.23</v>
      </c>
      <c r="Q1013" s="9" t="n">
        <v>320.89</v>
      </c>
      <c r="R1013" s="9" t="n">
        <v>352.73</v>
      </c>
      <c r="S1013" s="9" t="n">
        <v>335.76</v>
      </c>
      <c r="T1013" s="9" t="n">
        <v>319.7</v>
      </c>
      <c r="U1013" s="10">
        <f>SUM(I1013:T1013)</f>
        <v/>
      </c>
    </row>
    <row r="1014">
      <c r="A1014" s="2" t="inlineStr">
        <is>
          <t>SN-3000-3300-3310-3310PU0196</t>
        </is>
      </c>
      <c r="B1014" s="2" t="inlineStr">
        <is>
          <t>3310PU0196</t>
        </is>
      </c>
      <c r="C1014" s="2" t="inlineStr">
        <is>
          <t>Bomba sumidero CCD</t>
        </is>
      </c>
      <c r="D1014" s="2" t="n">
        <v>338</v>
      </c>
      <c r="E1014" s="2" t="inlineStr">
        <is>
          <t>CC-3000</t>
        </is>
      </c>
      <c r="F1014" s="2" t="inlineStr">
        <is>
          <t>P01</t>
        </is>
      </c>
      <c r="G1014" s="2" t="n">
        <v>620000</v>
      </c>
      <c r="H1014" s="2" t="inlineStr">
        <is>
          <t>Materiales</t>
        </is>
      </c>
      <c r="I1014" s="9" t="n">
        <v>297.25</v>
      </c>
      <c r="J1014" s="9" t="n">
        <v>279.51</v>
      </c>
      <c r="K1014" s="9" t="n">
        <v>297.94</v>
      </c>
      <c r="L1014" s="9" t="n">
        <v>310.69</v>
      </c>
      <c r="M1014" s="9" t="n">
        <v>304.04</v>
      </c>
      <c r="N1014" s="9" t="n">
        <v>279.06</v>
      </c>
      <c r="O1014" s="9" t="n">
        <v>297.94</v>
      </c>
      <c r="P1014" s="9" t="n">
        <v>266.51</v>
      </c>
      <c r="Q1014" s="9" t="n">
        <v>251.54</v>
      </c>
      <c r="R1014" s="9" t="n">
        <v>319.64</v>
      </c>
      <c r="S1014" s="9" t="n">
        <v>273.57</v>
      </c>
      <c r="T1014" s="9" t="n">
        <v>287.47</v>
      </c>
      <c r="U1014" s="10">
        <f>SUM(I1014:T1014)</f>
        <v/>
      </c>
    </row>
    <row r="1015">
      <c r="A1015" s="2" t="inlineStr">
        <is>
          <t>SN-3000-3300-3310-3310PU0196</t>
        </is>
      </c>
      <c r="B1015" s="2" t="inlineStr">
        <is>
          <t>3310PU0196</t>
        </is>
      </c>
      <c r="C1015" s="2" t="inlineStr">
        <is>
          <t>Bomba sumidero CCD</t>
        </is>
      </c>
      <c r="D1015" s="2" t="n">
        <v>338</v>
      </c>
      <c r="E1015" s="2" t="inlineStr">
        <is>
          <t>CC-3000</t>
        </is>
      </c>
      <c r="F1015" s="2" t="inlineStr">
        <is>
          <t>P01</t>
        </is>
      </c>
      <c r="G1015" s="2" t="n">
        <v>630000</v>
      </c>
      <c r="H1015" s="2" t="inlineStr">
        <is>
          <t>Servicios externos</t>
        </is>
      </c>
      <c r="I1015" s="9" t="n">
        <v>337.8</v>
      </c>
      <c r="J1015" s="9" t="n">
        <v>304.25</v>
      </c>
      <c r="K1015" s="9" t="n">
        <v>342.42</v>
      </c>
      <c r="L1015" s="9" t="n">
        <v>315.13</v>
      </c>
      <c r="M1015" s="9" t="n">
        <v>299.48</v>
      </c>
      <c r="N1015" s="9" t="n">
        <v>302.58</v>
      </c>
      <c r="O1015" s="9" t="n">
        <v>311.46</v>
      </c>
      <c r="P1015" s="9" t="n">
        <v>345.3</v>
      </c>
      <c r="Q1015" s="9" t="n">
        <v>281.26</v>
      </c>
      <c r="R1015" s="9" t="n">
        <v>332.67</v>
      </c>
      <c r="S1015" s="9" t="n">
        <v>317.38</v>
      </c>
      <c r="T1015" s="9" t="n">
        <v>329.14</v>
      </c>
      <c r="U1015" s="10">
        <f>SUM(I1015:T1015)</f>
        <v/>
      </c>
    </row>
    <row r="1016">
      <c r="A1016" s="2" t="inlineStr">
        <is>
          <t>SN-3000-3300-3310-3310PU0504</t>
        </is>
      </c>
      <c r="B1016" s="2" t="inlineStr">
        <is>
          <t>3310PU0504</t>
        </is>
      </c>
      <c r="C1016" s="2" t="inlineStr">
        <is>
          <t>Bomba sumidero clarificado CCD</t>
        </is>
      </c>
      <c r="D1016" s="2" t="n">
        <v>339</v>
      </c>
      <c r="E1016" s="2" t="inlineStr">
        <is>
          <t>CC-3000</t>
        </is>
      </c>
      <c r="F1016" s="2" t="inlineStr">
        <is>
          <t>P01</t>
        </is>
      </c>
      <c r="G1016" s="2" t="n">
        <v>610000</v>
      </c>
      <c r="H1016" s="2" t="inlineStr">
        <is>
          <t>Mano obra interna</t>
        </is>
      </c>
      <c r="I1016" s="9" t="n">
        <v>2199.23</v>
      </c>
      <c r="J1016" s="9" t="n">
        <v>2483.15</v>
      </c>
      <c r="K1016" s="9" t="n">
        <v>2474.02</v>
      </c>
      <c r="L1016" s="9" t="n">
        <v>2338.78</v>
      </c>
      <c r="M1016" s="9" t="n">
        <v>2303.56</v>
      </c>
      <c r="N1016" s="9" t="n">
        <v>2152.44</v>
      </c>
      <c r="O1016" s="9" t="n">
        <v>2281.68</v>
      </c>
      <c r="P1016" s="9" t="n">
        <v>2392.68</v>
      </c>
      <c r="Q1016" s="9" t="n">
        <v>2310.38</v>
      </c>
      <c r="R1016" s="9" t="n">
        <v>2394.65</v>
      </c>
      <c r="S1016" s="9" t="n">
        <v>2387.3</v>
      </c>
      <c r="T1016" s="9" t="n">
        <v>2229.71</v>
      </c>
      <c r="U1016" s="10">
        <f>SUM(I1016:T1016)</f>
        <v/>
      </c>
    </row>
    <row r="1017">
      <c r="A1017" s="2" t="inlineStr">
        <is>
          <t>SN-3000-3300-3310-3310PU0504</t>
        </is>
      </c>
      <c r="B1017" s="2" t="inlineStr">
        <is>
          <t>3310PU0504</t>
        </is>
      </c>
      <c r="C1017" s="2" t="inlineStr">
        <is>
          <t>Bomba sumidero clarificado CCD</t>
        </is>
      </c>
      <c r="D1017" s="2" t="n">
        <v>339</v>
      </c>
      <c r="E1017" s="2" t="inlineStr">
        <is>
          <t>CC-3000</t>
        </is>
      </c>
      <c r="F1017" s="2" t="inlineStr">
        <is>
          <t>P01</t>
        </is>
      </c>
      <c r="G1017" s="2" t="n">
        <v>620000</v>
      </c>
      <c r="H1017" s="2" t="inlineStr">
        <is>
          <t>Materiales</t>
        </is>
      </c>
      <c r="I1017" s="9" t="n">
        <v>2237.77</v>
      </c>
      <c r="J1017" s="9" t="n">
        <v>2197.55</v>
      </c>
      <c r="K1017" s="9" t="n">
        <v>2605.36</v>
      </c>
      <c r="L1017" s="9" t="n">
        <v>2403.87</v>
      </c>
      <c r="M1017" s="9" t="n">
        <v>2184.58</v>
      </c>
      <c r="N1017" s="9" t="n">
        <v>2429.87</v>
      </c>
      <c r="O1017" s="9" t="n">
        <v>2512.08</v>
      </c>
      <c r="P1017" s="9" t="n">
        <v>2462.02</v>
      </c>
      <c r="Q1017" s="9" t="n">
        <v>2356.59</v>
      </c>
      <c r="R1017" s="9" t="n">
        <v>2438.73</v>
      </c>
      <c r="S1017" s="9" t="n">
        <v>2415.12</v>
      </c>
      <c r="T1017" s="9" t="n">
        <v>2475.57</v>
      </c>
      <c r="U1017" s="10">
        <f>SUM(I1017:T1017)</f>
        <v/>
      </c>
    </row>
    <row r="1018">
      <c r="A1018" s="2" t="inlineStr">
        <is>
          <t>SN-3000-3300-3310-3310PU0504</t>
        </is>
      </c>
      <c r="B1018" s="2" t="inlineStr">
        <is>
          <t>3310PU0504</t>
        </is>
      </c>
      <c r="C1018" s="2" t="inlineStr">
        <is>
          <t>Bomba sumidero clarificado CCD</t>
        </is>
      </c>
      <c r="D1018" s="2" t="n">
        <v>339</v>
      </c>
      <c r="E1018" s="2" t="inlineStr">
        <is>
          <t>CC-3000</t>
        </is>
      </c>
      <c r="F1018" s="2" t="inlineStr">
        <is>
          <t>P01</t>
        </is>
      </c>
      <c r="G1018" s="2" t="n">
        <v>630000</v>
      </c>
      <c r="H1018" s="2" t="inlineStr">
        <is>
          <t>Servicios externos</t>
        </is>
      </c>
      <c r="I1018" s="9" t="n">
        <v>3107.45</v>
      </c>
      <c r="J1018" s="9" t="n">
        <v>2791.65</v>
      </c>
      <c r="K1018" s="9" t="n">
        <v>3129.52</v>
      </c>
      <c r="L1018" s="9" t="n">
        <v>2857.13</v>
      </c>
      <c r="M1018" s="9" t="n">
        <v>2797.02</v>
      </c>
      <c r="N1018" s="9" t="n">
        <v>2603.99</v>
      </c>
      <c r="O1018" s="9" t="n">
        <v>3109.64</v>
      </c>
      <c r="P1018" s="9" t="n">
        <v>2806.68</v>
      </c>
      <c r="Q1018" s="9" t="n">
        <v>2714</v>
      </c>
      <c r="R1018" s="9" t="n">
        <v>3079.36</v>
      </c>
      <c r="S1018" s="9" t="n">
        <v>3020.16</v>
      </c>
      <c r="T1018" s="9" t="n">
        <v>2871.26</v>
      </c>
      <c r="U1018" s="10">
        <f>SUM(I1018:T1018)</f>
        <v/>
      </c>
    </row>
    <row r="1019">
      <c r="A1019" s="2" t="inlineStr">
        <is>
          <t>SN-3000-3300-3310-3310SY0024</t>
        </is>
      </c>
      <c r="B1019" s="2" t="inlineStr">
        <is>
          <t>3310SY0024</t>
        </is>
      </c>
      <c r="C1019" s="2" t="inlineStr">
        <is>
          <t>Ducha y lava ojos emergencia</t>
        </is>
      </c>
      <c r="D1019" s="2" t="n">
        <v>340</v>
      </c>
      <c r="E1019" s="2" t="inlineStr">
        <is>
          <t>CC-3000</t>
        </is>
      </c>
      <c r="F1019" s="2" t="inlineStr">
        <is>
          <t>P01</t>
        </is>
      </c>
      <c r="G1019" s="2" t="n">
        <v>610000</v>
      </c>
      <c r="H1019" s="2" t="inlineStr">
        <is>
          <t>Mano obra interna</t>
        </is>
      </c>
      <c r="I1019" s="9" t="n">
        <v>3137.86</v>
      </c>
      <c r="J1019" s="9" t="n">
        <v>2834.84</v>
      </c>
      <c r="K1019" s="9" t="n">
        <v>2941.93</v>
      </c>
      <c r="L1019" s="9" t="n">
        <v>3090.33</v>
      </c>
      <c r="M1019" s="9" t="n">
        <v>3068.46</v>
      </c>
      <c r="N1019" s="9" t="n">
        <v>2894.04</v>
      </c>
      <c r="O1019" s="9" t="n">
        <v>2782.67</v>
      </c>
      <c r="P1019" s="9" t="n">
        <v>3086.78</v>
      </c>
      <c r="Q1019" s="9" t="n">
        <v>2658.66</v>
      </c>
      <c r="R1019" s="9" t="n">
        <v>3174.74</v>
      </c>
      <c r="S1019" s="9" t="n">
        <v>2964.81</v>
      </c>
      <c r="T1019" s="9" t="n">
        <v>2804.42</v>
      </c>
      <c r="U1019" s="10">
        <f>SUM(I1019:T1019)</f>
        <v/>
      </c>
    </row>
    <row r="1020">
      <c r="A1020" s="2" t="inlineStr">
        <is>
          <t>SN-3000-3300-3310-3310SY0024</t>
        </is>
      </c>
      <c r="B1020" s="2" t="inlineStr">
        <is>
          <t>3310SY0024</t>
        </is>
      </c>
      <c r="C1020" s="2" t="inlineStr">
        <is>
          <t>Ducha y lava ojos emergencia</t>
        </is>
      </c>
      <c r="D1020" s="2" t="n">
        <v>340</v>
      </c>
      <c r="E1020" s="2" t="inlineStr">
        <is>
          <t>CC-3000</t>
        </is>
      </c>
      <c r="F1020" s="2" t="inlineStr">
        <is>
          <t>P01</t>
        </is>
      </c>
      <c r="G1020" s="2" t="n">
        <v>620000</v>
      </c>
      <c r="H1020" s="2" t="inlineStr">
        <is>
          <t>Materiales</t>
        </is>
      </c>
      <c r="I1020" s="9" t="n">
        <v>2980.9</v>
      </c>
      <c r="J1020" s="9" t="n">
        <v>3010.48</v>
      </c>
      <c r="K1020" s="9" t="n">
        <v>2811.07</v>
      </c>
      <c r="L1020" s="9" t="n">
        <v>2901.88</v>
      </c>
      <c r="M1020" s="9" t="n">
        <v>2997.6</v>
      </c>
      <c r="N1020" s="9" t="n">
        <v>2537.95</v>
      </c>
      <c r="O1020" s="9" t="n">
        <v>2698.57</v>
      </c>
      <c r="P1020" s="9" t="n">
        <v>3099.19</v>
      </c>
      <c r="Q1020" s="9" t="n">
        <v>2582.94</v>
      </c>
      <c r="R1020" s="9" t="n">
        <v>3337.29</v>
      </c>
      <c r="S1020" s="9" t="n">
        <v>2642.53</v>
      </c>
      <c r="T1020" s="9" t="n">
        <v>2853.62</v>
      </c>
      <c r="U1020" s="10">
        <f>SUM(I1020:T1020)</f>
        <v/>
      </c>
    </row>
    <row r="1021">
      <c r="A1021" s="2" t="inlineStr">
        <is>
          <t>SN-3000-3300-3310-3310SY0024</t>
        </is>
      </c>
      <c r="B1021" s="2" t="inlineStr">
        <is>
          <t>3310SY0024</t>
        </is>
      </c>
      <c r="C1021" s="2" t="inlineStr">
        <is>
          <t>Ducha y lava ojos emergencia</t>
        </is>
      </c>
      <c r="D1021" s="2" t="n">
        <v>340</v>
      </c>
      <c r="E1021" s="2" t="inlineStr">
        <is>
          <t>CC-3000</t>
        </is>
      </c>
      <c r="F1021" s="2" t="inlineStr">
        <is>
          <t>P01</t>
        </is>
      </c>
      <c r="G1021" s="2" t="n">
        <v>630000</v>
      </c>
      <c r="H1021" s="2" t="inlineStr">
        <is>
          <t>Servicios externos</t>
        </is>
      </c>
      <c r="I1021" s="9" t="n">
        <v>3014.15</v>
      </c>
      <c r="J1021" s="9" t="n">
        <v>2873.11</v>
      </c>
      <c r="K1021" s="9" t="n">
        <v>2985.24</v>
      </c>
      <c r="L1021" s="9" t="n">
        <v>3105.13</v>
      </c>
      <c r="M1021" s="9" t="n">
        <v>2729.24</v>
      </c>
      <c r="N1021" s="9" t="n">
        <v>2728.03</v>
      </c>
      <c r="O1021" s="9" t="n">
        <v>2722.37</v>
      </c>
      <c r="P1021" s="9" t="n">
        <v>2921.92</v>
      </c>
      <c r="Q1021" s="9" t="n">
        <v>2573.83</v>
      </c>
      <c r="R1021" s="9" t="n">
        <v>3023.19</v>
      </c>
      <c r="S1021" s="9" t="n">
        <v>2775.1</v>
      </c>
      <c r="T1021" s="9" t="n">
        <v>2701.36</v>
      </c>
      <c r="U1021" s="10">
        <f>SUM(I1021:T1021)</f>
        <v/>
      </c>
    </row>
    <row r="1022">
      <c r="A1022" s="2" t="inlineStr">
        <is>
          <t>SN-3000-3300-3310-3310TH0002</t>
        </is>
      </c>
      <c r="B1022" s="2" t="inlineStr">
        <is>
          <t>3310TH0002</t>
        </is>
      </c>
      <c r="C1022" s="2" t="inlineStr">
        <is>
          <t>Espesador MC CCD</t>
        </is>
      </c>
      <c r="D1022" s="2" t="n">
        <v>341</v>
      </c>
      <c r="E1022" s="2" t="inlineStr">
        <is>
          <t>CC-3000</t>
        </is>
      </c>
      <c r="F1022" s="2" t="inlineStr">
        <is>
          <t>P01</t>
        </is>
      </c>
      <c r="G1022" s="2" t="n">
        <v>610000</v>
      </c>
      <c r="H1022" s="2" t="inlineStr">
        <is>
          <t>Mano obra interna</t>
        </is>
      </c>
      <c r="I1022" s="9" t="n">
        <v>2107.5</v>
      </c>
      <c r="J1022" s="9" t="n">
        <v>1952.02</v>
      </c>
      <c r="K1022" s="9" t="n">
        <v>2188.97</v>
      </c>
      <c r="L1022" s="9" t="n">
        <v>2112.84</v>
      </c>
      <c r="M1022" s="9" t="n">
        <v>1827.93</v>
      </c>
      <c r="N1022" s="9" t="n">
        <v>1952.54</v>
      </c>
      <c r="O1022" s="9" t="n">
        <v>1875.35</v>
      </c>
      <c r="P1022" s="9" t="n">
        <v>2093.37</v>
      </c>
      <c r="Q1022" s="9" t="n">
        <v>2013</v>
      </c>
      <c r="R1022" s="9" t="n">
        <v>2172.84</v>
      </c>
      <c r="S1022" s="9" t="n">
        <v>1997.55</v>
      </c>
      <c r="T1022" s="9" t="n">
        <v>1949.07</v>
      </c>
      <c r="U1022" s="10">
        <f>SUM(I1022:T1022)</f>
        <v/>
      </c>
    </row>
    <row r="1023">
      <c r="A1023" s="2" t="inlineStr">
        <is>
          <t>SN-3000-3300-3310-3310TH0002</t>
        </is>
      </c>
      <c r="B1023" s="2" t="inlineStr">
        <is>
          <t>3310TH0002</t>
        </is>
      </c>
      <c r="C1023" s="2" t="inlineStr">
        <is>
          <t>Espesador MC CCD</t>
        </is>
      </c>
      <c r="D1023" s="2" t="n">
        <v>341</v>
      </c>
      <c r="E1023" s="2" t="inlineStr">
        <is>
          <t>CC-3000</t>
        </is>
      </c>
      <c r="F1023" s="2" t="inlineStr">
        <is>
          <t>P01</t>
        </is>
      </c>
      <c r="G1023" s="2" t="n">
        <v>620000</v>
      </c>
      <c r="H1023" s="2" t="inlineStr">
        <is>
          <t>Materiales</t>
        </is>
      </c>
      <c r="I1023" s="9" t="n">
        <v>2371.05</v>
      </c>
      <c r="J1023" s="9" t="n">
        <v>2049</v>
      </c>
      <c r="K1023" s="9" t="n">
        <v>2181.93</v>
      </c>
      <c r="L1023" s="9" t="n">
        <v>2226.27</v>
      </c>
      <c r="M1023" s="9" t="n">
        <v>2248.56</v>
      </c>
      <c r="N1023" s="9" t="n">
        <v>2059.18</v>
      </c>
      <c r="O1023" s="9" t="n">
        <v>2348.89</v>
      </c>
      <c r="P1023" s="9" t="n">
        <v>2053.32</v>
      </c>
      <c r="Q1023" s="9" t="n">
        <v>2003.26</v>
      </c>
      <c r="R1023" s="9" t="n">
        <v>2449</v>
      </c>
      <c r="S1023" s="9" t="n">
        <v>2034</v>
      </c>
      <c r="T1023" s="9" t="n">
        <v>2285.88</v>
      </c>
      <c r="U1023" s="10">
        <f>SUM(I1023:T1023)</f>
        <v/>
      </c>
    </row>
    <row r="1024">
      <c r="A1024" s="2" t="inlineStr">
        <is>
          <t>SN-3000-3300-3310-3310TH0002</t>
        </is>
      </c>
      <c r="B1024" s="2" t="inlineStr">
        <is>
          <t>3310TH0002</t>
        </is>
      </c>
      <c r="C1024" s="2" t="inlineStr">
        <is>
          <t>Espesador MC CCD</t>
        </is>
      </c>
      <c r="D1024" s="2" t="n">
        <v>341</v>
      </c>
      <c r="E1024" s="2" t="inlineStr">
        <is>
          <t>CC-3000</t>
        </is>
      </c>
      <c r="F1024" s="2" t="inlineStr">
        <is>
          <t>P01</t>
        </is>
      </c>
      <c r="G1024" s="2" t="n">
        <v>630000</v>
      </c>
      <c r="H1024" s="2" t="inlineStr">
        <is>
          <t>Servicios externos</t>
        </is>
      </c>
      <c r="I1024" s="9" t="n">
        <v>1897.42</v>
      </c>
      <c r="J1024" s="9" t="n">
        <v>1851.04</v>
      </c>
      <c r="K1024" s="9" t="n">
        <v>2206.14</v>
      </c>
      <c r="L1024" s="9" t="n">
        <v>2061.86</v>
      </c>
      <c r="M1024" s="9" t="n">
        <v>2074.01</v>
      </c>
      <c r="N1024" s="9" t="n">
        <v>1861.7</v>
      </c>
      <c r="O1024" s="9" t="n">
        <v>2031.4</v>
      </c>
      <c r="P1024" s="9" t="n">
        <v>1997.71</v>
      </c>
      <c r="Q1024" s="9" t="n">
        <v>1995.35</v>
      </c>
      <c r="R1024" s="9" t="n">
        <v>2243.21</v>
      </c>
      <c r="S1024" s="9" t="n">
        <v>2008.37</v>
      </c>
      <c r="T1024" s="9" t="n">
        <v>1883.14</v>
      </c>
      <c r="U1024" s="10">
        <f>SUM(I1024:T1024)</f>
        <v/>
      </c>
    </row>
    <row r="1025">
      <c r="A1025" s="2" t="inlineStr">
        <is>
          <t>SN-3000-3300-3310-3310TH0003</t>
        </is>
      </c>
      <c r="B1025" s="2" t="inlineStr">
        <is>
          <t>3310TH0003</t>
        </is>
      </c>
      <c r="C1025" s="2" t="inlineStr">
        <is>
          <t>Espesador MC CCD</t>
        </is>
      </c>
      <c r="D1025" s="2" t="n">
        <v>342</v>
      </c>
      <c r="E1025" s="2" t="inlineStr">
        <is>
          <t>CC-3000</t>
        </is>
      </c>
      <c r="F1025" s="2" t="inlineStr">
        <is>
          <t>P01</t>
        </is>
      </c>
      <c r="G1025" s="2" t="n">
        <v>610000</v>
      </c>
      <c r="H1025" s="2" t="inlineStr">
        <is>
          <t>Mano obra interna</t>
        </is>
      </c>
      <c r="I1025" s="9" t="n">
        <v>2401.84</v>
      </c>
      <c r="J1025" s="9" t="n">
        <v>2488.93</v>
      </c>
      <c r="K1025" s="9" t="n">
        <v>2345.39</v>
      </c>
      <c r="L1025" s="9" t="n">
        <v>2328.4</v>
      </c>
      <c r="M1025" s="9" t="n">
        <v>2307.61</v>
      </c>
      <c r="N1025" s="9" t="n">
        <v>2168.52</v>
      </c>
      <c r="O1025" s="9" t="n">
        <v>2225.96</v>
      </c>
      <c r="P1025" s="9" t="n">
        <v>2498.68</v>
      </c>
      <c r="Q1025" s="9" t="n">
        <v>2222.32</v>
      </c>
      <c r="R1025" s="9" t="n">
        <v>2698.26</v>
      </c>
      <c r="S1025" s="9" t="n">
        <v>2411.06</v>
      </c>
      <c r="T1025" s="9" t="n">
        <v>2316.69</v>
      </c>
      <c r="U1025" s="10">
        <f>SUM(I1025:T1025)</f>
        <v/>
      </c>
    </row>
    <row r="1026">
      <c r="A1026" s="2" t="inlineStr">
        <is>
          <t>SN-3000-3300-3310-3310TH0003</t>
        </is>
      </c>
      <c r="B1026" s="2" t="inlineStr">
        <is>
          <t>3310TH0003</t>
        </is>
      </c>
      <c r="C1026" s="2" t="inlineStr">
        <is>
          <t>Espesador MC CCD</t>
        </is>
      </c>
      <c r="D1026" s="2" t="n">
        <v>342</v>
      </c>
      <c r="E1026" s="2" t="inlineStr">
        <is>
          <t>CC-3000</t>
        </is>
      </c>
      <c r="F1026" s="2" t="inlineStr">
        <is>
          <t>P01</t>
        </is>
      </c>
      <c r="G1026" s="2" t="n">
        <v>620000</v>
      </c>
      <c r="H1026" s="2" t="inlineStr">
        <is>
          <t>Materiales</t>
        </is>
      </c>
      <c r="I1026" s="9" t="n">
        <v>2200.99</v>
      </c>
      <c r="J1026" s="9" t="n">
        <v>2426.27</v>
      </c>
      <c r="K1026" s="9" t="n">
        <v>2346.68</v>
      </c>
      <c r="L1026" s="9" t="n">
        <v>2320.86</v>
      </c>
      <c r="M1026" s="9" t="n">
        <v>2214.05</v>
      </c>
      <c r="N1026" s="9" t="n">
        <v>2194.71</v>
      </c>
      <c r="O1026" s="9" t="n">
        <v>2219.35</v>
      </c>
      <c r="P1026" s="9" t="n">
        <v>2262.15</v>
      </c>
      <c r="Q1026" s="9" t="n">
        <v>2253.62</v>
      </c>
      <c r="R1026" s="9" t="n">
        <v>2624.5</v>
      </c>
      <c r="S1026" s="9" t="n">
        <v>2166.25</v>
      </c>
      <c r="T1026" s="9" t="n">
        <v>2332.77</v>
      </c>
      <c r="U1026" s="10">
        <f>SUM(I1026:T1026)</f>
        <v/>
      </c>
    </row>
    <row r="1027">
      <c r="A1027" s="2" t="inlineStr">
        <is>
          <t>SN-3000-3300-3310-3310TH0003</t>
        </is>
      </c>
      <c r="B1027" s="2" t="inlineStr">
        <is>
          <t>3310TH0003</t>
        </is>
      </c>
      <c r="C1027" s="2" t="inlineStr">
        <is>
          <t>Espesador MC CCD</t>
        </is>
      </c>
      <c r="D1027" s="2" t="n">
        <v>342</v>
      </c>
      <c r="E1027" s="2" t="inlineStr">
        <is>
          <t>CC-3000</t>
        </is>
      </c>
      <c r="F1027" s="2" t="inlineStr">
        <is>
          <t>P01</t>
        </is>
      </c>
      <c r="G1027" s="2" t="n">
        <v>630000</v>
      </c>
      <c r="H1027" s="2" t="inlineStr">
        <is>
          <t>Servicios externos</t>
        </is>
      </c>
      <c r="I1027" s="9" t="n">
        <v>2393.02</v>
      </c>
      <c r="J1027" s="9" t="n">
        <v>2641.46</v>
      </c>
      <c r="K1027" s="9" t="n">
        <v>2487.72</v>
      </c>
      <c r="L1027" s="9" t="n">
        <v>2654.24</v>
      </c>
      <c r="M1027" s="9" t="n">
        <v>2531.75</v>
      </c>
      <c r="N1027" s="9" t="n">
        <v>2434.39</v>
      </c>
      <c r="O1027" s="9" t="n">
        <v>2671.25</v>
      </c>
      <c r="P1027" s="9" t="n">
        <v>2362.14</v>
      </c>
      <c r="Q1027" s="9" t="n">
        <v>2292.81</v>
      </c>
      <c r="R1027" s="9" t="n">
        <v>2739.54</v>
      </c>
      <c r="S1027" s="9" t="n">
        <v>2565.97</v>
      </c>
      <c r="T1027" s="9" t="n">
        <v>2446.1</v>
      </c>
      <c r="U1027" s="10">
        <f>SUM(I1027:T1027)</f>
        <v/>
      </c>
    </row>
    <row r="1028">
      <c r="A1028" s="2" t="inlineStr">
        <is>
          <t>SN-3000-3300-3320-3320AG0007</t>
        </is>
      </c>
      <c r="B1028" s="2" t="inlineStr">
        <is>
          <t>3320AG0007</t>
        </is>
      </c>
      <c r="C1028" s="2" t="inlineStr">
        <is>
          <t>Agitador estanque CIP</t>
        </is>
      </c>
      <c r="D1028" s="2" t="n">
        <v>343</v>
      </c>
      <c r="E1028" s="2" t="inlineStr">
        <is>
          <t>CC-3000</t>
        </is>
      </c>
      <c r="F1028" s="2" t="inlineStr">
        <is>
          <t>P01</t>
        </is>
      </c>
      <c r="G1028" s="2" t="n">
        <v>610000</v>
      </c>
      <c r="H1028" s="2" t="inlineStr">
        <is>
          <t>Mano obra interna</t>
        </is>
      </c>
      <c r="I1028" s="9" t="n">
        <v>2208.66</v>
      </c>
      <c r="J1028" s="9" t="n">
        <v>2057.78</v>
      </c>
      <c r="K1028" s="9" t="n">
        <v>2362.44</v>
      </c>
      <c r="L1028" s="9" t="n">
        <v>2100.24</v>
      </c>
      <c r="M1028" s="9" t="n">
        <v>2181.26</v>
      </c>
      <c r="N1028" s="9" t="n">
        <v>1955.57</v>
      </c>
      <c r="O1028" s="9" t="n">
        <v>2149.32</v>
      </c>
      <c r="P1028" s="9" t="n">
        <v>2232.76</v>
      </c>
      <c r="Q1028" s="9" t="n">
        <v>2065.25</v>
      </c>
      <c r="R1028" s="9" t="n">
        <v>2335.14</v>
      </c>
      <c r="S1028" s="9" t="n">
        <v>2104.48</v>
      </c>
      <c r="T1028" s="9" t="n">
        <v>2133.96</v>
      </c>
      <c r="U1028" s="10">
        <f>SUM(I1028:T1028)</f>
        <v/>
      </c>
    </row>
    <row r="1029">
      <c r="A1029" s="2" t="inlineStr">
        <is>
          <t>SN-3000-3300-3320-3320AG0007</t>
        </is>
      </c>
      <c r="B1029" s="2" t="inlineStr">
        <is>
          <t>3320AG0007</t>
        </is>
      </c>
      <c r="C1029" s="2" t="inlineStr">
        <is>
          <t>Agitador estanque CIP</t>
        </is>
      </c>
      <c r="D1029" s="2" t="n">
        <v>343</v>
      </c>
      <c r="E1029" s="2" t="inlineStr">
        <is>
          <t>CC-3000</t>
        </is>
      </c>
      <c r="F1029" s="2" t="inlineStr">
        <is>
          <t>P01</t>
        </is>
      </c>
      <c r="G1029" s="2" t="n">
        <v>620000</v>
      </c>
      <c r="H1029" s="2" t="inlineStr">
        <is>
          <t>Materiales</t>
        </is>
      </c>
      <c r="I1029" s="9" t="n">
        <v>2042.28</v>
      </c>
      <c r="J1029" s="9" t="n">
        <v>1940.07</v>
      </c>
      <c r="K1029" s="9" t="n">
        <v>1815.1</v>
      </c>
      <c r="L1029" s="9" t="n">
        <v>1762.99</v>
      </c>
      <c r="M1029" s="9" t="n">
        <v>1974.06</v>
      </c>
      <c r="N1029" s="9" t="n">
        <v>1790.99</v>
      </c>
      <c r="O1029" s="9" t="n">
        <v>1877.45</v>
      </c>
      <c r="P1029" s="9" t="n">
        <v>1947.63</v>
      </c>
      <c r="Q1029" s="9" t="n">
        <v>1684.89</v>
      </c>
      <c r="R1029" s="9" t="n">
        <v>2005.77</v>
      </c>
      <c r="S1029" s="9" t="n">
        <v>1941.14</v>
      </c>
      <c r="T1029" s="9" t="n">
        <v>1945.14</v>
      </c>
      <c r="U1029" s="10">
        <f>SUM(I1029:T1029)</f>
        <v/>
      </c>
    </row>
    <row r="1030">
      <c r="A1030" s="2" t="inlineStr">
        <is>
          <t>SN-3000-3300-3320-3320AG0007</t>
        </is>
      </c>
      <c r="B1030" s="2" t="inlineStr">
        <is>
          <t>3320AG0007</t>
        </is>
      </c>
      <c r="C1030" s="2" t="inlineStr">
        <is>
          <t>Agitador estanque CIP</t>
        </is>
      </c>
      <c r="D1030" s="2" t="n">
        <v>343</v>
      </c>
      <c r="E1030" s="2" t="inlineStr">
        <is>
          <t>CC-3000</t>
        </is>
      </c>
      <c r="F1030" s="2" t="inlineStr">
        <is>
          <t>P01</t>
        </is>
      </c>
      <c r="G1030" s="2" t="n">
        <v>630000</v>
      </c>
      <c r="H1030" s="2" t="inlineStr">
        <is>
          <t>Servicios externos</t>
        </is>
      </c>
      <c r="I1030" s="9" t="n">
        <v>1690.37</v>
      </c>
      <c r="J1030" s="9" t="n">
        <v>1650.47</v>
      </c>
      <c r="K1030" s="9" t="n">
        <v>1892.19</v>
      </c>
      <c r="L1030" s="9" t="n">
        <v>1739</v>
      </c>
      <c r="M1030" s="9" t="n">
        <v>1607.57</v>
      </c>
      <c r="N1030" s="9" t="n">
        <v>1801.33</v>
      </c>
      <c r="O1030" s="9" t="n">
        <v>1666.88</v>
      </c>
      <c r="P1030" s="9" t="n">
        <v>1619.84</v>
      </c>
      <c r="Q1030" s="9" t="n">
        <v>1568.62</v>
      </c>
      <c r="R1030" s="9" t="n">
        <v>1816.61</v>
      </c>
      <c r="S1030" s="9" t="n">
        <v>1681.65</v>
      </c>
      <c r="T1030" s="9" t="n">
        <v>1905.28</v>
      </c>
      <c r="U1030" s="10">
        <f>SUM(I1030:T1030)</f>
        <v/>
      </c>
    </row>
    <row r="1031">
      <c r="A1031" s="2" t="inlineStr">
        <is>
          <t>SN-3000-3300-3320-3320AG0008</t>
        </is>
      </c>
      <c r="B1031" s="2" t="inlineStr">
        <is>
          <t>3320AG0008</t>
        </is>
      </c>
      <c r="C1031" s="2" t="inlineStr">
        <is>
          <t>Agitador estanque CIP</t>
        </is>
      </c>
      <c r="D1031" s="2" t="n">
        <v>344</v>
      </c>
      <c r="E1031" s="2" t="inlineStr">
        <is>
          <t>CC-3000</t>
        </is>
      </c>
      <c r="F1031" s="2" t="inlineStr">
        <is>
          <t>P01</t>
        </is>
      </c>
      <c r="G1031" s="2" t="n">
        <v>610000</v>
      </c>
      <c r="H1031" s="2" t="inlineStr">
        <is>
          <t>Mano obra interna</t>
        </is>
      </c>
      <c r="I1031" s="9" t="n">
        <v>2905.51</v>
      </c>
      <c r="J1031" s="9" t="n">
        <v>2782.31</v>
      </c>
      <c r="K1031" s="9" t="n">
        <v>2982.65</v>
      </c>
      <c r="L1031" s="9" t="n">
        <v>2808.9</v>
      </c>
      <c r="M1031" s="9" t="n">
        <v>2633.08</v>
      </c>
      <c r="N1031" s="9" t="n">
        <v>2932.6</v>
      </c>
      <c r="O1031" s="9" t="n">
        <v>2723.52</v>
      </c>
      <c r="P1031" s="9" t="n">
        <v>2725.61</v>
      </c>
      <c r="Q1031" s="9" t="n">
        <v>2656.09</v>
      </c>
      <c r="R1031" s="9" t="n">
        <v>3086.56</v>
      </c>
      <c r="S1031" s="9" t="n">
        <v>2560.65</v>
      </c>
      <c r="T1031" s="9" t="n">
        <v>2744.67</v>
      </c>
      <c r="U1031" s="10">
        <f>SUM(I1031:T1031)</f>
        <v/>
      </c>
    </row>
    <row r="1032">
      <c r="A1032" s="2" t="inlineStr">
        <is>
          <t>SN-3000-3300-3320-3320AG0008</t>
        </is>
      </c>
      <c r="B1032" s="2" t="inlineStr">
        <is>
          <t>3320AG0008</t>
        </is>
      </c>
      <c r="C1032" s="2" t="inlineStr">
        <is>
          <t>Agitador estanque CIP</t>
        </is>
      </c>
      <c r="D1032" s="2" t="n">
        <v>344</v>
      </c>
      <c r="E1032" s="2" t="inlineStr">
        <is>
          <t>CC-3000</t>
        </is>
      </c>
      <c r="F1032" s="2" t="inlineStr">
        <is>
          <t>P01</t>
        </is>
      </c>
      <c r="G1032" s="2" t="n">
        <v>620000</v>
      </c>
      <c r="H1032" s="2" t="inlineStr">
        <is>
          <t>Materiales</t>
        </is>
      </c>
      <c r="I1032" s="9" t="n">
        <v>2500.58</v>
      </c>
      <c r="J1032" s="9" t="n">
        <v>2241.7</v>
      </c>
      <c r="K1032" s="9" t="n">
        <v>2424.62</v>
      </c>
      <c r="L1032" s="9" t="n">
        <v>2454.34</v>
      </c>
      <c r="M1032" s="9" t="n">
        <v>2501.37</v>
      </c>
      <c r="N1032" s="9" t="n">
        <v>2211.72</v>
      </c>
      <c r="O1032" s="9" t="n">
        <v>2241.07</v>
      </c>
      <c r="P1032" s="9" t="n">
        <v>2373.71</v>
      </c>
      <c r="Q1032" s="9" t="n">
        <v>2302.53</v>
      </c>
      <c r="R1032" s="9" t="n">
        <v>2406</v>
      </c>
      <c r="S1032" s="9" t="n">
        <v>2275.81</v>
      </c>
      <c r="T1032" s="9" t="n">
        <v>2228.58</v>
      </c>
      <c r="U1032" s="10">
        <f>SUM(I1032:T1032)</f>
        <v/>
      </c>
    </row>
    <row r="1033">
      <c r="A1033" s="2" t="inlineStr">
        <is>
          <t>SN-3000-3300-3320-3320AG0008</t>
        </is>
      </c>
      <c r="B1033" s="2" t="inlineStr">
        <is>
          <t>3320AG0008</t>
        </is>
      </c>
      <c r="C1033" s="2" t="inlineStr">
        <is>
          <t>Agitador estanque CIP</t>
        </is>
      </c>
      <c r="D1033" s="2" t="n">
        <v>344</v>
      </c>
      <c r="E1033" s="2" t="inlineStr">
        <is>
          <t>CC-3000</t>
        </is>
      </c>
      <c r="F1033" s="2" t="inlineStr">
        <is>
          <t>P01</t>
        </is>
      </c>
      <c r="G1033" s="2" t="n">
        <v>630000</v>
      </c>
      <c r="H1033" s="2" t="inlineStr">
        <is>
          <t>Servicios externos</t>
        </is>
      </c>
      <c r="I1033" s="9" t="n">
        <v>2137.43</v>
      </c>
      <c r="J1033" s="9" t="n">
        <v>2000.95</v>
      </c>
      <c r="K1033" s="9" t="n">
        <v>2285.54</v>
      </c>
      <c r="L1033" s="9" t="n">
        <v>2180.86</v>
      </c>
      <c r="M1033" s="9" t="n">
        <v>2062.48</v>
      </c>
      <c r="N1033" s="9" t="n">
        <v>1977.7</v>
      </c>
      <c r="O1033" s="9" t="n">
        <v>2099.53</v>
      </c>
      <c r="P1033" s="9" t="n">
        <v>1943.68</v>
      </c>
      <c r="Q1033" s="9" t="n">
        <v>2077.21</v>
      </c>
      <c r="R1033" s="9" t="n">
        <v>2444.68</v>
      </c>
      <c r="S1033" s="9" t="n">
        <v>1928.88</v>
      </c>
      <c r="T1033" s="9" t="n">
        <v>2001.27</v>
      </c>
      <c r="U1033" s="10">
        <f>SUM(I1033:T1033)</f>
        <v/>
      </c>
    </row>
    <row r="1034">
      <c r="A1034" s="2" t="inlineStr">
        <is>
          <t>SN-3000-3300-3320-3320AG0009</t>
        </is>
      </c>
      <c r="B1034" s="2" t="inlineStr">
        <is>
          <t>3320AG0009</t>
        </is>
      </c>
      <c r="C1034" s="2" t="inlineStr">
        <is>
          <t>Agitador estanque CIP</t>
        </is>
      </c>
      <c r="D1034" s="2" t="n">
        <v>345</v>
      </c>
      <c r="E1034" s="2" t="inlineStr">
        <is>
          <t>CC-3000</t>
        </is>
      </c>
      <c r="F1034" s="2" t="inlineStr">
        <is>
          <t>P01</t>
        </is>
      </c>
      <c r="G1034" s="2" t="n">
        <v>610000</v>
      </c>
      <c r="H1034" s="2" t="inlineStr">
        <is>
          <t>Mano obra interna</t>
        </is>
      </c>
      <c r="I1034" s="9" t="n">
        <v>2421.66</v>
      </c>
      <c r="J1034" s="9" t="n">
        <v>2336.44</v>
      </c>
      <c r="K1034" s="9" t="n">
        <v>2518.62</v>
      </c>
      <c r="L1034" s="9" t="n">
        <v>2458.85</v>
      </c>
      <c r="M1034" s="9" t="n">
        <v>2270.28</v>
      </c>
      <c r="N1034" s="9" t="n">
        <v>2250.96</v>
      </c>
      <c r="O1034" s="9" t="n">
        <v>2383.38</v>
      </c>
      <c r="P1034" s="9" t="n">
        <v>2315.61</v>
      </c>
      <c r="Q1034" s="9" t="n">
        <v>2144.39</v>
      </c>
      <c r="R1034" s="9" t="n">
        <v>2551.9</v>
      </c>
      <c r="S1034" s="9" t="n">
        <v>2259.36</v>
      </c>
      <c r="T1034" s="9" t="n">
        <v>2401.02</v>
      </c>
      <c r="U1034" s="10">
        <f>SUM(I1034:T1034)</f>
        <v/>
      </c>
    </row>
    <row r="1035">
      <c r="A1035" s="2" t="inlineStr">
        <is>
          <t>SN-3000-3300-3320-3320AG0009</t>
        </is>
      </c>
      <c r="B1035" s="2" t="inlineStr">
        <is>
          <t>3320AG0009</t>
        </is>
      </c>
      <c r="C1035" s="2" t="inlineStr">
        <is>
          <t>Agitador estanque CIP</t>
        </is>
      </c>
      <c r="D1035" s="2" t="n">
        <v>345</v>
      </c>
      <c r="E1035" s="2" t="inlineStr">
        <is>
          <t>CC-3000</t>
        </is>
      </c>
      <c r="F1035" s="2" t="inlineStr">
        <is>
          <t>P01</t>
        </is>
      </c>
      <c r="G1035" s="2" t="n">
        <v>620000</v>
      </c>
      <c r="H1035" s="2" t="inlineStr">
        <is>
          <t>Materiales</t>
        </is>
      </c>
      <c r="I1035" s="9" t="n">
        <v>2794.88</v>
      </c>
      <c r="J1035" s="9" t="n">
        <v>2664.51</v>
      </c>
      <c r="K1035" s="9" t="n">
        <v>2737.35</v>
      </c>
      <c r="L1035" s="9" t="n">
        <v>2781.98</v>
      </c>
      <c r="M1035" s="9" t="n">
        <v>2596.52</v>
      </c>
      <c r="N1035" s="9" t="n">
        <v>2424.31</v>
      </c>
      <c r="O1035" s="9" t="n">
        <v>2435.14</v>
      </c>
      <c r="P1035" s="9" t="n">
        <v>2668.42</v>
      </c>
      <c r="Q1035" s="9" t="n">
        <v>2497.92</v>
      </c>
      <c r="R1035" s="9" t="n">
        <v>3067.92</v>
      </c>
      <c r="S1035" s="9" t="n">
        <v>2503.82</v>
      </c>
      <c r="T1035" s="9" t="n">
        <v>2638.84</v>
      </c>
      <c r="U1035" s="10">
        <f>SUM(I1035:T1035)</f>
        <v/>
      </c>
    </row>
    <row r="1036">
      <c r="A1036" s="2" t="inlineStr">
        <is>
          <t>SN-3000-3300-3320-3320AG0009</t>
        </is>
      </c>
      <c r="B1036" s="2" t="inlineStr">
        <is>
          <t>3320AG0009</t>
        </is>
      </c>
      <c r="C1036" s="2" t="inlineStr">
        <is>
          <t>Agitador estanque CIP</t>
        </is>
      </c>
      <c r="D1036" s="2" t="n">
        <v>345</v>
      </c>
      <c r="E1036" s="2" t="inlineStr">
        <is>
          <t>CC-3000</t>
        </is>
      </c>
      <c r="F1036" s="2" t="inlineStr">
        <is>
          <t>P01</t>
        </is>
      </c>
      <c r="G1036" s="2" t="n">
        <v>630000</v>
      </c>
      <c r="H1036" s="2" t="inlineStr">
        <is>
          <t>Servicios externos</t>
        </is>
      </c>
      <c r="I1036" s="9" t="n">
        <v>2208.49</v>
      </c>
      <c r="J1036" s="9" t="n">
        <v>2387.7</v>
      </c>
      <c r="K1036" s="9" t="n">
        <v>2300.54</v>
      </c>
      <c r="L1036" s="9" t="n">
        <v>2415.6</v>
      </c>
      <c r="M1036" s="9" t="n">
        <v>2368.06</v>
      </c>
      <c r="N1036" s="9" t="n">
        <v>2210.74</v>
      </c>
      <c r="O1036" s="9" t="n">
        <v>2464.01</v>
      </c>
      <c r="P1036" s="9" t="n">
        <v>2300.4</v>
      </c>
      <c r="Q1036" s="9" t="n">
        <v>2088.02</v>
      </c>
      <c r="R1036" s="9" t="n">
        <v>2663.93</v>
      </c>
      <c r="S1036" s="9" t="n">
        <v>2378.92</v>
      </c>
      <c r="T1036" s="9" t="n">
        <v>2230.78</v>
      </c>
      <c r="U1036" s="10">
        <f>SUM(I1036:T1036)</f>
        <v/>
      </c>
    </row>
    <row r="1037">
      <c r="A1037" s="2" t="inlineStr">
        <is>
          <t>SN-3000-3300-3320-3320AG0010</t>
        </is>
      </c>
      <c r="B1037" s="2" t="inlineStr">
        <is>
          <t>3320AG0010</t>
        </is>
      </c>
      <c r="C1037" s="2" t="inlineStr">
        <is>
          <t>Agitador estanque CIP</t>
        </is>
      </c>
      <c r="D1037" s="2" t="n">
        <v>346</v>
      </c>
      <c r="E1037" s="2" t="inlineStr">
        <is>
          <t>CC-3000</t>
        </is>
      </c>
      <c r="F1037" s="2" t="inlineStr">
        <is>
          <t>P01</t>
        </is>
      </c>
      <c r="G1037" s="2" t="n">
        <v>610000</v>
      </c>
      <c r="H1037" s="2" t="inlineStr">
        <is>
          <t>Mano obra interna</t>
        </is>
      </c>
      <c r="I1037" s="9" t="n">
        <v>361.88</v>
      </c>
      <c r="J1037" s="9" t="n">
        <v>360.87</v>
      </c>
      <c r="K1037" s="9" t="n">
        <v>420.96</v>
      </c>
      <c r="L1037" s="9" t="n">
        <v>391.37</v>
      </c>
      <c r="M1037" s="9" t="n">
        <v>367.84</v>
      </c>
      <c r="N1037" s="9" t="n">
        <v>385.27</v>
      </c>
      <c r="O1037" s="9" t="n">
        <v>376.71</v>
      </c>
      <c r="P1037" s="9" t="n">
        <v>367.89</v>
      </c>
      <c r="Q1037" s="9" t="n">
        <v>378.09</v>
      </c>
      <c r="R1037" s="9" t="n">
        <v>432.01</v>
      </c>
      <c r="S1037" s="9" t="n">
        <v>387.46</v>
      </c>
      <c r="T1037" s="9" t="n">
        <v>385.77</v>
      </c>
      <c r="U1037" s="10">
        <f>SUM(I1037:T1037)</f>
        <v/>
      </c>
    </row>
    <row r="1038">
      <c r="A1038" s="2" t="inlineStr">
        <is>
          <t>SN-3000-3300-3320-3320AG0010</t>
        </is>
      </c>
      <c r="B1038" s="2" t="inlineStr">
        <is>
          <t>3320AG0010</t>
        </is>
      </c>
      <c r="C1038" s="2" t="inlineStr">
        <is>
          <t>Agitador estanque CIP</t>
        </is>
      </c>
      <c r="D1038" s="2" t="n">
        <v>346</v>
      </c>
      <c r="E1038" s="2" t="inlineStr">
        <is>
          <t>CC-3000</t>
        </is>
      </c>
      <c r="F1038" s="2" t="inlineStr">
        <is>
          <t>P01</t>
        </is>
      </c>
      <c r="G1038" s="2" t="n">
        <v>620000</v>
      </c>
      <c r="H1038" s="2" t="inlineStr">
        <is>
          <t>Materiales</t>
        </is>
      </c>
      <c r="I1038" s="9" t="n">
        <v>458.25</v>
      </c>
      <c r="J1038" s="9" t="n">
        <v>471.46</v>
      </c>
      <c r="K1038" s="9" t="n">
        <v>525.9299999999999</v>
      </c>
      <c r="L1038" s="9" t="n">
        <v>467.43</v>
      </c>
      <c r="M1038" s="9" t="n">
        <v>490.33</v>
      </c>
      <c r="N1038" s="9" t="n">
        <v>451.69</v>
      </c>
      <c r="O1038" s="9" t="n">
        <v>438.53</v>
      </c>
      <c r="P1038" s="9" t="n">
        <v>492.71</v>
      </c>
      <c r="Q1038" s="9" t="n">
        <v>417.11</v>
      </c>
      <c r="R1038" s="9" t="n">
        <v>521.01</v>
      </c>
      <c r="S1038" s="9" t="n">
        <v>427.69</v>
      </c>
      <c r="T1038" s="9" t="n">
        <v>514.53</v>
      </c>
      <c r="U1038" s="10">
        <f>SUM(I1038:T1038)</f>
        <v/>
      </c>
    </row>
    <row r="1039">
      <c r="A1039" s="2" t="inlineStr">
        <is>
          <t>SN-3000-3300-3320-3320AG0010</t>
        </is>
      </c>
      <c r="B1039" s="2" t="inlineStr">
        <is>
          <t>3320AG0010</t>
        </is>
      </c>
      <c r="C1039" s="2" t="inlineStr">
        <is>
          <t>Agitador estanque CIP</t>
        </is>
      </c>
      <c r="D1039" s="2" t="n">
        <v>346</v>
      </c>
      <c r="E1039" s="2" t="inlineStr">
        <is>
          <t>CC-3000</t>
        </is>
      </c>
      <c r="F1039" s="2" t="inlineStr">
        <is>
          <t>P01</t>
        </is>
      </c>
      <c r="G1039" s="2" t="n">
        <v>630000</v>
      </c>
      <c r="H1039" s="2" t="inlineStr">
        <is>
          <t>Servicios externos</t>
        </is>
      </c>
      <c r="I1039" s="9" t="n">
        <v>396.32</v>
      </c>
      <c r="J1039" s="9" t="n">
        <v>376.12</v>
      </c>
      <c r="K1039" s="9" t="n">
        <v>448.73</v>
      </c>
      <c r="L1039" s="9" t="n">
        <v>429.01</v>
      </c>
      <c r="M1039" s="9" t="n">
        <v>417.33</v>
      </c>
      <c r="N1039" s="9" t="n">
        <v>388.12</v>
      </c>
      <c r="O1039" s="9" t="n">
        <v>404.53</v>
      </c>
      <c r="P1039" s="9" t="n">
        <v>380.38</v>
      </c>
      <c r="Q1039" s="9" t="n">
        <v>381.55</v>
      </c>
      <c r="R1039" s="9" t="n">
        <v>420.1</v>
      </c>
      <c r="S1039" s="9" t="n">
        <v>423.03</v>
      </c>
      <c r="T1039" s="9" t="n">
        <v>431.57</v>
      </c>
      <c r="U1039" s="10">
        <f>SUM(I1039:T1039)</f>
        <v/>
      </c>
    </row>
    <row r="1040">
      <c r="A1040" s="2" t="inlineStr">
        <is>
          <t>SN-3000-3300-3320-3320AG0011</t>
        </is>
      </c>
      <c r="B1040" s="2" t="inlineStr">
        <is>
          <t>3320AG0011</t>
        </is>
      </c>
      <c r="C1040" s="2" t="inlineStr">
        <is>
          <t>Agitador estanque CIP</t>
        </is>
      </c>
      <c r="D1040" s="2" t="n">
        <v>347</v>
      </c>
      <c r="E1040" s="2" t="inlineStr">
        <is>
          <t>CC-3000</t>
        </is>
      </c>
      <c r="F1040" s="2" t="inlineStr">
        <is>
          <t>P01</t>
        </is>
      </c>
      <c r="G1040" s="2" t="n">
        <v>610000</v>
      </c>
      <c r="H1040" s="2" t="inlineStr">
        <is>
          <t>Mano obra interna</t>
        </is>
      </c>
      <c r="I1040" s="9" t="n">
        <v>325.14</v>
      </c>
      <c r="J1040" s="9" t="n">
        <v>347.37</v>
      </c>
      <c r="K1040" s="9" t="n">
        <v>326.95</v>
      </c>
      <c r="L1040" s="9" t="n">
        <v>327.61</v>
      </c>
      <c r="M1040" s="9" t="n">
        <v>318.42</v>
      </c>
      <c r="N1040" s="9" t="n">
        <v>325.43</v>
      </c>
      <c r="O1040" s="9" t="n">
        <v>352.97</v>
      </c>
      <c r="P1040" s="9" t="n">
        <v>327.05</v>
      </c>
      <c r="Q1040" s="9" t="n">
        <v>293.13</v>
      </c>
      <c r="R1040" s="9" t="n">
        <v>361.71</v>
      </c>
      <c r="S1040" s="9" t="n">
        <v>339.51</v>
      </c>
      <c r="T1040" s="9" t="n">
        <v>327.08</v>
      </c>
      <c r="U1040" s="10">
        <f>SUM(I1040:T1040)</f>
        <v/>
      </c>
    </row>
    <row r="1041">
      <c r="A1041" s="2" t="inlineStr">
        <is>
          <t>SN-3000-3300-3320-3320AG0011</t>
        </is>
      </c>
      <c r="B1041" s="2" t="inlineStr">
        <is>
          <t>3320AG0011</t>
        </is>
      </c>
      <c r="C1041" s="2" t="inlineStr">
        <is>
          <t>Agitador estanque CIP</t>
        </is>
      </c>
      <c r="D1041" s="2" t="n">
        <v>347</v>
      </c>
      <c r="E1041" s="2" t="inlineStr">
        <is>
          <t>CC-3000</t>
        </is>
      </c>
      <c r="F1041" s="2" t="inlineStr">
        <is>
          <t>P01</t>
        </is>
      </c>
      <c r="G1041" s="2" t="n">
        <v>620000</v>
      </c>
      <c r="H1041" s="2" t="inlineStr">
        <is>
          <t>Materiales</t>
        </is>
      </c>
      <c r="I1041" s="9" t="n">
        <v>324.44</v>
      </c>
      <c r="J1041" s="9" t="n">
        <v>313.32</v>
      </c>
      <c r="K1041" s="9" t="n">
        <v>329.99</v>
      </c>
      <c r="L1041" s="9" t="n">
        <v>318.05</v>
      </c>
      <c r="M1041" s="9" t="n">
        <v>278.88</v>
      </c>
      <c r="N1041" s="9" t="n">
        <v>270.49</v>
      </c>
      <c r="O1041" s="9" t="n">
        <v>289.14</v>
      </c>
      <c r="P1041" s="9" t="n">
        <v>287.74</v>
      </c>
      <c r="Q1041" s="9" t="n">
        <v>296.26</v>
      </c>
      <c r="R1041" s="9" t="n">
        <v>334.64</v>
      </c>
      <c r="S1041" s="9" t="n">
        <v>297.41</v>
      </c>
      <c r="T1041" s="9" t="n">
        <v>285.87</v>
      </c>
      <c r="U1041" s="10">
        <f>SUM(I1041:T1041)</f>
        <v/>
      </c>
    </row>
    <row r="1042">
      <c r="A1042" s="2" t="inlineStr">
        <is>
          <t>SN-3000-3300-3320-3320AG0011</t>
        </is>
      </c>
      <c r="B1042" s="2" t="inlineStr">
        <is>
          <t>3320AG0011</t>
        </is>
      </c>
      <c r="C1042" s="2" t="inlineStr">
        <is>
          <t>Agitador estanque CIP</t>
        </is>
      </c>
      <c r="D1042" s="2" t="n">
        <v>347</v>
      </c>
      <c r="E1042" s="2" t="inlineStr">
        <is>
          <t>CC-3000</t>
        </is>
      </c>
      <c r="F1042" s="2" t="inlineStr">
        <is>
          <t>P01</t>
        </is>
      </c>
      <c r="G1042" s="2" t="n">
        <v>630000</v>
      </c>
      <c r="H1042" s="2" t="inlineStr">
        <is>
          <t>Servicios externos</t>
        </is>
      </c>
      <c r="I1042" s="9" t="n">
        <v>395.95</v>
      </c>
      <c r="J1042" s="9" t="n">
        <v>343.42</v>
      </c>
      <c r="K1042" s="9" t="n">
        <v>402.77</v>
      </c>
      <c r="L1042" s="9" t="n">
        <v>362.93</v>
      </c>
      <c r="M1042" s="9" t="n">
        <v>340.26</v>
      </c>
      <c r="N1042" s="9" t="n">
        <v>361.18</v>
      </c>
      <c r="O1042" s="9" t="n">
        <v>377.77</v>
      </c>
      <c r="P1042" s="9" t="n">
        <v>344.39</v>
      </c>
      <c r="Q1042" s="9" t="n">
        <v>333.11</v>
      </c>
      <c r="R1042" s="9" t="n">
        <v>428.77</v>
      </c>
      <c r="S1042" s="9" t="n">
        <v>366.94</v>
      </c>
      <c r="T1042" s="9" t="n">
        <v>387.77</v>
      </c>
      <c r="U1042" s="10">
        <f>SUM(I1042:T1042)</f>
        <v/>
      </c>
    </row>
    <row r="1043">
      <c r="A1043" s="2" t="inlineStr">
        <is>
          <t>SN-3000-3300-3320-3320AG0012</t>
        </is>
      </c>
      <c r="B1043" s="2" t="inlineStr">
        <is>
          <t>3320AG0012</t>
        </is>
      </c>
      <c r="C1043" s="2" t="inlineStr">
        <is>
          <t>Agitador estanque CIP</t>
        </is>
      </c>
      <c r="D1043" s="2" t="n">
        <v>348</v>
      </c>
      <c r="E1043" s="2" t="inlineStr">
        <is>
          <t>CC-3000</t>
        </is>
      </c>
      <c r="F1043" s="2" t="inlineStr">
        <is>
          <t>P01</t>
        </is>
      </c>
      <c r="G1043" s="2" t="n">
        <v>610000</v>
      </c>
      <c r="H1043" s="2" t="inlineStr">
        <is>
          <t>Mano obra interna</t>
        </is>
      </c>
      <c r="I1043" s="9" t="n">
        <v>1048.43</v>
      </c>
      <c r="J1043" s="9" t="n">
        <v>1045.85</v>
      </c>
      <c r="K1043" s="9" t="n">
        <v>1090.44</v>
      </c>
      <c r="L1043" s="9" t="n">
        <v>1077.71</v>
      </c>
      <c r="M1043" s="9" t="n">
        <v>1036.27</v>
      </c>
      <c r="N1043" s="9" t="n">
        <v>1065.45</v>
      </c>
      <c r="O1043" s="9" t="n">
        <v>1071.43</v>
      </c>
      <c r="P1043" s="9" t="n">
        <v>1156.82</v>
      </c>
      <c r="Q1043" s="9" t="n">
        <v>973.28</v>
      </c>
      <c r="R1043" s="9" t="n">
        <v>1180.88</v>
      </c>
      <c r="S1043" s="9" t="n">
        <v>983.11</v>
      </c>
      <c r="T1043" s="9" t="n">
        <v>1114.31</v>
      </c>
      <c r="U1043" s="10">
        <f>SUM(I1043:T1043)</f>
        <v/>
      </c>
    </row>
    <row r="1044">
      <c r="A1044" s="2" t="inlineStr">
        <is>
          <t>SN-3000-3300-3320-3320AG0012</t>
        </is>
      </c>
      <c r="B1044" s="2" t="inlineStr">
        <is>
          <t>3320AG0012</t>
        </is>
      </c>
      <c r="C1044" s="2" t="inlineStr">
        <is>
          <t>Agitador estanque CIP</t>
        </is>
      </c>
      <c r="D1044" s="2" t="n">
        <v>348</v>
      </c>
      <c r="E1044" s="2" t="inlineStr">
        <is>
          <t>CC-3000</t>
        </is>
      </c>
      <c r="F1044" s="2" t="inlineStr">
        <is>
          <t>P01</t>
        </is>
      </c>
      <c r="G1044" s="2" t="n">
        <v>620000</v>
      </c>
      <c r="H1044" s="2" t="inlineStr">
        <is>
          <t>Materiales</t>
        </is>
      </c>
      <c r="I1044" s="9" t="n">
        <v>1058.98</v>
      </c>
      <c r="J1044" s="9" t="n">
        <v>993.23</v>
      </c>
      <c r="K1044" s="9" t="n">
        <v>992.61</v>
      </c>
      <c r="L1044" s="9" t="n">
        <v>919.79</v>
      </c>
      <c r="M1044" s="9" t="n">
        <v>967.83</v>
      </c>
      <c r="N1044" s="9" t="n">
        <v>959.5</v>
      </c>
      <c r="O1044" s="9" t="n">
        <v>916.42</v>
      </c>
      <c r="P1044" s="9" t="n">
        <v>973.48</v>
      </c>
      <c r="Q1044" s="9" t="n">
        <v>942.1799999999999</v>
      </c>
      <c r="R1044" s="9" t="n">
        <v>1083.88</v>
      </c>
      <c r="S1044" s="9" t="n">
        <v>978.14</v>
      </c>
      <c r="T1044" s="9" t="n">
        <v>1037.36</v>
      </c>
      <c r="U1044" s="10">
        <f>SUM(I1044:T1044)</f>
        <v/>
      </c>
    </row>
    <row r="1045">
      <c r="A1045" s="2" t="inlineStr">
        <is>
          <t>SN-3000-3300-3320-3320AG0012</t>
        </is>
      </c>
      <c r="B1045" s="2" t="inlineStr">
        <is>
          <t>3320AG0012</t>
        </is>
      </c>
      <c r="C1045" s="2" t="inlineStr">
        <is>
          <t>Agitador estanque CIP</t>
        </is>
      </c>
      <c r="D1045" s="2" t="n">
        <v>348</v>
      </c>
      <c r="E1045" s="2" t="inlineStr">
        <is>
          <t>CC-3000</t>
        </is>
      </c>
      <c r="F1045" s="2" t="inlineStr">
        <is>
          <t>P01</t>
        </is>
      </c>
      <c r="G1045" s="2" t="n">
        <v>630000</v>
      </c>
      <c r="H1045" s="2" t="inlineStr">
        <is>
          <t>Servicios externos</t>
        </is>
      </c>
      <c r="I1045" s="9" t="n">
        <v>1303.82</v>
      </c>
      <c r="J1045" s="9" t="n">
        <v>1291.21</v>
      </c>
      <c r="K1045" s="9" t="n">
        <v>1400.05</v>
      </c>
      <c r="L1045" s="9" t="n">
        <v>1367.19</v>
      </c>
      <c r="M1045" s="9" t="n">
        <v>1385.13</v>
      </c>
      <c r="N1045" s="9" t="n">
        <v>1143.35</v>
      </c>
      <c r="O1045" s="9" t="n">
        <v>1267.31</v>
      </c>
      <c r="P1045" s="9" t="n">
        <v>1250.43</v>
      </c>
      <c r="Q1045" s="9" t="n">
        <v>1161.25</v>
      </c>
      <c r="R1045" s="9" t="n">
        <v>1336.41</v>
      </c>
      <c r="S1045" s="9" t="n">
        <v>1297.39</v>
      </c>
      <c r="T1045" s="9" t="n">
        <v>1228.62</v>
      </c>
      <c r="U1045" s="10">
        <f>SUM(I1045:T1045)</f>
        <v/>
      </c>
    </row>
    <row r="1046">
      <c r="A1046" s="2" t="inlineStr">
        <is>
          <t>SN-3000-3300-3320-3320AG0013</t>
        </is>
      </c>
      <c r="B1046" s="2" t="inlineStr">
        <is>
          <t>3320AG0013</t>
        </is>
      </c>
      <c r="C1046" s="2" t="inlineStr">
        <is>
          <t>Agitador estanque CIP</t>
        </is>
      </c>
      <c r="D1046" s="2" t="n">
        <v>349</v>
      </c>
      <c r="E1046" s="2" t="inlineStr">
        <is>
          <t>CC-3000</t>
        </is>
      </c>
      <c r="F1046" s="2" t="inlineStr">
        <is>
          <t>P01</t>
        </is>
      </c>
      <c r="G1046" s="2" t="n">
        <v>610000</v>
      </c>
      <c r="H1046" s="2" t="inlineStr">
        <is>
          <t>Mano obra interna</t>
        </is>
      </c>
      <c r="I1046" s="9" t="n">
        <v>1908.73</v>
      </c>
      <c r="J1046" s="9" t="n">
        <v>1714.95</v>
      </c>
      <c r="K1046" s="9" t="n">
        <v>1797.02</v>
      </c>
      <c r="L1046" s="9" t="n">
        <v>1891.83</v>
      </c>
      <c r="M1046" s="9" t="n">
        <v>1870.16</v>
      </c>
      <c r="N1046" s="9" t="n">
        <v>1838.4</v>
      </c>
      <c r="O1046" s="9" t="n">
        <v>1916.68</v>
      </c>
      <c r="P1046" s="9" t="n">
        <v>1947.07</v>
      </c>
      <c r="Q1046" s="9" t="n">
        <v>1710.25</v>
      </c>
      <c r="R1046" s="9" t="n">
        <v>2083.75</v>
      </c>
      <c r="S1046" s="9" t="n">
        <v>1842.37</v>
      </c>
      <c r="T1046" s="9" t="n">
        <v>1956.78</v>
      </c>
      <c r="U1046" s="10">
        <f>SUM(I1046:T1046)</f>
        <v/>
      </c>
    </row>
    <row r="1047">
      <c r="A1047" s="2" t="inlineStr">
        <is>
          <t>SN-3000-3300-3320-3320AG0013</t>
        </is>
      </c>
      <c r="B1047" s="2" t="inlineStr">
        <is>
          <t>3320AG0013</t>
        </is>
      </c>
      <c r="C1047" s="2" t="inlineStr">
        <is>
          <t>Agitador estanque CIP</t>
        </is>
      </c>
      <c r="D1047" s="2" t="n">
        <v>349</v>
      </c>
      <c r="E1047" s="2" t="inlineStr">
        <is>
          <t>CC-3000</t>
        </is>
      </c>
      <c r="F1047" s="2" t="inlineStr">
        <is>
          <t>P01</t>
        </is>
      </c>
      <c r="G1047" s="2" t="n">
        <v>620000</v>
      </c>
      <c r="H1047" s="2" t="inlineStr">
        <is>
          <t>Materiales</t>
        </is>
      </c>
      <c r="I1047" s="9" t="n">
        <v>1615.2</v>
      </c>
      <c r="J1047" s="9" t="n">
        <v>1444.02</v>
      </c>
      <c r="K1047" s="9" t="n">
        <v>1591.52</v>
      </c>
      <c r="L1047" s="9" t="n">
        <v>1415.15</v>
      </c>
      <c r="M1047" s="9" t="n">
        <v>1432.97</v>
      </c>
      <c r="N1047" s="9" t="n">
        <v>1356.29</v>
      </c>
      <c r="O1047" s="9" t="n">
        <v>1424.02</v>
      </c>
      <c r="P1047" s="9" t="n">
        <v>1382.67</v>
      </c>
      <c r="Q1047" s="9" t="n">
        <v>1437.73</v>
      </c>
      <c r="R1047" s="9" t="n">
        <v>1463.25</v>
      </c>
      <c r="S1047" s="9" t="n">
        <v>1382.67</v>
      </c>
      <c r="T1047" s="9" t="n">
        <v>1416.48</v>
      </c>
      <c r="U1047" s="10">
        <f>SUM(I1047:T1047)</f>
        <v/>
      </c>
    </row>
    <row r="1048">
      <c r="A1048" s="2" t="inlineStr">
        <is>
          <t>SN-3000-3300-3320-3320AG0013</t>
        </is>
      </c>
      <c r="B1048" s="2" t="inlineStr">
        <is>
          <t>3320AG0013</t>
        </is>
      </c>
      <c r="C1048" s="2" t="inlineStr">
        <is>
          <t>Agitador estanque CIP</t>
        </is>
      </c>
      <c r="D1048" s="2" t="n">
        <v>349</v>
      </c>
      <c r="E1048" s="2" t="inlineStr">
        <is>
          <t>CC-3000</t>
        </is>
      </c>
      <c r="F1048" s="2" t="inlineStr">
        <is>
          <t>P01</t>
        </is>
      </c>
      <c r="G1048" s="2" t="n">
        <v>630000</v>
      </c>
      <c r="H1048" s="2" t="inlineStr">
        <is>
          <t>Servicios externos</t>
        </is>
      </c>
      <c r="I1048" s="9" t="n">
        <v>1731.75</v>
      </c>
      <c r="J1048" s="9" t="n">
        <v>1672.02</v>
      </c>
      <c r="K1048" s="9" t="n">
        <v>1818.29</v>
      </c>
      <c r="L1048" s="9" t="n">
        <v>1848.84</v>
      </c>
      <c r="M1048" s="9" t="n">
        <v>1641.67</v>
      </c>
      <c r="N1048" s="9" t="n">
        <v>1600.59</v>
      </c>
      <c r="O1048" s="9" t="n">
        <v>1695.15</v>
      </c>
      <c r="P1048" s="9" t="n">
        <v>1898.25</v>
      </c>
      <c r="Q1048" s="9" t="n">
        <v>1616.71</v>
      </c>
      <c r="R1048" s="9" t="n">
        <v>1934.46</v>
      </c>
      <c r="S1048" s="9" t="n">
        <v>1638.73</v>
      </c>
      <c r="T1048" s="9" t="n">
        <v>1789.3</v>
      </c>
      <c r="U1048" s="10">
        <f>SUM(I1048:T1048)</f>
        <v/>
      </c>
    </row>
    <row r="1049">
      <c r="A1049" s="2" t="inlineStr">
        <is>
          <t>SN-3000-3300-3320-3320AG0014</t>
        </is>
      </c>
      <c r="B1049" s="2" t="inlineStr">
        <is>
          <t>3320AG0014</t>
        </is>
      </c>
      <c r="C1049" s="2" t="inlineStr">
        <is>
          <t>Agitador estanque CIP</t>
        </is>
      </c>
      <c r="D1049" s="2" t="n">
        <v>350</v>
      </c>
      <c r="E1049" s="2" t="inlineStr">
        <is>
          <t>CC-3000</t>
        </is>
      </c>
      <c r="F1049" s="2" t="inlineStr">
        <is>
          <t>P01</t>
        </is>
      </c>
      <c r="G1049" s="2" t="n">
        <v>610000</v>
      </c>
      <c r="H1049" s="2" t="inlineStr">
        <is>
          <t>Mano obra interna</t>
        </is>
      </c>
      <c r="I1049" s="9" t="n">
        <v>426.95</v>
      </c>
      <c r="J1049" s="9" t="n">
        <v>442.8</v>
      </c>
      <c r="K1049" s="9" t="n">
        <v>458.61</v>
      </c>
      <c r="L1049" s="9" t="n">
        <v>435</v>
      </c>
      <c r="M1049" s="9" t="n">
        <v>460.62</v>
      </c>
      <c r="N1049" s="9" t="n">
        <v>466.09</v>
      </c>
      <c r="O1049" s="9" t="n">
        <v>444.53</v>
      </c>
      <c r="P1049" s="9" t="n">
        <v>460.53</v>
      </c>
      <c r="Q1049" s="9" t="n">
        <v>451.8</v>
      </c>
      <c r="R1049" s="9" t="n">
        <v>513.16</v>
      </c>
      <c r="S1049" s="9" t="n">
        <v>434.89</v>
      </c>
      <c r="T1049" s="9" t="n">
        <v>476.01</v>
      </c>
      <c r="U1049" s="10">
        <f>SUM(I1049:T1049)</f>
        <v/>
      </c>
    </row>
    <row r="1050">
      <c r="A1050" s="2" t="inlineStr">
        <is>
          <t>SN-3000-3300-3320-3320AG0014</t>
        </is>
      </c>
      <c r="B1050" s="2" t="inlineStr">
        <is>
          <t>3320AG0014</t>
        </is>
      </c>
      <c r="C1050" s="2" t="inlineStr">
        <is>
          <t>Agitador estanque CIP</t>
        </is>
      </c>
      <c r="D1050" s="2" t="n">
        <v>350</v>
      </c>
      <c r="E1050" s="2" t="inlineStr">
        <is>
          <t>CC-3000</t>
        </is>
      </c>
      <c r="F1050" s="2" t="inlineStr">
        <is>
          <t>P01</t>
        </is>
      </c>
      <c r="G1050" s="2" t="n">
        <v>620000</v>
      </c>
      <c r="H1050" s="2" t="inlineStr">
        <is>
          <t>Materiales</t>
        </is>
      </c>
      <c r="I1050" s="9" t="n">
        <v>467.13</v>
      </c>
      <c r="J1050" s="9" t="n">
        <v>433.89</v>
      </c>
      <c r="K1050" s="9" t="n">
        <v>445.61</v>
      </c>
      <c r="L1050" s="9" t="n">
        <v>461.27</v>
      </c>
      <c r="M1050" s="9" t="n">
        <v>425.3</v>
      </c>
      <c r="N1050" s="9" t="n">
        <v>450.54</v>
      </c>
      <c r="O1050" s="9" t="n">
        <v>453.71</v>
      </c>
      <c r="P1050" s="9" t="n">
        <v>458.64</v>
      </c>
      <c r="Q1050" s="9" t="n">
        <v>401.08</v>
      </c>
      <c r="R1050" s="9" t="n">
        <v>464.13</v>
      </c>
      <c r="S1050" s="9" t="n">
        <v>448.02</v>
      </c>
      <c r="T1050" s="9" t="n">
        <v>499.45</v>
      </c>
      <c r="U1050" s="10">
        <f>SUM(I1050:T1050)</f>
        <v/>
      </c>
    </row>
    <row r="1051">
      <c r="A1051" s="2" t="inlineStr">
        <is>
          <t>SN-3000-3300-3320-3320AG0014</t>
        </is>
      </c>
      <c r="B1051" s="2" t="inlineStr">
        <is>
          <t>3320AG0014</t>
        </is>
      </c>
      <c r="C1051" s="2" t="inlineStr">
        <is>
          <t>Agitador estanque CIP</t>
        </is>
      </c>
      <c r="D1051" s="2" t="n">
        <v>350</v>
      </c>
      <c r="E1051" s="2" t="inlineStr">
        <is>
          <t>CC-3000</t>
        </is>
      </c>
      <c r="F1051" s="2" t="inlineStr">
        <is>
          <t>P01</t>
        </is>
      </c>
      <c r="G1051" s="2" t="n">
        <v>630000</v>
      </c>
      <c r="H1051" s="2" t="inlineStr">
        <is>
          <t>Servicios externos</t>
        </is>
      </c>
      <c r="I1051" s="9" t="n">
        <v>438.19</v>
      </c>
      <c r="J1051" s="9" t="n">
        <v>463.63</v>
      </c>
      <c r="K1051" s="9" t="n">
        <v>427.16</v>
      </c>
      <c r="L1051" s="9" t="n">
        <v>481.6</v>
      </c>
      <c r="M1051" s="9" t="n">
        <v>441.59</v>
      </c>
      <c r="N1051" s="9" t="n">
        <v>418.72</v>
      </c>
      <c r="O1051" s="9" t="n">
        <v>431.14</v>
      </c>
      <c r="P1051" s="9" t="n">
        <v>429.73</v>
      </c>
      <c r="Q1051" s="9" t="n">
        <v>400.9</v>
      </c>
      <c r="R1051" s="9" t="n">
        <v>508.85</v>
      </c>
      <c r="S1051" s="9" t="n">
        <v>445.69</v>
      </c>
      <c r="T1051" s="9" t="n">
        <v>463.33</v>
      </c>
      <c r="U1051" s="10">
        <f>SUM(I1051:T1051)</f>
        <v/>
      </c>
    </row>
    <row r="1052">
      <c r="A1052" s="2" t="inlineStr">
        <is>
          <t>SN-3000-3300-3320-3320AL0001</t>
        </is>
      </c>
      <c r="B1052" s="2" t="inlineStr">
        <is>
          <t>3320AL0001</t>
        </is>
      </c>
      <c r="C1052" s="2" t="inlineStr">
        <is>
          <t>Línea aire 3320-2440-AA1N-1"-OX-PP</t>
        </is>
      </c>
      <c r="D1052" s="2" t="n">
        <v>351</v>
      </c>
      <c r="E1052" s="2" t="inlineStr">
        <is>
          <t>CC-3000</t>
        </is>
      </c>
      <c r="F1052" s="2" t="inlineStr">
        <is>
          <t>P01</t>
        </is>
      </c>
      <c r="G1052" s="2" t="n">
        <v>610000</v>
      </c>
      <c r="H1052" s="2" t="inlineStr">
        <is>
          <t>Mano obra interna</t>
        </is>
      </c>
      <c r="I1052" s="9" t="n">
        <v>1589.49</v>
      </c>
      <c r="J1052" s="9" t="n">
        <v>1625.59</v>
      </c>
      <c r="K1052" s="9" t="n">
        <v>1660.57</v>
      </c>
      <c r="L1052" s="9" t="n">
        <v>1730.52</v>
      </c>
      <c r="M1052" s="9" t="n">
        <v>1554.3</v>
      </c>
      <c r="N1052" s="9" t="n">
        <v>1584.3</v>
      </c>
      <c r="O1052" s="9" t="n">
        <v>1719.83</v>
      </c>
      <c r="P1052" s="9" t="n">
        <v>1593.43</v>
      </c>
      <c r="Q1052" s="9" t="n">
        <v>1403.44</v>
      </c>
      <c r="R1052" s="9" t="n">
        <v>1751.52</v>
      </c>
      <c r="S1052" s="9" t="n">
        <v>1529.6</v>
      </c>
      <c r="T1052" s="9" t="n">
        <v>1689.34</v>
      </c>
      <c r="U1052" s="10">
        <f>SUM(I1052:T1052)</f>
        <v/>
      </c>
    </row>
    <row r="1053">
      <c r="A1053" s="2" t="inlineStr">
        <is>
          <t>SN-3000-3300-3320-3320AL0001</t>
        </is>
      </c>
      <c r="B1053" s="2" t="inlineStr">
        <is>
          <t>3320AL0001</t>
        </is>
      </c>
      <c r="C1053" s="2" t="inlineStr">
        <is>
          <t>Línea aire 3320-2440-AA1N-1"-OX-PP</t>
        </is>
      </c>
      <c r="D1053" s="2" t="n">
        <v>351</v>
      </c>
      <c r="E1053" s="2" t="inlineStr">
        <is>
          <t>CC-3000</t>
        </is>
      </c>
      <c r="F1053" s="2" t="inlineStr">
        <is>
          <t>P01</t>
        </is>
      </c>
      <c r="G1053" s="2" t="n">
        <v>620000</v>
      </c>
      <c r="H1053" s="2" t="inlineStr">
        <is>
          <t>Materiales</t>
        </is>
      </c>
      <c r="I1053" s="9" t="n">
        <v>1666.75</v>
      </c>
      <c r="J1053" s="9" t="n">
        <v>1602.98</v>
      </c>
      <c r="K1053" s="9" t="n">
        <v>1730.02</v>
      </c>
      <c r="L1053" s="9" t="n">
        <v>1566.45</v>
      </c>
      <c r="M1053" s="9" t="n">
        <v>1555.68</v>
      </c>
      <c r="N1053" s="9" t="n">
        <v>1669.47</v>
      </c>
      <c r="O1053" s="9" t="n">
        <v>1681.74</v>
      </c>
      <c r="P1053" s="9" t="n">
        <v>1507.95</v>
      </c>
      <c r="Q1053" s="9" t="n">
        <v>1451.37</v>
      </c>
      <c r="R1053" s="9" t="n">
        <v>1816.45</v>
      </c>
      <c r="S1053" s="9" t="n">
        <v>1651.24</v>
      </c>
      <c r="T1053" s="9" t="n">
        <v>1751.09</v>
      </c>
      <c r="U1053" s="10">
        <f>SUM(I1053:T1053)</f>
        <v/>
      </c>
    </row>
    <row r="1054">
      <c r="A1054" s="2" t="inlineStr">
        <is>
          <t>SN-3000-3300-3320-3320AL0001</t>
        </is>
      </c>
      <c r="B1054" s="2" t="inlineStr">
        <is>
          <t>3320AL0001</t>
        </is>
      </c>
      <c r="C1054" s="2" t="inlineStr">
        <is>
          <t>Línea aire 3320-2440-AA1N-1"-OX-PP</t>
        </is>
      </c>
      <c r="D1054" s="2" t="n">
        <v>351</v>
      </c>
      <c r="E1054" s="2" t="inlineStr">
        <is>
          <t>CC-3000</t>
        </is>
      </c>
      <c r="F1054" s="2" t="inlineStr">
        <is>
          <t>P01</t>
        </is>
      </c>
      <c r="G1054" s="2" t="n">
        <v>630000</v>
      </c>
      <c r="H1054" s="2" t="inlineStr">
        <is>
          <t>Servicios externos</t>
        </is>
      </c>
      <c r="I1054" s="9" t="n">
        <v>1456.76</v>
      </c>
      <c r="J1054" s="9" t="n">
        <v>1325.87</v>
      </c>
      <c r="K1054" s="9" t="n">
        <v>1420.5</v>
      </c>
      <c r="L1054" s="9" t="n">
        <v>1385.5</v>
      </c>
      <c r="M1054" s="9" t="n">
        <v>1241.4</v>
      </c>
      <c r="N1054" s="9" t="n">
        <v>1370.87</v>
      </c>
      <c r="O1054" s="9" t="n">
        <v>1254.97</v>
      </c>
      <c r="P1054" s="9" t="n">
        <v>1281.64</v>
      </c>
      <c r="Q1054" s="9" t="n">
        <v>1305.03</v>
      </c>
      <c r="R1054" s="9" t="n">
        <v>1466.96</v>
      </c>
      <c r="S1054" s="9" t="n">
        <v>1362.24</v>
      </c>
      <c r="T1054" s="9" t="n">
        <v>1358.18</v>
      </c>
      <c r="U1054" s="10">
        <f>SUM(I1054:T1054)</f>
        <v/>
      </c>
    </row>
    <row r="1055">
      <c r="A1055" s="2" t="inlineStr">
        <is>
          <t>SN-3000-3300-3320-3320AL0002</t>
        </is>
      </c>
      <c r="B1055" s="2" t="inlineStr">
        <is>
          <t>3320AL0002</t>
        </is>
      </c>
      <c r="C1055" s="2" t="inlineStr">
        <is>
          <t>Línea aire 3320-2444-AA1N-1"-OX-PP</t>
        </is>
      </c>
      <c r="D1055" s="2" t="n">
        <v>352</v>
      </c>
      <c r="E1055" s="2" t="inlineStr">
        <is>
          <t>CC-3000</t>
        </is>
      </c>
      <c r="F1055" s="2" t="inlineStr">
        <is>
          <t>P01</t>
        </is>
      </c>
      <c r="G1055" s="2" t="n">
        <v>610000</v>
      </c>
      <c r="H1055" s="2" t="inlineStr">
        <is>
          <t>Mano obra interna</t>
        </is>
      </c>
      <c r="I1055" s="9" t="n">
        <v>1014.31</v>
      </c>
      <c r="J1055" s="9" t="n">
        <v>848.66</v>
      </c>
      <c r="K1055" s="9" t="n">
        <v>1014.94</v>
      </c>
      <c r="L1055" s="9" t="n">
        <v>910.3200000000001</v>
      </c>
      <c r="M1055" s="9" t="n">
        <v>972.54</v>
      </c>
      <c r="N1055" s="9" t="n">
        <v>838.51</v>
      </c>
      <c r="O1055" s="9" t="n">
        <v>943.15</v>
      </c>
      <c r="P1055" s="9" t="n">
        <v>987.83</v>
      </c>
      <c r="Q1055" s="9" t="n">
        <v>862.77</v>
      </c>
      <c r="R1055" s="9" t="n">
        <v>1043.37</v>
      </c>
      <c r="S1055" s="9" t="n">
        <v>944.97</v>
      </c>
      <c r="T1055" s="9" t="n">
        <v>980.34</v>
      </c>
      <c r="U1055" s="10">
        <f>SUM(I1055:T1055)</f>
        <v/>
      </c>
    </row>
    <row r="1056">
      <c r="A1056" s="2" t="inlineStr">
        <is>
          <t>SN-3000-3300-3320-3320AL0002</t>
        </is>
      </c>
      <c r="B1056" s="2" t="inlineStr">
        <is>
          <t>3320AL0002</t>
        </is>
      </c>
      <c r="C1056" s="2" t="inlineStr">
        <is>
          <t>Línea aire 3320-2444-AA1N-1"-OX-PP</t>
        </is>
      </c>
      <c r="D1056" s="2" t="n">
        <v>352</v>
      </c>
      <c r="E1056" s="2" t="inlineStr">
        <is>
          <t>CC-3000</t>
        </is>
      </c>
      <c r="F1056" s="2" t="inlineStr">
        <is>
          <t>P01</t>
        </is>
      </c>
      <c r="G1056" s="2" t="n">
        <v>620000</v>
      </c>
      <c r="H1056" s="2" t="inlineStr">
        <is>
          <t>Materiales</t>
        </is>
      </c>
      <c r="I1056" s="9" t="n">
        <v>1123.83</v>
      </c>
      <c r="J1056" s="9" t="n">
        <v>1036.32</v>
      </c>
      <c r="K1056" s="9" t="n">
        <v>1062.59</v>
      </c>
      <c r="L1056" s="9" t="n">
        <v>1088.77</v>
      </c>
      <c r="M1056" s="9" t="n">
        <v>1036.11</v>
      </c>
      <c r="N1056" s="9" t="n">
        <v>1071.39</v>
      </c>
      <c r="O1056" s="9" t="n">
        <v>1054.83</v>
      </c>
      <c r="P1056" s="9" t="n">
        <v>1027.65</v>
      </c>
      <c r="Q1056" s="9" t="n">
        <v>956.84</v>
      </c>
      <c r="R1056" s="9" t="n">
        <v>1260.93</v>
      </c>
      <c r="S1056" s="9" t="n">
        <v>1090.59</v>
      </c>
      <c r="T1056" s="9" t="n">
        <v>1101.23</v>
      </c>
      <c r="U1056" s="10">
        <f>SUM(I1056:T1056)</f>
        <v/>
      </c>
    </row>
    <row r="1057">
      <c r="A1057" s="2" t="inlineStr">
        <is>
          <t>SN-3000-3300-3320-3320AL0002</t>
        </is>
      </c>
      <c r="B1057" s="2" t="inlineStr">
        <is>
          <t>3320AL0002</t>
        </is>
      </c>
      <c r="C1057" s="2" t="inlineStr">
        <is>
          <t>Línea aire 3320-2444-AA1N-1"-OX-PP</t>
        </is>
      </c>
      <c r="D1057" s="2" t="n">
        <v>352</v>
      </c>
      <c r="E1057" s="2" t="inlineStr">
        <is>
          <t>CC-3000</t>
        </is>
      </c>
      <c r="F1057" s="2" t="inlineStr">
        <is>
          <t>P01</t>
        </is>
      </c>
      <c r="G1057" s="2" t="n">
        <v>630000</v>
      </c>
      <c r="H1057" s="2" t="inlineStr">
        <is>
          <t>Servicios externos</t>
        </is>
      </c>
      <c r="I1057" s="9" t="n">
        <v>1024.17</v>
      </c>
      <c r="J1057" s="9" t="n">
        <v>1142.57</v>
      </c>
      <c r="K1057" s="9" t="n">
        <v>1132.11</v>
      </c>
      <c r="L1057" s="9" t="n">
        <v>1045.33</v>
      </c>
      <c r="M1057" s="9" t="n">
        <v>1096.75</v>
      </c>
      <c r="N1057" s="9" t="n">
        <v>1073.42</v>
      </c>
      <c r="O1057" s="9" t="n">
        <v>1065.65</v>
      </c>
      <c r="P1057" s="9" t="n">
        <v>1138.83</v>
      </c>
      <c r="Q1057" s="9" t="n">
        <v>946.83</v>
      </c>
      <c r="R1057" s="9" t="n">
        <v>1120.72</v>
      </c>
      <c r="S1057" s="9" t="n">
        <v>975.1</v>
      </c>
      <c r="T1057" s="9" t="n">
        <v>1042.76</v>
      </c>
      <c r="U1057" s="10">
        <f>SUM(I1057:T1057)</f>
        <v/>
      </c>
    </row>
    <row r="1058">
      <c r="A1058" s="2" t="inlineStr">
        <is>
          <t>SN-3000-3300-3320-3320AL0003</t>
        </is>
      </c>
      <c r="B1058" s="2" t="inlineStr">
        <is>
          <t>3320AL0003</t>
        </is>
      </c>
      <c r="C1058" s="2" t="inlineStr">
        <is>
          <t>Línea aire 3320-1629-AA1N-1"-OX-PP</t>
        </is>
      </c>
      <c r="D1058" s="2" t="n">
        <v>353</v>
      </c>
      <c r="E1058" s="2" t="inlineStr">
        <is>
          <t>CC-3000</t>
        </is>
      </c>
      <c r="F1058" s="2" t="inlineStr">
        <is>
          <t>P01</t>
        </is>
      </c>
      <c r="G1058" s="2" t="n">
        <v>610000</v>
      </c>
      <c r="H1058" s="2" t="inlineStr">
        <is>
          <t>Mano obra interna</t>
        </is>
      </c>
      <c r="I1058" s="9" t="n">
        <v>2356.35</v>
      </c>
      <c r="J1058" s="9" t="n">
        <v>1987.05</v>
      </c>
      <c r="K1058" s="9" t="n">
        <v>2206.19</v>
      </c>
      <c r="L1058" s="9" t="n">
        <v>2222.81</v>
      </c>
      <c r="M1058" s="9" t="n">
        <v>2277.87</v>
      </c>
      <c r="N1058" s="9" t="n">
        <v>2233.33</v>
      </c>
      <c r="O1058" s="9" t="n">
        <v>2252.39</v>
      </c>
      <c r="P1058" s="9" t="n">
        <v>2324.9</v>
      </c>
      <c r="Q1058" s="9" t="n">
        <v>2106.61</v>
      </c>
      <c r="R1058" s="9" t="n">
        <v>2506.27</v>
      </c>
      <c r="S1058" s="9" t="n">
        <v>2164.02</v>
      </c>
      <c r="T1058" s="9" t="n">
        <v>2048.14</v>
      </c>
      <c r="U1058" s="10">
        <f>SUM(I1058:T1058)</f>
        <v/>
      </c>
    </row>
    <row r="1059">
      <c r="A1059" s="2" t="inlineStr">
        <is>
          <t>SN-3000-3300-3320-3320AL0003</t>
        </is>
      </c>
      <c r="B1059" s="2" t="inlineStr">
        <is>
          <t>3320AL0003</t>
        </is>
      </c>
      <c r="C1059" s="2" t="inlineStr">
        <is>
          <t>Línea aire 3320-1629-AA1N-1"-OX-PP</t>
        </is>
      </c>
      <c r="D1059" s="2" t="n">
        <v>353</v>
      </c>
      <c r="E1059" s="2" t="inlineStr">
        <is>
          <t>CC-3000</t>
        </is>
      </c>
      <c r="F1059" s="2" t="inlineStr">
        <is>
          <t>P01</t>
        </is>
      </c>
      <c r="G1059" s="2" t="n">
        <v>620000</v>
      </c>
      <c r="H1059" s="2" t="inlineStr">
        <is>
          <t>Materiales</t>
        </is>
      </c>
      <c r="I1059" s="9" t="n">
        <v>2329.03</v>
      </c>
      <c r="J1059" s="9" t="n">
        <v>2142.99</v>
      </c>
      <c r="K1059" s="9" t="n">
        <v>2216.34</v>
      </c>
      <c r="L1059" s="9" t="n">
        <v>2306.54</v>
      </c>
      <c r="M1059" s="9" t="n">
        <v>2359.15</v>
      </c>
      <c r="N1059" s="9" t="n">
        <v>1972.68</v>
      </c>
      <c r="O1059" s="9" t="n">
        <v>2326.27</v>
      </c>
      <c r="P1059" s="9" t="n">
        <v>2306.9</v>
      </c>
      <c r="Q1059" s="9" t="n">
        <v>2229.14</v>
      </c>
      <c r="R1059" s="9" t="n">
        <v>2569.68</v>
      </c>
      <c r="S1059" s="9" t="n">
        <v>2248.54</v>
      </c>
      <c r="T1059" s="9" t="n">
        <v>2269.67</v>
      </c>
      <c r="U1059" s="10">
        <f>SUM(I1059:T1059)</f>
        <v/>
      </c>
    </row>
    <row r="1060">
      <c r="A1060" s="2" t="inlineStr">
        <is>
          <t>SN-3000-3300-3320-3320AL0003</t>
        </is>
      </c>
      <c r="B1060" s="2" t="inlineStr">
        <is>
          <t>3320AL0003</t>
        </is>
      </c>
      <c r="C1060" s="2" t="inlineStr">
        <is>
          <t>Línea aire 3320-1629-AA1N-1"-OX-PP</t>
        </is>
      </c>
      <c r="D1060" s="2" t="n">
        <v>353</v>
      </c>
      <c r="E1060" s="2" t="inlineStr">
        <is>
          <t>CC-3000</t>
        </is>
      </c>
      <c r="F1060" s="2" t="inlineStr">
        <is>
          <t>P01</t>
        </is>
      </c>
      <c r="G1060" s="2" t="n">
        <v>630000</v>
      </c>
      <c r="H1060" s="2" t="inlineStr">
        <is>
          <t>Servicios externos</t>
        </is>
      </c>
      <c r="I1060" s="9" t="n">
        <v>2208.62</v>
      </c>
      <c r="J1060" s="9" t="n">
        <v>2205.27</v>
      </c>
      <c r="K1060" s="9" t="n">
        <v>2356.23</v>
      </c>
      <c r="L1060" s="9" t="n">
        <v>2297.09</v>
      </c>
      <c r="M1060" s="9" t="n">
        <v>2022.11</v>
      </c>
      <c r="N1060" s="9" t="n">
        <v>2086.37</v>
      </c>
      <c r="O1060" s="9" t="n">
        <v>2091.25</v>
      </c>
      <c r="P1060" s="9" t="n">
        <v>1977.83</v>
      </c>
      <c r="Q1060" s="9" t="n">
        <v>1903.6</v>
      </c>
      <c r="R1060" s="9" t="n">
        <v>2173.08</v>
      </c>
      <c r="S1060" s="9" t="n">
        <v>2193.4</v>
      </c>
      <c r="T1060" s="9" t="n">
        <v>2095.64</v>
      </c>
      <c r="U1060" s="10">
        <f>SUM(I1060:T1060)</f>
        <v/>
      </c>
    </row>
    <row r="1061">
      <c r="A1061" s="2" t="inlineStr">
        <is>
          <t>SN-3000-3300-3320-3320BX0007</t>
        </is>
      </c>
      <c r="B1061" s="2" t="inlineStr">
        <is>
          <t>3320BX0007</t>
        </is>
      </c>
      <c r="C1061" s="2" t="inlineStr">
        <is>
          <t>Cajón alimentación CIP</t>
        </is>
      </c>
      <c r="D1061" s="2" t="n">
        <v>354</v>
      </c>
      <c r="E1061" s="2" t="inlineStr">
        <is>
          <t>CC-3000</t>
        </is>
      </c>
      <c r="F1061" s="2" t="inlineStr">
        <is>
          <t>P01</t>
        </is>
      </c>
      <c r="G1061" s="2" t="n">
        <v>610000</v>
      </c>
      <c r="H1061" s="2" t="inlineStr">
        <is>
          <t>Mano obra interna</t>
        </is>
      </c>
      <c r="I1061" s="9" t="n">
        <v>1700.97</v>
      </c>
      <c r="J1061" s="9" t="n">
        <v>1498.95</v>
      </c>
      <c r="K1061" s="9" t="n">
        <v>1475.5</v>
      </c>
      <c r="L1061" s="9" t="n">
        <v>1531.38</v>
      </c>
      <c r="M1061" s="9" t="n">
        <v>1442.41</v>
      </c>
      <c r="N1061" s="9" t="n">
        <v>1389.54</v>
      </c>
      <c r="O1061" s="9" t="n">
        <v>1447.76</v>
      </c>
      <c r="P1061" s="9" t="n">
        <v>1574</v>
      </c>
      <c r="Q1061" s="9" t="n">
        <v>1372.93</v>
      </c>
      <c r="R1061" s="9" t="n">
        <v>1636.58</v>
      </c>
      <c r="S1061" s="9" t="n">
        <v>1589.48</v>
      </c>
      <c r="T1061" s="9" t="n">
        <v>1556</v>
      </c>
      <c r="U1061" s="10">
        <f>SUM(I1061:T1061)</f>
        <v/>
      </c>
    </row>
    <row r="1062">
      <c r="A1062" s="2" t="inlineStr">
        <is>
          <t>SN-3000-3300-3320-3320BX0007</t>
        </is>
      </c>
      <c r="B1062" s="2" t="inlineStr">
        <is>
          <t>3320BX0007</t>
        </is>
      </c>
      <c r="C1062" s="2" t="inlineStr">
        <is>
          <t>Cajón alimentación CIP</t>
        </is>
      </c>
      <c r="D1062" s="2" t="n">
        <v>354</v>
      </c>
      <c r="E1062" s="2" t="inlineStr">
        <is>
          <t>CC-3000</t>
        </is>
      </c>
      <c r="F1062" s="2" t="inlineStr">
        <is>
          <t>P01</t>
        </is>
      </c>
      <c r="G1062" s="2" t="n">
        <v>620000</v>
      </c>
      <c r="H1062" s="2" t="inlineStr">
        <is>
          <t>Materiales</t>
        </is>
      </c>
      <c r="I1062" s="9" t="n">
        <v>1805.89</v>
      </c>
      <c r="J1062" s="9" t="n">
        <v>1714.59</v>
      </c>
      <c r="K1062" s="9" t="n">
        <v>1898.73</v>
      </c>
      <c r="L1062" s="9" t="n">
        <v>1685.1</v>
      </c>
      <c r="M1062" s="9" t="n">
        <v>1636.26</v>
      </c>
      <c r="N1062" s="9" t="n">
        <v>1733</v>
      </c>
      <c r="O1062" s="9" t="n">
        <v>1766.7</v>
      </c>
      <c r="P1062" s="9" t="n">
        <v>1850.44</v>
      </c>
      <c r="Q1062" s="9" t="n">
        <v>1756.99</v>
      </c>
      <c r="R1062" s="9" t="n">
        <v>1874.29</v>
      </c>
      <c r="S1062" s="9" t="n">
        <v>1739.51</v>
      </c>
      <c r="T1062" s="9" t="n">
        <v>1796.07</v>
      </c>
      <c r="U1062" s="10">
        <f>SUM(I1062:T1062)</f>
        <v/>
      </c>
    </row>
    <row r="1063">
      <c r="A1063" s="2" t="inlineStr">
        <is>
          <t>SN-3000-3300-3320-3320BX0007</t>
        </is>
      </c>
      <c r="B1063" s="2" t="inlineStr">
        <is>
          <t>3320BX0007</t>
        </is>
      </c>
      <c r="C1063" s="2" t="inlineStr">
        <is>
          <t>Cajón alimentación CIP</t>
        </is>
      </c>
      <c r="D1063" s="2" t="n">
        <v>354</v>
      </c>
      <c r="E1063" s="2" t="inlineStr">
        <is>
          <t>CC-3000</t>
        </is>
      </c>
      <c r="F1063" s="2" t="inlineStr">
        <is>
          <t>P01</t>
        </is>
      </c>
      <c r="G1063" s="2" t="n">
        <v>630000</v>
      </c>
      <c r="H1063" s="2" t="inlineStr">
        <is>
          <t>Servicios externos</t>
        </is>
      </c>
      <c r="I1063" s="9" t="n">
        <v>1928.91</v>
      </c>
      <c r="J1063" s="9" t="n">
        <v>1883.72</v>
      </c>
      <c r="K1063" s="9" t="n">
        <v>1778.48</v>
      </c>
      <c r="L1063" s="9" t="n">
        <v>1914</v>
      </c>
      <c r="M1063" s="9" t="n">
        <v>1709.27</v>
      </c>
      <c r="N1063" s="9" t="n">
        <v>1635.68</v>
      </c>
      <c r="O1063" s="9" t="n">
        <v>1922.89</v>
      </c>
      <c r="P1063" s="9" t="n">
        <v>1655.22</v>
      </c>
      <c r="Q1063" s="9" t="n">
        <v>1794.81</v>
      </c>
      <c r="R1063" s="9" t="n">
        <v>1826.6</v>
      </c>
      <c r="S1063" s="9" t="n">
        <v>1825.95</v>
      </c>
      <c r="T1063" s="9" t="n">
        <v>1755.82</v>
      </c>
      <c r="U1063" s="10">
        <f>SUM(I1063:T1063)</f>
        <v/>
      </c>
    </row>
    <row r="1064">
      <c r="A1064" s="2" t="inlineStr">
        <is>
          <t>SN-3000-3300-3320-3320CN0008</t>
        </is>
      </c>
      <c r="B1064" s="2" t="inlineStr">
        <is>
          <t>3320CN0008</t>
        </is>
      </c>
      <c r="C1064" s="2" t="inlineStr">
        <is>
          <t>Grúa portal CIP</t>
        </is>
      </c>
      <c r="D1064" s="2" t="n">
        <v>355</v>
      </c>
      <c r="E1064" s="2" t="inlineStr">
        <is>
          <t>CC-3000</t>
        </is>
      </c>
      <c r="F1064" s="2" t="inlineStr">
        <is>
          <t>P01</t>
        </is>
      </c>
      <c r="G1064" s="2" t="n">
        <v>610000</v>
      </c>
      <c r="H1064" s="2" t="inlineStr">
        <is>
          <t>Mano obra interna</t>
        </is>
      </c>
      <c r="I1064" s="9" t="n">
        <v>2583.87</v>
      </c>
      <c r="J1064" s="9" t="n">
        <v>2646.84</v>
      </c>
      <c r="K1064" s="9" t="n">
        <v>2668.67</v>
      </c>
      <c r="L1064" s="9" t="n">
        <v>2777.94</v>
      </c>
      <c r="M1064" s="9" t="n">
        <v>2420.5</v>
      </c>
      <c r="N1064" s="9" t="n">
        <v>2358.11</v>
      </c>
      <c r="O1064" s="9" t="n">
        <v>2482.56</v>
      </c>
      <c r="P1064" s="9" t="n">
        <v>2614.94</v>
      </c>
      <c r="Q1064" s="9" t="n">
        <v>2592.3</v>
      </c>
      <c r="R1064" s="9" t="n">
        <v>3036.76</v>
      </c>
      <c r="S1064" s="9" t="n">
        <v>2461.79</v>
      </c>
      <c r="T1064" s="9" t="n">
        <v>2722.64</v>
      </c>
      <c r="U1064" s="10">
        <f>SUM(I1064:T1064)</f>
        <v/>
      </c>
    </row>
    <row r="1065">
      <c r="A1065" s="2" t="inlineStr">
        <is>
          <t>SN-3000-3300-3320-3320CN0008</t>
        </is>
      </c>
      <c r="B1065" s="2" t="inlineStr">
        <is>
          <t>3320CN0008</t>
        </is>
      </c>
      <c r="C1065" s="2" t="inlineStr">
        <is>
          <t>Grúa portal CIP</t>
        </is>
      </c>
      <c r="D1065" s="2" t="n">
        <v>355</v>
      </c>
      <c r="E1065" s="2" t="inlineStr">
        <is>
          <t>CC-3000</t>
        </is>
      </c>
      <c r="F1065" s="2" t="inlineStr">
        <is>
          <t>P01</t>
        </is>
      </c>
      <c r="G1065" s="2" t="n">
        <v>620000</v>
      </c>
      <c r="H1065" s="2" t="inlineStr">
        <is>
          <t>Materiales</t>
        </is>
      </c>
      <c r="I1065" s="9" t="n">
        <v>2946.87</v>
      </c>
      <c r="J1065" s="9" t="n">
        <v>2899.56</v>
      </c>
      <c r="K1065" s="9" t="n">
        <v>3094</v>
      </c>
      <c r="L1065" s="9" t="n">
        <v>2875.12</v>
      </c>
      <c r="M1065" s="9" t="n">
        <v>2732.49</v>
      </c>
      <c r="N1065" s="9" t="n">
        <v>2697.71</v>
      </c>
      <c r="O1065" s="9" t="n">
        <v>3049.66</v>
      </c>
      <c r="P1065" s="9" t="n">
        <v>2781.74</v>
      </c>
      <c r="Q1065" s="9" t="n">
        <v>2643.04</v>
      </c>
      <c r="R1065" s="9" t="n">
        <v>3138.36</v>
      </c>
      <c r="S1065" s="9" t="n">
        <v>2696.88</v>
      </c>
      <c r="T1065" s="9" t="n">
        <v>2882.44</v>
      </c>
      <c r="U1065" s="10">
        <f>SUM(I1065:T1065)</f>
        <v/>
      </c>
    </row>
    <row r="1066">
      <c r="A1066" s="2" t="inlineStr">
        <is>
          <t>SN-3000-3300-3320-3320CN0008</t>
        </is>
      </c>
      <c r="B1066" s="2" t="inlineStr">
        <is>
          <t>3320CN0008</t>
        </is>
      </c>
      <c r="C1066" s="2" t="inlineStr">
        <is>
          <t>Grúa portal CIP</t>
        </is>
      </c>
      <c r="D1066" s="2" t="n">
        <v>355</v>
      </c>
      <c r="E1066" s="2" t="inlineStr">
        <is>
          <t>CC-3000</t>
        </is>
      </c>
      <c r="F1066" s="2" t="inlineStr">
        <is>
          <t>P01</t>
        </is>
      </c>
      <c r="G1066" s="2" t="n">
        <v>630000</v>
      </c>
      <c r="H1066" s="2" t="inlineStr">
        <is>
          <t>Servicios externos</t>
        </is>
      </c>
      <c r="I1066" s="9" t="n">
        <v>2781.78</v>
      </c>
      <c r="J1066" s="9" t="n">
        <v>2978.7</v>
      </c>
      <c r="K1066" s="9" t="n">
        <v>2989.11</v>
      </c>
      <c r="L1066" s="9" t="n">
        <v>3100.45</v>
      </c>
      <c r="M1066" s="9" t="n">
        <v>2962.95</v>
      </c>
      <c r="N1066" s="9" t="n">
        <v>2697.48</v>
      </c>
      <c r="O1066" s="9" t="n">
        <v>3117.43</v>
      </c>
      <c r="P1066" s="9" t="n">
        <v>2946.02</v>
      </c>
      <c r="Q1066" s="9" t="n">
        <v>2889.78</v>
      </c>
      <c r="R1066" s="9" t="n">
        <v>3135.67</v>
      </c>
      <c r="S1066" s="9" t="n">
        <v>3079.37</v>
      </c>
      <c r="T1066" s="9" t="n">
        <v>3125.51</v>
      </c>
      <c r="U1066" s="10">
        <f>SUM(I1066:T1066)</f>
        <v/>
      </c>
    </row>
    <row r="1067">
      <c r="A1067" s="2" t="inlineStr">
        <is>
          <t>SN-3000-3800-3820-3820CT0001</t>
        </is>
      </c>
      <c r="B1067" s="2" t="inlineStr">
        <is>
          <t>3820CT0001</t>
        </is>
      </c>
      <c r="C1067" s="2" t="inlineStr">
        <is>
          <t>Sistema CCTV cianuro</t>
        </is>
      </c>
      <c r="D1067" s="2" t="n">
        <v>356</v>
      </c>
      <c r="E1067" s="2" t="inlineStr">
        <is>
          <t>CC-3000</t>
        </is>
      </c>
      <c r="F1067" s="2" t="inlineStr">
        <is>
          <t>P01</t>
        </is>
      </c>
      <c r="G1067" s="2" t="n">
        <v>610000</v>
      </c>
      <c r="H1067" s="2" t="inlineStr">
        <is>
          <t>Mano obra interna</t>
        </is>
      </c>
      <c r="I1067" s="9" t="n">
        <v>1571.22</v>
      </c>
      <c r="J1067" s="9" t="n">
        <v>1506</v>
      </c>
      <c r="K1067" s="9" t="n">
        <v>1648.96</v>
      </c>
      <c r="L1067" s="9" t="n">
        <v>1664.97</v>
      </c>
      <c r="M1067" s="9" t="n">
        <v>1632.6</v>
      </c>
      <c r="N1067" s="9" t="n">
        <v>1426.94</v>
      </c>
      <c r="O1067" s="9" t="n">
        <v>1609.74</v>
      </c>
      <c r="P1067" s="9" t="n">
        <v>1463.43</v>
      </c>
      <c r="Q1067" s="9" t="n">
        <v>1439.9</v>
      </c>
      <c r="R1067" s="9" t="n">
        <v>1571.22</v>
      </c>
      <c r="S1067" s="9" t="n">
        <v>1450.28</v>
      </c>
      <c r="T1067" s="9" t="n">
        <v>1665.98</v>
      </c>
      <c r="U1067" s="10">
        <f>SUM(I1067:T1067)</f>
        <v/>
      </c>
    </row>
    <row r="1068">
      <c r="A1068" s="2" t="inlineStr">
        <is>
          <t>SN-3000-3800-3820-3820CT0001</t>
        </is>
      </c>
      <c r="B1068" s="2" t="inlineStr">
        <is>
          <t>3820CT0001</t>
        </is>
      </c>
      <c r="C1068" s="2" t="inlineStr">
        <is>
          <t>Sistema CCTV cianuro</t>
        </is>
      </c>
      <c r="D1068" s="2" t="n">
        <v>356</v>
      </c>
      <c r="E1068" s="2" t="inlineStr">
        <is>
          <t>CC-3000</t>
        </is>
      </c>
      <c r="F1068" s="2" t="inlineStr">
        <is>
          <t>P01</t>
        </is>
      </c>
      <c r="G1068" s="2" t="n">
        <v>620000</v>
      </c>
      <c r="H1068" s="2" t="inlineStr">
        <is>
          <t>Materiales</t>
        </is>
      </c>
      <c r="I1068" s="9" t="n">
        <v>1236.9</v>
      </c>
      <c r="J1068" s="9" t="n">
        <v>1185.92</v>
      </c>
      <c r="K1068" s="9" t="n">
        <v>1149.77</v>
      </c>
      <c r="L1068" s="9" t="n">
        <v>1178.9</v>
      </c>
      <c r="M1068" s="9" t="n">
        <v>1186.07</v>
      </c>
      <c r="N1068" s="9" t="n">
        <v>1077.6</v>
      </c>
      <c r="O1068" s="9" t="n">
        <v>1244.14</v>
      </c>
      <c r="P1068" s="9" t="n">
        <v>1275.19</v>
      </c>
      <c r="Q1068" s="9" t="n">
        <v>1054.08</v>
      </c>
      <c r="R1068" s="9" t="n">
        <v>1215.46</v>
      </c>
      <c r="S1068" s="9" t="n">
        <v>1140.33</v>
      </c>
      <c r="T1068" s="9" t="n">
        <v>1251.86</v>
      </c>
      <c r="U1068" s="10">
        <f>SUM(I1068:T1068)</f>
        <v/>
      </c>
    </row>
    <row r="1069">
      <c r="A1069" s="2" t="inlineStr">
        <is>
          <t>SN-3000-3800-3820-3820CT0001</t>
        </is>
      </c>
      <c r="B1069" s="2" t="inlineStr">
        <is>
          <t>3820CT0001</t>
        </is>
      </c>
      <c r="C1069" s="2" t="inlineStr">
        <is>
          <t>Sistema CCTV cianuro</t>
        </is>
      </c>
      <c r="D1069" s="2" t="n">
        <v>356</v>
      </c>
      <c r="E1069" s="2" t="inlineStr">
        <is>
          <t>CC-3000</t>
        </is>
      </c>
      <c r="F1069" s="2" t="inlineStr">
        <is>
          <t>P01</t>
        </is>
      </c>
      <c r="G1069" s="2" t="n">
        <v>630000</v>
      </c>
      <c r="H1069" s="2" t="inlineStr">
        <is>
          <t>Servicios externos</t>
        </is>
      </c>
      <c r="I1069" s="9" t="n">
        <v>1137.87</v>
      </c>
      <c r="J1069" s="9" t="n">
        <v>1196.95</v>
      </c>
      <c r="K1069" s="9" t="n">
        <v>1336.59</v>
      </c>
      <c r="L1069" s="9" t="n">
        <v>1212.54</v>
      </c>
      <c r="M1069" s="9" t="n">
        <v>1179.63</v>
      </c>
      <c r="N1069" s="9" t="n">
        <v>1240.95</v>
      </c>
      <c r="O1069" s="9" t="n">
        <v>1245.54</v>
      </c>
      <c r="P1069" s="9" t="n">
        <v>1248.79</v>
      </c>
      <c r="Q1069" s="9" t="n">
        <v>1135.2</v>
      </c>
      <c r="R1069" s="9" t="n">
        <v>1400.95</v>
      </c>
      <c r="S1069" s="9" t="n">
        <v>1204.15</v>
      </c>
      <c r="T1069" s="9" t="n">
        <v>1302.76</v>
      </c>
      <c r="U1069" s="10">
        <f>SUM(I1069:T1069)</f>
        <v/>
      </c>
    </row>
    <row r="1070">
      <c r="A1070" s="2" t="inlineStr">
        <is>
          <t>SN-3000-3300-3320-3320CT0001</t>
        </is>
      </c>
      <c r="B1070" s="2" t="inlineStr">
        <is>
          <t>3320CT0001</t>
        </is>
      </c>
      <c r="C1070" s="2" t="inlineStr">
        <is>
          <t>Sistema CCTV CIP</t>
        </is>
      </c>
      <c r="D1070" s="2" t="n">
        <v>357</v>
      </c>
      <c r="E1070" s="2" t="inlineStr">
        <is>
          <t>CC-3000</t>
        </is>
      </c>
      <c r="F1070" s="2" t="inlineStr">
        <is>
          <t>P01</t>
        </is>
      </c>
      <c r="G1070" s="2" t="n">
        <v>610000</v>
      </c>
      <c r="H1070" s="2" t="inlineStr">
        <is>
          <t>Mano obra interna</t>
        </is>
      </c>
      <c r="I1070" s="9" t="n">
        <v>597.3</v>
      </c>
      <c r="J1070" s="9" t="n">
        <v>536.72</v>
      </c>
      <c r="K1070" s="9" t="n">
        <v>563.4400000000001</v>
      </c>
      <c r="L1070" s="9" t="n">
        <v>602.41</v>
      </c>
      <c r="M1070" s="9" t="n">
        <v>539.9</v>
      </c>
      <c r="N1070" s="9" t="n">
        <v>544.53</v>
      </c>
      <c r="O1070" s="9" t="n">
        <v>541.52</v>
      </c>
      <c r="P1070" s="9" t="n">
        <v>592.04</v>
      </c>
      <c r="Q1070" s="9" t="n">
        <v>492.2</v>
      </c>
      <c r="R1070" s="9" t="n">
        <v>640.16</v>
      </c>
      <c r="S1070" s="9" t="n">
        <v>554.85</v>
      </c>
      <c r="T1070" s="9" t="n">
        <v>543.59</v>
      </c>
      <c r="U1070" s="10">
        <f>SUM(I1070:T1070)</f>
        <v/>
      </c>
    </row>
    <row r="1071">
      <c r="A1071" s="2" t="inlineStr">
        <is>
          <t>SN-3000-3300-3320-3320CT0001</t>
        </is>
      </c>
      <c r="B1071" s="2" t="inlineStr">
        <is>
          <t>3320CT0001</t>
        </is>
      </c>
      <c r="C1071" s="2" t="inlineStr">
        <is>
          <t>Sistema CCTV CIP</t>
        </is>
      </c>
      <c r="D1071" s="2" t="n">
        <v>357</v>
      </c>
      <c r="E1071" s="2" t="inlineStr">
        <is>
          <t>CC-3000</t>
        </is>
      </c>
      <c r="F1071" s="2" t="inlineStr">
        <is>
          <t>P01</t>
        </is>
      </c>
      <c r="G1071" s="2" t="n">
        <v>620000</v>
      </c>
      <c r="H1071" s="2" t="inlineStr">
        <is>
          <t>Materiales</t>
        </is>
      </c>
      <c r="I1071" s="9" t="n">
        <v>517.78</v>
      </c>
      <c r="J1071" s="9" t="n">
        <v>502.92</v>
      </c>
      <c r="K1071" s="9" t="n">
        <v>529.25</v>
      </c>
      <c r="L1071" s="9" t="n">
        <v>499.56</v>
      </c>
      <c r="M1071" s="9" t="n">
        <v>560.5</v>
      </c>
      <c r="N1071" s="9" t="n">
        <v>464.75</v>
      </c>
      <c r="O1071" s="9" t="n">
        <v>539.4</v>
      </c>
      <c r="P1071" s="9" t="n">
        <v>514.28</v>
      </c>
      <c r="Q1071" s="9" t="n">
        <v>500.6</v>
      </c>
      <c r="R1071" s="9" t="n">
        <v>553.67</v>
      </c>
      <c r="S1071" s="9" t="n">
        <v>522.86</v>
      </c>
      <c r="T1071" s="9" t="n">
        <v>552.86</v>
      </c>
      <c r="U1071" s="10">
        <f>SUM(I1071:T1071)</f>
        <v/>
      </c>
    </row>
    <row r="1072">
      <c r="A1072" s="2" t="inlineStr">
        <is>
          <t>SN-3000-3300-3320-3320CT0001</t>
        </is>
      </c>
      <c r="B1072" s="2" t="inlineStr">
        <is>
          <t>3320CT0001</t>
        </is>
      </c>
      <c r="C1072" s="2" t="inlineStr">
        <is>
          <t>Sistema CCTV CIP</t>
        </is>
      </c>
      <c r="D1072" s="2" t="n">
        <v>357</v>
      </c>
      <c r="E1072" s="2" t="inlineStr">
        <is>
          <t>CC-3000</t>
        </is>
      </c>
      <c r="F1072" s="2" t="inlineStr">
        <is>
          <t>P01</t>
        </is>
      </c>
      <c r="G1072" s="2" t="n">
        <v>630000</v>
      </c>
      <c r="H1072" s="2" t="inlineStr">
        <is>
          <t>Servicios externos</t>
        </is>
      </c>
      <c r="I1072" s="9" t="n">
        <v>532.55</v>
      </c>
      <c r="J1072" s="9" t="n">
        <v>561.34</v>
      </c>
      <c r="K1072" s="9" t="n">
        <v>553.42</v>
      </c>
      <c r="L1072" s="9" t="n">
        <v>525.4299999999999</v>
      </c>
      <c r="M1072" s="9" t="n">
        <v>542.77</v>
      </c>
      <c r="N1072" s="9" t="n">
        <v>525.9400000000001</v>
      </c>
      <c r="O1072" s="9" t="n">
        <v>553.35</v>
      </c>
      <c r="P1072" s="9" t="n">
        <v>573.8099999999999</v>
      </c>
      <c r="Q1072" s="9" t="n">
        <v>501.75</v>
      </c>
      <c r="R1072" s="9" t="n">
        <v>581.9</v>
      </c>
      <c r="S1072" s="9" t="n">
        <v>500.41</v>
      </c>
      <c r="T1072" s="9" t="n">
        <v>581.14</v>
      </c>
      <c r="U1072" s="10">
        <f>SUM(I1072:T1072)</f>
        <v/>
      </c>
    </row>
    <row r="1073">
      <c r="A1073" s="2" t="inlineStr">
        <is>
          <t>SN-3000-3300-3320-3320HT0053</t>
        </is>
      </c>
      <c r="B1073" s="2" t="inlineStr">
        <is>
          <t>3320HT0053</t>
        </is>
      </c>
      <c r="C1073" s="2" t="inlineStr">
        <is>
          <t>Tecle harnero mantención</t>
        </is>
      </c>
      <c r="D1073" s="2" t="n">
        <v>358</v>
      </c>
      <c r="E1073" s="2" t="inlineStr">
        <is>
          <t>CC-3000</t>
        </is>
      </c>
      <c r="F1073" s="2" t="inlineStr">
        <is>
          <t>P01</t>
        </is>
      </c>
      <c r="G1073" s="2" t="n">
        <v>610000</v>
      </c>
      <c r="H1073" s="2" t="inlineStr">
        <is>
          <t>Mano obra interna</t>
        </is>
      </c>
      <c r="I1073" s="9" t="n">
        <v>1128.98</v>
      </c>
      <c r="J1073" s="9" t="n">
        <v>1152.71</v>
      </c>
      <c r="K1073" s="9" t="n">
        <v>1176.08</v>
      </c>
      <c r="L1073" s="9" t="n">
        <v>1152.51</v>
      </c>
      <c r="M1073" s="9" t="n">
        <v>1123.54</v>
      </c>
      <c r="N1073" s="9" t="n">
        <v>1107.08</v>
      </c>
      <c r="O1073" s="9" t="n">
        <v>1162.77</v>
      </c>
      <c r="P1073" s="9" t="n">
        <v>1094.15</v>
      </c>
      <c r="Q1073" s="9" t="n">
        <v>994.26</v>
      </c>
      <c r="R1073" s="9" t="n">
        <v>1154.96</v>
      </c>
      <c r="S1073" s="9" t="n">
        <v>1121.51</v>
      </c>
      <c r="T1073" s="9" t="n">
        <v>1218.67</v>
      </c>
      <c r="U1073" s="10">
        <f>SUM(I1073:T1073)</f>
        <v/>
      </c>
    </row>
    <row r="1074">
      <c r="A1074" s="2" t="inlineStr">
        <is>
          <t>SN-3000-3300-3320-3320HT0053</t>
        </is>
      </c>
      <c r="B1074" s="2" t="inlineStr">
        <is>
          <t>3320HT0053</t>
        </is>
      </c>
      <c r="C1074" s="2" t="inlineStr">
        <is>
          <t>Tecle harnero mantención</t>
        </is>
      </c>
      <c r="D1074" s="2" t="n">
        <v>358</v>
      </c>
      <c r="E1074" s="2" t="inlineStr">
        <is>
          <t>CC-3000</t>
        </is>
      </c>
      <c r="F1074" s="2" t="inlineStr">
        <is>
          <t>P01</t>
        </is>
      </c>
      <c r="G1074" s="2" t="n">
        <v>620000</v>
      </c>
      <c r="H1074" s="2" t="inlineStr">
        <is>
          <t>Materiales</t>
        </is>
      </c>
      <c r="I1074" s="9" t="n">
        <v>1018.09</v>
      </c>
      <c r="J1074" s="9" t="n">
        <v>1079.61</v>
      </c>
      <c r="K1074" s="9" t="n">
        <v>1144.08</v>
      </c>
      <c r="L1074" s="9" t="n">
        <v>1141.72</v>
      </c>
      <c r="M1074" s="9" t="n">
        <v>1059.9</v>
      </c>
      <c r="N1074" s="9" t="n">
        <v>1064.82</v>
      </c>
      <c r="O1074" s="9" t="n">
        <v>971.78</v>
      </c>
      <c r="P1074" s="9" t="n">
        <v>986.0700000000001</v>
      </c>
      <c r="Q1074" s="9" t="n">
        <v>916.29</v>
      </c>
      <c r="R1074" s="9" t="n">
        <v>1174.18</v>
      </c>
      <c r="S1074" s="9" t="n">
        <v>949.15</v>
      </c>
      <c r="T1074" s="9" t="n">
        <v>1067.99</v>
      </c>
      <c r="U1074" s="10">
        <f>SUM(I1074:T1074)</f>
        <v/>
      </c>
    </row>
    <row r="1075">
      <c r="A1075" s="2" t="inlineStr">
        <is>
          <t>SN-3000-3300-3320-3320HT0053</t>
        </is>
      </c>
      <c r="B1075" s="2" t="inlineStr">
        <is>
          <t>3320HT0053</t>
        </is>
      </c>
      <c r="C1075" s="2" t="inlineStr">
        <is>
          <t>Tecle harnero mantención</t>
        </is>
      </c>
      <c r="D1075" s="2" t="n">
        <v>358</v>
      </c>
      <c r="E1075" s="2" t="inlineStr">
        <is>
          <t>CC-3000</t>
        </is>
      </c>
      <c r="F1075" s="2" t="inlineStr">
        <is>
          <t>P01</t>
        </is>
      </c>
      <c r="G1075" s="2" t="n">
        <v>630000</v>
      </c>
      <c r="H1075" s="2" t="inlineStr">
        <is>
          <t>Servicios externos</t>
        </is>
      </c>
      <c r="I1075" s="9" t="n">
        <v>1047.76</v>
      </c>
      <c r="J1075" s="9" t="n">
        <v>1104.18</v>
      </c>
      <c r="K1075" s="9" t="n">
        <v>1034.34</v>
      </c>
      <c r="L1075" s="9" t="n">
        <v>1056.22</v>
      </c>
      <c r="M1075" s="9" t="n">
        <v>1093.43</v>
      </c>
      <c r="N1075" s="9" t="n">
        <v>935.9</v>
      </c>
      <c r="O1075" s="9" t="n">
        <v>1088.21</v>
      </c>
      <c r="P1075" s="9" t="n">
        <v>1111.18</v>
      </c>
      <c r="Q1075" s="9" t="n">
        <v>1053.41</v>
      </c>
      <c r="R1075" s="9" t="n">
        <v>1210.16</v>
      </c>
      <c r="S1075" s="9" t="n">
        <v>995.01</v>
      </c>
      <c r="T1075" s="9" t="n">
        <v>1088.98</v>
      </c>
      <c r="U1075" s="10">
        <f>SUM(I1075:T1075)</f>
        <v/>
      </c>
    </row>
    <row r="1076">
      <c r="A1076" s="2" t="inlineStr">
        <is>
          <t>SN-3000-3300-3320-3320IO0001</t>
        </is>
      </c>
      <c r="B1076" s="2" t="inlineStr">
        <is>
          <t>3320IO0001</t>
        </is>
      </c>
      <c r="C1076" s="2" t="inlineStr">
        <is>
          <t xml:space="preserve">Gabinete RIO  </t>
        </is>
      </c>
      <c r="D1076" s="2" t="n">
        <v>359</v>
      </c>
      <c r="E1076" s="2" t="inlineStr">
        <is>
          <t>CC-3000</t>
        </is>
      </c>
      <c r="F1076" s="2" t="inlineStr">
        <is>
          <t>P01</t>
        </is>
      </c>
      <c r="G1076" s="2" t="n">
        <v>610000</v>
      </c>
      <c r="H1076" s="2" t="inlineStr">
        <is>
          <t>Mano obra interna</t>
        </is>
      </c>
      <c r="I1076" s="9" t="n">
        <v>1142.08</v>
      </c>
      <c r="J1076" s="9" t="n">
        <v>1071.8</v>
      </c>
      <c r="K1076" s="9" t="n">
        <v>1165.16</v>
      </c>
      <c r="L1076" s="9" t="n">
        <v>1260.9</v>
      </c>
      <c r="M1076" s="9" t="n">
        <v>1123.64</v>
      </c>
      <c r="N1076" s="9" t="n">
        <v>1123.73</v>
      </c>
      <c r="O1076" s="9" t="n">
        <v>1151.96</v>
      </c>
      <c r="P1076" s="9" t="n">
        <v>1155.33</v>
      </c>
      <c r="Q1076" s="9" t="n">
        <v>1164.79</v>
      </c>
      <c r="R1076" s="9" t="n">
        <v>1214.18</v>
      </c>
      <c r="S1076" s="9" t="n">
        <v>1149.63</v>
      </c>
      <c r="T1076" s="9" t="n">
        <v>1166.02</v>
      </c>
      <c r="U1076" s="10">
        <f>SUM(I1076:T1076)</f>
        <v/>
      </c>
    </row>
    <row r="1077">
      <c r="A1077" s="2" t="inlineStr">
        <is>
          <t>SN-3000-3300-3320-3320IO0001</t>
        </is>
      </c>
      <c r="B1077" s="2" t="inlineStr">
        <is>
          <t>3320IO0001</t>
        </is>
      </c>
      <c r="C1077" s="2" t="inlineStr">
        <is>
          <t xml:space="preserve">Gabinete RIO  </t>
        </is>
      </c>
      <c r="D1077" s="2" t="n">
        <v>359</v>
      </c>
      <c r="E1077" s="2" t="inlineStr">
        <is>
          <t>CC-3000</t>
        </is>
      </c>
      <c r="F1077" s="2" t="inlineStr">
        <is>
          <t>P01</t>
        </is>
      </c>
      <c r="G1077" s="2" t="n">
        <v>620000</v>
      </c>
      <c r="H1077" s="2" t="inlineStr">
        <is>
          <t>Materiales</t>
        </is>
      </c>
      <c r="I1077" s="9" t="n">
        <v>1129.64</v>
      </c>
      <c r="J1077" s="9" t="n">
        <v>1146.41</v>
      </c>
      <c r="K1077" s="9" t="n">
        <v>1070.12</v>
      </c>
      <c r="L1077" s="9" t="n">
        <v>1054.88</v>
      </c>
      <c r="M1077" s="9" t="n">
        <v>1036.2</v>
      </c>
      <c r="N1077" s="9" t="n">
        <v>1104.6</v>
      </c>
      <c r="O1077" s="9" t="n">
        <v>1148.71</v>
      </c>
      <c r="P1077" s="9" t="n">
        <v>1119.16</v>
      </c>
      <c r="Q1077" s="9" t="n">
        <v>1026.6</v>
      </c>
      <c r="R1077" s="9" t="n">
        <v>1269.67</v>
      </c>
      <c r="S1077" s="9" t="n">
        <v>1118.85</v>
      </c>
      <c r="T1077" s="9" t="n">
        <v>1181.07</v>
      </c>
      <c r="U1077" s="10">
        <f>SUM(I1077:T1077)</f>
        <v/>
      </c>
    </row>
    <row r="1078">
      <c r="A1078" s="2" t="inlineStr">
        <is>
          <t>SN-3000-3300-3320-3320IO0001</t>
        </is>
      </c>
      <c r="B1078" s="2" t="inlineStr">
        <is>
          <t>3320IO0001</t>
        </is>
      </c>
      <c r="C1078" s="2" t="inlineStr">
        <is>
          <t xml:space="preserve">Gabinete RIO  </t>
        </is>
      </c>
      <c r="D1078" s="2" t="n">
        <v>359</v>
      </c>
      <c r="E1078" s="2" t="inlineStr">
        <is>
          <t>CC-3000</t>
        </is>
      </c>
      <c r="F1078" s="2" t="inlineStr">
        <is>
          <t>P01</t>
        </is>
      </c>
      <c r="G1078" s="2" t="n">
        <v>630000</v>
      </c>
      <c r="H1078" s="2" t="inlineStr">
        <is>
          <t>Servicios externos</t>
        </is>
      </c>
      <c r="I1078" s="9" t="n">
        <v>1476.15</v>
      </c>
      <c r="J1078" s="9" t="n">
        <v>1382.97</v>
      </c>
      <c r="K1078" s="9" t="n">
        <v>1543.56</v>
      </c>
      <c r="L1078" s="9" t="n">
        <v>1543.38</v>
      </c>
      <c r="M1078" s="9" t="n">
        <v>1292.51</v>
      </c>
      <c r="N1078" s="9" t="n">
        <v>1254.64</v>
      </c>
      <c r="O1078" s="9" t="n">
        <v>1518.18</v>
      </c>
      <c r="P1078" s="9" t="n">
        <v>1362.31</v>
      </c>
      <c r="Q1078" s="9" t="n">
        <v>1394.63</v>
      </c>
      <c r="R1078" s="9" t="n">
        <v>1497.48</v>
      </c>
      <c r="S1078" s="9" t="n">
        <v>1285.17</v>
      </c>
      <c r="T1078" s="9" t="n">
        <v>1338.41</v>
      </c>
      <c r="U1078" s="10">
        <f>SUM(I1078:T1078)</f>
        <v/>
      </c>
    </row>
    <row r="1079">
      <c r="A1079" s="2" t="inlineStr">
        <is>
          <t>SN-3000-3300-3320-3320IO0002</t>
        </is>
      </c>
      <c r="B1079" s="2" t="inlineStr">
        <is>
          <t>3320IO0002</t>
        </is>
      </c>
      <c r="C1079" s="2" t="inlineStr">
        <is>
          <t xml:space="preserve">Gabinete RIO  </t>
        </is>
      </c>
      <c r="D1079" s="2" t="n">
        <v>360</v>
      </c>
      <c r="E1079" s="2" t="inlineStr">
        <is>
          <t>CC-3000</t>
        </is>
      </c>
      <c r="F1079" s="2" t="inlineStr">
        <is>
          <t>P01</t>
        </is>
      </c>
      <c r="G1079" s="2" t="n">
        <v>610000</v>
      </c>
      <c r="H1079" s="2" t="inlineStr">
        <is>
          <t>Mano obra interna</t>
        </is>
      </c>
      <c r="I1079" s="9" t="n">
        <v>2233.93</v>
      </c>
      <c r="J1079" s="9" t="n">
        <v>2240.89</v>
      </c>
      <c r="K1079" s="9" t="n">
        <v>2427.48</v>
      </c>
      <c r="L1079" s="9" t="n">
        <v>2511.1</v>
      </c>
      <c r="M1079" s="9" t="n">
        <v>2234.84</v>
      </c>
      <c r="N1079" s="9" t="n">
        <v>2185.73</v>
      </c>
      <c r="O1079" s="9" t="n">
        <v>2288.53</v>
      </c>
      <c r="P1079" s="9" t="n">
        <v>2292.2</v>
      </c>
      <c r="Q1079" s="9" t="n">
        <v>2127.99</v>
      </c>
      <c r="R1079" s="9" t="n">
        <v>2265.1</v>
      </c>
      <c r="S1079" s="9" t="n">
        <v>2030.81</v>
      </c>
      <c r="T1079" s="9" t="n">
        <v>2164.46</v>
      </c>
      <c r="U1079" s="10">
        <f>SUM(I1079:T1079)</f>
        <v/>
      </c>
    </row>
    <row r="1080">
      <c r="A1080" s="2" t="inlineStr">
        <is>
          <t>SN-3000-3300-3320-3320IO0002</t>
        </is>
      </c>
      <c r="B1080" s="2" t="inlineStr">
        <is>
          <t>3320IO0002</t>
        </is>
      </c>
      <c r="C1080" s="2" t="inlineStr">
        <is>
          <t xml:space="preserve">Gabinete RIO  </t>
        </is>
      </c>
      <c r="D1080" s="2" t="n">
        <v>360</v>
      </c>
      <c r="E1080" s="2" t="inlineStr">
        <is>
          <t>CC-3000</t>
        </is>
      </c>
      <c r="F1080" s="2" t="inlineStr">
        <is>
          <t>P01</t>
        </is>
      </c>
      <c r="G1080" s="2" t="n">
        <v>620000</v>
      </c>
      <c r="H1080" s="2" t="inlineStr">
        <is>
          <t>Materiales</t>
        </is>
      </c>
      <c r="I1080" s="9" t="n">
        <v>2196.58</v>
      </c>
      <c r="J1080" s="9" t="n">
        <v>1955</v>
      </c>
      <c r="K1080" s="9" t="n">
        <v>2285.08</v>
      </c>
      <c r="L1080" s="9" t="n">
        <v>2275.37</v>
      </c>
      <c r="M1080" s="9" t="n">
        <v>2218.87</v>
      </c>
      <c r="N1080" s="9" t="n">
        <v>2131.83</v>
      </c>
      <c r="O1080" s="9" t="n">
        <v>2008.29</v>
      </c>
      <c r="P1080" s="9" t="n">
        <v>2085.12</v>
      </c>
      <c r="Q1080" s="9" t="n">
        <v>1838.7</v>
      </c>
      <c r="R1080" s="9" t="n">
        <v>2356.89</v>
      </c>
      <c r="S1080" s="9" t="n">
        <v>2142.23</v>
      </c>
      <c r="T1080" s="9" t="n">
        <v>2233.19</v>
      </c>
      <c r="U1080" s="10">
        <f>SUM(I1080:T1080)</f>
        <v/>
      </c>
    </row>
    <row r="1081">
      <c r="A1081" s="2" t="inlineStr">
        <is>
          <t>SN-3000-3300-3320-3320IO0002</t>
        </is>
      </c>
      <c r="B1081" s="2" t="inlineStr">
        <is>
          <t>3320IO0002</t>
        </is>
      </c>
      <c r="C1081" s="2" t="inlineStr">
        <is>
          <t xml:space="preserve">Gabinete RIO  </t>
        </is>
      </c>
      <c r="D1081" s="2" t="n">
        <v>360</v>
      </c>
      <c r="E1081" s="2" t="inlineStr">
        <is>
          <t>CC-3000</t>
        </is>
      </c>
      <c r="F1081" s="2" t="inlineStr">
        <is>
          <t>P01</t>
        </is>
      </c>
      <c r="G1081" s="2" t="n">
        <v>630000</v>
      </c>
      <c r="H1081" s="2" t="inlineStr">
        <is>
          <t>Servicios externos</t>
        </is>
      </c>
      <c r="I1081" s="9" t="n">
        <v>2501.88</v>
      </c>
      <c r="J1081" s="9" t="n">
        <v>2168.52</v>
      </c>
      <c r="K1081" s="9" t="n">
        <v>2249.26</v>
      </c>
      <c r="L1081" s="9" t="n">
        <v>2502.72</v>
      </c>
      <c r="M1081" s="9" t="n">
        <v>2301.23</v>
      </c>
      <c r="N1081" s="9" t="n">
        <v>2428.4</v>
      </c>
      <c r="O1081" s="9" t="n">
        <v>2202.73</v>
      </c>
      <c r="P1081" s="9" t="n">
        <v>2485.44</v>
      </c>
      <c r="Q1081" s="9" t="n">
        <v>2183.7</v>
      </c>
      <c r="R1081" s="9" t="n">
        <v>2670.8</v>
      </c>
      <c r="S1081" s="9" t="n">
        <v>2393.83</v>
      </c>
      <c r="T1081" s="9" t="n">
        <v>2547.29</v>
      </c>
      <c r="U1081" s="10">
        <f>SUM(I1081:T1081)</f>
        <v/>
      </c>
    </row>
    <row r="1082">
      <c r="A1082" s="2" t="inlineStr">
        <is>
          <t>SN-3000-3300-3320-3320PR0001</t>
        </is>
      </c>
      <c r="B1082" s="2" t="inlineStr">
        <is>
          <t>3320PR0001</t>
        </is>
      </c>
      <c r="C1082" s="2" t="inlineStr">
        <is>
          <t>Tablero de enchufes</t>
        </is>
      </c>
      <c r="D1082" s="2" t="n">
        <v>361</v>
      </c>
      <c r="E1082" s="2" t="inlineStr">
        <is>
          <t>CC-3000</t>
        </is>
      </c>
      <c r="F1082" s="2" t="inlineStr">
        <is>
          <t>P01</t>
        </is>
      </c>
      <c r="G1082" s="2" t="n">
        <v>610000</v>
      </c>
      <c r="H1082" s="2" t="inlineStr">
        <is>
          <t>Mano obra interna</t>
        </is>
      </c>
      <c r="I1082" s="9" t="n">
        <v>1252.56</v>
      </c>
      <c r="J1082" s="9" t="n">
        <v>1064.45</v>
      </c>
      <c r="K1082" s="9" t="n">
        <v>1101.84</v>
      </c>
      <c r="L1082" s="9" t="n">
        <v>1157.04</v>
      </c>
      <c r="M1082" s="9" t="n">
        <v>1192.27</v>
      </c>
      <c r="N1082" s="9" t="n">
        <v>1089.67</v>
      </c>
      <c r="O1082" s="9" t="n">
        <v>1205.46</v>
      </c>
      <c r="P1082" s="9" t="n">
        <v>1185.78</v>
      </c>
      <c r="Q1082" s="9" t="n">
        <v>1015.95</v>
      </c>
      <c r="R1082" s="9" t="n">
        <v>1323.03</v>
      </c>
      <c r="S1082" s="9" t="n">
        <v>1030.18</v>
      </c>
      <c r="T1082" s="9" t="n">
        <v>1235.62</v>
      </c>
      <c r="U1082" s="10">
        <f>SUM(I1082:T1082)</f>
        <v/>
      </c>
    </row>
    <row r="1083">
      <c r="A1083" s="2" t="inlineStr">
        <is>
          <t>SN-3000-3300-3320-3320PR0001</t>
        </is>
      </c>
      <c r="B1083" s="2" t="inlineStr">
        <is>
          <t>3320PR0001</t>
        </is>
      </c>
      <c r="C1083" s="2" t="inlineStr">
        <is>
          <t>Tablero de enchufes</t>
        </is>
      </c>
      <c r="D1083" s="2" t="n">
        <v>361</v>
      </c>
      <c r="E1083" s="2" t="inlineStr">
        <is>
          <t>CC-3000</t>
        </is>
      </c>
      <c r="F1083" s="2" t="inlineStr">
        <is>
          <t>P01</t>
        </is>
      </c>
      <c r="G1083" s="2" t="n">
        <v>620000</v>
      </c>
      <c r="H1083" s="2" t="inlineStr">
        <is>
          <t>Materiales</t>
        </is>
      </c>
      <c r="I1083" s="9" t="n">
        <v>1155.86</v>
      </c>
      <c r="J1083" s="9" t="n">
        <v>1101.23</v>
      </c>
      <c r="K1083" s="9" t="n">
        <v>1106.72</v>
      </c>
      <c r="L1083" s="9" t="n">
        <v>1130.92</v>
      </c>
      <c r="M1083" s="9" t="n">
        <v>1065.47</v>
      </c>
      <c r="N1083" s="9" t="n">
        <v>1031.2</v>
      </c>
      <c r="O1083" s="9" t="n">
        <v>1076.02</v>
      </c>
      <c r="P1083" s="9" t="n">
        <v>1129.39</v>
      </c>
      <c r="Q1083" s="9" t="n">
        <v>1104.21</v>
      </c>
      <c r="R1083" s="9" t="n">
        <v>1234.5</v>
      </c>
      <c r="S1083" s="9" t="n">
        <v>1165.03</v>
      </c>
      <c r="T1083" s="9" t="n">
        <v>1174.14</v>
      </c>
      <c r="U1083" s="10">
        <f>SUM(I1083:T1083)</f>
        <v/>
      </c>
    </row>
    <row r="1084">
      <c r="A1084" s="2" t="inlineStr">
        <is>
          <t>SN-3000-3300-3320-3320PR0001</t>
        </is>
      </c>
      <c r="B1084" s="2" t="inlineStr">
        <is>
          <t>3320PR0001</t>
        </is>
      </c>
      <c r="C1084" s="2" t="inlineStr">
        <is>
          <t>Tablero de enchufes</t>
        </is>
      </c>
      <c r="D1084" s="2" t="n">
        <v>361</v>
      </c>
      <c r="E1084" s="2" t="inlineStr">
        <is>
          <t>CC-3000</t>
        </is>
      </c>
      <c r="F1084" s="2" t="inlineStr">
        <is>
          <t>P01</t>
        </is>
      </c>
      <c r="G1084" s="2" t="n">
        <v>630000</v>
      </c>
      <c r="H1084" s="2" t="inlineStr">
        <is>
          <t>Servicios externos</t>
        </is>
      </c>
      <c r="I1084" s="9" t="n">
        <v>1328.55</v>
      </c>
      <c r="J1084" s="9" t="n">
        <v>1238.14</v>
      </c>
      <c r="K1084" s="9" t="n">
        <v>1347.14</v>
      </c>
      <c r="L1084" s="9" t="n">
        <v>1206.19</v>
      </c>
      <c r="M1084" s="9" t="n">
        <v>1326.54</v>
      </c>
      <c r="N1084" s="9" t="n">
        <v>1265.61</v>
      </c>
      <c r="O1084" s="9" t="n">
        <v>1216.31</v>
      </c>
      <c r="P1084" s="9" t="n">
        <v>1320.79</v>
      </c>
      <c r="Q1084" s="9" t="n">
        <v>1087.82</v>
      </c>
      <c r="R1084" s="9" t="n">
        <v>1304.99</v>
      </c>
      <c r="S1084" s="9" t="n">
        <v>1141.58</v>
      </c>
      <c r="T1084" s="9" t="n">
        <v>1343.92</v>
      </c>
      <c r="U1084" s="10">
        <f>SUM(I1084:T1084)</f>
        <v/>
      </c>
    </row>
    <row r="1085">
      <c r="A1085" s="2" t="inlineStr">
        <is>
          <t>SN-3000-3300-3320-3320PU0155</t>
        </is>
      </c>
      <c r="B1085" s="2" t="inlineStr">
        <is>
          <t>3320PU0155</t>
        </is>
      </c>
      <c r="C1085" s="2" t="inlineStr">
        <is>
          <t>Bomba sumidero CIP</t>
        </is>
      </c>
      <c r="D1085" s="2" t="n">
        <v>362</v>
      </c>
      <c r="E1085" s="2" t="inlineStr">
        <is>
          <t>CC-3000</t>
        </is>
      </c>
      <c r="F1085" s="2" t="inlineStr">
        <is>
          <t>P01</t>
        </is>
      </c>
      <c r="G1085" s="2" t="n">
        <v>610000</v>
      </c>
      <c r="H1085" s="2" t="inlineStr">
        <is>
          <t>Mano obra interna</t>
        </is>
      </c>
      <c r="I1085" s="9" t="n">
        <v>1988.82</v>
      </c>
      <c r="J1085" s="9" t="n">
        <v>1682.17</v>
      </c>
      <c r="K1085" s="9" t="n">
        <v>1914.19</v>
      </c>
      <c r="L1085" s="9" t="n">
        <v>1958.15</v>
      </c>
      <c r="M1085" s="9" t="n">
        <v>1734.7</v>
      </c>
      <c r="N1085" s="9" t="n">
        <v>1816.12</v>
      </c>
      <c r="O1085" s="9" t="n">
        <v>1732.45</v>
      </c>
      <c r="P1085" s="9" t="n">
        <v>1759.21</v>
      </c>
      <c r="Q1085" s="9" t="n">
        <v>1720.19</v>
      </c>
      <c r="R1085" s="9" t="n">
        <v>2049.76</v>
      </c>
      <c r="S1085" s="9" t="n">
        <v>1694.11</v>
      </c>
      <c r="T1085" s="9" t="n">
        <v>1787.84</v>
      </c>
      <c r="U1085" s="10">
        <f>SUM(I1085:T1085)</f>
        <v/>
      </c>
    </row>
    <row r="1086">
      <c r="A1086" s="2" t="inlineStr">
        <is>
          <t>SN-3000-3300-3320-3320PU0155</t>
        </is>
      </c>
      <c r="B1086" s="2" t="inlineStr">
        <is>
          <t>3320PU0155</t>
        </is>
      </c>
      <c r="C1086" s="2" t="inlineStr">
        <is>
          <t>Bomba sumidero CIP</t>
        </is>
      </c>
      <c r="D1086" s="2" t="n">
        <v>362</v>
      </c>
      <c r="E1086" s="2" t="inlineStr">
        <is>
          <t>CC-3000</t>
        </is>
      </c>
      <c r="F1086" s="2" t="inlineStr">
        <is>
          <t>P01</t>
        </is>
      </c>
      <c r="G1086" s="2" t="n">
        <v>620000</v>
      </c>
      <c r="H1086" s="2" t="inlineStr">
        <is>
          <t>Materiales</t>
        </is>
      </c>
      <c r="I1086" s="9" t="n">
        <v>1486.72</v>
      </c>
      <c r="J1086" s="9" t="n">
        <v>1431.4</v>
      </c>
      <c r="K1086" s="9" t="n">
        <v>1541.69</v>
      </c>
      <c r="L1086" s="9" t="n">
        <v>1591.64</v>
      </c>
      <c r="M1086" s="9" t="n">
        <v>1489.27</v>
      </c>
      <c r="N1086" s="9" t="n">
        <v>1517.3</v>
      </c>
      <c r="O1086" s="9" t="n">
        <v>1573.94</v>
      </c>
      <c r="P1086" s="9" t="n">
        <v>1428.02</v>
      </c>
      <c r="Q1086" s="9" t="n">
        <v>1312.71</v>
      </c>
      <c r="R1086" s="9" t="n">
        <v>1738.22</v>
      </c>
      <c r="S1086" s="9" t="n">
        <v>1372.45</v>
      </c>
      <c r="T1086" s="9" t="n">
        <v>1455.69</v>
      </c>
      <c r="U1086" s="10">
        <f>SUM(I1086:T1086)</f>
        <v/>
      </c>
    </row>
    <row r="1087">
      <c r="A1087" s="2" t="inlineStr">
        <is>
          <t>SN-3000-3300-3320-3320PU0155</t>
        </is>
      </c>
      <c r="B1087" s="2" t="inlineStr">
        <is>
          <t>3320PU0155</t>
        </is>
      </c>
      <c r="C1087" s="2" t="inlineStr">
        <is>
          <t>Bomba sumidero CIP</t>
        </is>
      </c>
      <c r="D1087" s="2" t="n">
        <v>362</v>
      </c>
      <c r="E1087" s="2" t="inlineStr">
        <is>
          <t>CC-3000</t>
        </is>
      </c>
      <c r="F1087" s="2" t="inlineStr">
        <is>
          <t>P01</t>
        </is>
      </c>
      <c r="G1087" s="2" t="n">
        <v>630000</v>
      </c>
      <c r="H1087" s="2" t="inlineStr">
        <is>
          <t>Servicios externos</t>
        </is>
      </c>
      <c r="I1087" s="9" t="n">
        <v>1484.55</v>
      </c>
      <c r="J1087" s="9" t="n">
        <v>1421.89</v>
      </c>
      <c r="K1087" s="9" t="n">
        <v>1584.59</v>
      </c>
      <c r="L1087" s="9" t="n">
        <v>1546.55</v>
      </c>
      <c r="M1087" s="9" t="n">
        <v>1390.12</v>
      </c>
      <c r="N1087" s="9" t="n">
        <v>1334.38</v>
      </c>
      <c r="O1087" s="9" t="n">
        <v>1379.28</v>
      </c>
      <c r="P1087" s="9" t="n">
        <v>1344.72</v>
      </c>
      <c r="Q1087" s="9" t="n">
        <v>1249.66</v>
      </c>
      <c r="R1087" s="9" t="n">
        <v>1446.32</v>
      </c>
      <c r="S1087" s="9" t="n">
        <v>1294.3</v>
      </c>
      <c r="T1087" s="9" t="n">
        <v>1386.09</v>
      </c>
      <c r="U1087" s="10">
        <f>SUM(I1087:T1087)</f>
        <v/>
      </c>
    </row>
    <row r="1088">
      <c r="A1088" s="2" t="inlineStr">
        <is>
          <t>SN-3000-3300-3320-3320PU0156</t>
        </is>
      </c>
      <c r="B1088" s="2" t="inlineStr">
        <is>
          <t>3320PU0156</t>
        </is>
      </c>
      <c r="C1088" s="2" t="inlineStr">
        <is>
          <t>Bomba sumidero CIP</t>
        </is>
      </c>
      <c r="D1088" s="2" t="n">
        <v>363</v>
      </c>
      <c r="E1088" s="2" t="inlineStr">
        <is>
          <t>CC-3000</t>
        </is>
      </c>
      <c r="F1088" s="2" t="inlineStr">
        <is>
          <t>P01</t>
        </is>
      </c>
      <c r="G1088" s="2" t="n">
        <v>610000</v>
      </c>
      <c r="H1088" s="2" t="inlineStr">
        <is>
          <t>Mano obra interna</t>
        </is>
      </c>
      <c r="I1088" s="9" t="n">
        <v>2665.73</v>
      </c>
      <c r="J1088" s="9" t="n">
        <v>2424.96</v>
      </c>
      <c r="K1088" s="9" t="n">
        <v>2704.36</v>
      </c>
      <c r="L1088" s="9" t="n">
        <v>2434.6</v>
      </c>
      <c r="M1088" s="9" t="n">
        <v>2390.24</v>
      </c>
      <c r="N1088" s="9" t="n">
        <v>2259.62</v>
      </c>
      <c r="O1088" s="9" t="n">
        <v>2309.37</v>
      </c>
      <c r="P1088" s="9" t="n">
        <v>2291.16</v>
      </c>
      <c r="Q1088" s="9" t="n">
        <v>2424.82</v>
      </c>
      <c r="R1088" s="9" t="n">
        <v>2826.67</v>
      </c>
      <c r="S1088" s="9" t="n">
        <v>2182.64</v>
      </c>
      <c r="T1088" s="9" t="n">
        <v>2329.75</v>
      </c>
      <c r="U1088" s="10">
        <f>SUM(I1088:T1088)</f>
        <v/>
      </c>
    </row>
    <row r="1089">
      <c r="A1089" s="2" t="inlineStr">
        <is>
          <t>SN-3000-3300-3320-3320PU0156</t>
        </is>
      </c>
      <c r="B1089" s="2" t="inlineStr">
        <is>
          <t>3320PU0156</t>
        </is>
      </c>
      <c r="C1089" s="2" t="inlineStr">
        <is>
          <t>Bomba sumidero CIP</t>
        </is>
      </c>
      <c r="D1089" s="2" t="n">
        <v>363</v>
      </c>
      <c r="E1089" s="2" t="inlineStr">
        <is>
          <t>CC-3000</t>
        </is>
      </c>
      <c r="F1089" s="2" t="inlineStr">
        <is>
          <t>P01</t>
        </is>
      </c>
      <c r="G1089" s="2" t="n">
        <v>620000</v>
      </c>
      <c r="H1089" s="2" t="inlineStr">
        <is>
          <t>Materiales</t>
        </is>
      </c>
      <c r="I1089" s="9" t="n">
        <v>2403.38</v>
      </c>
      <c r="J1089" s="9" t="n">
        <v>2388</v>
      </c>
      <c r="K1089" s="9" t="n">
        <v>2405.38</v>
      </c>
      <c r="L1089" s="9" t="n">
        <v>2515.71</v>
      </c>
      <c r="M1089" s="9" t="n">
        <v>2363.45</v>
      </c>
      <c r="N1089" s="9" t="n">
        <v>2313.65</v>
      </c>
      <c r="O1089" s="9" t="n">
        <v>2318.85</v>
      </c>
      <c r="P1089" s="9" t="n">
        <v>2448.36</v>
      </c>
      <c r="Q1089" s="9" t="n">
        <v>2485.77</v>
      </c>
      <c r="R1089" s="9" t="n">
        <v>2599.88</v>
      </c>
      <c r="S1089" s="9" t="n">
        <v>2544.06</v>
      </c>
      <c r="T1089" s="9" t="n">
        <v>2653.63</v>
      </c>
      <c r="U1089" s="10">
        <f>SUM(I1089:T1089)</f>
        <v/>
      </c>
    </row>
    <row r="1090">
      <c r="A1090" s="2" t="inlineStr">
        <is>
          <t>SN-3000-3300-3320-3320PU0156</t>
        </is>
      </c>
      <c r="B1090" s="2" t="inlineStr">
        <is>
          <t>3320PU0156</t>
        </is>
      </c>
      <c r="C1090" s="2" t="inlineStr">
        <is>
          <t>Bomba sumidero CIP</t>
        </is>
      </c>
      <c r="D1090" s="2" t="n">
        <v>363</v>
      </c>
      <c r="E1090" s="2" t="inlineStr">
        <is>
          <t>CC-3000</t>
        </is>
      </c>
      <c r="F1090" s="2" t="inlineStr">
        <is>
          <t>P01</t>
        </is>
      </c>
      <c r="G1090" s="2" t="n">
        <v>630000</v>
      </c>
      <c r="H1090" s="2" t="inlineStr">
        <is>
          <t>Servicios externos</t>
        </is>
      </c>
      <c r="I1090" s="9" t="n">
        <v>2941.7</v>
      </c>
      <c r="J1090" s="9" t="n">
        <v>2781.36</v>
      </c>
      <c r="K1090" s="9" t="n">
        <v>3003.02</v>
      </c>
      <c r="L1090" s="9" t="n">
        <v>2623.41</v>
      </c>
      <c r="M1090" s="9" t="n">
        <v>2709.11</v>
      </c>
      <c r="N1090" s="9" t="n">
        <v>2838.92</v>
      </c>
      <c r="O1090" s="9" t="n">
        <v>2873.89</v>
      </c>
      <c r="P1090" s="9" t="n">
        <v>2955.19</v>
      </c>
      <c r="Q1090" s="9" t="n">
        <v>2678.14</v>
      </c>
      <c r="R1090" s="9" t="n">
        <v>3147.9</v>
      </c>
      <c r="S1090" s="9" t="n">
        <v>2753.95</v>
      </c>
      <c r="T1090" s="9" t="n">
        <v>2911.17</v>
      </c>
      <c r="U1090" s="10">
        <f>SUM(I1090:T1090)</f>
        <v/>
      </c>
    </row>
    <row r="1091">
      <c r="A1091" s="2" t="inlineStr">
        <is>
          <t>SN-3000-3300-3320-3320SN0021</t>
        </is>
      </c>
      <c r="B1091" s="2" t="inlineStr">
        <is>
          <t>3320SN0021</t>
        </is>
      </c>
      <c r="C1091" s="2" t="inlineStr">
        <is>
          <t>Bomba harnero inter etapa (reserva)</t>
        </is>
      </c>
      <c r="D1091" s="2" t="n">
        <v>364</v>
      </c>
      <c r="E1091" s="2" t="inlineStr">
        <is>
          <t>CC-3000</t>
        </is>
      </c>
      <c r="F1091" s="2" t="inlineStr">
        <is>
          <t>P01</t>
        </is>
      </c>
      <c r="G1091" s="2" t="n">
        <v>610000</v>
      </c>
      <c r="H1091" s="2" t="inlineStr">
        <is>
          <t>Mano obra interna</t>
        </is>
      </c>
      <c r="I1091" s="9" t="n">
        <v>936.1</v>
      </c>
      <c r="J1091" s="9" t="n">
        <v>889.67</v>
      </c>
      <c r="K1091" s="9" t="n">
        <v>934.61</v>
      </c>
      <c r="L1091" s="9" t="n">
        <v>901.92</v>
      </c>
      <c r="M1091" s="9" t="n">
        <v>823.24</v>
      </c>
      <c r="N1091" s="9" t="n">
        <v>759.97</v>
      </c>
      <c r="O1091" s="9" t="n">
        <v>918.97</v>
      </c>
      <c r="P1091" s="9" t="n">
        <v>869.88</v>
      </c>
      <c r="Q1091" s="9" t="n">
        <v>773.52</v>
      </c>
      <c r="R1091" s="9" t="n">
        <v>874.05</v>
      </c>
      <c r="S1091" s="9" t="n">
        <v>875.1</v>
      </c>
      <c r="T1091" s="9" t="n">
        <v>918.37</v>
      </c>
      <c r="U1091" s="10">
        <f>SUM(I1091:T1091)</f>
        <v/>
      </c>
    </row>
    <row r="1092">
      <c r="A1092" s="2" t="inlineStr">
        <is>
          <t>SN-3000-3300-3320-3320SN0021</t>
        </is>
      </c>
      <c r="B1092" s="2" t="inlineStr">
        <is>
          <t>3320SN0021</t>
        </is>
      </c>
      <c r="C1092" s="2" t="inlineStr">
        <is>
          <t>Bomba harnero inter etapa (reserva)</t>
        </is>
      </c>
      <c r="D1092" s="2" t="n">
        <v>364</v>
      </c>
      <c r="E1092" s="2" t="inlineStr">
        <is>
          <t>CC-3000</t>
        </is>
      </c>
      <c r="F1092" s="2" t="inlineStr">
        <is>
          <t>P01</t>
        </is>
      </c>
      <c r="G1092" s="2" t="n">
        <v>620000</v>
      </c>
      <c r="H1092" s="2" t="inlineStr">
        <is>
          <t>Materiales</t>
        </is>
      </c>
      <c r="I1092" s="9" t="n">
        <v>966.04</v>
      </c>
      <c r="J1092" s="9" t="n">
        <v>891.3200000000001</v>
      </c>
      <c r="K1092" s="9" t="n">
        <v>924.2</v>
      </c>
      <c r="L1092" s="9" t="n">
        <v>870.91</v>
      </c>
      <c r="M1092" s="9" t="n">
        <v>964.14</v>
      </c>
      <c r="N1092" s="9" t="n">
        <v>825.85</v>
      </c>
      <c r="O1092" s="9" t="n">
        <v>944.62</v>
      </c>
      <c r="P1092" s="9" t="n">
        <v>924.76</v>
      </c>
      <c r="Q1092" s="9" t="n">
        <v>864.6</v>
      </c>
      <c r="R1092" s="9" t="n">
        <v>1065.47</v>
      </c>
      <c r="S1092" s="9" t="n">
        <v>828.22</v>
      </c>
      <c r="T1092" s="9" t="n">
        <v>979.64</v>
      </c>
      <c r="U1092" s="10">
        <f>SUM(I1092:T1092)</f>
        <v/>
      </c>
    </row>
    <row r="1093">
      <c r="A1093" s="2" t="inlineStr">
        <is>
          <t>SN-3000-3300-3320-3320SN0021</t>
        </is>
      </c>
      <c r="B1093" s="2" t="inlineStr">
        <is>
          <t>3320SN0021</t>
        </is>
      </c>
      <c r="C1093" s="2" t="inlineStr">
        <is>
          <t>Bomba harnero inter etapa (reserva)</t>
        </is>
      </c>
      <c r="D1093" s="2" t="n">
        <v>364</v>
      </c>
      <c r="E1093" s="2" t="inlineStr">
        <is>
          <t>CC-3000</t>
        </is>
      </c>
      <c r="F1093" s="2" t="inlineStr">
        <is>
          <t>P01</t>
        </is>
      </c>
      <c r="G1093" s="2" t="n">
        <v>630000</v>
      </c>
      <c r="H1093" s="2" t="inlineStr">
        <is>
          <t>Servicios externos</t>
        </is>
      </c>
      <c r="I1093" s="9" t="n">
        <v>697.02</v>
      </c>
      <c r="J1093" s="9" t="n">
        <v>717.95</v>
      </c>
      <c r="K1093" s="9" t="n">
        <v>707.4299999999999</v>
      </c>
      <c r="L1093" s="9" t="n">
        <v>788.38</v>
      </c>
      <c r="M1093" s="9" t="n">
        <v>733.1</v>
      </c>
      <c r="N1093" s="9" t="n">
        <v>651.76</v>
      </c>
      <c r="O1093" s="9" t="n">
        <v>683.38</v>
      </c>
      <c r="P1093" s="9" t="n">
        <v>750</v>
      </c>
      <c r="Q1093" s="9" t="n">
        <v>719.92</v>
      </c>
      <c r="R1093" s="9" t="n">
        <v>787.1799999999999</v>
      </c>
      <c r="S1093" s="9" t="n">
        <v>719.96</v>
      </c>
      <c r="T1093" s="9" t="n">
        <v>784.11</v>
      </c>
      <c r="U1093" s="10">
        <f>SUM(I1093:T1093)</f>
        <v/>
      </c>
    </row>
    <row r="1094">
      <c r="A1094" s="2" t="inlineStr">
        <is>
          <t>SN-3000-3300-3320-3320SN0022</t>
        </is>
      </c>
      <c r="B1094" s="2" t="inlineStr">
        <is>
          <t>3320SN0022</t>
        </is>
      </c>
      <c r="C1094" s="2" t="inlineStr">
        <is>
          <t>Harnero carbón cargado</t>
        </is>
      </c>
      <c r="D1094" s="2" t="n">
        <v>365</v>
      </c>
      <c r="E1094" s="2" t="inlineStr">
        <is>
          <t>CC-3000</t>
        </is>
      </c>
      <c r="F1094" s="2" t="inlineStr">
        <is>
          <t>P01</t>
        </is>
      </c>
      <c r="G1094" s="2" t="n">
        <v>610000</v>
      </c>
      <c r="H1094" s="2" t="inlineStr">
        <is>
          <t>Mano obra interna</t>
        </is>
      </c>
      <c r="I1094" s="9" t="n">
        <v>2011.28</v>
      </c>
      <c r="J1094" s="9" t="n">
        <v>2066.48</v>
      </c>
      <c r="K1094" s="9" t="n">
        <v>2169.82</v>
      </c>
      <c r="L1094" s="9" t="n">
        <v>2185.3</v>
      </c>
      <c r="M1094" s="9" t="n">
        <v>2079.1</v>
      </c>
      <c r="N1094" s="9" t="n">
        <v>2118.36</v>
      </c>
      <c r="O1094" s="9" t="n">
        <v>1962.04</v>
      </c>
      <c r="P1094" s="9" t="n">
        <v>2208.07</v>
      </c>
      <c r="Q1094" s="9" t="n">
        <v>1930.28</v>
      </c>
      <c r="R1094" s="9" t="n">
        <v>2283.75</v>
      </c>
      <c r="S1094" s="9" t="n">
        <v>1867.29</v>
      </c>
      <c r="T1094" s="9" t="n">
        <v>2051.6</v>
      </c>
      <c r="U1094" s="10">
        <f>SUM(I1094:T1094)</f>
        <v/>
      </c>
    </row>
    <row r="1095">
      <c r="A1095" s="2" t="inlineStr">
        <is>
          <t>SN-3000-3300-3320-3320SN0022</t>
        </is>
      </c>
      <c r="B1095" s="2" t="inlineStr">
        <is>
          <t>3320SN0022</t>
        </is>
      </c>
      <c r="C1095" s="2" t="inlineStr">
        <is>
          <t>Harnero carbón cargado</t>
        </is>
      </c>
      <c r="D1095" s="2" t="n">
        <v>365</v>
      </c>
      <c r="E1095" s="2" t="inlineStr">
        <is>
          <t>CC-3000</t>
        </is>
      </c>
      <c r="F1095" s="2" t="inlineStr">
        <is>
          <t>P01</t>
        </is>
      </c>
      <c r="G1095" s="2" t="n">
        <v>620000</v>
      </c>
      <c r="H1095" s="2" t="inlineStr">
        <is>
          <t>Materiales</t>
        </is>
      </c>
      <c r="I1095" s="9" t="n">
        <v>2210.15</v>
      </c>
      <c r="J1095" s="9" t="n">
        <v>1912.06</v>
      </c>
      <c r="K1095" s="9" t="n">
        <v>2178.07</v>
      </c>
      <c r="L1095" s="9" t="n">
        <v>2000.75</v>
      </c>
      <c r="M1095" s="9" t="n">
        <v>2238.51</v>
      </c>
      <c r="N1095" s="9" t="n">
        <v>2130.94</v>
      </c>
      <c r="O1095" s="9" t="n">
        <v>1935.94</v>
      </c>
      <c r="P1095" s="9" t="n">
        <v>2214.25</v>
      </c>
      <c r="Q1095" s="9" t="n">
        <v>2081.7</v>
      </c>
      <c r="R1095" s="9" t="n">
        <v>2207.04</v>
      </c>
      <c r="S1095" s="9" t="n">
        <v>2099.97</v>
      </c>
      <c r="T1095" s="9" t="n">
        <v>2107.06</v>
      </c>
      <c r="U1095" s="10">
        <f>SUM(I1095:T1095)</f>
        <v/>
      </c>
    </row>
    <row r="1096">
      <c r="A1096" s="2" t="inlineStr">
        <is>
          <t>SN-3000-3300-3320-3320SN0022</t>
        </is>
      </c>
      <c r="B1096" s="2" t="inlineStr">
        <is>
          <t>3320SN0022</t>
        </is>
      </c>
      <c r="C1096" s="2" t="inlineStr">
        <is>
          <t>Harnero carbón cargado</t>
        </is>
      </c>
      <c r="D1096" s="2" t="n">
        <v>365</v>
      </c>
      <c r="E1096" s="2" t="inlineStr">
        <is>
          <t>CC-3000</t>
        </is>
      </c>
      <c r="F1096" s="2" t="inlineStr">
        <is>
          <t>P01</t>
        </is>
      </c>
      <c r="G1096" s="2" t="n">
        <v>630000</v>
      </c>
      <c r="H1096" s="2" t="inlineStr">
        <is>
          <t>Servicios externos</t>
        </is>
      </c>
      <c r="I1096" s="9" t="n">
        <v>2017.12</v>
      </c>
      <c r="J1096" s="9" t="n">
        <v>1940.34</v>
      </c>
      <c r="K1096" s="9" t="n">
        <v>2066.61</v>
      </c>
      <c r="L1096" s="9" t="n">
        <v>1954.91</v>
      </c>
      <c r="M1096" s="9" t="n">
        <v>2113.09</v>
      </c>
      <c r="N1096" s="9" t="n">
        <v>1891.72</v>
      </c>
      <c r="O1096" s="9" t="n">
        <v>1996.24</v>
      </c>
      <c r="P1096" s="9" t="n">
        <v>2153.97</v>
      </c>
      <c r="Q1096" s="9" t="n">
        <v>1886.55</v>
      </c>
      <c r="R1096" s="9" t="n">
        <v>2202.25</v>
      </c>
      <c r="S1096" s="9" t="n">
        <v>2106.35</v>
      </c>
      <c r="T1096" s="9" t="n">
        <v>2185.18</v>
      </c>
      <c r="U1096" s="10">
        <f>SUM(I1096:T1096)</f>
        <v/>
      </c>
    </row>
    <row r="1097">
      <c r="A1097" s="2" t="inlineStr">
        <is>
          <t>SN-3000-3300-3320-3320SY0008</t>
        </is>
      </c>
      <c r="B1097" s="2" t="inlineStr">
        <is>
          <t>3320SY0008</t>
        </is>
      </c>
      <c r="C1097" s="2" t="inlineStr">
        <is>
          <t>Lava ojos emergencia</t>
        </is>
      </c>
      <c r="D1097" s="2" t="n">
        <v>366</v>
      </c>
      <c r="E1097" s="2" t="inlineStr">
        <is>
          <t>CC-3000</t>
        </is>
      </c>
      <c r="F1097" s="2" t="inlineStr">
        <is>
          <t>P01</t>
        </is>
      </c>
      <c r="G1097" s="2" t="n">
        <v>610000</v>
      </c>
      <c r="H1097" s="2" t="inlineStr">
        <is>
          <t>Mano obra interna</t>
        </is>
      </c>
      <c r="I1097" s="9" t="n">
        <v>1347.68</v>
      </c>
      <c r="J1097" s="9" t="n">
        <v>1404.23</v>
      </c>
      <c r="K1097" s="9" t="n">
        <v>1339.86</v>
      </c>
      <c r="L1097" s="9" t="n">
        <v>1327.22</v>
      </c>
      <c r="M1097" s="9" t="n">
        <v>1248.1</v>
      </c>
      <c r="N1097" s="9" t="n">
        <v>1189.37</v>
      </c>
      <c r="O1097" s="9" t="n">
        <v>1377.44</v>
      </c>
      <c r="P1097" s="9" t="n">
        <v>1382.09</v>
      </c>
      <c r="Q1097" s="9" t="n">
        <v>1326.81</v>
      </c>
      <c r="R1097" s="9" t="n">
        <v>1492.37</v>
      </c>
      <c r="S1097" s="9" t="n">
        <v>1230.79</v>
      </c>
      <c r="T1097" s="9" t="n">
        <v>1246.52</v>
      </c>
      <c r="U1097" s="10">
        <f>SUM(I1097:T1097)</f>
        <v/>
      </c>
    </row>
    <row r="1098">
      <c r="A1098" s="2" t="inlineStr">
        <is>
          <t>SN-3000-3300-3320-3320SY0008</t>
        </is>
      </c>
      <c r="B1098" s="2" t="inlineStr">
        <is>
          <t>3320SY0008</t>
        </is>
      </c>
      <c r="C1098" s="2" t="inlineStr">
        <is>
          <t>Lava ojos emergencia</t>
        </is>
      </c>
      <c r="D1098" s="2" t="n">
        <v>366</v>
      </c>
      <c r="E1098" s="2" t="inlineStr">
        <is>
          <t>CC-3000</t>
        </is>
      </c>
      <c r="F1098" s="2" t="inlineStr">
        <is>
          <t>P01</t>
        </is>
      </c>
      <c r="G1098" s="2" t="n">
        <v>620000</v>
      </c>
      <c r="H1098" s="2" t="inlineStr">
        <is>
          <t>Materiales</t>
        </is>
      </c>
      <c r="I1098" s="9" t="n">
        <v>1607.38</v>
      </c>
      <c r="J1098" s="9" t="n">
        <v>1543.47</v>
      </c>
      <c r="K1098" s="9" t="n">
        <v>1775.21</v>
      </c>
      <c r="L1098" s="9" t="n">
        <v>1673.92</v>
      </c>
      <c r="M1098" s="9" t="n">
        <v>1526.14</v>
      </c>
      <c r="N1098" s="9" t="n">
        <v>1641</v>
      </c>
      <c r="O1098" s="9" t="n">
        <v>1744.15</v>
      </c>
      <c r="P1098" s="9" t="n">
        <v>1507.83</v>
      </c>
      <c r="Q1098" s="9" t="n">
        <v>1591.3</v>
      </c>
      <c r="R1098" s="9" t="n">
        <v>1712.01</v>
      </c>
      <c r="S1098" s="9" t="n">
        <v>1570.23</v>
      </c>
      <c r="T1098" s="9" t="n">
        <v>1748.64</v>
      </c>
      <c r="U1098" s="10">
        <f>SUM(I1098:T1098)</f>
        <v/>
      </c>
    </row>
    <row r="1099">
      <c r="A1099" s="2" t="inlineStr">
        <is>
          <t>SN-3000-3300-3320-3320SY0008</t>
        </is>
      </c>
      <c r="B1099" s="2" t="inlineStr">
        <is>
          <t>3320SY0008</t>
        </is>
      </c>
      <c r="C1099" s="2" t="inlineStr">
        <is>
          <t>Lava ojos emergencia</t>
        </is>
      </c>
      <c r="D1099" s="2" t="n">
        <v>366</v>
      </c>
      <c r="E1099" s="2" t="inlineStr">
        <is>
          <t>CC-3000</t>
        </is>
      </c>
      <c r="F1099" s="2" t="inlineStr">
        <is>
          <t>P01</t>
        </is>
      </c>
      <c r="G1099" s="2" t="n">
        <v>630000</v>
      </c>
      <c r="H1099" s="2" t="inlineStr">
        <is>
          <t>Servicios externos</t>
        </is>
      </c>
      <c r="I1099" s="9" t="n">
        <v>1658</v>
      </c>
      <c r="J1099" s="9" t="n">
        <v>1586.44</v>
      </c>
      <c r="K1099" s="9" t="n">
        <v>1624.92</v>
      </c>
      <c r="L1099" s="9" t="n">
        <v>1742.68</v>
      </c>
      <c r="M1099" s="9" t="n">
        <v>1540.9</v>
      </c>
      <c r="N1099" s="9" t="n">
        <v>1591.47</v>
      </c>
      <c r="O1099" s="9" t="n">
        <v>1573.86</v>
      </c>
      <c r="P1099" s="9" t="n">
        <v>1661.55</v>
      </c>
      <c r="Q1099" s="9" t="n">
        <v>1456</v>
      </c>
      <c r="R1099" s="9" t="n">
        <v>1918.47</v>
      </c>
      <c r="S1099" s="9" t="n">
        <v>1558.57</v>
      </c>
      <c r="T1099" s="9" t="n">
        <v>1666.4</v>
      </c>
      <c r="U1099" s="10">
        <f>SUM(I1099:T1099)</f>
        <v/>
      </c>
    </row>
    <row r="1100">
      <c r="A1100" s="2" t="inlineStr">
        <is>
          <t>SN-3000-3300-3320-3320SY0025</t>
        </is>
      </c>
      <c r="B1100" s="2" t="inlineStr">
        <is>
          <t>3320SY0025</t>
        </is>
      </c>
      <c r="C1100" s="2" t="inlineStr">
        <is>
          <t>Lava ojos emergencia</t>
        </is>
      </c>
      <c r="D1100" s="2" t="n">
        <v>367</v>
      </c>
      <c r="E1100" s="2" t="inlineStr">
        <is>
          <t>CC-3000</t>
        </is>
      </c>
      <c r="F1100" s="2" t="inlineStr">
        <is>
          <t>P01</t>
        </is>
      </c>
      <c r="G1100" s="2" t="n">
        <v>610000</v>
      </c>
      <c r="H1100" s="2" t="inlineStr">
        <is>
          <t>Mano obra interna</t>
        </is>
      </c>
      <c r="I1100" s="9" t="n">
        <v>3265.01</v>
      </c>
      <c r="J1100" s="9" t="n">
        <v>2894.27</v>
      </c>
      <c r="K1100" s="9" t="n">
        <v>2957.02</v>
      </c>
      <c r="L1100" s="9" t="n">
        <v>3253.46</v>
      </c>
      <c r="M1100" s="9" t="n">
        <v>2992.01</v>
      </c>
      <c r="N1100" s="9" t="n">
        <v>3067.16</v>
      </c>
      <c r="O1100" s="9" t="n">
        <v>3051.54</v>
      </c>
      <c r="P1100" s="9" t="n">
        <v>2999.04</v>
      </c>
      <c r="Q1100" s="9" t="n">
        <v>2842.03</v>
      </c>
      <c r="R1100" s="9" t="n">
        <v>3450.39</v>
      </c>
      <c r="S1100" s="9" t="n">
        <v>3170.53</v>
      </c>
      <c r="T1100" s="9" t="n">
        <v>2897.83</v>
      </c>
      <c r="U1100" s="10">
        <f>SUM(I1100:T1100)</f>
        <v/>
      </c>
    </row>
    <row r="1101">
      <c r="A1101" s="2" t="inlineStr">
        <is>
          <t>SN-3000-3300-3320-3320SY0025</t>
        </is>
      </c>
      <c r="B1101" s="2" t="inlineStr">
        <is>
          <t>3320SY0025</t>
        </is>
      </c>
      <c r="C1101" s="2" t="inlineStr">
        <is>
          <t>Lava ojos emergencia</t>
        </is>
      </c>
      <c r="D1101" s="2" t="n">
        <v>367</v>
      </c>
      <c r="E1101" s="2" t="inlineStr">
        <is>
          <t>CC-3000</t>
        </is>
      </c>
      <c r="F1101" s="2" t="inlineStr">
        <is>
          <t>P01</t>
        </is>
      </c>
      <c r="G1101" s="2" t="n">
        <v>620000</v>
      </c>
      <c r="H1101" s="2" t="inlineStr">
        <is>
          <t>Materiales</t>
        </is>
      </c>
      <c r="I1101" s="9" t="n">
        <v>2555.75</v>
      </c>
      <c r="J1101" s="9" t="n">
        <v>2651.38</v>
      </c>
      <c r="K1101" s="9" t="n">
        <v>2963.51</v>
      </c>
      <c r="L1101" s="9" t="n">
        <v>2704.22</v>
      </c>
      <c r="M1101" s="9" t="n">
        <v>2863.11</v>
      </c>
      <c r="N1101" s="9" t="n">
        <v>2641</v>
      </c>
      <c r="O1101" s="9" t="n">
        <v>2895.09</v>
      </c>
      <c r="P1101" s="9" t="n">
        <v>2815.05</v>
      </c>
      <c r="Q1101" s="9" t="n">
        <v>2358.96</v>
      </c>
      <c r="R1101" s="9" t="n">
        <v>2792.5</v>
      </c>
      <c r="S1101" s="9" t="n">
        <v>2575.05</v>
      </c>
      <c r="T1101" s="9" t="n">
        <v>2601.05</v>
      </c>
      <c r="U1101" s="10">
        <f>SUM(I1101:T1101)</f>
        <v/>
      </c>
    </row>
    <row r="1102">
      <c r="A1102" s="2" t="inlineStr">
        <is>
          <t>SN-3000-3300-3320-3320SY0025</t>
        </is>
      </c>
      <c r="B1102" s="2" t="inlineStr">
        <is>
          <t>3320SY0025</t>
        </is>
      </c>
      <c r="C1102" s="2" t="inlineStr">
        <is>
          <t>Lava ojos emergencia</t>
        </is>
      </c>
      <c r="D1102" s="2" t="n">
        <v>367</v>
      </c>
      <c r="E1102" s="2" t="inlineStr">
        <is>
          <t>CC-3000</t>
        </is>
      </c>
      <c r="F1102" s="2" t="inlineStr">
        <is>
          <t>P01</t>
        </is>
      </c>
      <c r="G1102" s="2" t="n">
        <v>630000</v>
      </c>
      <c r="H1102" s="2" t="inlineStr">
        <is>
          <t>Servicios externos</t>
        </is>
      </c>
      <c r="I1102" s="9" t="n">
        <v>2682.77</v>
      </c>
      <c r="J1102" s="9" t="n">
        <v>2789.92</v>
      </c>
      <c r="K1102" s="9" t="n">
        <v>2694.74</v>
      </c>
      <c r="L1102" s="9" t="n">
        <v>2821.6</v>
      </c>
      <c r="M1102" s="9" t="n">
        <v>2797.51</v>
      </c>
      <c r="N1102" s="9" t="n">
        <v>2676.35</v>
      </c>
      <c r="O1102" s="9" t="n">
        <v>2518.16</v>
      </c>
      <c r="P1102" s="9" t="n">
        <v>2636.43</v>
      </c>
      <c r="Q1102" s="9" t="n">
        <v>2397.72</v>
      </c>
      <c r="R1102" s="9" t="n">
        <v>2801.51</v>
      </c>
      <c r="S1102" s="9" t="n">
        <v>2498.85</v>
      </c>
      <c r="T1102" s="9" t="n">
        <v>2819.19</v>
      </c>
      <c r="U1102" s="10">
        <f>SUM(I1102:T1102)</f>
        <v/>
      </c>
    </row>
    <row r="1103">
      <c r="A1103" s="2" t="inlineStr">
        <is>
          <t>SN-3000-3300-3320-3320SY0026</t>
        </is>
      </c>
      <c r="B1103" s="2" t="inlineStr">
        <is>
          <t>3320SY0026</t>
        </is>
      </c>
      <c r="C1103" s="2" t="inlineStr">
        <is>
          <t>Lava ojos emergencia</t>
        </is>
      </c>
      <c r="D1103" s="2" t="n">
        <v>368</v>
      </c>
      <c r="E1103" s="2" t="inlineStr">
        <is>
          <t>CC-3000</t>
        </is>
      </c>
      <c r="F1103" s="2" t="inlineStr">
        <is>
          <t>P01</t>
        </is>
      </c>
      <c r="G1103" s="2" t="n">
        <v>610000</v>
      </c>
      <c r="H1103" s="2" t="inlineStr">
        <is>
          <t>Mano obra interna</t>
        </is>
      </c>
      <c r="I1103" s="9" t="n">
        <v>758.77</v>
      </c>
      <c r="J1103" s="9" t="n">
        <v>785.55</v>
      </c>
      <c r="K1103" s="9" t="n">
        <v>710.12</v>
      </c>
      <c r="L1103" s="9" t="n">
        <v>755.33</v>
      </c>
      <c r="M1103" s="9" t="n">
        <v>764.9400000000001</v>
      </c>
      <c r="N1103" s="9" t="n">
        <v>668.4299999999999</v>
      </c>
      <c r="O1103" s="9" t="n">
        <v>754.02</v>
      </c>
      <c r="P1103" s="9" t="n">
        <v>709.0700000000001</v>
      </c>
      <c r="Q1103" s="9" t="n">
        <v>729.8</v>
      </c>
      <c r="R1103" s="9" t="n">
        <v>776.45</v>
      </c>
      <c r="S1103" s="9" t="n">
        <v>697.22</v>
      </c>
      <c r="T1103" s="9" t="n">
        <v>763.27</v>
      </c>
      <c r="U1103" s="10">
        <f>SUM(I1103:T1103)</f>
        <v/>
      </c>
    </row>
    <row r="1104">
      <c r="A1104" s="2" t="inlineStr">
        <is>
          <t>SN-3000-3300-3320-3320SY0026</t>
        </is>
      </c>
      <c r="B1104" s="2" t="inlineStr">
        <is>
          <t>3320SY0026</t>
        </is>
      </c>
      <c r="C1104" s="2" t="inlineStr">
        <is>
          <t>Lava ojos emergencia</t>
        </is>
      </c>
      <c r="D1104" s="2" t="n">
        <v>368</v>
      </c>
      <c r="E1104" s="2" t="inlineStr">
        <is>
          <t>CC-3000</t>
        </is>
      </c>
      <c r="F1104" s="2" t="inlineStr">
        <is>
          <t>P01</t>
        </is>
      </c>
      <c r="G1104" s="2" t="n">
        <v>620000</v>
      </c>
      <c r="H1104" s="2" t="inlineStr">
        <is>
          <t>Materiales</t>
        </is>
      </c>
      <c r="I1104" s="9" t="n">
        <v>652.15</v>
      </c>
      <c r="J1104" s="9" t="n">
        <v>642.89</v>
      </c>
      <c r="K1104" s="9" t="n">
        <v>666.55</v>
      </c>
      <c r="L1104" s="9" t="n">
        <v>678.88</v>
      </c>
      <c r="M1104" s="9" t="n">
        <v>665.2</v>
      </c>
      <c r="N1104" s="9" t="n">
        <v>639.28</v>
      </c>
      <c r="O1104" s="9" t="n">
        <v>678.23</v>
      </c>
      <c r="P1104" s="9" t="n">
        <v>640.77</v>
      </c>
      <c r="Q1104" s="9" t="n">
        <v>579.0599999999999</v>
      </c>
      <c r="R1104" s="9" t="n">
        <v>743.26</v>
      </c>
      <c r="S1104" s="9" t="n">
        <v>676.42</v>
      </c>
      <c r="T1104" s="9" t="n">
        <v>645.3200000000001</v>
      </c>
      <c r="U1104" s="10">
        <f>SUM(I1104:T1104)</f>
        <v/>
      </c>
    </row>
    <row r="1105">
      <c r="A1105" s="2" t="inlineStr">
        <is>
          <t>SN-3000-3300-3320-3320SY0026</t>
        </is>
      </c>
      <c r="B1105" s="2" t="inlineStr">
        <is>
          <t>3320SY0026</t>
        </is>
      </c>
      <c r="C1105" s="2" t="inlineStr">
        <is>
          <t>Lava ojos emergencia</t>
        </is>
      </c>
      <c r="D1105" s="2" t="n">
        <v>368</v>
      </c>
      <c r="E1105" s="2" t="inlineStr">
        <is>
          <t>CC-3000</t>
        </is>
      </c>
      <c r="F1105" s="2" t="inlineStr">
        <is>
          <t>P01</t>
        </is>
      </c>
      <c r="G1105" s="2" t="n">
        <v>630000</v>
      </c>
      <c r="H1105" s="2" t="inlineStr">
        <is>
          <t>Servicios externos</t>
        </is>
      </c>
      <c r="I1105" s="9" t="n">
        <v>720.0599999999999</v>
      </c>
      <c r="J1105" s="9" t="n">
        <v>698.54</v>
      </c>
      <c r="K1105" s="9" t="n">
        <v>746.41</v>
      </c>
      <c r="L1105" s="9" t="n">
        <v>668.1799999999999</v>
      </c>
      <c r="M1105" s="9" t="n">
        <v>722.96</v>
      </c>
      <c r="N1105" s="9" t="n">
        <v>627.25</v>
      </c>
      <c r="O1105" s="9" t="n">
        <v>702.25</v>
      </c>
      <c r="P1105" s="9" t="n">
        <v>741.95</v>
      </c>
      <c r="Q1105" s="9" t="n">
        <v>651.62</v>
      </c>
      <c r="R1105" s="9" t="n">
        <v>718.13</v>
      </c>
      <c r="S1105" s="9" t="n">
        <v>735.99</v>
      </c>
      <c r="T1105" s="9" t="n">
        <v>760.59</v>
      </c>
      <c r="U1105" s="10">
        <f>SUM(I1105:T1105)</f>
        <v/>
      </c>
    </row>
    <row r="1106">
      <c r="A1106" s="2" t="inlineStr">
        <is>
          <t>SN-3000-3300-3320-3320WL0001</t>
        </is>
      </c>
      <c r="B1106" s="2" t="inlineStr">
        <is>
          <t>3320WL0001</t>
        </is>
      </c>
      <c r="C1106" s="2" t="inlineStr">
        <is>
          <t>Línea agua fresca 3320-2419-AA1A-2"-WFR-ET</t>
        </is>
      </c>
      <c r="D1106" s="2" t="n">
        <v>369</v>
      </c>
      <c r="E1106" s="2" t="inlineStr">
        <is>
          <t>CC-3000</t>
        </is>
      </c>
      <c r="F1106" s="2" t="inlineStr">
        <is>
          <t>P01</t>
        </is>
      </c>
      <c r="G1106" s="2" t="n">
        <v>610000</v>
      </c>
      <c r="H1106" s="2" t="inlineStr">
        <is>
          <t>Mano obra interna</t>
        </is>
      </c>
      <c r="I1106" s="9" t="n">
        <v>2456.03</v>
      </c>
      <c r="J1106" s="9" t="n">
        <v>2281.9</v>
      </c>
      <c r="K1106" s="9" t="n">
        <v>2695.46</v>
      </c>
      <c r="L1106" s="9" t="n">
        <v>2507.14</v>
      </c>
      <c r="M1106" s="9" t="n">
        <v>2551.35</v>
      </c>
      <c r="N1106" s="9" t="n">
        <v>2274.27</v>
      </c>
      <c r="O1106" s="9" t="n">
        <v>2377.19</v>
      </c>
      <c r="P1106" s="9" t="n">
        <v>2628.05</v>
      </c>
      <c r="Q1106" s="9" t="n">
        <v>2279.67</v>
      </c>
      <c r="R1106" s="9" t="n">
        <v>2480.52</v>
      </c>
      <c r="S1106" s="9" t="n">
        <v>2256.53</v>
      </c>
      <c r="T1106" s="9" t="n">
        <v>2469.51</v>
      </c>
      <c r="U1106" s="10">
        <f>SUM(I1106:T1106)</f>
        <v/>
      </c>
    </row>
    <row r="1107">
      <c r="A1107" s="2" t="inlineStr">
        <is>
          <t>SN-3000-3300-3320-3320WL0001</t>
        </is>
      </c>
      <c r="B1107" s="2" t="inlineStr">
        <is>
          <t>3320WL0001</t>
        </is>
      </c>
      <c r="C1107" s="2" t="inlineStr">
        <is>
          <t>Línea agua fresca 3320-2419-AA1A-2"-WFR-ET</t>
        </is>
      </c>
      <c r="D1107" s="2" t="n">
        <v>369</v>
      </c>
      <c r="E1107" s="2" t="inlineStr">
        <is>
          <t>CC-3000</t>
        </is>
      </c>
      <c r="F1107" s="2" t="inlineStr">
        <is>
          <t>P01</t>
        </is>
      </c>
      <c r="G1107" s="2" t="n">
        <v>620000</v>
      </c>
      <c r="H1107" s="2" t="inlineStr">
        <is>
          <t>Materiales</t>
        </is>
      </c>
      <c r="I1107" s="9" t="n">
        <v>1891.2</v>
      </c>
      <c r="J1107" s="9" t="n">
        <v>1811.73</v>
      </c>
      <c r="K1107" s="9" t="n">
        <v>2008.66</v>
      </c>
      <c r="L1107" s="9" t="n">
        <v>1860.63</v>
      </c>
      <c r="M1107" s="9" t="n">
        <v>1986.88</v>
      </c>
      <c r="N1107" s="9" t="n">
        <v>1690.86</v>
      </c>
      <c r="O1107" s="9" t="n">
        <v>1891.74</v>
      </c>
      <c r="P1107" s="9" t="n">
        <v>1740.1</v>
      </c>
      <c r="Q1107" s="9" t="n">
        <v>1799.84</v>
      </c>
      <c r="R1107" s="9" t="n">
        <v>2169.03</v>
      </c>
      <c r="S1107" s="9" t="n">
        <v>1896.36</v>
      </c>
      <c r="T1107" s="9" t="n">
        <v>1908.28</v>
      </c>
      <c r="U1107" s="10">
        <f>SUM(I1107:T1107)</f>
        <v/>
      </c>
    </row>
    <row r="1108">
      <c r="A1108" s="2" t="inlineStr">
        <is>
          <t>SN-3000-3300-3320-3320WL0001</t>
        </is>
      </c>
      <c r="B1108" s="2" t="inlineStr">
        <is>
          <t>3320WL0001</t>
        </is>
      </c>
      <c r="C1108" s="2" t="inlineStr">
        <is>
          <t>Línea agua fresca 3320-2419-AA1A-2"-WFR-ET</t>
        </is>
      </c>
      <c r="D1108" s="2" t="n">
        <v>369</v>
      </c>
      <c r="E1108" s="2" t="inlineStr">
        <is>
          <t>CC-3000</t>
        </is>
      </c>
      <c r="F1108" s="2" t="inlineStr">
        <is>
          <t>P01</t>
        </is>
      </c>
      <c r="G1108" s="2" t="n">
        <v>630000</v>
      </c>
      <c r="H1108" s="2" t="inlineStr">
        <is>
          <t>Servicios externos</t>
        </is>
      </c>
      <c r="I1108" s="9" t="n">
        <v>2301.4</v>
      </c>
      <c r="J1108" s="9" t="n">
        <v>2254.3</v>
      </c>
      <c r="K1108" s="9" t="n">
        <v>2380.19</v>
      </c>
      <c r="L1108" s="9" t="n">
        <v>2150.67</v>
      </c>
      <c r="M1108" s="9" t="n">
        <v>2283.9</v>
      </c>
      <c r="N1108" s="9" t="n">
        <v>1933.08</v>
      </c>
      <c r="O1108" s="9" t="n">
        <v>2056.26</v>
      </c>
      <c r="P1108" s="9" t="n">
        <v>1997.51</v>
      </c>
      <c r="Q1108" s="9" t="n">
        <v>1919.06</v>
      </c>
      <c r="R1108" s="9" t="n">
        <v>2406.43</v>
      </c>
      <c r="S1108" s="9" t="n">
        <v>2188.33</v>
      </c>
      <c r="T1108" s="9" t="n">
        <v>2268.37</v>
      </c>
      <c r="U1108" s="10">
        <f>SUM(I1108:T1108)</f>
        <v/>
      </c>
    </row>
    <row r="1109">
      <c r="A1109" s="2" t="inlineStr">
        <is>
          <t>SN-3000-3300-3330-3330AL0001</t>
        </is>
      </c>
      <c r="B1109" s="2" t="inlineStr">
        <is>
          <t>3330AL0001</t>
        </is>
      </c>
      <c r="C1109" s="2" t="inlineStr">
        <is>
          <t>Línea aire filtro precipitado</t>
        </is>
      </c>
      <c r="D1109" s="2" t="n">
        <v>370</v>
      </c>
      <c r="E1109" s="2" t="inlineStr">
        <is>
          <t>CC-3000</t>
        </is>
      </c>
      <c r="F1109" s="2" t="inlineStr">
        <is>
          <t>P01</t>
        </is>
      </c>
      <c r="G1109" s="2" t="n">
        <v>610000</v>
      </c>
      <c r="H1109" s="2" t="inlineStr">
        <is>
          <t>Mano obra interna</t>
        </is>
      </c>
      <c r="I1109" s="9" t="n">
        <v>930.13</v>
      </c>
      <c r="J1109" s="9" t="n">
        <v>925.23</v>
      </c>
      <c r="K1109" s="9" t="n">
        <v>921.49</v>
      </c>
      <c r="L1109" s="9" t="n">
        <v>979.88</v>
      </c>
      <c r="M1109" s="9" t="n">
        <v>925.21</v>
      </c>
      <c r="N1109" s="9" t="n">
        <v>896.67</v>
      </c>
      <c r="O1109" s="9" t="n">
        <v>914.74</v>
      </c>
      <c r="P1109" s="9" t="n">
        <v>964.41</v>
      </c>
      <c r="Q1109" s="9" t="n">
        <v>812.6799999999999</v>
      </c>
      <c r="R1109" s="9" t="n">
        <v>961.75</v>
      </c>
      <c r="S1109" s="9" t="n">
        <v>919.16</v>
      </c>
      <c r="T1109" s="9" t="n">
        <v>921.53</v>
      </c>
      <c r="U1109" s="10">
        <f>SUM(I1109:T1109)</f>
        <v/>
      </c>
    </row>
    <row r="1110">
      <c r="A1110" s="2" t="inlineStr">
        <is>
          <t>SN-3000-3300-3330-3330AL0001</t>
        </is>
      </c>
      <c r="B1110" s="2" t="inlineStr">
        <is>
          <t>3330AL0001</t>
        </is>
      </c>
      <c r="C1110" s="2" t="inlineStr">
        <is>
          <t>Línea aire filtro precipitado</t>
        </is>
      </c>
      <c r="D1110" s="2" t="n">
        <v>370</v>
      </c>
      <c r="E1110" s="2" t="inlineStr">
        <is>
          <t>CC-3000</t>
        </is>
      </c>
      <c r="F1110" s="2" t="inlineStr">
        <is>
          <t>P01</t>
        </is>
      </c>
      <c r="G1110" s="2" t="n">
        <v>620000</v>
      </c>
      <c r="H1110" s="2" t="inlineStr">
        <is>
          <t>Materiales</t>
        </is>
      </c>
      <c r="I1110" s="9" t="n">
        <v>960.04</v>
      </c>
      <c r="J1110" s="9" t="n">
        <v>929.6799999999999</v>
      </c>
      <c r="K1110" s="9" t="n">
        <v>1056.5</v>
      </c>
      <c r="L1110" s="9" t="n">
        <v>979.77</v>
      </c>
      <c r="M1110" s="9" t="n">
        <v>956.62</v>
      </c>
      <c r="N1110" s="9" t="n">
        <v>897.11</v>
      </c>
      <c r="O1110" s="9" t="n">
        <v>930.1</v>
      </c>
      <c r="P1110" s="9" t="n">
        <v>987.45</v>
      </c>
      <c r="Q1110" s="9" t="n">
        <v>842.89</v>
      </c>
      <c r="R1110" s="9" t="n">
        <v>1102.84</v>
      </c>
      <c r="S1110" s="9" t="n">
        <v>975.03</v>
      </c>
      <c r="T1110" s="9" t="n">
        <v>930.03</v>
      </c>
      <c r="U1110" s="10">
        <f>SUM(I1110:T1110)</f>
        <v/>
      </c>
    </row>
    <row r="1111">
      <c r="A1111" s="2" t="inlineStr">
        <is>
          <t>SN-3000-3300-3330-3330AL0001</t>
        </is>
      </c>
      <c r="B1111" s="2" t="inlineStr">
        <is>
          <t>3330AL0001</t>
        </is>
      </c>
      <c r="C1111" s="2" t="inlineStr">
        <is>
          <t>Línea aire filtro precipitado</t>
        </is>
      </c>
      <c r="D1111" s="2" t="n">
        <v>370</v>
      </c>
      <c r="E1111" s="2" t="inlineStr">
        <is>
          <t>CC-3000</t>
        </is>
      </c>
      <c r="F1111" s="2" t="inlineStr">
        <is>
          <t>P01</t>
        </is>
      </c>
      <c r="G1111" s="2" t="n">
        <v>630000</v>
      </c>
      <c r="H1111" s="2" t="inlineStr">
        <is>
          <t>Servicios externos</t>
        </is>
      </c>
      <c r="I1111" s="9" t="n">
        <v>939.21</v>
      </c>
      <c r="J1111" s="9" t="n">
        <v>846.47</v>
      </c>
      <c r="K1111" s="9" t="n">
        <v>899.9299999999999</v>
      </c>
      <c r="L1111" s="9" t="n">
        <v>911.65</v>
      </c>
      <c r="M1111" s="9" t="n">
        <v>924.36</v>
      </c>
      <c r="N1111" s="9" t="n">
        <v>884.61</v>
      </c>
      <c r="O1111" s="9" t="n">
        <v>910.25</v>
      </c>
      <c r="P1111" s="9" t="n">
        <v>943.34</v>
      </c>
      <c r="Q1111" s="9" t="n">
        <v>877.38</v>
      </c>
      <c r="R1111" s="9" t="n">
        <v>994.5700000000001</v>
      </c>
      <c r="S1111" s="9" t="n">
        <v>916.5</v>
      </c>
      <c r="T1111" s="9" t="n">
        <v>894.25</v>
      </c>
      <c r="U1111" s="10">
        <f>SUM(I1111:T1111)</f>
        <v/>
      </c>
    </row>
    <row r="1112">
      <c r="A1112" s="2" t="inlineStr">
        <is>
          <t>SN-3000-3300-3330-3330CN0009</t>
        </is>
      </c>
      <c r="B1112" s="2" t="inlineStr">
        <is>
          <t>3330CN0009</t>
        </is>
      </c>
      <c r="C1112" s="2" t="inlineStr">
        <is>
          <t>Puente grúa área MC</t>
        </is>
      </c>
      <c r="D1112" s="2" t="n">
        <v>371</v>
      </c>
      <c r="E1112" s="2" t="inlineStr">
        <is>
          <t>CC-3000</t>
        </is>
      </c>
      <c r="F1112" s="2" t="inlineStr">
        <is>
          <t>P01</t>
        </is>
      </c>
      <c r="G1112" s="2" t="n">
        <v>610000</v>
      </c>
      <c r="H1112" s="2" t="inlineStr">
        <is>
          <t>Mano obra interna</t>
        </is>
      </c>
      <c r="I1112" s="9" t="n">
        <v>694.34</v>
      </c>
      <c r="J1112" s="9" t="n">
        <v>691.7</v>
      </c>
      <c r="K1112" s="9" t="n">
        <v>694.12</v>
      </c>
      <c r="L1112" s="9" t="n">
        <v>651.86</v>
      </c>
      <c r="M1112" s="9" t="n">
        <v>665.46</v>
      </c>
      <c r="N1112" s="9" t="n">
        <v>625.37</v>
      </c>
      <c r="O1112" s="9" t="n">
        <v>689.3</v>
      </c>
      <c r="P1112" s="9" t="n">
        <v>664.8</v>
      </c>
      <c r="Q1112" s="9" t="n">
        <v>655.15</v>
      </c>
      <c r="R1112" s="9" t="n">
        <v>740.78</v>
      </c>
      <c r="S1112" s="9" t="n">
        <v>665.64</v>
      </c>
      <c r="T1112" s="9" t="n">
        <v>647.13</v>
      </c>
      <c r="U1112" s="10">
        <f>SUM(I1112:T1112)</f>
        <v/>
      </c>
    </row>
    <row r="1113">
      <c r="A1113" s="2" t="inlineStr">
        <is>
          <t>SN-3000-3300-3330-3330CN0009</t>
        </is>
      </c>
      <c r="B1113" s="2" t="inlineStr">
        <is>
          <t>3330CN0009</t>
        </is>
      </c>
      <c r="C1113" s="2" t="inlineStr">
        <is>
          <t>Puente grúa área MC</t>
        </is>
      </c>
      <c r="D1113" s="2" t="n">
        <v>371</v>
      </c>
      <c r="E1113" s="2" t="inlineStr">
        <is>
          <t>CC-3000</t>
        </is>
      </c>
      <c r="F1113" s="2" t="inlineStr">
        <is>
          <t>P01</t>
        </is>
      </c>
      <c r="G1113" s="2" t="n">
        <v>620000</v>
      </c>
      <c r="H1113" s="2" t="inlineStr">
        <is>
          <t>Materiales</t>
        </is>
      </c>
      <c r="I1113" s="9" t="n">
        <v>721.21</v>
      </c>
      <c r="J1113" s="9" t="n">
        <v>690.23</v>
      </c>
      <c r="K1113" s="9" t="n">
        <v>672.29</v>
      </c>
      <c r="L1113" s="9" t="n">
        <v>688.54</v>
      </c>
      <c r="M1113" s="9" t="n">
        <v>624.45</v>
      </c>
      <c r="N1113" s="9" t="n">
        <v>644.38</v>
      </c>
      <c r="O1113" s="9" t="n">
        <v>632.2</v>
      </c>
      <c r="P1113" s="9" t="n">
        <v>675.05</v>
      </c>
      <c r="Q1113" s="9" t="n">
        <v>638.4</v>
      </c>
      <c r="R1113" s="9" t="n">
        <v>709.71</v>
      </c>
      <c r="S1113" s="9" t="n">
        <v>648.3200000000001</v>
      </c>
      <c r="T1113" s="9" t="n">
        <v>720.67</v>
      </c>
      <c r="U1113" s="10">
        <f>SUM(I1113:T1113)</f>
        <v/>
      </c>
    </row>
    <row r="1114">
      <c r="A1114" s="2" t="inlineStr">
        <is>
          <t>SN-3000-3300-3330-3330CN0009</t>
        </is>
      </c>
      <c r="B1114" s="2" t="inlineStr">
        <is>
          <t>3330CN0009</t>
        </is>
      </c>
      <c r="C1114" s="2" t="inlineStr">
        <is>
          <t>Puente grúa área MC</t>
        </is>
      </c>
      <c r="D1114" s="2" t="n">
        <v>371</v>
      </c>
      <c r="E1114" s="2" t="inlineStr">
        <is>
          <t>CC-3000</t>
        </is>
      </c>
      <c r="F1114" s="2" t="inlineStr">
        <is>
          <t>P01</t>
        </is>
      </c>
      <c r="G1114" s="2" t="n">
        <v>630000</v>
      </c>
      <c r="H1114" s="2" t="inlineStr">
        <is>
          <t>Servicios externos</t>
        </is>
      </c>
      <c r="I1114" s="9" t="n">
        <v>557.66</v>
      </c>
      <c r="J1114" s="9" t="n">
        <v>486.93</v>
      </c>
      <c r="K1114" s="9" t="n">
        <v>498.52</v>
      </c>
      <c r="L1114" s="9" t="n">
        <v>506.58</v>
      </c>
      <c r="M1114" s="9" t="n">
        <v>538.42</v>
      </c>
      <c r="N1114" s="9" t="n">
        <v>491.41</v>
      </c>
      <c r="O1114" s="9" t="n">
        <v>553.27</v>
      </c>
      <c r="P1114" s="9" t="n">
        <v>523.59</v>
      </c>
      <c r="Q1114" s="9" t="n">
        <v>448.7</v>
      </c>
      <c r="R1114" s="9" t="n">
        <v>582.36</v>
      </c>
      <c r="S1114" s="9" t="n">
        <v>473.74</v>
      </c>
      <c r="T1114" s="9" t="n">
        <v>554.1900000000001</v>
      </c>
      <c r="U1114" s="10">
        <f>SUM(I1114:T1114)</f>
        <v/>
      </c>
    </row>
    <row r="1115">
      <c r="A1115" s="2" t="inlineStr">
        <is>
          <t>SN-3000-3300-3330-3330CN0021</t>
        </is>
      </c>
      <c r="B1115" s="2" t="inlineStr">
        <is>
          <t>3330CN0021</t>
        </is>
      </c>
      <c r="C1115" s="2" t="inlineStr">
        <is>
          <t>Puente grúa zinc</t>
        </is>
      </c>
      <c r="D1115" s="2" t="n">
        <v>372</v>
      </c>
      <c r="E1115" s="2" t="inlineStr">
        <is>
          <t>CC-3000</t>
        </is>
      </c>
      <c r="F1115" s="2" t="inlineStr">
        <is>
          <t>P01</t>
        </is>
      </c>
      <c r="G1115" s="2" t="n">
        <v>610000</v>
      </c>
      <c r="H1115" s="2" t="inlineStr">
        <is>
          <t>Mano obra interna</t>
        </is>
      </c>
      <c r="I1115" s="9" t="n">
        <v>948.23</v>
      </c>
      <c r="J1115" s="9" t="n">
        <v>977.21</v>
      </c>
      <c r="K1115" s="9" t="n">
        <v>1053.96</v>
      </c>
      <c r="L1115" s="9" t="n">
        <v>953.39</v>
      </c>
      <c r="M1115" s="9" t="n">
        <v>992.24</v>
      </c>
      <c r="N1115" s="9" t="n">
        <v>865.53</v>
      </c>
      <c r="O1115" s="9" t="n">
        <v>999.6799999999999</v>
      </c>
      <c r="P1115" s="9" t="n">
        <v>975.6900000000001</v>
      </c>
      <c r="Q1115" s="9" t="n">
        <v>843</v>
      </c>
      <c r="R1115" s="9" t="n">
        <v>994.65</v>
      </c>
      <c r="S1115" s="9" t="n">
        <v>867.6799999999999</v>
      </c>
      <c r="T1115" s="9" t="n">
        <v>948.46</v>
      </c>
      <c r="U1115" s="10">
        <f>SUM(I1115:T1115)</f>
        <v/>
      </c>
    </row>
    <row r="1116">
      <c r="A1116" s="2" t="inlineStr">
        <is>
          <t>SN-3000-3300-3330-3330CN0021</t>
        </is>
      </c>
      <c r="B1116" s="2" t="inlineStr">
        <is>
          <t>3330CN0021</t>
        </is>
      </c>
      <c r="C1116" s="2" t="inlineStr">
        <is>
          <t>Puente grúa zinc</t>
        </is>
      </c>
      <c r="D1116" s="2" t="n">
        <v>372</v>
      </c>
      <c r="E1116" s="2" t="inlineStr">
        <is>
          <t>CC-3000</t>
        </is>
      </c>
      <c r="F1116" s="2" t="inlineStr">
        <is>
          <t>P01</t>
        </is>
      </c>
      <c r="G1116" s="2" t="n">
        <v>620000</v>
      </c>
      <c r="H1116" s="2" t="inlineStr">
        <is>
          <t>Materiales</t>
        </is>
      </c>
      <c r="I1116" s="9" t="n">
        <v>977.6900000000001</v>
      </c>
      <c r="J1116" s="9" t="n">
        <v>994.9299999999999</v>
      </c>
      <c r="K1116" s="9" t="n">
        <v>890.37</v>
      </c>
      <c r="L1116" s="9" t="n">
        <v>963.0599999999999</v>
      </c>
      <c r="M1116" s="9" t="n">
        <v>937.4</v>
      </c>
      <c r="N1116" s="9" t="n">
        <v>954.35</v>
      </c>
      <c r="O1116" s="9" t="n">
        <v>937.48</v>
      </c>
      <c r="P1116" s="9" t="n">
        <v>942</v>
      </c>
      <c r="Q1116" s="9" t="n">
        <v>867.5</v>
      </c>
      <c r="R1116" s="9" t="n">
        <v>972.25</v>
      </c>
      <c r="S1116" s="9" t="n">
        <v>841.89</v>
      </c>
      <c r="T1116" s="9" t="n">
        <v>936.17</v>
      </c>
      <c r="U1116" s="10">
        <f>SUM(I1116:T1116)</f>
        <v/>
      </c>
    </row>
    <row r="1117">
      <c r="A1117" s="2" t="inlineStr">
        <is>
          <t>SN-3000-3300-3330-3330CN0021</t>
        </is>
      </c>
      <c r="B1117" s="2" t="inlineStr">
        <is>
          <t>3330CN0021</t>
        </is>
      </c>
      <c r="C1117" s="2" t="inlineStr">
        <is>
          <t>Puente grúa zinc</t>
        </is>
      </c>
      <c r="D1117" s="2" t="n">
        <v>372</v>
      </c>
      <c r="E1117" s="2" t="inlineStr">
        <is>
          <t>CC-3000</t>
        </is>
      </c>
      <c r="F1117" s="2" t="inlineStr">
        <is>
          <t>P01</t>
        </is>
      </c>
      <c r="G1117" s="2" t="n">
        <v>630000</v>
      </c>
      <c r="H1117" s="2" t="inlineStr">
        <is>
          <t>Servicios externos</t>
        </is>
      </c>
      <c r="I1117" s="9" t="n">
        <v>924.8</v>
      </c>
      <c r="J1117" s="9" t="n">
        <v>857.76</v>
      </c>
      <c r="K1117" s="9" t="n">
        <v>932.08</v>
      </c>
      <c r="L1117" s="9" t="n">
        <v>864.73</v>
      </c>
      <c r="M1117" s="9" t="n">
        <v>950.9299999999999</v>
      </c>
      <c r="N1117" s="9" t="n">
        <v>913.41</v>
      </c>
      <c r="O1117" s="9" t="n">
        <v>854.47</v>
      </c>
      <c r="P1117" s="9" t="n">
        <v>875.49</v>
      </c>
      <c r="Q1117" s="9" t="n">
        <v>851.73</v>
      </c>
      <c r="R1117" s="9" t="n">
        <v>906.4400000000001</v>
      </c>
      <c r="S1117" s="9" t="n">
        <v>849.72</v>
      </c>
      <c r="T1117" s="9" t="n">
        <v>875.6900000000001</v>
      </c>
      <c r="U1117" s="10">
        <f>SUM(I1117:T1117)</f>
        <v/>
      </c>
    </row>
    <row r="1118">
      <c r="A1118" s="2" t="inlineStr">
        <is>
          <t>SN-3000-3300-3330-3330CN0023</t>
        </is>
      </c>
      <c r="B1118" s="2" t="inlineStr">
        <is>
          <t>3330CN0023</t>
        </is>
      </c>
      <c r="C1118" s="2" t="inlineStr">
        <is>
          <t>Puente grúa filtro precipitado</t>
        </is>
      </c>
      <c r="D1118" s="2" t="n">
        <v>373</v>
      </c>
      <c r="E1118" s="2" t="inlineStr">
        <is>
          <t>CC-3000</t>
        </is>
      </c>
      <c r="F1118" s="2" t="inlineStr">
        <is>
          <t>P01</t>
        </is>
      </c>
      <c r="G1118" s="2" t="n">
        <v>610000</v>
      </c>
      <c r="H1118" s="2" t="inlineStr">
        <is>
          <t>Mano obra interna</t>
        </is>
      </c>
      <c r="I1118" s="9" t="n">
        <v>1472.99</v>
      </c>
      <c r="J1118" s="9" t="n">
        <v>1362.38</v>
      </c>
      <c r="K1118" s="9" t="n">
        <v>1413.68</v>
      </c>
      <c r="L1118" s="9" t="n">
        <v>1492.19</v>
      </c>
      <c r="M1118" s="9" t="n">
        <v>1445.27</v>
      </c>
      <c r="N1118" s="9" t="n">
        <v>1403.93</v>
      </c>
      <c r="O1118" s="9" t="n">
        <v>1284.59</v>
      </c>
      <c r="P1118" s="9" t="n">
        <v>1290.73</v>
      </c>
      <c r="Q1118" s="9" t="n">
        <v>1307.42</v>
      </c>
      <c r="R1118" s="9" t="n">
        <v>1482.76</v>
      </c>
      <c r="S1118" s="9" t="n">
        <v>1220.38</v>
      </c>
      <c r="T1118" s="9" t="n">
        <v>1289.01</v>
      </c>
      <c r="U1118" s="10">
        <f>SUM(I1118:T1118)</f>
        <v/>
      </c>
    </row>
    <row r="1119">
      <c r="A1119" s="2" t="inlineStr">
        <is>
          <t>SN-3000-3300-3330-3330CN0023</t>
        </is>
      </c>
      <c r="B1119" s="2" t="inlineStr">
        <is>
          <t>3330CN0023</t>
        </is>
      </c>
      <c r="C1119" s="2" t="inlineStr">
        <is>
          <t>Puente grúa filtro precipitado</t>
        </is>
      </c>
      <c r="D1119" s="2" t="n">
        <v>373</v>
      </c>
      <c r="E1119" s="2" t="inlineStr">
        <is>
          <t>CC-3000</t>
        </is>
      </c>
      <c r="F1119" s="2" t="inlineStr">
        <is>
          <t>P01</t>
        </is>
      </c>
      <c r="G1119" s="2" t="n">
        <v>620000</v>
      </c>
      <c r="H1119" s="2" t="inlineStr">
        <is>
          <t>Materiales</t>
        </is>
      </c>
      <c r="I1119" s="9" t="n">
        <v>1417.33</v>
      </c>
      <c r="J1119" s="9" t="n">
        <v>1261.68</v>
      </c>
      <c r="K1119" s="9" t="n">
        <v>1437.12</v>
      </c>
      <c r="L1119" s="9" t="n">
        <v>1360</v>
      </c>
      <c r="M1119" s="9" t="n">
        <v>1360.96</v>
      </c>
      <c r="N1119" s="9" t="n">
        <v>1238.86</v>
      </c>
      <c r="O1119" s="9" t="n">
        <v>1230.47</v>
      </c>
      <c r="P1119" s="9" t="n">
        <v>1296.14</v>
      </c>
      <c r="Q1119" s="9" t="n">
        <v>1212.05</v>
      </c>
      <c r="R1119" s="9" t="n">
        <v>1425.35</v>
      </c>
      <c r="S1119" s="9" t="n">
        <v>1189.05</v>
      </c>
      <c r="T1119" s="9" t="n">
        <v>1435.09</v>
      </c>
      <c r="U1119" s="10">
        <f>SUM(I1119:T1119)</f>
        <v/>
      </c>
    </row>
    <row r="1120">
      <c r="A1120" s="2" t="inlineStr">
        <is>
          <t>SN-3000-3300-3330-3330CN0023</t>
        </is>
      </c>
      <c r="B1120" s="2" t="inlineStr">
        <is>
          <t>3330CN0023</t>
        </is>
      </c>
      <c r="C1120" s="2" t="inlineStr">
        <is>
          <t>Puente grúa filtro precipitado</t>
        </is>
      </c>
      <c r="D1120" s="2" t="n">
        <v>373</v>
      </c>
      <c r="E1120" s="2" t="inlineStr">
        <is>
          <t>CC-3000</t>
        </is>
      </c>
      <c r="F1120" s="2" t="inlineStr">
        <is>
          <t>P01</t>
        </is>
      </c>
      <c r="G1120" s="2" t="n">
        <v>630000</v>
      </c>
      <c r="H1120" s="2" t="inlineStr">
        <is>
          <t>Servicios externos</t>
        </is>
      </c>
      <c r="I1120" s="9" t="n">
        <v>1064.89</v>
      </c>
      <c r="J1120" s="9" t="n">
        <v>1084.04</v>
      </c>
      <c r="K1120" s="9" t="n">
        <v>1137.42</v>
      </c>
      <c r="L1120" s="9" t="n">
        <v>1109.38</v>
      </c>
      <c r="M1120" s="9" t="n">
        <v>1131.86</v>
      </c>
      <c r="N1120" s="9" t="n">
        <v>1050.65</v>
      </c>
      <c r="O1120" s="9" t="n">
        <v>1115.75</v>
      </c>
      <c r="P1120" s="9" t="n">
        <v>1134.39</v>
      </c>
      <c r="Q1120" s="9" t="n">
        <v>942.71</v>
      </c>
      <c r="R1120" s="9" t="n">
        <v>1195.32</v>
      </c>
      <c r="S1120" s="9" t="n">
        <v>1126.22</v>
      </c>
      <c r="T1120" s="9" t="n">
        <v>1026.39</v>
      </c>
      <c r="U1120" s="10">
        <f>SUM(I1120:T1120)</f>
        <v/>
      </c>
    </row>
    <row r="1121">
      <c r="A1121" s="2" t="inlineStr">
        <is>
          <t>SN-3000-3300-3330-3330CP0001</t>
        </is>
      </c>
      <c r="B1121" s="2" t="inlineStr">
        <is>
          <t>3330CP0001</t>
        </is>
      </c>
      <c r="C1121" s="2" t="inlineStr">
        <is>
          <t>Gabinete PLC filtro precipitado 1</t>
        </is>
      </c>
      <c r="D1121" s="2" t="n">
        <v>374</v>
      </c>
      <c r="E1121" s="2" t="inlineStr">
        <is>
          <t>CC-3000</t>
        </is>
      </c>
      <c r="F1121" s="2" t="inlineStr">
        <is>
          <t>P01</t>
        </is>
      </c>
      <c r="G1121" s="2" t="n">
        <v>610000</v>
      </c>
      <c r="H1121" s="2" t="inlineStr">
        <is>
          <t>Mano obra interna</t>
        </is>
      </c>
      <c r="I1121" s="9" t="n">
        <v>1525.77</v>
      </c>
      <c r="J1121" s="9" t="n">
        <v>1345.63</v>
      </c>
      <c r="K1121" s="9" t="n">
        <v>1433.94</v>
      </c>
      <c r="L1121" s="9" t="n">
        <v>1540.22</v>
      </c>
      <c r="M1121" s="9" t="n">
        <v>1318.11</v>
      </c>
      <c r="N1121" s="9" t="n">
        <v>1244.68</v>
      </c>
      <c r="O1121" s="9" t="n">
        <v>1480.33</v>
      </c>
      <c r="P1121" s="9" t="n">
        <v>1480.58</v>
      </c>
      <c r="Q1121" s="9" t="n">
        <v>1296.66</v>
      </c>
      <c r="R1121" s="9" t="n">
        <v>1512.36</v>
      </c>
      <c r="S1121" s="9" t="n">
        <v>1427.29</v>
      </c>
      <c r="T1121" s="9" t="n">
        <v>1474.17</v>
      </c>
      <c r="U1121" s="10">
        <f>SUM(I1121:T1121)</f>
        <v/>
      </c>
    </row>
    <row r="1122">
      <c r="A1122" s="2" t="inlineStr">
        <is>
          <t>SN-3000-3300-3330-3330CP0001</t>
        </is>
      </c>
      <c r="B1122" s="2" t="inlineStr">
        <is>
          <t>3330CP0001</t>
        </is>
      </c>
      <c r="C1122" s="2" t="inlineStr">
        <is>
          <t>Gabinete PLC filtro precipitado 1</t>
        </is>
      </c>
      <c r="D1122" s="2" t="n">
        <v>374</v>
      </c>
      <c r="E1122" s="2" t="inlineStr">
        <is>
          <t>CC-3000</t>
        </is>
      </c>
      <c r="F1122" s="2" t="inlineStr">
        <is>
          <t>P01</t>
        </is>
      </c>
      <c r="G1122" s="2" t="n">
        <v>620000</v>
      </c>
      <c r="H1122" s="2" t="inlineStr">
        <is>
          <t>Materiales</t>
        </is>
      </c>
      <c r="I1122" s="9" t="n">
        <v>1225.13</v>
      </c>
      <c r="J1122" s="9" t="n">
        <v>1276.79</v>
      </c>
      <c r="K1122" s="9" t="n">
        <v>1418.86</v>
      </c>
      <c r="L1122" s="9" t="n">
        <v>1413.51</v>
      </c>
      <c r="M1122" s="9" t="n">
        <v>1381.15</v>
      </c>
      <c r="N1122" s="9" t="n">
        <v>1319.03</v>
      </c>
      <c r="O1122" s="9" t="n">
        <v>1317.9</v>
      </c>
      <c r="P1122" s="9" t="n">
        <v>1288.16</v>
      </c>
      <c r="Q1122" s="9" t="n">
        <v>1263.99</v>
      </c>
      <c r="R1122" s="9" t="n">
        <v>1456.47</v>
      </c>
      <c r="S1122" s="9" t="n">
        <v>1266.79</v>
      </c>
      <c r="T1122" s="9" t="n">
        <v>1232.81</v>
      </c>
      <c r="U1122" s="10">
        <f>SUM(I1122:T1122)</f>
        <v/>
      </c>
    </row>
    <row r="1123">
      <c r="A1123" s="2" t="inlineStr">
        <is>
          <t>SN-3000-3300-3330-3330CP0001</t>
        </is>
      </c>
      <c r="B1123" s="2" t="inlineStr">
        <is>
          <t>3330CP0001</t>
        </is>
      </c>
      <c r="C1123" s="2" t="inlineStr">
        <is>
          <t>Gabinete PLC filtro precipitado 1</t>
        </is>
      </c>
      <c r="D1123" s="2" t="n">
        <v>374</v>
      </c>
      <c r="E1123" s="2" t="inlineStr">
        <is>
          <t>CC-3000</t>
        </is>
      </c>
      <c r="F1123" s="2" t="inlineStr">
        <is>
          <t>P01</t>
        </is>
      </c>
      <c r="G1123" s="2" t="n">
        <v>630000</v>
      </c>
      <c r="H1123" s="2" t="inlineStr">
        <is>
          <t>Servicios externos</t>
        </is>
      </c>
      <c r="I1123" s="9" t="n">
        <v>1613.58</v>
      </c>
      <c r="J1123" s="9" t="n">
        <v>1533.56</v>
      </c>
      <c r="K1123" s="9" t="n">
        <v>1676.36</v>
      </c>
      <c r="L1123" s="9" t="n">
        <v>1672.29</v>
      </c>
      <c r="M1123" s="9" t="n">
        <v>1502.55</v>
      </c>
      <c r="N1123" s="9" t="n">
        <v>1604.06</v>
      </c>
      <c r="O1123" s="9" t="n">
        <v>1539.14</v>
      </c>
      <c r="P1123" s="9" t="n">
        <v>1511.01</v>
      </c>
      <c r="Q1123" s="9" t="n">
        <v>1459.71</v>
      </c>
      <c r="R1123" s="9" t="n">
        <v>1780.13</v>
      </c>
      <c r="S1123" s="9" t="n">
        <v>1655.87</v>
      </c>
      <c r="T1123" s="9" t="n">
        <v>1695.53</v>
      </c>
      <c r="U1123" s="10">
        <f>SUM(I1123:T1123)</f>
        <v/>
      </c>
    </row>
    <row r="1124">
      <c r="A1124" s="2" t="inlineStr">
        <is>
          <t>SN-3000-3300-3330-3330CP0002</t>
        </is>
      </c>
      <c r="B1124" s="2" t="inlineStr">
        <is>
          <t>3330CP0002</t>
        </is>
      </c>
      <c r="C1124" s="2" t="inlineStr">
        <is>
          <t>Gabinete PLC filtro precipitado 2</t>
        </is>
      </c>
      <c r="D1124" s="2" t="n">
        <v>375</v>
      </c>
      <c r="E1124" s="2" t="inlineStr">
        <is>
          <t>CC-3000</t>
        </is>
      </c>
      <c r="F1124" s="2" t="inlineStr">
        <is>
          <t>P01</t>
        </is>
      </c>
      <c r="G1124" s="2" t="n">
        <v>610000</v>
      </c>
      <c r="H1124" s="2" t="inlineStr">
        <is>
          <t>Mano obra interna</t>
        </is>
      </c>
      <c r="I1124" s="9" t="n">
        <v>2676.95</v>
      </c>
      <c r="J1124" s="9" t="n">
        <v>2552.14</v>
      </c>
      <c r="K1124" s="9" t="n">
        <v>2896.81</v>
      </c>
      <c r="L1124" s="9" t="n">
        <v>2748.2</v>
      </c>
      <c r="M1124" s="9" t="n">
        <v>2898.02</v>
      </c>
      <c r="N1124" s="9" t="n">
        <v>2733.24</v>
      </c>
      <c r="O1124" s="9" t="n">
        <v>2993.18</v>
      </c>
      <c r="P1124" s="9" t="n">
        <v>2671.12</v>
      </c>
      <c r="Q1124" s="9" t="n">
        <v>2584.06</v>
      </c>
      <c r="R1124" s="9" t="n">
        <v>3001.07</v>
      </c>
      <c r="S1124" s="9" t="n">
        <v>2581.02</v>
      </c>
      <c r="T1124" s="9" t="n">
        <v>2864.28</v>
      </c>
      <c r="U1124" s="10">
        <f>SUM(I1124:T1124)</f>
        <v/>
      </c>
    </row>
    <row r="1125">
      <c r="A1125" s="2" t="inlineStr">
        <is>
          <t>SN-3000-3300-3330-3330CP0002</t>
        </is>
      </c>
      <c r="B1125" s="2" t="inlineStr">
        <is>
          <t>3330CP0002</t>
        </is>
      </c>
      <c r="C1125" s="2" t="inlineStr">
        <is>
          <t>Gabinete PLC filtro precipitado 2</t>
        </is>
      </c>
      <c r="D1125" s="2" t="n">
        <v>375</v>
      </c>
      <c r="E1125" s="2" t="inlineStr">
        <is>
          <t>CC-3000</t>
        </is>
      </c>
      <c r="F1125" s="2" t="inlineStr">
        <is>
          <t>P01</t>
        </is>
      </c>
      <c r="G1125" s="2" t="n">
        <v>620000</v>
      </c>
      <c r="H1125" s="2" t="inlineStr">
        <is>
          <t>Materiales</t>
        </is>
      </c>
      <c r="I1125" s="9" t="n">
        <v>2425.58</v>
      </c>
      <c r="J1125" s="9" t="n">
        <v>2308.36</v>
      </c>
      <c r="K1125" s="9" t="n">
        <v>2281.22</v>
      </c>
      <c r="L1125" s="9" t="n">
        <v>2457.97</v>
      </c>
      <c r="M1125" s="9" t="n">
        <v>2309.17</v>
      </c>
      <c r="N1125" s="9" t="n">
        <v>2108.39</v>
      </c>
      <c r="O1125" s="9" t="n">
        <v>2323.89</v>
      </c>
      <c r="P1125" s="9" t="n">
        <v>2309.87</v>
      </c>
      <c r="Q1125" s="9" t="n">
        <v>2192.8</v>
      </c>
      <c r="R1125" s="9" t="n">
        <v>2432.19</v>
      </c>
      <c r="S1125" s="9" t="n">
        <v>2322.8</v>
      </c>
      <c r="T1125" s="9" t="n">
        <v>2506.95</v>
      </c>
      <c r="U1125" s="10">
        <f>SUM(I1125:T1125)</f>
        <v/>
      </c>
    </row>
    <row r="1126">
      <c r="A1126" s="2" t="inlineStr">
        <is>
          <t>SN-3000-3300-3330-3330CP0002</t>
        </is>
      </c>
      <c r="B1126" s="2" t="inlineStr">
        <is>
          <t>3330CP0002</t>
        </is>
      </c>
      <c r="C1126" s="2" t="inlineStr">
        <is>
          <t>Gabinete PLC filtro precipitado 2</t>
        </is>
      </c>
      <c r="D1126" s="2" t="n">
        <v>375</v>
      </c>
      <c r="E1126" s="2" t="inlineStr">
        <is>
          <t>CC-3000</t>
        </is>
      </c>
      <c r="F1126" s="2" t="inlineStr">
        <is>
          <t>P01</t>
        </is>
      </c>
      <c r="G1126" s="2" t="n">
        <v>630000</v>
      </c>
      <c r="H1126" s="2" t="inlineStr">
        <is>
          <t>Servicios externos</t>
        </is>
      </c>
      <c r="I1126" s="9" t="n">
        <v>2637.89</v>
      </c>
      <c r="J1126" s="9" t="n">
        <v>2408.31</v>
      </c>
      <c r="K1126" s="9" t="n">
        <v>2550</v>
      </c>
      <c r="L1126" s="9" t="n">
        <v>2643.67</v>
      </c>
      <c r="M1126" s="9" t="n">
        <v>2410.56</v>
      </c>
      <c r="N1126" s="9" t="n">
        <v>2431.99</v>
      </c>
      <c r="O1126" s="9" t="n">
        <v>2439.58</v>
      </c>
      <c r="P1126" s="9" t="n">
        <v>2430.01</v>
      </c>
      <c r="Q1126" s="9" t="n">
        <v>2389.42</v>
      </c>
      <c r="R1126" s="9" t="n">
        <v>2519.26</v>
      </c>
      <c r="S1126" s="9" t="n">
        <v>2323.95</v>
      </c>
      <c r="T1126" s="9" t="n">
        <v>2390.48</v>
      </c>
      <c r="U1126" s="10">
        <f>SUM(I1126:T1126)</f>
        <v/>
      </c>
    </row>
    <row r="1127">
      <c r="A1127" s="2" t="inlineStr">
        <is>
          <t>SN-3000-3300-3330-3330CP0003</t>
        </is>
      </c>
      <c r="B1127" s="2" t="inlineStr">
        <is>
          <t>3330CP0003</t>
        </is>
      </c>
      <c r="C1127" s="2" t="inlineStr">
        <is>
          <t>Gabinete PLC filtro precipitado 3</t>
        </is>
      </c>
      <c r="D1127" s="2" t="n">
        <v>376</v>
      </c>
      <c r="E1127" s="2" t="inlineStr">
        <is>
          <t>CC-3000</t>
        </is>
      </c>
      <c r="F1127" s="2" t="inlineStr">
        <is>
          <t>P01</t>
        </is>
      </c>
      <c r="G1127" s="2" t="n">
        <v>610000</v>
      </c>
      <c r="H1127" s="2" t="inlineStr">
        <is>
          <t>Mano obra interna</t>
        </is>
      </c>
      <c r="I1127" s="9" t="n">
        <v>2193.84</v>
      </c>
      <c r="J1127" s="9" t="n">
        <v>2240.03</v>
      </c>
      <c r="K1127" s="9" t="n">
        <v>2427.54</v>
      </c>
      <c r="L1127" s="9" t="n">
        <v>2400.71</v>
      </c>
      <c r="M1127" s="9" t="n">
        <v>2174.52</v>
      </c>
      <c r="N1127" s="9" t="n">
        <v>2315.19</v>
      </c>
      <c r="O1127" s="9" t="n">
        <v>2280.69</v>
      </c>
      <c r="P1127" s="9" t="n">
        <v>2208.13</v>
      </c>
      <c r="Q1127" s="9" t="n">
        <v>2202.93</v>
      </c>
      <c r="R1127" s="9" t="n">
        <v>2511.16</v>
      </c>
      <c r="S1127" s="9" t="n">
        <v>2260.93</v>
      </c>
      <c r="T1127" s="9" t="n">
        <v>2168.47</v>
      </c>
      <c r="U1127" s="10">
        <f>SUM(I1127:T1127)</f>
        <v/>
      </c>
    </row>
    <row r="1128">
      <c r="A1128" s="2" t="inlineStr">
        <is>
          <t>SN-3000-3300-3330-3330CP0003</t>
        </is>
      </c>
      <c r="B1128" s="2" t="inlineStr">
        <is>
          <t>3330CP0003</t>
        </is>
      </c>
      <c r="C1128" s="2" t="inlineStr">
        <is>
          <t>Gabinete PLC filtro precipitado 3</t>
        </is>
      </c>
      <c r="D1128" s="2" t="n">
        <v>376</v>
      </c>
      <c r="E1128" s="2" t="inlineStr">
        <is>
          <t>CC-3000</t>
        </is>
      </c>
      <c r="F1128" s="2" t="inlineStr">
        <is>
          <t>P01</t>
        </is>
      </c>
      <c r="G1128" s="2" t="n">
        <v>620000</v>
      </c>
      <c r="H1128" s="2" t="inlineStr">
        <is>
          <t>Materiales</t>
        </is>
      </c>
      <c r="I1128" s="9" t="n">
        <v>2453.22</v>
      </c>
      <c r="J1128" s="9" t="n">
        <v>2238.67</v>
      </c>
      <c r="K1128" s="9" t="n">
        <v>2412.28</v>
      </c>
      <c r="L1128" s="9" t="n">
        <v>2354.36</v>
      </c>
      <c r="M1128" s="9" t="n">
        <v>2371.27</v>
      </c>
      <c r="N1128" s="9" t="n">
        <v>2096.96</v>
      </c>
      <c r="O1128" s="9" t="n">
        <v>2300.09</v>
      </c>
      <c r="P1128" s="9" t="n">
        <v>2133.08</v>
      </c>
      <c r="Q1128" s="9" t="n">
        <v>2178.95</v>
      </c>
      <c r="R1128" s="9" t="n">
        <v>2540.69</v>
      </c>
      <c r="S1128" s="9" t="n">
        <v>2038.22</v>
      </c>
      <c r="T1128" s="9" t="n">
        <v>2370.19</v>
      </c>
      <c r="U1128" s="10">
        <f>SUM(I1128:T1128)</f>
        <v/>
      </c>
    </row>
    <row r="1129">
      <c r="A1129" s="2" t="inlineStr">
        <is>
          <t>SN-3000-3300-3330-3330CP0003</t>
        </is>
      </c>
      <c r="B1129" s="2" t="inlineStr">
        <is>
          <t>3330CP0003</t>
        </is>
      </c>
      <c r="C1129" s="2" t="inlineStr">
        <is>
          <t>Gabinete PLC filtro precipitado 3</t>
        </is>
      </c>
      <c r="D1129" s="2" t="n">
        <v>376</v>
      </c>
      <c r="E1129" s="2" t="inlineStr">
        <is>
          <t>CC-3000</t>
        </is>
      </c>
      <c r="F1129" s="2" t="inlineStr">
        <is>
          <t>P01</t>
        </is>
      </c>
      <c r="G1129" s="2" t="n">
        <v>630000</v>
      </c>
      <c r="H1129" s="2" t="inlineStr">
        <is>
          <t>Servicios externos</t>
        </is>
      </c>
      <c r="I1129" s="9" t="n">
        <v>2181.27</v>
      </c>
      <c r="J1129" s="9" t="n">
        <v>2210.35</v>
      </c>
      <c r="K1129" s="9" t="n">
        <v>2230.66</v>
      </c>
      <c r="L1129" s="9" t="n">
        <v>2292.19</v>
      </c>
      <c r="M1129" s="9" t="n">
        <v>2208.31</v>
      </c>
      <c r="N1129" s="9" t="n">
        <v>2256.49</v>
      </c>
      <c r="O1129" s="9" t="n">
        <v>2374.28</v>
      </c>
      <c r="P1129" s="9" t="n">
        <v>2310.67</v>
      </c>
      <c r="Q1129" s="9" t="n">
        <v>1954.69</v>
      </c>
      <c r="R1129" s="9" t="n">
        <v>2620.84</v>
      </c>
      <c r="S1129" s="9" t="n">
        <v>2266.44</v>
      </c>
      <c r="T1129" s="9" t="n">
        <v>2135.27</v>
      </c>
      <c r="U1129" s="10">
        <f>SUM(I1129:T1129)</f>
        <v/>
      </c>
    </row>
    <row r="1130">
      <c r="A1130" s="2" t="inlineStr">
        <is>
          <t>SN-3000-3300-3330-3330CP0006</t>
        </is>
      </c>
      <c r="B1130" s="2" t="inlineStr">
        <is>
          <t>3330CP0006</t>
        </is>
      </c>
      <c r="C1130" s="2" t="inlineStr">
        <is>
          <t xml:space="preserve">Gabinete PLC </t>
        </is>
      </c>
      <c r="D1130" s="2" t="n">
        <v>377</v>
      </c>
      <c r="E1130" s="2" t="inlineStr">
        <is>
          <t>CC-3000</t>
        </is>
      </c>
      <c r="F1130" s="2" t="inlineStr">
        <is>
          <t>P01</t>
        </is>
      </c>
      <c r="G1130" s="2" t="n">
        <v>610000</v>
      </c>
      <c r="H1130" s="2" t="inlineStr">
        <is>
          <t>Mano obra interna</t>
        </is>
      </c>
      <c r="I1130" s="9" t="n">
        <v>2144.59</v>
      </c>
      <c r="J1130" s="9" t="n">
        <v>2200.76</v>
      </c>
      <c r="K1130" s="9" t="n">
        <v>2264.29</v>
      </c>
      <c r="L1130" s="9" t="n">
        <v>2226.34</v>
      </c>
      <c r="M1130" s="9" t="n">
        <v>2319.97</v>
      </c>
      <c r="N1130" s="9" t="n">
        <v>2088.54</v>
      </c>
      <c r="O1130" s="9" t="n">
        <v>2057.63</v>
      </c>
      <c r="P1130" s="9" t="n">
        <v>2362.55</v>
      </c>
      <c r="Q1130" s="9" t="n">
        <v>2192.31</v>
      </c>
      <c r="R1130" s="9" t="n">
        <v>2449.9</v>
      </c>
      <c r="S1130" s="9" t="n">
        <v>2125.18</v>
      </c>
      <c r="T1130" s="9" t="n">
        <v>2093.51</v>
      </c>
      <c r="U1130" s="10">
        <f>SUM(I1130:T1130)</f>
        <v/>
      </c>
    </row>
    <row r="1131">
      <c r="A1131" s="2" t="inlineStr">
        <is>
          <t>SN-3000-3300-3330-3330CP0006</t>
        </is>
      </c>
      <c r="B1131" s="2" t="inlineStr">
        <is>
          <t>3330CP0006</t>
        </is>
      </c>
      <c r="C1131" s="2" t="inlineStr">
        <is>
          <t xml:space="preserve">Gabinete PLC </t>
        </is>
      </c>
      <c r="D1131" s="2" t="n">
        <v>377</v>
      </c>
      <c r="E1131" s="2" t="inlineStr">
        <is>
          <t>CC-3000</t>
        </is>
      </c>
      <c r="F1131" s="2" t="inlineStr">
        <is>
          <t>P01</t>
        </is>
      </c>
      <c r="G1131" s="2" t="n">
        <v>620000</v>
      </c>
      <c r="H1131" s="2" t="inlineStr">
        <is>
          <t>Materiales</t>
        </is>
      </c>
      <c r="I1131" s="9" t="n">
        <v>2099.56</v>
      </c>
      <c r="J1131" s="9" t="n">
        <v>2023.16</v>
      </c>
      <c r="K1131" s="9" t="n">
        <v>2290</v>
      </c>
      <c r="L1131" s="9" t="n">
        <v>2132.58</v>
      </c>
      <c r="M1131" s="9" t="n">
        <v>2011.75</v>
      </c>
      <c r="N1131" s="9" t="n">
        <v>2083.68</v>
      </c>
      <c r="O1131" s="9" t="n">
        <v>2079.43</v>
      </c>
      <c r="P1131" s="9" t="n">
        <v>2085.15</v>
      </c>
      <c r="Q1131" s="9" t="n">
        <v>1915</v>
      </c>
      <c r="R1131" s="9" t="n">
        <v>2267.34</v>
      </c>
      <c r="S1131" s="9" t="n">
        <v>2209.75</v>
      </c>
      <c r="T1131" s="9" t="n">
        <v>2350.02</v>
      </c>
      <c r="U1131" s="10">
        <f>SUM(I1131:T1131)</f>
        <v/>
      </c>
    </row>
    <row r="1132">
      <c r="A1132" s="2" t="inlineStr">
        <is>
          <t>SN-3000-3300-3330-3330CP0006</t>
        </is>
      </c>
      <c r="B1132" s="2" t="inlineStr">
        <is>
          <t>3330CP0006</t>
        </is>
      </c>
      <c r="C1132" s="2" t="inlineStr">
        <is>
          <t xml:space="preserve">Gabinete PLC </t>
        </is>
      </c>
      <c r="D1132" s="2" t="n">
        <v>377</v>
      </c>
      <c r="E1132" s="2" t="inlineStr">
        <is>
          <t>CC-3000</t>
        </is>
      </c>
      <c r="F1132" s="2" t="inlineStr">
        <is>
          <t>P01</t>
        </is>
      </c>
      <c r="G1132" s="2" t="n">
        <v>630000</v>
      </c>
      <c r="H1132" s="2" t="inlineStr">
        <is>
          <t>Servicios externos</t>
        </is>
      </c>
      <c r="I1132" s="9" t="n">
        <v>1994.9</v>
      </c>
      <c r="J1132" s="9" t="n">
        <v>1778.79</v>
      </c>
      <c r="K1132" s="9" t="n">
        <v>1875.11</v>
      </c>
      <c r="L1132" s="9" t="n">
        <v>1917.76</v>
      </c>
      <c r="M1132" s="9" t="n">
        <v>1945.49</v>
      </c>
      <c r="N1132" s="9" t="n">
        <v>1937.89</v>
      </c>
      <c r="O1132" s="9" t="n">
        <v>1985.81</v>
      </c>
      <c r="P1132" s="9" t="n">
        <v>1916.99</v>
      </c>
      <c r="Q1132" s="9" t="n">
        <v>1706.21</v>
      </c>
      <c r="R1132" s="9" t="n">
        <v>2199.78</v>
      </c>
      <c r="S1132" s="9" t="n">
        <v>1848.58</v>
      </c>
      <c r="T1132" s="9" t="n">
        <v>2055.92</v>
      </c>
      <c r="U1132" s="10">
        <f>SUM(I1132:T1132)</f>
        <v/>
      </c>
    </row>
    <row r="1133">
      <c r="A1133" s="2" t="inlineStr">
        <is>
          <t>SN-3000-3300-3330-3330CP0007</t>
        </is>
      </c>
      <c r="B1133" s="2" t="inlineStr">
        <is>
          <t>3330CP0007</t>
        </is>
      </c>
      <c r="C1133" s="2" t="inlineStr">
        <is>
          <t xml:space="preserve">Gabinete PLC </t>
        </is>
      </c>
      <c r="D1133" s="2" t="n">
        <v>378</v>
      </c>
      <c r="E1133" s="2" t="inlineStr">
        <is>
          <t>CC-3000</t>
        </is>
      </c>
      <c r="F1133" s="2" t="inlineStr">
        <is>
          <t>P01</t>
        </is>
      </c>
      <c r="G1133" s="2" t="n">
        <v>610000</v>
      </c>
      <c r="H1133" s="2" t="inlineStr">
        <is>
          <t>Mano obra interna</t>
        </is>
      </c>
      <c r="I1133" s="9" t="n">
        <v>925.59</v>
      </c>
      <c r="J1133" s="9" t="n">
        <v>916.17</v>
      </c>
      <c r="K1133" s="9" t="n">
        <v>961.67</v>
      </c>
      <c r="L1133" s="9" t="n">
        <v>897.61</v>
      </c>
      <c r="M1133" s="9" t="n">
        <v>865.9</v>
      </c>
      <c r="N1133" s="9" t="n">
        <v>803.67</v>
      </c>
      <c r="O1133" s="9" t="n">
        <v>934.66</v>
      </c>
      <c r="P1133" s="9" t="n">
        <v>866.8200000000001</v>
      </c>
      <c r="Q1133" s="9" t="n">
        <v>764.53</v>
      </c>
      <c r="R1133" s="9" t="n">
        <v>931.7</v>
      </c>
      <c r="S1133" s="9" t="n">
        <v>795</v>
      </c>
      <c r="T1133" s="9" t="n">
        <v>886.67</v>
      </c>
      <c r="U1133" s="10">
        <f>SUM(I1133:T1133)</f>
        <v/>
      </c>
    </row>
    <row r="1134">
      <c r="A1134" s="2" t="inlineStr">
        <is>
          <t>SN-3000-3300-3330-3330CP0007</t>
        </is>
      </c>
      <c r="B1134" s="2" t="inlineStr">
        <is>
          <t>3330CP0007</t>
        </is>
      </c>
      <c r="C1134" s="2" t="inlineStr">
        <is>
          <t xml:space="preserve">Gabinete PLC </t>
        </is>
      </c>
      <c r="D1134" s="2" t="n">
        <v>378</v>
      </c>
      <c r="E1134" s="2" t="inlineStr">
        <is>
          <t>CC-3000</t>
        </is>
      </c>
      <c r="F1134" s="2" t="inlineStr">
        <is>
          <t>P01</t>
        </is>
      </c>
      <c r="G1134" s="2" t="n">
        <v>620000</v>
      </c>
      <c r="H1134" s="2" t="inlineStr">
        <is>
          <t>Materiales</t>
        </is>
      </c>
      <c r="I1134" s="9" t="n">
        <v>867.86</v>
      </c>
      <c r="J1134" s="9" t="n">
        <v>800.66</v>
      </c>
      <c r="K1134" s="9" t="n">
        <v>964.3</v>
      </c>
      <c r="L1134" s="9" t="n">
        <v>931.05</v>
      </c>
      <c r="M1134" s="9" t="n">
        <v>910.6</v>
      </c>
      <c r="N1134" s="9" t="n">
        <v>816.67</v>
      </c>
      <c r="O1134" s="9" t="n">
        <v>909.63</v>
      </c>
      <c r="P1134" s="9" t="n">
        <v>870.1</v>
      </c>
      <c r="Q1134" s="9" t="n">
        <v>773.6</v>
      </c>
      <c r="R1134" s="9" t="n">
        <v>884.6799999999999</v>
      </c>
      <c r="S1134" s="9" t="n">
        <v>823.97</v>
      </c>
      <c r="T1134" s="9" t="n">
        <v>834.38</v>
      </c>
      <c r="U1134" s="10">
        <f>SUM(I1134:T1134)</f>
        <v/>
      </c>
    </row>
    <row r="1135">
      <c r="A1135" s="2" t="inlineStr">
        <is>
          <t>SN-3000-3300-3330-3330CP0007</t>
        </is>
      </c>
      <c r="B1135" s="2" t="inlineStr">
        <is>
          <t>3330CP0007</t>
        </is>
      </c>
      <c r="C1135" s="2" t="inlineStr">
        <is>
          <t xml:space="preserve">Gabinete PLC </t>
        </is>
      </c>
      <c r="D1135" s="2" t="n">
        <v>378</v>
      </c>
      <c r="E1135" s="2" t="inlineStr">
        <is>
          <t>CC-3000</t>
        </is>
      </c>
      <c r="F1135" s="2" t="inlineStr">
        <is>
          <t>P01</t>
        </is>
      </c>
      <c r="G1135" s="2" t="n">
        <v>630000</v>
      </c>
      <c r="H1135" s="2" t="inlineStr">
        <is>
          <t>Servicios externos</t>
        </is>
      </c>
      <c r="I1135" s="9" t="n">
        <v>924.28</v>
      </c>
      <c r="J1135" s="9" t="n">
        <v>951.96</v>
      </c>
      <c r="K1135" s="9" t="n">
        <v>998.95</v>
      </c>
      <c r="L1135" s="9" t="n">
        <v>965.49</v>
      </c>
      <c r="M1135" s="9" t="n">
        <v>976.72</v>
      </c>
      <c r="N1135" s="9" t="n">
        <v>880.67</v>
      </c>
      <c r="O1135" s="9" t="n">
        <v>1020.58</v>
      </c>
      <c r="P1135" s="9" t="n">
        <v>948.92</v>
      </c>
      <c r="Q1135" s="9" t="n">
        <v>921.61</v>
      </c>
      <c r="R1135" s="9" t="n">
        <v>1088.62</v>
      </c>
      <c r="S1135" s="9" t="n">
        <v>1003.42</v>
      </c>
      <c r="T1135" s="9" t="n">
        <v>1043.48</v>
      </c>
      <c r="U1135" s="10">
        <f>SUM(I1135:T1135)</f>
        <v/>
      </c>
    </row>
    <row r="1136">
      <c r="A1136" s="2" t="inlineStr">
        <is>
          <t>SN-3000-3300-3330-3330CP0008</t>
        </is>
      </c>
      <c r="B1136" s="2" t="inlineStr">
        <is>
          <t>3330CP0008</t>
        </is>
      </c>
      <c r="C1136" s="2" t="inlineStr">
        <is>
          <t xml:space="preserve">Gabinete PLC </t>
        </is>
      </c>
      <c r="D1136" s="2" t="n">
        <v>379</v>
      </c>
      <c r="E1136" s="2" t="inlineStr">
        <is>
          <t>CC-3000</t>
        </is>
      </c>
      <c r="F1136" s="2" t="inlineStr">
        <is>
          <t>P01</t>
        </is>
      </c>
      <c r="G1136" s="2" t="n">
        <v>610000</v>
      </c>
      <c r="H1136" s="2" t="inlineStr">
        <is>
          <t>Mano obra interna</t>
        </is>
      </c>
      <c r="I1136" s="9" t="n">
        <v>533.41</v>
      </c>
      <c r="J1136" s="9" t="n">
        <v>524.24</v>
      </c>
      <c r="K1136" s="9" t="n">
        <v>572.46</v>
      </c>
      <c r="L1136" s="9" t="n">
        <v>576.6</v>
      </c>
      <c r="M1136" s="9" t="n">
        <v>493.14</v>
      </c>
      <c r="N1136" s="9" t="n">
        <v>499.28</v>
      </c>
      <c r="O1136" s="9" t="n">
        <v>555.78</v>
      </c>
      <c r="P1136" s="9" t="n">
        <v>525.8099999999999</v>
      </c>
      <c r="Q1136" s="9" t="n">
        <v>481.95</v>
      </c>
      <c r="R1136" s="9" t="n">
        <v>565.61</v>
      </c>
      <c r="S1136" s="9" t="n">
        <v>523.51</v>
      </c>
      <c r="T1136" s="9" t="n">
        <v>583.1</v>
      </c>
      <c r="U1136" s="10">
        <f>SUM(I1136:T1136)</f>
        <v/>
      </c>
    </row>
    <row r="1137">
      <c r="A1137" s="2" t="inlineStr">
        <is>
          <t>SN-3000-3300-3330-3330CP0008</t>
        </is>
      </c>
      <c r="B1137" s="2" t="inlineStr">
        <is>
          <t>3330CP0008</t>
        </is>
      </c>
      <c r="C1137" s="2" t="inlineStr">
        <is>
          <t xml:space="preserve">Gabinete PLC </t>
        </is>
      </c>
      <c r="D1137" s="2" t="n">
        <v>379</v>
      </c>
      <c r="E1137" s="2" t="inlineStr">
        <is>
          <t>CC-3000</t>
        </is>
      </c>
      <c r="F1137" s="2" t="inlineStr">
        <is>
          <t>P01</t>
        </is>
      </c>
      <c r="G1137" s="2" t="n">
        <v>620000</v>
      </c>
      <c r="H1137" s="2" t="inlineStr">
        <is>
          <t>Materiales</t>
        </is>
      </c>
      <c r="I1137" s="9" t="n">
        <v>495.56</v>
      </c>
      <c r="J1137" s="9" t="n">
        <v>474.42</v>
      </c>
      <c r="K1137" s="9" t="n">
        <v>486.83</v>
      </c>
      <c r="L1137" s="9" t="n">
        <v>525.3099999999999</v>
      </c>
      <c r="M1137" s="9" t="n">
        <v>507.51</v>
      </c>
      <c r="N1137" s="9" t="n">
        <v>463.86</v>
      </c>
      <c r="O1137" s="9" t="n">
        <v>525.34</v>
      </c>
      <c r="P1137" s="9" t="n">
        <v>528.4299999999999</v>
      </c>
      <c r="Q1137" s="9" t="n">
        <v>455.72</v>
      </c>
      <c r="R1137" s="9" t="n">
        <v>535.42</v>
      </c>
      <c r="S1137" s="9" t="n">
        <v>531.61</v>
      </c>
      <c r="T1137" s="9" t="n">
        <v>506.35</v>
      </c>
      <c r="U1137" s="10">
        <f>SUM(I1137:T1137)</f>
        <v/>
      </c>
    </row>
    <row r="1138">
      <c r="A1138" s="2" t="inlineStr">
        <is>
          <t>SN-3000-3300-3330-3330CP0008</t>
        </is>
      </c>
      <c r="B1138" s="2" t="inlineStr">
        <is>
          <t>3330CP0008</t>
        </is>
      </c>
      <c r="C1138" s="2" t="inlineStr">
        <is>
          <t xml:space="preserve">Gabinete PLC </t>
        </is>
      </c>
      <c r="D1138" s="2" t="n">
        <v>379</v>
      </c>
      <c r="E1138" s="2" t="inlineStr">
        <is>
          <t>CC-3000</t>
        </is>
      </c>
      <c r="F1138" s="2" t="inlineStr">
        <is>
          <t>P01</t>
        </is>
      </c>
      <c r="G1138" s="2" t="n">
        <v>630000</v>
      </c>
      <c r="H1138" s="2" t="inlineStr">
        <is>
          <t>Servicios externos</t>
        </is>
      </c>
      <c r="I1138" s="9" t="n">
        <v>541.54</v>
      </c>
      <c r="J1138" s="9" t="n">
        <v>551.14</v>
      </c>
      <c r="K1138" s="9" t="n">
        <v>575.1799999999999</v>
      </c>
      <c r="L1138" s="9" t="n">
        <v>560.97</v>
      </c>
      <c r="M1138" s="9" t="n">
        <v>559.03</v>
      </c>
      <c r="N1138" s="9" t="n">
        <v>546.96</v>
      </c>
      <c r="O1138" s="9" t="n">
        <v>541.61</v>
      </c>
      <c r="P1138" s="9" t="n">
        <v>511.69</v>
      </c>
      <c r="Q1138" s="9" t="n">
        <v>489.51</v>
      </c>
      <c r="R1138" s="9" t="n">
        <v>600.27</v>
      </c>
      <c r="S1138" s="9" t="n">
        <v>529.95</v>
      </c>
      <c r="T1138" s="9" t="n">
        <v>514.5</v>
      </c>
      <c r="U1138" s="10">
        <f>SUM(I1138:T1138)</f>
        <v/>
      </c>
    </row>
    <row r="1139">
      <c r="A1139" s="2" t="inlineStr">
        <is>
          <t>SN-3000-3300-3330-3330DC0007</t>
        </is>
      </c>
      <c r="B1139" s="2" t="inlineStr">
        <is>
          <t>3330DC0007</t>
        </is>
      </c>
      <c r="C1139" s="2" t="inlineStr">
        <is>
          <t>Colector polvo</t>
        </is>
      </c>
      <c r="D1139" s="2" t="n">
        <v>380</v>
      </c>
      <c r="E1139" s="2" t="inlineStr">
        <is>
          <t>CC-3000</t>
        </is>
      </c>
      <c r="F1139" s="2" t="inlineStr">
        <is>
          <t>P01</t>
        </is>
      </c>
      <c r="G1139" s="2" t="n">
        <v>610000</v>
      </c>
      <c r="H1139" s="2" t="inlineStr">
        <is>
          <t>Mano obra interna</t>
        </is>
      </c>
      <c r="I1139" s="9" t="n">
        <v>1556.03</v>
      </c>
      <c r="J1139" s="9" t="n">
        <v>1400.4</v>
      </c>
      <c r="K1139" s="9" t="n">
        <v>1527.69</v>
      </c>
      <c r="L1139" s="9" t="n">
        <v>1573.31</v>
      </c>
      <c r="M1139" s="9" t="n">
        <v>1480.28</v>
      </c>
      <c r="N1139" s="9" t="n">
        <v>1321.45</v>
      </c>
      <c r="O1139" s="9" t="n">
        <v>1407.04</v>
      </c>
      <c r="P1139" s="9" t="n">
        <v>1413.35</v>
      </c>
      <c r="Q1139" s="9" t="n">
        <v>1325.14</v>
      </c>
      <c r="R1139" s="9" t="n">
        <v>1613.76</v>
      </c>
      <c r="S1139" s="9" t="n">
        <v>1434.52</v>
      </c>
      <c r="T1139" s="9" t="n">
        <v>1431.52</v>
      </c>
      <c r="U1139" s="10">
        <f>SUM(I1139:T1139)</f>
        <v/>
      </c>
    </row>
    <row r="1140">
      <c r="A1140" s="2" t="inlineStr">
        <is>
          <t>SN-3000-3300-3330-3330DC0007</t>
        </is>
      </c>
      <c r="B1140" s="2" t="inlineStr">
        <is>
          <t>3330DC0007</t>
        </is>
      </c>
      <c r="C1140" s="2" t="inlineStr">
        <is>
          <t>Colector polvo</t>
        </is>
      </c>
      <c r="D1140" s="2" t="n">
        <v>380</v>
      </c>
      <c r="E1140" s="2" t="inlineStr">
        <is>
          <t>CC-3000</t>
        </is>
      </c>
      <c r="F1140" s="2" t="inlineStr">
        <is>
          <t>P01</t>
        </is>
      </c>
      <c r="G1140" s="2" t="n">
        <v>620000</v>
      </c>
      <c r="H1140" s="2" t="inlineStr">
        <is>
          <t>Materiales</t>
        </is>
      </c>
      <c r="I1140" s="9" t="n">
        <v>1365.48</v>
      </c>
      <c r="J1140" s="9" t="n">
        <v>1498.2</v>
      </c>
      <c r="K1140" s="9" t="n">
        <v>1449.16</v>
      </c>
      <c r="L1140" s="9" t="n">
        <v>1527.75</v>
      </c>
      <c r="M1140" s="9" t="n">
        <v>1475.18</v>
      </c>
      <c r="N1140" s="9" t="n">
        <v>1352.28</v>
      </c>
      <c r="O1140" s="9" t="n">
        <v>1459.16</v>
      </c>
      <c r="P1140" s="9" t="n">
        <v>1341.41</v>
      </c>
      <c r="Q1140" s="9" t="n">
        <v>1353.84</v>
      </c>
      <c r="R1140" s="9" t="n">
        <v>1467.09</v>
      </c>
      <c r="S1140" s="9" t="n">
        <v>1439.34</v>
      </c>
      <c r="T1140" s="9" t="n">
        <v>1337.35</v>
      </c>
      <c r="U1140" s="10">
        <f>SUM(I1140:T1140)</f>
        <v/>
      </c>
    </row>
    <row r="1141">
      <c r="A1141" s="2" t="inlineStr">
        <is>
          <t>SN-3000-3300-3330-3330DC0007</t>
        </is>
      </c>
      <c r="B1141" s="2" t="inlineStr">
        <is>
          <t>3330DC0007</t>
        </is>
      </c>
      <c r="C1141" s="2" t="inlineStr">
        <is>
          <t>Colector polvo</t>
        </is>
      </c>
      <c r="D1141" s="2" t="n">
        <v>380</v>
      </c>
      <c r="E1141" s="2" t="inlineStr">
        <is>
          <t>CC-3000</t>
        </is>
      </c>
      <c r="F1141" s="2" t="inlineStr">
        <is>
          <t>P01</t>
        </is>
      </c>
      <c r="G1141" s="2" t="n">
        <v>630000</v>
      </c>
      <c r="H1141" s="2" t="inlineStr">
        <is>
          <t>Servicios externos</t>
        </is>
      </c>
      <c r="I1141" s="9" t="n">
        <v>1671.62</v>
      </c>
      <c r="J1141" s="9" t="n">
        <v>1828.06</v>
      </c>
      <c r="K1141" s="9" t="n">
        <v>1748.28</v>
      </c>
      <c r="L1141" s="9" t="n">
        <v>1832.2</v>
      </c>
      <c r="M1141" s="9" t="n">
        <v>1727.91</v>
      </c>
      <c r="N1141" s="9" t="n">
        <v>1636.83</v>
      </c>
      <c r="O1141" s="9" t="n">
        <v>1790.99</v>
      </c>
      <c r="P1141" s="9" t="n">
        <v>1873.33</v>
      </c>
      <c r="Q1141" s="9" t="n">
        <v>1509.01</v>
      </c>
      <c r="R1141" s="9" t="n">
        <v>2013.11</v>
      </c>
      <c r="S1141" s="9" t="n">
        <v>1723.15</v>
      </c>
      <c r="T1141" s="9" t="n">
        <v>1862.74</v>
      </c>
      <c r="U1141" s="10">
        <f>SUM(I1141:T1141)</f>
        <v/>
      </c>
    </row>
    <row r="1142">
      <c r="A1142" s="2" t="inlineStr">
        <is>
          <t>SN-3000-3300-3330-3330FA0061</t>
        </is>
      </c>
      <c r="B1142" s="2" t="inlineStr">
        <is>
          <t>3330FA0061</t>
        </is>
      </c>
      <c r="C1142" s="2" t="inlineStr">
        <is>
          <t>Ventilador extractor edificio</t>
        </is>
      </c>
      <c r="D1142" s="2" t="n">
        <v>381</v>
      </c>
      <c r="E1142" s="2" t="inlineStr">
        <is>
          <t>CC-3000</t>
        </is>
      </c>
      <c r="F1142" s="2" t="inlineStr">
        <is>
          <t>P01</t>
        </is>
      </c>
      <c r="G1142" s="2" t="n">
        <v>610000</v>
      </c>
      <c r="H1142" s="2" t="inlineStr">
        <is>
          <t>Mano obra interna</t>
        </is>
      </c>
      <c r="I1142" s="9" t="n">
        <v>560.41</v>
      </c>
      <c r="J1142" s="9" t="n">
        <v>575.15</v>
      </c>
      <c r="K1142" s="9" t="n">
        <v>561.14</v>
      </c>
      <c r="L1142" s="9" t="n">
        <v>566.73</v>
      </c>
      <c r="M1142" s="9" t="n">
        <v>503.85</v>
      </c>
      <c r="N1142" s="9" t="n">
        <v>498.42</v>
      </c>
      <c r="O1142" s="9" t="n">
        <v>564.2</v>
      </c>
      <c r="P1142" s="9" t="n">
        <v>570.16</v>
      </c>
      <c r="Q1142" s="9" t="n">
        <v>520.11</v>
      </c>
      <c r="R1142" s="9" t="n">
        <v>560.75</v>
      </c>
      <c r="S1142" s="9" t="n">
        <v>529.17</v>
      </c>
      <c r="T1142" s="9" t="n">
        <v>546.66</v>
      </c>
      <c r="U1142" s="10">
        <f>SUM(I1142:T1142)</f>
        <v/>
      </c>
    </row>
    <row r="1143">
      <c r="A1143" s="2" t="inlineStr">
        <is>
          <t>SN-3000-3300-3330-3330FA0061</t>
        </is>
      </c>
      <c r="B1143" s="2" t="inlineStr">
        <is>
          <t>3330FA0061</t>
        </is>
      </c>
      <c r="C1143" s="2" t="inlineStr">
        <is>
          <t>Ventilador extractor edificio</t>
        </is>
      </c>
      <c r="D1143" s="2" t="n">
        <v>381</v>
      </c>
      <c r="E1143" s="2" t="inlineStr">
        <is>
          <t>CC-3000</t>
        </is>
      </c>
      <c r="F1143" s="2" t="inlineStr">
        <is>
          <t>P01</t>
        </is>
      </c>
      <c r="G1143" s="2" t="n">
        <v>620000</v>
      </c>
      <c r="H1143" s="2" t="inlineStr">
        <is>
          <t>Materiales</t>
        </is>
      </c>
      <c r="I1143" s="9" t="n">
        <v>597.5</v>
      </c>
      <c r="J1143" s="9" t="n">
        <v>568.21</v>
      </c>
      <c r="K1143" s="9" t="n">
        <v>532.1</v>
      </c>
      <c r="L1143" s="9" t="n">
        <v>600.01</v>
      </c>
      <c r="M1143" s="9" t="n">
        <v>544.37</v>
      </c>
      <c r="N1143" s="9" t="n">
        <v>548.9</v>
      </c>
      <c r="O1143" s="9" t="n">
        <v>520.97</v>
      </c>
      <c r="P1143" s="9" t="n">
        <v>567.23</v>
      </c>
      <c r="Q1143" s="9" t="n">
        <v>492.66</v>
      </c>
      <c r="R1143" s="9" t="n">
        <v>590.02</v>
      </c>
      <c r="S1143" s="9" t="n">
        <v>493.56</v>
      </c>
      <c r="T1143" s="9" t="n">
        <v>529.5</v>
      </c>
      <c r="U1143" s="10">
        <f>SUM(I1143:T1143)</f>
        <v/>
      </c>
    </row>
    <row r="1144">
      <c r="A1144" s="2" t="inlineStr">
        <is>
          <t>SN-3000-3300-3330-3330FA0061</t>
        </is>
      </c>
      <c r="B1144" s="2" t="inlineStr">
        <is>
          <t>3330FA0061</t>
        </is>
      </c>
      <c r="C1144" s="2" t="inlineStr">
        <is>
          <t>Ventilador extractor edificio</t>
        </is>
      </c>
      <c r="D1144" s="2" t="n">
        <v>381</v>
      </c>
      <c r="E1144" s="2" t="inlineStr">
        <is>
          <t>CC-3000</t>
        </is>
      </c>
      <c r="F1144" s="2" t="inlineStr">
        <is>
          <t>P01</t>
        </is>
      </c>
      <c r="G1144" s="2" t="n">
        <v>630000</v>
      </c>
      <c r="H1144" s="2" t="inlineStr">
        <is>
          <t>Servicios externos</t>
        </is>
      </c>
      <c r="I1144" s="9" t="n">
        <v>474.7</v>
      </c>
      <c r="J1144" s="9" t="n">
        <v>447.28</v>
      </c>
      <c r="K1144" s="9" t="n">
        <v>515.9299999999999</v>
      </c>
      <c r="L1144" s="9" t="n">
        <v>458.54</v>
      </c>
      <c r="M1144" s="9" t="n">
        <v>489.24</v>
      </c>
      <c r="N1144" s="9" t="n">
        <v>437.23</v>
      </c>
      <c r="O1144" s="9" t="n">
        <v>520</v>
      </c>
      <c r="P1144" s="9" t="n">
        <v>518.45</v>
      </c>
      <c r="Q1144" s="9" t="n">
        <v>431.83</v>
      </c>
      <c r="R1144" s="9" t="n">
        <v>532.84</v>
      </c>
      <c r="S1144" s="9" t="n">
        <v>434.24</v>
      </c>
      <c r="T1144" s="9" t="n">
        <v>526.4299999999999</v>
      </c>
      <c r="U1144" s="10">
        <f>SUM(I1144:T1144)</f>
        <v/>
      </c>
    </row>
    <row r="1145">
      <c r="A1145" s="2" t="inlineStr">
        <is>
          <t>SN-3000-3300-3330-3330FA0062</t>
        </is>
      </c>
      <c r="B1145" s="2" t="inlineStr">
        <is>
          <t>3330FA0062</t>
        </is>
      </c>
      <c r="C1145" s="2" t="inlineStr">
        <is>
          <t>Ventilador extractor edificio</t>
        </is>
      </c>
      <c r="D1145" s="2" t="n">
        <v>382</v>
      </c>
      <c r="E1145" s="2" t="inlineStr">
        <is>
          <t>CC-3000</t>
        </is>
      </c>
      <c r="F1145" s="2" t="inlineStr">
        <is>
          <t>P01</t>
        </is>
      </c>
      <c r="G1145" s="2" t="n">
        <v>610000</v>
      </c>
      <c r="H1145" s="2" t="inlineStr">
        <is>
          <t>Mano obra interna</t>
        </is>
      </c>
      <c r="I1145" s="9" t="n">
        <v>1668.38</v>
      </c>
      <c r="J1145" s="9" t="n">
        <v>1692.72</v>
      </c>
      <c r="K1145" s="9" t="n">
        <v>1695.81</v>
      </c>
      <c r="L1145" s="9" t="n">
        <v>1771.18</v>
      </c>
      <c r="M1145" s="9" t="n">
        <v>1792.38</v>
      </c>
      <c r="N1145" s="9" t="n">
        <v>1677.6</v>
      </c>
      <c r="O1145" s="9" t="n">
        <v>1731.16</v>
      </c>
      <c r="P1145" s="9" t="n">
        <v>1654.5</v>
      </c>
      <c r="Q1145" s="9" t="n">
        <v>1574.32</v>
      </c>
      <c r="R1145" s="9" t="n">
        <v>1779.8</v>
      </c>
      <c r="S1145" s="9" t="n">
        <v>1790.84</v>
      </c>
      <c r="T1145" s="9" t="n">
        <v>1684.93</v>
      </c>
      <c r="U1145" s="10">
        <f>SUM(I1145:T1145)</f>
        <v/>
      </c>
    </row>
    <row r="1146">
      <c r="A1146" s="2" t="inlineStr">
        <is>
          <t>SN-3000-3300-3330-3330FA0062</t>
        </is>
      </c>
      <c r="B1146" s="2" t="inlineStr">
        <is>
          <t>3330FA0062</t>
        </is>
      </c>
      <c r="C1146" s="2" t="inlineStr">
        <is>
          <t>Ventilador extractor edificio</t>
        </is>
      </c>
      <c r="D1146" s="2" t="n">
        <v>382</v>
      </c>
      <c r="E1146" s="2" t="inlineStr">
        <is>
          <t>CC-3000</t>
        </is>
      </c>
      <c r="F1146" s="2" t="inlineStr">
        <is>
          <t>P01</t>
        </is>
      </c>
      <c r="G1146" s="2" t="n">
        <v>620000</v>
      </c>
      <c r="H1146" s="2" t="inlineStr">
        <is>
          <t>Materiales</t>
        </is>
      </c>
      <c r="I1146" s="9" t="n">
        <v>1705.4</v>
      </c>
      <c r="J1146" s="9" t="n">
        <v>1613.75</v>
      </c>
      <c r="K1146" s="9" t="n">
        <v>1807.37</v>
      </c>
      <c r="L1146" s="9" t="n">
        <v>1739.42</v>
      </c>
      <c r="M1146" s="9" t="n">
        <v>1668.87</v>
      </c>
      <c r="N1146" s="9" t="n">
        <v>1662.75</v>
      </c>
      <c r="O1146" s="9" t="n">
        <v>1712.07</v>
      </c>
      <c r="P1146" s="9" t="n">
        <v>1658.57</v>
      </c>
      <c r="Q1146" s="9" t="n">
        <v>1610.31</v>
      </c>
      <c r="R1146" s="9" t="n">
        <v>1898.21</v>
      </c>
      <c r="S1146" s="9" t="n">
        <v>1533.33</v>
      </c>
      <c r="T1146" s="9" t="n">
        <v>1729.64</v>
      </c>
      <c r="U1146" s="10">
        <f>SUM(I1146:T1146)</f>
        <v/>
      </c>
    </row>
    <row r="1147">
      <c r="A1147" s="2" t="inlineStr">
        <is>
          <t>SN-3000-3300-3330-3330FA0062</t>
        </is>
      </c>
      <c r="B1147" s="2" t="inlineStr">
        <is>
          <t>3330FA0062</t>
        </is>
      </c>
      <c r="C1147" s="2" t="inlineStr">
        <is>
          <t>Ventilador extractor edificio</t>
        </is>
      </c>
      <c r="D1147" s="2" t="n">
        <v>382</v>
      </c>
      <c r="E1147" s="2" t="inlineStr">
        <is>
          <t>CC-3000</t>
        </is>
      </c>
      <c r="F1147" s="2" t="inlineStr">
        <is>
          <t>P01</t>
        </is>
      </c>
      <c r="G1147" s="2" t="n">
        <v>630000</v>
      </c>
      <c r="H1147" s="2" t="inlineStr">
        <is>
          <t>Servicios externos</t>
        </is>
      </c>
      <c r="I1147" s="9" t="n">
        <v>1383.55</v>
      </c>
      <c r="J1147" s="9" t="n">
        <v>1418.89</v>
      </c>
      <c r="K1147" s="9" t="n">
        <v>1558.29</v>
      </c>
      <c r="L1147" s="9" t="n">
        <v>1547.67</v>
      </c>
      <c r="M1147" s="9" t="n">
        <v>1314.97</v>
      </c>
      <c r="N1147" s="9" t="n">
        <v>1346.55</v>
      </c>
      <c r="O1147" s="9" t="n">
        <v>1446.5</v>
      </c>
      <c r="P1147" s="9" t="n">
        <v>1345.31</v>
      </c>
      <c r="Q1147" s="9" t="n">
        <v>1384.67</v>
      </c>
      <c r="R1147" s="9" t="n">
        <v>1598.93</v>
      </c>
      <c r="S1147" s="9" t="n">
        <v>1470.47</v>
      </c>
      <c r="T1147" s="9" t="n">
        <v>1334.2</v>
      </c>
      <c r="U1147" s="10">
        <f>SUM(I1147:T1147)</f>
        <v/>
      </c>
    </row>
    <row r="1148">
      <c r="A1148" s="2" t="inlineStr">
        <is>
          <t>SN-3000-3300-3330-3330FA0063</t>
        </is>
      </c>
      <c r="B1148" s="2" t="inlineStr">
        <is>
          <t>3330FA0063</t>
        </is>
      </c>
      <c r="C1148" s="2" t="inlineStr">
        <is>
          <t>Ventilador extractor edificio</t>
        </is>
      </c>
      <c r="D1148" s="2" t="n">
        <v>383</v>
      </c>
      <c r="E1148" s="2" t="inlineStr">
        <is>
          <t>CC-3000</t>
        </is>
      </c>
      <c r="F1148" s="2" t="inlineStr">
        <is>
          <t>P01</t>
        </is>
      </c>
      <c r="G1148" s="2" t="n">
        <v>610000</v>
      </c>
      <c r="H1148" s="2" t="inlineStr">
        <is>
          <t>Mano obra interna</t>
        </is>
      </c>
      <c r="I1148" s="9" t="n">
        <v>718.0599999999999</v>
      </c>
      <c r="J1148" s="9" t="n">
        <v>676.25</v>
      </c>
      <c r="K1148" s="9" t="n">
        <v>733.0700000000001</v>
      </c>
      <c r="L1148" s="9" t="n">
        <v>634.74</v>
      </c>
      <c r="M1148" s="9" t="n">
        <v>671.75</v>
      </c>
      <c r="N1148" s="9" t="n">
        <v>646.1</v>
      </c>
      <c r="O1148" s="9" t="n">
        <v>619.03</v>
      </c>
      <c r="P1148" s="9" t="n">
        <v>669.35</v>
      </c>
      <c r="Q1148" s="9" t="n">
        <v>633.11</v>
      </c>
      <c r="R1148" s="9" t="n">
        <v>685.22</v>
      </c>
      <c r="S1148" s="9" t="n">
        <v>623.59</v>
      </c>
      <c r="T1148" s="9" t="n">
        <v>693.5599999999999</v>
      </c>
      <c r="U1148" s="10">
        <f>SUM(I1148:T1148)</f>
        <v/>
      </c>
    </row>
    <row r="1149">
      <c r="A1149" s="2" t="inlineStr">
        <is>
          <t>SN-3000-3300-3330-3330FA0063</t>
        </is>
      </c>
      <c r="B1149" s="2" t="inlineStr">
        <is>
          <t>3330FA0063</t>
        </is>
      </c>
      <c r="C1149" s="2" t="inlineStr">
        <is>
          <t>Ventilador extractor edificio</t>
        </is>
      </c>
      <c r="D1149" s="2" t="n">
        <v>383</v>
      </c>
      <c r="E1149" s="2" t="inlineStr">
        <is>
          <t>CC-3000</t>
        </is>
      </c>
      <c r="F1149" s="2" t="inlineStr">
        <is>
          <t>P01</t>
        </is>
      </c>
      <c r="G1149" s="2" t="n">
        <v>620000</v>
      </c>
      <c r="H1149" s="2" t="inlineStr">
        <is>
          <t>Materiales</t>
        </is>
      </c>
      <c r="I1149" s="9" t="n">
        <v>759.38</v>
      </c>
      <c r="J1149" s="9" t="n">
        <v>675.45</v>
      </c>
      <c r="K1149" s="9" t="n">
        <v>698.74</v>
      </c>
      <c r="L1149" s="9" t="n">
        <v>774.87</v>
      </c>
      <c r="M1149" s="9" t="n">
        <v>742.1</v>
      </c>
      <c r="N1149" s="9" t="n">
        <v>621.97</v>
      </c>
      <c r="O1149" s="9" t="n">
        <v>734.38</v>
      </c>
      <c r="P1149" s="9" t="n">
        <v>659.22</v>
      </c>
      <c r="Q1149" s="9" t="n">
        <v>605.4299999999999</v>
      </c>
      <c r="R1149" s="9" t="n">
        <v>731.28</v>
      </c>
      <c r="S1149" s="9" t="n">
        <v>655.97</v>
      </c>
      <c r="T1149" s="9" t="n">
        <v>750.5</v>
      </c>
      <c r="U1149" s="10">
        <f>SUM(I1149:T1149)</f>
        <v/>
      </c>
    </row>
    <row r="1150">
      <c r="A1150" s="2" t="inlineStr">
        <is>
          <t>SN-3000-3300-3330-3330FA0063</t>
        </is>
      </c>
      <c r="B1150" s="2" t="inlineStr">
        <is>
          <t>3330FA0063</t>
        </is>
      </c>
      <c r="C1150" s="2" t="inlineStr">
        <is>
          <t>Ventilador extractor edificio</t>
        </is>
      </c>
      <c r="D1150" s="2" t="n">
        <v>383</v>
      </c>
      <c r="E1150" s="2" t="inlineStr">
        <is>
          <t>CC-3000</t>
        </is>
      </c>
      <c r="F1150" s="2" t="inlineStr">
        <is>
          <t>P01</t>
        </is>
      </c>
      <c r="G1150" s="2" t="n">
        <v>630000</v>
      </c>
      <c r="H1150" s="2" t="inlineStr">
        <is>
          <t>Servicios externos</t>
        </is>
      </c>
      <c r="I1150" s="9" t="n">
        <v>796.72</v>
      </c>
      <c r="J1150" s="9" t="n">
        <v>737.79</v>
      </c>
      <c r="K1150" s="9" t="n">
        <v>737.76</v>
      </c>
      <c r="L1150" s="9" t="n">
        <v>764.16</v>
      </c>
      <c r="M1150" s="9" t="n">
        <v>774.42</v>
      </c>
      <c r="N1150" s="9" t="n">
        <v>716.0700000000001</v>
      </c>
      <c r="O1150" s="9" t="n">
        <v>755.29</v>
      </c>
      <c r="P1150" s="9" t="n">
        <v>774.85</v>
      </c>
      <c r="Q1150" s="9" t="n">
        <v>632.83</v>
      </c>
      <c r="R1150" s="9" t="n">
        <v>807.04</v>
      </c>
      <c r="S1150" s="9" t="n">
        <v>740.84</v>
      </c>
      <c r="T1150" s="9" t="n">
        <v>788.83</v>
      </c>
      <c r="U1150" s="10">
        <f>SUM(I1150:T1150)</f>
        <v/>
      </c>
    </row>
    <row r="1151">
      <c r="A1151" s="2" t="inlineStr">
        <is>
          <t>SN-3000-3300-3330-3330FA0064</t>
        </is>
      </c>
      <c r="B1151" s="2" t="inlineStr">
        <is>
          <t>3330FA0064</t>
        </is>
      </c>
      <c r="C1151" s="2" t="inlineStr">
        <is>
          <t>Ventilador extractor edificio</t>
        </is>
      </c>
      <c r="D1151" s="2" t="n">
        <v>384</v>
      </c>
      <c r="E1151" s="2" t="inlineStr">
        <is>
          <t>CC-3000</t>
        </is>
      </c>
      <c r="F1151" s="2" t="inlineStr">
        <is>
          <t>P01</t>
        </is>
      </c>
      <c r="G1151" s="2" t="n">
        <v>610000</v>
      </c>
      <c r="H1151" s="2" t="inlineStr">
        <is>
          <t>Mano obra interna</t>
        </is>
      </c>
      <c r="I1151" s="9" t="n">
        <v>1625.44</v>
      </c>
      <c r="J1151" s="9" t="n">
        <v>1612.43</v>
      </c>
      <c r="K1151" s="9" t="n">
        <v>1575.27</v>
      </c>
      <c r="L1151" s="9" t="n">
        <v>1652.47</v>
      </c>
      <c r="M1151" s="9" t="n">
        <v>1513.71</v>
      </c>
      <c r="N1151" s="9" t="n">
        <v>1480.8</v>
      </c>
      <c r="O1151" s="9" t="n">
        <v>1577.07</v>
      </c>
      <c r="P1151" s="9" t="n">
        <v>1597.49</v>
      </c>
      <c r="Q1151" s="9" t="n">
        <v>1469.26</v>
      </c>
      <c r="R1151" s="9" t="n">
        <v>1714.18</v>
      </c>
      <c r="S1151" s="9" t="n">
        <v>1490.79</v>
      </c>
      <c r="T1151" s="9" t="n">
        <v>1526.76</v>
      </c>
      <c r="U1151" s="10">
        <f>SUM(I1151:T1151)</f>
        <v/>
      </c>
    </row>
    <row r="1152">
      <c r="A1152" s="2" t="inlineStr">
        <is>
          <t>SN-3000-3300-3330-3330FA0064</t>
        </is>
      </c>
      <c r="B1152" s="2" t="inlineStr">
        <is>
          <t>3330FA0064</t>
        </is>
      </c>
      <c r="C1152" s="2" t="inlineStr">
        <is>
          <t>Ventilador extractor edificio</t>
        </is>
      </c>
      <c r="D1152" s="2" t="n">
        <v>384</v>
      </c>
      <c r="E1152" s="2" t="inlineStr">
        <is>
          <t>CC-3000</t>
        </is>
      </c>
      <c r="F1152" s="2" t="inlineStr">
        <is>
          <t>P01</t>
        </is>
      </c>
      <c r="G1152" s="2" t="n">
        <v>620000</v>
      </c>
      <c r="H1152" s="2" t="inlineStr">
        <is>
          <t>Materiales</t>
        </is>
      </c>
      <c r="I1152" s="9" t="n">
        <v>1406.64</v>
      </c>
      <c r="J1152" s="9" t="n">
        <v>1445.14</v>
      </c>
      <c r="K1152" s="9" t="n">
        <v>1562.6</v>
      </c>
      <c r="L1152" s="9" t="n">
        <v>1401.96</v>
      </c>
      <c r="M1152" s="9" t="n">
        <v>1343.61</v>
      </c>
      <c r="N1152" s="9" t="n">
        <v>1439.97</v>
      </c>
      <c r="O1152" s="9" t="n">
        <v>1403.85</v>
      </c>
      <c r="P1152" s="9" t="n">
        <v>1551.84</v>
      </c>
      <c r="Q1152" s="9" t="n">
        <v>1394.49</v>
      </c>
      <c r="R1152" s="9" t="n">
        <v>1518.66</v>
      </c>
      <c r="S1152" s="9" t="n">
        <v>1354.9</v>
      </c>
      <c r="T1152" s="9" t="n">
        <v>1475.45</v>
      </c>
      <c r="U1152" s="10">
        <f>SUM(I1152:T1152)</f>
        <v/>
      </c>
    </row>
    <row r="1153">
      <c r="A1153" s="2" t="inlineStr">
        <is>
          <t>SN-3000-3300-3330-3330FA0064</t>
        </is>
      </c>
      <c r="B1153" s="2" t="inlineStr">
        <is>
          <t>3330FA0064</t>
        </is>
      </c>
      <c r="C1153" s="2" t="inlineStr">
        <is>
          <t>Ventilador extractor edificio</t>
        </is>
      </c>
      <c r="D1153" s="2" t="n">
        <v>384</v>
      </c>
      <c r="E1153" s="2" t="inlineStr">
        <is>
          <t>CC-3000</t>
        </is>
      </c>
      <c r="F1153" s="2" t="inlineStr">
        <is>
          <t>P01</t>
        </is>
      </c>
      <c r="G1153" s="2" t="n">
        <v>630000</v>
      </c>
      <c r="H1153" s="2" t="inlineStr">
        <is>
          <t>Servicios externos</t>
        </is>
      </c>
      <c r="I1153" s="9" t="n">
        <v>1415.63</v>
      </c>
      <c r="J1153" s="9" t="n">
        <v>1379.26</v>
      </c>
      <c r="K1153" s="9" t="n">
        <v>1590.79</v>
      </c>
      <c r="L1153" s="9" t="n">
        <v>1512.99</v>
      </c>
      <c r="M1153" s="9" t="n">
        <v>1347.33</v>
      </c>
      <c r="N1153" s="9" t="n">
        <v>1451.39</v>
      </c>
      <c r="O1153" s="9" t="n">
        <v>1459.7</v>
      </c>
      <c r="P1153" s="9" t="n">
        <v>1478.54</v>
      </c>
      <c r="Q1153" s="9" t="n">
        <v>1312.08</v>
      </c>
      <c r="R1153" s="9" t="n">
        <v>1606.11</v>
      </c>
      <c r="S1153" s="9" t="n">
        <v>1539.53</v>
      </c>
      <c r="T1153" s="9" t="n">
        <v>1396.7</v>
      </c>
      <c r="U1153" s="10">
        <f>SUM(I1153:T1153)</f>
        <v/>
      </c>
    </row>
    <row r="1154">
      <c r="A1154" s="2" t="inlineStr">
        <is>
          <t>SN-3000-3300-3330-3330FE0009</t>
        </is>
      </c>
      <c r="B1154" s="2" t="inlineStr">
        <is>
          <t>3330FE0009</t>
        </is>
      </c>
      <c r="C1154" s="2" t="inlineStr">
        <is>
          <t>Tornillo alimentación zinc</t>
        </is>
      </c>
      <c r="D1154" s="2" t="n">
        <v>385</v>
      </c>
      <c r="E1154" s="2" t="inlineStr">
        <is>
          <t>CC-3000</t>
        </is>
      </c>
      <c r="F1154" s="2" t="inlineStr">
        <is>
          <t>P01</t>
        </is>
      </c>
      <c r="G1154" s="2" t="n">
        <v>610000</v>
      </c>
      <c r="H1154" s="2" t="inlineStr">
        <is>
          <t>Mano obra interna</t>
        </is>
      </c>
      <c r="I1154" s="9" t="n">
        <v>1182.62</v>
      </c>
      <c r="J1154" s="9" t="n">
        <v>1141.99</v>
      </c>
      <c r="K1154" s="9" t="n">
        <v>1222.19</v>
      </c>
      <c r="L1154" s="9" t="n">
        <v>1297.63</v>
      </c>
      <c r="M1154" s="9" t="n">
        <v>1274.64</v>
      </c>
      <c r="N1154" s="9" t="n">
        <v>1100.04</v>
      </c>
      <c r="O1154" s="9" t="n">
        <v>1217</v>
      </c>
      <c r="P1154" s="9" t="n">
        <v>1233.69</v>
      </c>
      <c r="Q1154" s="9" t="n">
        <v>1128.57</v>
      </c>
      <c r="R1154" s="9" t="n">
        <v>1289.16</v>
      </c>
      <c r="S1154" s="9" t="n">
        <v>1111.93</v>
      </c>
      <c r="T1154" s="9" t="n">
        <v>1223.78</v>
      </c>
      <c r="U1154" s="10">
        <f>SUM(I1154:T1154)</f>
        <v/>
      </c>
    </row>
    <row r="1155">
      <c r="A1155" s="2" t="inlineStr">
        <is>
          <t>SN-3000-3300-3330-3330FE0009</t>
        </is>
      </c>
      <c r="B1155" s="2" t="inlineStr">
        <is>
          <t>3330FE0009</t>
        </is>
      </c>
      <c r="C1155" s="2" t="inlineStr">
        <is>
          <t>Tornillo alimentación zinc</t>
        </is>
      </c>
      <c r="D1155" s="2" t="n">
        <v>385</v>
      </c>
      <c r="E1155" s="2" t="inlineStr">
        <is>
          <t>CC-3000</t>
        </is>
      </c>
      <c r="F1155" s="2" t="inlineStr">
        <is>
          <t>P01</t>
        </is>
      </c>
      <c r="G1155" s="2" t="n">
        <v>620000</v>
      </c>
      <c r="H1155" s="2" t="inlineStr">
        <is>
          <t>Materiales</t>
        </is>
      </c>
      <c r="I1155" s="9" t="n">
        <v>1292.31</v>
      </c>
      <c r="J1155" s="9" t="n">
        <v>1240.66</v>
      </c>
      <c r="K1155" s="9" t="n">
        <v>1173.98</v>
      </c>
      <c r="L1155" s="9" t="n">
        <v>1154.07</v>
      </c>
      <c r="M1155" s="9" t="n">
        <v>1274.38</v>
      </c>
      <c r="N1155" s="9" t="n">
        <v>1162.22</v>
      </c>
      <c r="O1155" s="9" t="n">
        <v>1278.54</v>
      </c>
      <c r="P1155" s="9" t="n">
        <v>1122.46</v>
      </c>
      <c r="Q1155" s="9" t="n">
        <v>1129.98</v>
      </c>
      <c r="R1155" s="9" t="n">
        <v>1311.78</v>
      </c>
      <c r="S1155" s="9" t="n">
        <v>1237.69</v>
      </c>
      <c r="T1155" s="9" t="n">
        <v>1147.73</v>
      </c>
      <c r="U1155" s="10">
        <f>SUM(I1155:T1155)</f>
        <v/>
      </c>
    </row>
    <row r="1156">
      <c r="A1156" s="2" t="inlineStr">
        <is>
          <t>SN-3000-3300-3330-3330FE0009</t>
        </is>
      </c>
      <c r="B1156" s="2" t="inlineStr">
        <is>
          <t>3330FE0009</t>
        </is>
      </c>
      <c r="C1156" s="2" t="inlineStr">
        <is>
          <t>Tornillo alimentación zinc</t>
        </is>
      </c>
      <c r="D1156" s="2" t="n">
        <v>385</v>
      </c>
      <c r="E1156" s="2" t="inlineStr">
        <is>
          <t>CC-3000</t>
        </is>
      </c>
      <c r="F1156" s="2" t="inlineStr">
        <is>
          <t>P01</t>
        </is>
      </c>
      <c r="G1156" s="2" t="n">
        <v>630000</v>
      </c>
      <c r="H1156" s="2" t="inlineStr">
        <is>
          <t>Servicios externos</t>
        </is>
      </c>
      <c r="I1156" s="9" t="n">
        <v>1146.68</v>
      </c>
      <c r="J1156" s="9" t="n">
        <v>1188.79</v>
      </c>
      <c r="K1156" s="9" t="n">
        <v>1259.01</v>
      </c>
      <c r="L1156" s="9" t="n">
        <v>1257.34</v>
      </c>
      <c r="M1156" s="9" t="n">
        <v>1211.44</v>
      </c>
      <c r="N1156" s="9" t="n">
        <v>1004.04</v>
      </c>
      <c r="O1156" s="9" t="n">
        <v>1058.28</v>
      </c>
      <c r="P1156" s="9" t="n">
        <v>1075.22</v>
      </c>
      <c r="Q1156" s="9" t="n">
        <v>1035.83</v>
      </c>
      <c r="R1156" s="9" t="n">
        <v>1294.66</v>
      </c>
      <c r="S1156" s="9" t="n">
        <v>1173.25</v>
      </c>
      <c r="T1156" s="9" t="n">
        <v>1099.26</v>
      </c>
      <c r="U1156" s="10">
        <f>SUM(I1156:T1156)</f>
        <v/>
      </c>
    </row>
    <row r="1157">
      <c r="A1157" s="2" t="inlineStr">
        <is>
          <t>SN-3000-3300-3330-3330FE0017</t>
        </is>
      </c>
      <c r="B1157" s="2" t="inlineStr">
        <is>
          <t>3330FE0017</t>
        </is>
      </c>
      <c r="C1157" s="2" t="inlineStr">
        <is>
          <t>Transportador tornillo precapa</t>
        </is>
      </c>
      <c r="D1157" s="2" t="n">
        <v>386</v>
      </c>
      <c r="E1157" s="2" t="inlineStr">
        <is>
          <t>CC-3000</t>
        </is>
      </c>
      <c r="F1157" s="2" t="inlineStr">
        <is>
          <t>P01</t>
        </is>
      </c>
      <c r="G1157" s="2" t="n">
        <v>610000</v>
      </c>
      <c r="H1157" s="2" t="inlineStr">
        <is>
          <t>Mano obra interna</t>
        </is>
      </c>
      <c r="I1157" s="9" t="n">
        <v>447.95</v>
      </c>
      <c r="J1157" s="9" t="n">
        <v>402.75</v>
      </c>
      <c r="K1157" s="9" t="n">
        <v>397.43</v>
      </c>
      <c r="L1157" s="9" t="n">
        <v>417.56</v>
      </c>
      <c r="M1157" s="9" t="n">
        <v>398.99</v>
      </c>
      <c r="N1157" s="9" t="n">
        <v>398.15</v>
      </c>
      <c r="O1157" s="9" t="n">
        <v>407.48</v>
      </c>
      <c r="P1157" s="9" t="n">
        <v>379.28</v>
      </c>
      <c r="Q1157" s="9" t="n">
        <v>413.16</v>
      </c>
      <c r="R1157" s="9" t="n">
        <v>446.68</v>
      </c>
      <c r="S1157" s="9" t="n">
        <v>396.52</v>
      </c>
      <c r="T1157" s="9" t="n">
        <v>447.8</v>
      </c>
      <c r="U1157" s="10">
        <f>SUM(I1157:T1157)</f>
        <v/>
      </c>
    </row>
    <row r="1158">
      <c r="A1158" s="2" t="inlineStr">
        <is>
          <t>SN-3000-3300-3330-3330FE0017</t>
        </is>
      </c>
      <c r="B1158" s="2" t="inlineStr">
        <is>
          <t>3330FE0017</t>
        </is>
      </c>
      <c r="C1158" s="2" t="inlineStr">
        <is>
          <t>Transportador tornillo precapa</t>
        </is>
      </c>
      <c r="D1158" s="2" t="n">
        <v>386</v>
      </c>
      <c r="E1158" s="2" t="inlineStr">
        <is>
          <t>CC-3000</t>
        </is>
      </c>
      <c r="F1158" s="2" t="inlineStr">
        <is>
          <t>P01</t>
        </is>
      </c>
      <c r="G1158" s="2" t="n">
        <v>620000</v>
      </c>
      <c r="H1158" s="2" t="inlineStr">
        <is>
          <t>Materiales</t>
        </is>
      </c>
      <c r="I1158" s="9" t="n">
        <v>335.77</v>
      </c>
      <c r="J1158" s="9" t="n">
        <v>357.68</v>
      </c>
      <c r="K1158" s="9" t="n">
        <v>343.41</v>
      </c>
      <c r="L1158" s="9" t="n">
        <v>370.69</v>
      </c>
      <c r="M1158" s="9" t="n">
        <v>330.02</v>
      </c>
      <c r="N1158" s="9" t="n">
        <v>306.2</v>
      </c>
      <c r="O1158" s="9" t="n">
        <v>347.22</v>
      </c>
      <c r="P1158" s="9" t="n">
        <v>329.08</v>
      </c>
      <c r="Q1158" s="9" t="n">
        <v>335.49</v>
      </c>
      <c r="R1158" s="9" t="n">
        <v>381.7</v>
      </c>
      <c r="S1158" s="9" t="n">
        <v>357.78</v>
      </c>
      <c r="T1158" s="9" t="n">
        <v>367.17</v>
      </c>
      <c r="U1158" s="10">
        <f>SUM(I1158:T1158)</f>
        <v/>
      </c>
    </row>
    <row r="1159">
      <c r="A1159" s="2" t="inlineStr">
        <is>
          <t>SN-3000-3300-3330-3330FE0017</t>
        </is>
      </c>
      <c r="B1159" s="2" t="inlineStr">
        <is>
          <t>3330FE0017</t>
        </is>
      </c>
      <c r="C1159" s="2" t="inlineStr">
        <is>
          <t>Transportador tornillo precapa</t>
        </is>
      </c>
      <c r="D1159" s="2" t="n">
        <v>386</v>
      </c>
      <c r="E1159" s="2" t="inlineStr">
        <is>
          <t>CC-3000</t>
        </is>
      </c>
      <c r="F1159" s="2" t="inlineStr">
        <is>
          <t>P01</t>
        </is>
      </c>
      <c r="G1159" s="2" t="n">
        <v>630000</v>
      </c>
      <c r="H1159" s="2" t="inlineStr">
        <is>
          <t>Servicios externos</t>
        </is>
      </c>
      <c r="I1159" s="9" t="n">
        <v>373.87</v>
      </c>
      <c r="J1159" s="9" t="n">
        <v>351.96</v>
      </c>
      <c r="K1159" s="9" t="n">
        <v>370.25</v>
      </c>
      <c r="L1159" s="9" t="n">
        <v>376.14</v>
      </c>
      <c r="M1159" s="9" t="n">
        <v>349.92</v>
      </c>
      <c r="N1159" s="9" t="n">
        <v>332.28</v>
      </c>
      <c r="O1159" s="9" t="n">
        <v>357.25</v>
      </c>
      <c r="P1159" s="9" t="n">
        <v>337.9</v>
      </c>
      <c r="Q1159" s="9" t="n">
        <v>308.78</v>
      </c>
      <c r="R1159" s="9" t="n">
        <v>383.89</v>
      </c>
      <c r="S1159" s="9" t="n">
        <v>323.89</v>
      </c>
      <c r="T1159" s="9" t="n">
        <v>330.8</v>
      </c>
      <c r="U1159" s="10">
        <f>SUM(I1159:T1159)</f>
        <v/>
      </c>
    </row>
    <row r="1160">
      <c r="A1160" s="2" t="inlineStr">
        <is>
          <t>SN-3000-3300-3330-3330FE0018</t>
        </is>
      </c>
      <c r="B1160" s="2" t="inlineStr">
        <is>
          <t>3330FE0018</t>
        </is>
      </c>
      <c r="C1160" s="2" t="inlineStr">
        <is>
          <t>Tornillo alimentación nitrato de plomo</t>
        </is>
      </c>
      <c r="D1160" s="2" t="n">
        <v>387</v>
      </c>
      <c r="E1160" s="2" t="inlineStr">
        <is>
          <t>CC-3000</t>
        </is>
      </c>
      <c r="F1160" s="2" t="inlineStr">
        <is>
          <t>P01</t>
        </is>
      </c>
      <c r="G1160" s="2" t="n">
        <v>610000</v>
      </c>
      <c r="H1160" s="2" t="inlineStr">
        <is>
          <t>Mano obra interna</t>
        </is>
      </c>
      <c r="I1160" s="9" t="n">
        <v>720.1799999999999</v>
      </c>
      <c r="J1160" s="9" t="n">
        <v>667.89</v>
      </c>
      <c r="K1160" s="9" t="n">
        <v>744.28</v>
      </c>
      <c r="L1160" s="9" t="n">
        <v>694.59</v>
      </c>
      <c r="M1160" s="9" t="n">
        <v>684.75</v>
      </c>
      <c r="N1160" s="9" t="n">
        <v>653.14</v>
      </c>
      <c r="O1160" s="9" t="n">
        <v>710.49</v>
      </c>
      <c r="P1160" s="9" t="n">
        <v>676.99</v>
      </c>
      <c r="Q1160" s="9" t="n">
        <v>693.42</v>
      </c>
      <c r="R1160" s="9" t="n">
        <v>800.03</v>
      </c>
      <c r="S1160" s="9" t="n">
        <v>708.6900000000001</v>
      </c>
      <c r="T1160" s="9" t="n">
        <v>751.08</v>
      </c>
      <c r="U1160" s="10">
        <f>SUM(I1160:T1160)</f>
        <v/>
      </c>
    </row>
    <row r="1161">
      <c r="A1161" s="2" t="inlineStr">
        <is>
          <t>SN-3000-3300-3330-3330FE0018</t>
        </is>
      </c>
      <c r="B1161" s="2" t="inlineStr">
        <is>
          <t>3330FE0018</t>
        </is>
      </c>
      <c r="C1161" s="2" t="inlineStr">
        <is>
          <t>Tornillo alimentación nitrato de plomo</t>
        </is>
      </c>
      <c r="D1161" s="2" t="n">
        <v>387</v>
      </c>
      <c r="E1161" s="2" t="inlineStr">
        <is>
          <t>CC-3000</t>
        </is>
      </c>
      <c r="F1161" s="2" t="inlineStr">
        <is>
          <t>P01</t>
        </is>
      </c>
      <c r="G1161" s="2" t="n">
        <v>620000</v>
      </c>
      <c r="H1161" s="2" t="inlineStr">
        <is>
          <t>Materiales</t>
        </is>
      </c>
      <c r="I1161" s="9" t="n">
        <v>794.45</v>
      </c>
      <c r="J1161" s="9" t="n">
        <v>791.52</v>
      </c>
      <c r="K1161" s="9" t="n">
        <v>823.25</v>
      </c>
      <c r="L1161" s="9" t="n">
        <v>840.21</v>
      </c>
      <c r="M1161" s="9" t="n">
        <v>792.22</v>
      </c>
      <c r="N1161" s="9" t="n">
        <v>798.66</v>
      </c>
      <c r="O1161" s="9" t="n">
        <v>755.3099999999999</v>
      </c>
      <c r="P1161" s="9" t="n">
        <v>814.34</v>
      </c>
      <c r="Q1161" s="9" t="n">
        <v>743.01</v>
      </c>
      <c r="R1161" s="9" t="n">
        <v>859.95</v>
      </c>
      <c r="S1161" s="9" t="n">
        <v>728.14</v>
      </c>
      <c r="T1161" s="9" t="n">
        <v>821.09</v>
      </c>
      <c r="U1161" s="10">
        <f>SUM(I1161:T1161)</f>
        <v/>
      </c>
    </row>
    <row r="1162">
      <c r="A1162" s="2" t="inlineStr">
        <is>
          <t>SN-3000-3300-3330-3330FE0018</t>
        </is>
      </c>
      <c r="B1162" s="2" t="inlineStr">
        <is>
          <t>3330FE0018</t>
        </is>
      </c>
      <c r="C1162" s="2" t="inlineStr">
        <is>
          <t>Tornillo alimentación nitrato de plomo</t>
        </is>
      </c>
      <c r="D1162" s="2" t="n">
        <v>387</v>
      </c>
      <c r="E1162" s="2" t="inlineStr">
        <is>
          <t>CC-3000</t>
        </is>
      </c>
      <c r="F1162" s="2" t="inlineStr">
        <is>
          <t>P01</t>
        </is>
      </c>
      <c r="G1162" s="2" t="n">
        <v>630000</v>
      </c>
      <c r="H1162" s="2" t="inlineStr">
        <is>
          <t>Servicios externos</t>
        </is>
      </c>
      <c r="I1162" s="9" t="n">
        <v>878.3200000000001</v>
      </c>
      <c r="J1162" s="9" t="n">
        <v>905.13</v>
      </c>
      <c r="K1162" s="9" t="n">
        <v>913.4299999999999</v>
      </c>
      <c r="L1162" s="9" t="n">
        <v>992.95</v>
      </c>
      <c r="M1162" s="9" t="n">
        <v>888.62</v>
      </c>
      <c r="N1162" s="9" t="n">
        <v>823.9400000000001</v>
      </c>
      <c r="O1162" s="9" t="n">
        <v>884.33</v>
      </c>
      <c r="P1162" s="9" t="n">
        <v>922.45</v>
      </c>
      <c r="Q1162" s="9" t="n">
        <v>781.8</v>
      </c>
      <c r="R1162" s="9" t="n">
        <v>987.72</v>
      </c>
      <c r="S1162" s="9" t="n">
        <v>932.36</v>
      </c>
      <c r="T1162" s="9" t="n">
        <v>965.59</v>
      </c>
      <c r="U1162" s="10">
        <f>SUM(I1162:T1162)</f>
        <v/>
      </c>
    </row>
    <row r="1163">
      <c r="A1163" s="2" t="inlineStr">
        <is>
          <t>SN-3000-3300-3330-3330FL0001</t>
        </is>
      </c>
      <c r="B1163" s="2" t="inlineStr">
        <is>
          <t>3330FL0001</t>
        </is>
      </c>
      <c r="C1163" s="2" t="inlineStr">
        <is>
          <t>Filtro clarificador 1</t>
        </is>
      </c>
      <c r="D1163" s="2" t="n">
        <v>388</v>
      </c>
      <c r="E1163" s="2" t="inlineStr">
        <is>
          <t>CC-3000</t>
        </is>
      </c>
      <c r="F1163" s="2" t="inlineStr">
        <is>
          <t>P01</t>
        </is>
      </c>
      <c r="G1163" s="2" t="n">
        <v>610000</v>
      </c>
      <c r="H1163" s="2" t="inlineStr">
        <is>
          <t>Mano obra interna</t>
        </is>
      </c>
      <c r="I1163" s="9" t="n">
        <v>1789.92</v>
      </c>
      <c r="J1163" s="9" t="n">
        <v>1651.36</v>
      </c>
      <c r="K1163" s="9" t="n">
        <v>1585.91</v>
      </c>
      <c r="L1163" s="9" t="n">
        <v>1531.33</v>
      </c>
      <c r="M1163" s="9" t="n">
        <v>1523.69</v>
      </c>
      <c r="N1163" s="9" t="n">
        <v>1637.76</v>
      </c>
      <c r="O1163" s="9" t="n">
        <v>1501.38</v>
      </c>
      <c r="P1163" s="9" t="n">
        <v>1554.54</v>
      </c>
      <c r="Q1163" s="9" t="n">
        <v>1575.03</v>
      </c>
      <c r="R1163" s="9" t="n">
        <v>1776.68</v>
      </c>
      <c r="S1163" s="9" t="n">
        <v>1644.35</v>
      </c>
      <c r="T1163" s="9" t="n">
        <v>1714.16</v>
      </c>
      <c r="U1163" s="10">
        <f>SUM(I1163:T1163)</f>
        <v/>
      </c>
    </row>
    <row r="1164">
      <c r="A1164" s="2" t="inlineStr">
        <is>
          <t>SN-3000-3300-3330-3330FL0001</t>
        </is>
      </c>
      <c r="B1164" s="2" t="inlineStr">
        <is>
          <t>3330FL0001</t>
        </is>
      </c>
      <c r="C1164" s="2" t="inlineStr">
        <is>
          <t>Filtro clarificador 1</t>
        </is>
      </c>
      <c r="D1164" s="2" t="n">
        <v>388</v>
      </c>
      <c r="E1164" s="2" t="inlineStr">
        <is>
          <t>CC-3000</t>
        </is>
      </c>
      <c r="F1164" s="2" t="inlineStr">
        <is>
          <t>P01</t>
        </is>
      </c>
      <c r="G1164" s="2" t="n">
        <v>620000</v>
      </c>
      <c r="H1164" s="2" t="inlineStr">
        <is>
          <t>Materiales</t>
        </is>
      </c>
      <c r="I1164" s="9" t="n">
        <v>1684.03</v>
      </c>
      <c r="J1164" s="9" t="n">
        <v>1461.89</v>
      </c>
      <c r="K1164" s="9" t="n">
        <v>1614.95</v>
      </c>
      <c r="L1164" s="9" t="n">
        <v>1623</v>
      </c>
      <c r="M1164" s="9" t="n">
        <v>1454.66</v>
      </c>
      <c r="N1164" s="9" t="n">
        <v>1597.04</v>
      </c>
      <c r="O1164" s="9" t="n">
        <v>1549.92</v>
      </c>
      <c r="P1164" s="9" t="n">
        <v>1441.22</v>
      </c>
      <c r="Q1164" s="9" t="n">
        <v>1545.95</v>
      </c>
      <c r="R1164" s="9" t="n">
        <v>1696.99</v>
      </c>
      <c r="S1164" s="9" t="n">
        <v>1550.48</v>
      </c>
      <c r="T1164" s="9" t="n">
        <v>1581.55</v>
      </c>
      <c r="U1164" s="10">
        <f>SUM(I1164:T1164)</f>
        <v/>
      </c>
    </row>
    <row r="1165">
      <c r="A1165" s="2" t="inlineStr">
        <is>
          <t>SN-3000-3300-3330-3330FL0001</t>
        </is>
      </c>
      <c r="B1165" s="2" t="inlineStr">
        <is>
          <t>3330FL0001</t>
        </is>
      </c>
      <c r="C1165" s="2" t="inlineStr">
        <is>
          <t>Filtro clarificador 1</t>
        </is>
      </c>
      <c r="D1165" s="2" t="n">
        <v>388</v>
      </c>
      <c r="E1165" s="2" t="inlineStr">
        <is>
          <t>CC-3000</t>
        </is>
      </c>
      <c r="F1165" s="2" t="inlineStr">
        <is>
          <t>P01</t>
        </is>
      </c>
      <c r="G1165" s="2" t="n">
        <v>630000</v>
      </c>
      <c r="H1165" s="2" t="inlineStr">
        <is>
          <t>Servicios externos</t>
        </is>
      </c>
      <c r="I1165" s="9" t="n">
        <v>1915.1</v>
      </c>
      <c r="J1165" s="9" t="n">
        <v>1922.74</v>
      </c>
      <c r="K1165" s="9" t="n">
        <v>2081.43</v>
      </c>
      <c r="L1165" s="9" t="n">
        <v>1931.76</v>
      </c>
      <c r="M1165" s="9" t="n">
        <v>2072.57</v>
      </c>
      <c r="N1165" s="9" t="n">
        <v>1905.39</v>
      </c>
      <c r="O1165" s="9" t="n">
        <v>1954.58</v>
      </c>
      <c r="P1165" s="9" t="n">
        <v>1864.95</v>
      </c>
      <c r="Q1165" s="9" t="n">
        <v>1953.68</v>
      </c>
      <c r="R1165" s="9" t="n">
        <v>2303.22</v>
      </c>
      <c r="S1165" s="9" t="n">
        <v>1929.73</v>
      </c>
      <c r="T1165" s="9" t="n">
        <v>2078.68</v>
      </c>
      <c r="U1165" s="10">
        <f>SUM(I1165:T1165)</f>
        <v/>
      </c>
    </row>
    <row r="1166">
      <c r="A1166" s="2" t="inlineStr">
        <is>
          <t>SN-3000-3300-3330-3330FL0002</t>
        </is>
      </c>
      <c r="B1166" s="2" t="inlineStr">
        <is>
          <t>3330FL0002</t>
        </is>
      </c>
      <c r="C1166" s="2" t="inlineStr">
        <is>
          <t>Filtro clarificador 2</t>
        </is>
      </c>
      <c r="D1166" s="2" t="n">
        <v>389</v>
      </c>
      <c r="E1166" s="2" t="inlineStr">
        <is>
          <t>CC-3000</t>
        </is>
      </c>
      <c r="F1166" s="2" t="inlineStr">
        <is>
          <t>P01</t>
        </is>
      </c>
      <c r="G1166" s="2" t="n">
        <v>610000</v>
      </c>
      <c r="H1166" s="2" t="inlineStr">
        <is>
          <t>Mano obra interna</t>
        </is>
      </c>
      <c r="I1166" s="9" t="n">
        <v>2082.05</v>
      </c>
      <c r="J1166" s="9" t="n">
        <v>1816.35</v>
      </c>
      <c r="K1166" s="9" t="n">
        <v>2059.97</v>
      </c>
      <c r="L1166" s="9" t="n">
        <v>2091.7</v>
      </c>
      <c r="M1166" s="9" t="n">
        <v>2112.2</v>
      </c>
      <c r="N1166" s="9" t="n">
        <v>1876.23</v>
      </c>
      <c r="O1166" s="9" t="n">
        <v>2086.25</v>
      </c>
      <c r="P1166" s="9" t="n">
        <v>2030.17</v>
      </c>
      <c r="Q1166" s="9" t="n">
        <v>1989.37</v>
      </c>
      <c r="R1166" s="9" t="n">
        <v>2122.23</v>
      </c>
      <c r="S1166" s="9" t="n">
        <v>1880.48</v>
      </c>
      <c r="T1166" s="9" t="n">
        <v>2155.88</v>
      </c>
      <c r="U1166" s="10">
        <f>SUM(I1166:T1166)</f>
        <v/>
      </c>
    </row>
    <row r="1167">
      <c r="A1167" s="2" t="inlineStr">
        <is>
          <t>SN-3000-3300-3330-3330FL0002</t>
        </is>
      </c>
      <c r="B1167" s="2" t="inlineStr">
        <is>
          <t>3330FL0002</t>
        </is>
      </c>
      <c r="C1167" s="2" t="inlineStr">
        <is>
          <t>Filtro clarificador 2</t>
        </is>
      </c>
      <c r="D1167" s="2" t="n">
        <v>389</v>
      </c>
      <c r="E1167" s="2" t="inlineStr">
        <is>
          <t>CC-3000</t>
        </is>
      </c>
      <c r="F1167" s="2" t="inlineStr">
        <is>
          <t>P01</t>
        </is>
      </c>
      <c r="G1167" s="2" t="n">
        <v>620000</v>
      </c>
      <c r="H1167" s="2" t="inlineStr">
        <is>
          <t>Materiales</t>
        </is>
      </c>
      <c r="I1167" s="9" t="n">
        <v>1809.33</v>
      </c>
      <c r="J1167" s="9" t="n">
        <v>1729.54</v>
      </c>
      <c r="K1167" s="9" t="n">
        <v>2047.99</v>
      </c>
      <c r="L1167" s="9" t="n">
        <v>1772.75</v>
      </c>
      <c r="M1167" s="9" t="n">
        <v>1970.17</v>
      </c>
      <c r="N1167" s="9" t="n">
        <v>1785.16</v>
      </c>
      <c r="O1167" s="9" t="n">
        <v>1733.31</v>
      </c>
      <c r="P1167" s="9" t="n">
        <v>1850.87</v>
      </c>
      <c r="Q1167" s="9" t="n">
        <v>1664</v>
      </c>
      <c r="R1167" s="9" t="n">
        <v>2069.85</v>
      </c>
      <c r="S1167" s="9" t="n">
        <v>1874.05</v>
      </c>
      <c r="T1167" s="9" t="n">
        <v>1906</v>
      </c>
      <c r="U1167" s="10">
        <f>SUM(I1167:T1167)</f>
        <v/>
      </c>
    </row>
    <row r="1168">
      <c r="A1168" s="2" t="inlineStr">
        <is>
          <t>SN-3000-3300-3330-3330FL0002</t>
        </is>
      </c>
      <c r="B1168" s="2" t="inlineStr">
        <is>
          <t>3330FL0002</t>
        </is>
      </c>
      <c r="C1168" s="2" t="inlineStr">
        <is>
          <t>Filtro clarificador 2</t>
        </is>
      </c>
      <c r="D1168" s="2" t="n">
        <v>389</v>
      </c>
      <c r="E1168" s="2" t="inlineStr">
        <is>
          <t>CC-3000</t>
        </is>
      </c>
      <c r="F1168" s="2" t="inlineStr">
        <is>
          <t>P01</t>
        </is>
      </c>
      <c r="G1168" s="2" t="n">
        <v>630000</v>
      </c>
      <c r="H1168" s="2" t="inlineStr">
        <is>
          <t>Servicios externos</t>
        </is>
      </c>
      <c r="I1168" s="9" t="n">
        <v>1902.41</v>
      </c>
      <c r="J1168" s="9" t="n">
        <v>1888.61</v>
      </c>
      <c r="K1168" s="9" t="n">
        <v>1941.79</v>
      </c>
      <c r="L1168" s="9" t="n">
        <v>1956.33</v>
      </c>
      <c r="M1168" s="9" t="n">
        <v>1713.12</v>
      </c>
      <c r="N1168" s="9" t="n">
        <v>1846.43</v>
      </c>
      <c r="O1168" s="9" t="n">
        <v>1767.22</v>
      </c>
      <c r="P1168" s="9" t="n">
        <v>1675.34</v>
      </c>
      <c r="Q1168" s="9" t="n">
        <v>1785.46</v>
      </c>
      <c r="R1168" s="9" t="n">
        <v>2099.34</v>
      </c>
      <c r="S1168" s="9" t="n">
        <v>1803.89</v>
      </c>
      <c r="T1168" s="9" t="n">
        <v>1765.85</v>
      </c>
      <c r="U1168" s="10">
        <f>SUM(I1168:T1168)</f>
        <v/>
      </c>
    </row>
    <row r="1169">
      <c r="A1169" s="2" t="inlineStr">
        <is>
          <t>SN-3000-3300-3330-3330FL0003</t>
        </is>
      </c>
      <c r="B1169" s="2" t="inlineStr">
        <is>
          <t>3330FL0003</t>
        </is>
      </c>
      <c r="C1169" s="2" t="inlineStr">
        <is>
          <t>Filtro clarificador 3</t>
        </is>
      </c>
      <c r="D1169" s="2" t="n">
        <v>390</v>
      </c>
      <c r="E1169" s="2" t="inlineStr">
        <is>
          <t>CC-3000</t>
        </is>
      </c>
      <c r="F1169" s="2" t="inlineStr">
        <is>
          <t>P01</t>
        </is>
      </c>
      <c r="G1169" s="2" t="n">
        <v>610000</v>
      </c>
      <c r="H1169" s="2" t="inlineStr">
        <is>
          <t>Mano obra interna</t>
        </is>
      </c>
      <c r="I1169" s="9" t="n">
        <v>789.62</v>
      </c>
      <c r="J1169" s="9" t="n">
        <v>814.63</v>
      </c>
      <c r="K1169" s="9" t="n">
        <v>757.29</v>
      </c>
      <c r="L1169" s="9" t="n">
        <v>836.25</v>
      </c>
      <c r="M1169" s="9" t="n">
        <v>743.91</v>
      </c>
      <c r="N1169" s="9" t="n">
        <v>780.2</v>
      </c>
      <c r="O1169" s="9" t="n">
        <v>830.3200000000001</v>
      </c>
      <c r="P1169" s="9" t="n">
        <v>768.0599999999999</v>
      </c>
      <c r="Q1169" s="9" t="n">
        <v>708.27</v>
      </c>
      <c r="R1169" s="9" t="n">
        <v>879.2</v>
      </c>
      <c r="S1169" s="9" t="n">
        <v>756.37</v>
      </c>
      <c r="T1169" s="9" t="n">
        <v>812.49</v>
      </c>
      <c r="U1169" s="10">
        <f>SUM(I1169:T1169)</f>
        <v/>
      </c>
    </row>
    <row r="1170">
      <c r="A1170" s="2" t="inlineStr">
        <is>
          <t>SN-3000-3300-3330-3330FL0003</t>
        </is>
      </c>
      <c r="B1170" s="2" t="inlineStr">
        <is>
          <t>3330FL0003</t>
        </is>
      </c>
      <c r="C1170" s="2" t="inlineStr">
        <is>
          <t>Filtro clarificador 3</t>
        </is>
      </c>
      <c r="D1170" s="2" t="n">
        <v>390</v>
      </c>
      <c r="E1170" s="2" t="inlineStr">
        <is>
          <t>CC-3000</t>
        </is>
      </c>
      <c r="F1170" s="2" t="inlineStr">
        <is>
          <t>P01</t>
        </is>
      </c>
      <c r="G1170" s="2" t="n">
        <v>620000</v>
      </c>
      <c r="H1170" s="2" t="inlineStr">
        <is>
          <t>Materiales</t>
        </is>
      </c>
      <c r="I1170" s="9" t="n">
        <v>825.62</v>
      </c>
      <c r="J1170" s="9" t="n">
        <v>889.87</v>
      </c>
      <c r="K1170" s="9" t="n">
        <v>840.41</v>
      </c>
      <c r="L1170" s="9" t="n">
        <v>935.72</v>
      </c>
      <c r="M1170" s="9" t="n">
        <v>813.64</v>
      </c>
      <c r="N1170" s="9" t="n">
        <v>849.33</v>
      </c>
      <c r="O1170" s="9" t="n">
        <v>827.1799999999999</v>
      </c>
      <c r="P1170" s="9" t="n">
        <v>830.73</v>
      </c>
      <c r="Q1170" s="9" t="n">
        <v>772.89</v>
      </c>
      <c r="R1170" s="9" t="n">
        <v>960.1</v>
      </c>
      <c r="S1170" s="9" t="n">
        <v>836.5</v>
      </c>
      <c r="T1170" s="9" t="n">
        <v>922.28</v>
      </c>
      <c r="U1170" s="10">
        <f>SUM(I1170:T1170)</f>
        <v/>
      </c>
    </row>
    <row r="1171">
      <c r="A1171" s="2" t="inlineStr">
        <is>
          <t>SN-3000-3300-3330-3330FL0003</t>
        </is>
      </c>
      <c r="B1171" s="2" t="inlineStr">
        <is>
          <t>3330FL0003</t>
        </is>
      </c>
      <c r="C1171" s="2" t="inlineStr">
        <is>
          <t>Filtro clarificador 3</t>
        </is>
      </c>
      <c r="D1171" s="2" t="n">
        <v>390</v>
      </c>
      <c r="E1171" s="2" t="inlineStr">
        <is>
          <t>CC-3000</t>
        </is>
      </c>
      <c r="F1171" s="2" t="inlineStr">
        <is>
          <t>P01</t>
        </is>
      </c>
      <c r="G1171" s="2" t="n">
        <v>630000</v>
      </c>
      <c r="H1171" s="2" t="inlineStr">
        <is>
          <t>Servicios externos</t>
        </is>
      </c>
      <c r="I1171" s="9" t="n">
        <v>818.13</v>
      </c>
      <c r="J1171" s="9" t="n">
        <v>796.76</v>
      </c>
      <c r="K1171" s="9" t="n">
        <v>757.41</v>
      </c>
      <c r="L1171" s="9" t="n">
        <v>782.04</v>
      </c>
      <c r="M1171" s="9" t="n">
        <v>767.38</v>
      </c>
      <c r="N1171" s="9" t="n">
        <v>726.22</v>
      </c>
      <c r="O1171" s="9" t="n">
        <v>755.75</v>
      </c>
      <c r="P1171" s="9" t="n">
        <v>800.14</v>
      </c>
      <c r="Q1171" s="9" t="n">
        <v>690.89</v>
      </c>
      <c r="R1171" s="9" t="n">
        <v>866.61</v>
      </c>
      <c r="S1171" s="9" t="n">
        <v>805.1</v>
      </c>
      <c r="T1171" s="9" t="n">
        <v>797.3200000000001</v>
      </c>
      <c r="U1171" s="10">
        <f>SUM(I1171:T1171)</f>
        <v/>
      </c>
    </row>
    <row r="1172">
      <c r="A1172" s="2" t="inlineStr">
        <is>
          <t>SN-3000-3300-3330-3330FL0004</t>
        </is>
      </c>
      <c r="B1172" s="2" t="inlineStr">
        <is>
          <t>3330FL0004</t>
        </is>
      </c>
      <c r="C1172" s="2" t="inlineStr">
        <is>
          <t>Filtro precipitado 1</t>
        </is>
      </c>
      <c r="D1172" s="2" t="n">
        <v>391</v>
      </c>
      <c r="E1172" s="2" t="inlineStr">
        <is>
          <t>CC-3000</t>
        </is>
      </c>
      <c r="F1172" s="2" t="inlineStr">
        <is>
          <t>P01</t>
        </is>
      </c>
      <c r="G1172" s="2" t="n">
        <v>610000</v>
      </c>
      <c r="H1172" s="2" t="inlineStr">
        <is>
          <t>Mano obra interna</t>
        </is>
      </c>
      <c r="I1172" s="9" t="n">
        <v>869.6</v>
      </c>
      <c r="J1172" s="9" t="n">
        <v>953.65</v>
      </c>
      <c r="K1172" s="9" t="n">
        <v>911.5</v>
      </c>
      <c r="L1172" s="9" t="n">
        <v>952.33</v>
      </c>
      <c r="M1172" s="9" t="n">
        <v>974.9</v>
      </c>
      <c r="N1172" s="9" t="n">
        <v>888.12</v>
      </c>
      <c r="O1172" s="9" t="n">
        <v>948.28</v>
      </c>
      <c r="P1172" s="9" t="n">
        <v>906.27</v>
      </c>
      <c r="Q1172" s="9" t="n">
        <v>791.8</v>
      </c>
      <c r="R1172" s="9" t="n">
        <v>1033.69</v>
      </c>
      <c r="S1172" s="9" t="n">
        <v>819.83</v>
      </c>
      <c r="T1172" s="9" t="n">
        <v>958.35</v>
      </c>
      <c r="U1172" s="10">
        <f>SUM(I1172:T1172)</f>
        <v/>
      </c>
    </row>
    <row r="1173">
      <c r="A1173" s="2" t="inlineStr">
        <is>
          <t>SN-3000-3300-3330-3330FL0004</t>
        </is>
      </c>
      <c r="B1173" s="2" t="inlineStr">
        <is>
          <t>3330FL0004</t>
        </is>
      </c>
      <c r="C1173" s="2" t="inlineStr">
        <is>
          <t>Filtro precipitado 1</t>
        </is>
      </c>
      <c r="D1173" s="2" t="n">
        <v>391</v>
      </c>
      <c r="E1173" s="2" t="inlineStr">
        <is>
          <t>CC-3000</t>
        </is>
      </c>
      <c r="F1173" s="2" t="inlineStr">
        <is>
          <t>P01</t>
        </is>
      </c>
      <c r="G1173" s="2" t="n">
        <v>620000</v>
      </c>
      <c r="H1173" s="2" t="inlineStr">
        <is>
          <t>Materiales</t>
        </is>
      </c>
      <c r="I1173" s="9" t="n">
        <v>804.84</v>
      </c>
      <c r="J1173" s="9" t="n">
        <v>693.72</v>
      </c>
      <c r="K1173" s="9" t="n">
        <v>770.54</v>
      </c>
      <c r="L1173" s="9" t="n">
        <v>773.47</v>
      </c>
      <c r="M1173" s="9" t="n">
        <v>732.49</v>
      </c>
      <c r="N1173" s="9" t="n">
        <v>694.3099999999999</v>
      </c>
      <c r="O1173" s="9" t="n">
        <v>741.7</v>
      </c>
      <c r="P1173" s="9" t="n">
        <v>722.1799999999999</v>
      </c>
      <c r="Q1173" s="9" t="n">
        <v>686.8200000000001</v>
      </c>
      <c r="R1173" s="9" t="n">
        <v>785.5</v>
      </c>
      <c r="S1173" s="9" t="n">
        <v>729.05</v>
      </c>
      <c r="T1173" s="9" t="n">
        <v>724.5599999999999</v>
      </c>
      <c r="U1173" s="10">
        <f>SUM(I1173:T1173)</f>
        <v/>
      </c>
    </row>
    <row r="1174">
      <c r="A1174" s="2" t="inlineStr">
        <is>
          <t>SN-3000-3300-3330-3330FL0004</t>
        </is>
      </c>
      <c r="B1174" s="2" t="inlineStr">
        <is>
          <t>3330FL0004</t>
        </is>
      </c>
      <c r="C1174" s="2" t="inlineStr">
        <is>
          <t>Filtro precipitado 1</t>
        </is>
      </c>
      <c r="D1174" s="2" t="n">
        <v>391</v>
      </c>
      <c r="E1174" s="2" t="inlineStr">
        <is>
          <t>CC-3000</t>
        </is>
      </c>
      <c r="F1174" s="2" t="inlineStr">
        <is>
          <t>P01</t>
        </is>
      </c>
      <c r="G1174" s="2" t="n">
        <v>630000</v>
      </c>
      <c r="H1174" s="2" t="inlineStr">
        <is>
          <t>Servicios externos</t>
        </is>
      </c>
      <c r="I1174" s="9" t="n">
        <v>1012.18</v>
      </c>
      <c r="J1174" s="9" t="n">
        <v>928.58</v>
      </c>
      <c r="K1174" s="9" t="n">
        <v>1018.99</v>
      </c>
      <c r="L1174" s="9" t="n">
        <v>1072.63</v>
      </c>
      <c r="M1174" s="9" t="n">
        <v>906.05</v>
      </c>
      <c r="N1174" s="9" t="n">
        <v>975.05</v>
      </c>
      <c r="O1174" s="9" t="n">
        <v>999.4299999999999</v>
      </c>
      <c r="P1174" s="9" t="n">
        <v>938.26</v>
      </c>
      <c r="Q1174" s="9" t="n">
        <v>969.72</v>
      </c>
      <c r="R1174" s="9" t="n">
        <v>1046.69</v>
      </c>
      <c r="S1174" s="9" t="n">
        <v>928.05</v>
      </c>
      <c r="T1174" s="9" t="n">
        <v>1058.91</v>
      </c>
      <c r="U1174" s="10">
        <f>SUM(I1174:T1174)</f>
        <v/>
      </c>
    </row>
    <row r="1175">
      <c r="A1175" s="2" t="inlineStr">
        <is>
          <t>SN-3000-3300-3330-3330FL0005</t>
        </is>
      </c>
      <c r="B1175" s="2" t="inlineStr">
        <is>
          <t>3330FL0005</t>
        </is>
      </c>
      <c r="C1175" s="2" t="inlineStr">
        <is>
          <t>Filtro precipitado 2</t>
        </is>
      </c>
      <c r="D1175" s="2" t="n">
        <v>392</v>
      </c>
      <c r="E1175" s="2" t="inlineStr">
        <is>
          <t>CC-3000</t>
        </is>
      </c>
      <c r="F1175" s="2" t="inlineStr">
        <is>
          <t>P01</t>
        </is>
      </c>
      <c r="G1175" s="2" t="n">
        <v>610000</v>
      </c>
      <c r="H1175" s="2" t="inlineStr">
        <is>
          <t>Mano obra interna</t>
        </is>
      </c>
      <c r="I1175" s="9" t="n">
        <v>2337.28</v>
      </c>
      <c r="J1175" s="9" t="n">
        <v>2163.86</v>
      </c>
      <c r="K1175" s="9" t="n">
        <v>2306.06</v>
      </c>
      <c r="L1175" s="9" t="n">
        <v>2318.27</v>
      </c>
      <c r="M1175" s="9" t="n">
        <v>1978.38</v>
      </c>
      <c r="N1175" s="9" t="n">
        <v>2148.73</v>
      </c>
      <c r="O1175" s="9" t="n">
        <v>2192.55</v>
      </c>
      <c r="P1175" s="9" t="n">
        <v>2002.65</v>
      </c>
      <c r="Q1175" s="9" t="n">
        <v>2006.37</v>
      </c>
      <c r="R1175" s="9" t="n">
        <v>2166.13</v>
      </c>
      <c r="S1175" s="9" t="n">
        <v>2162.32</v>
      </c>
      <c r="T1175" s="9" t="n">
        <v>2200.61</v>
      </c>
      <c r="U1175" s="10">
        <f>SUM(I1175:T1175)</f>
        <v/>
      </c>
    </row>
    <row r="1176">
      <c r="A1176" s="2" t="inlineStr">
        <is>
          <t>SN-3000-3300-3330-3330FL0005</t>
        </is>
      </c>
      <c r="B1176" s="2" t="inlineStr">
        <is>
          <t>3330FL0005</t>
        </is>
      </c>
      <c r="C1176" s="2" t="inlineStr">
        <is>
          <t>Filtro precipitado 2</t>
        </is>
      </c>
      <c r="D1176" s="2" t="n">
        <v>392</v>
      </c>
      <c r="E1176" s="2" t="inlineStr">
        <is>
          <t>CC-3000</t>
        </is>
      </c>
      <c r="F1176" s="2" t="inlineStr">
        <is>
          <t>P01</t>
        </is>
      </c>
      <c r="G1176" s="2" t="n">
        <v>620000</v>
      </c>
      <c r="H1176" s="2" t="inlineStr">
        <is>
          <t>Materiales</t>
        </is>
      </c>
      <c r="I1176" s="9" t="n">
        <v>2212.58</v>
      </c>
      <c r="J1176" s="9" t="n">
        <v>2286.73</v>
      </c>
      <c r="K1176" s="9" t="n">
        <v>2246.7</v>
      </c>
      <c r="L1176" s="9" t="n">
        <v>2376.07</v>
      </c>
      <c r="M1176" s="9" t="n">
        <v>2340.03</v>
      </c>
      <c r="N1176" s="9" t="n">
        <v>2260.49</v>
      </c>
      <c r="O1176" s="9" t="n">
        <v>2399.34</v>
      </c>
      <c r="P1176" s="9" t="n">
        <v>2410.51</v>
      </c>
      <c r="Q1176" s="9" t="n">
        <v>1981.58</v>
      </c>
      <c r="R1176" s="9" t="n">
        <v>2400.47</v>
      </c>
      <c r="S1176" s="9" t="n">
        <v>2276.41</v>
      </c>
      <c r="T1176" s="9" t="n">
        <v>2316.53</v>
      </c>
      <c r="U1176" s="10">
        <f>SUM(I1176:T1176)</f>
        <v/>
      </c>
    </row>
    <row r="1177">
      <c r="A1177" s="2" t="inlineStr">
        <is>
          <t>SN-3000-3300-3330-3330FL0005</t>
        </is>
      </c>
      <c r="B1177" s="2" t="inlineStr">
        <is>
          <t>3330FL0005</t>
        </is>
      </c>
      <c r="C1177" s="2" t="inlineStr">
        <is>
          <t>Filtro precipitado 2</t>
        </is>
      </c>
      <c r="D1177" s="2" t="n">
        <v>392</v>
      </c>
      <c r="E1177" s="2" t="inlineStr">
        <is>
          <t>CC-3000</t>
        </is>
      </c>
      <c r="F1177" s="2" t="inlineStr">
        <is>
          <t>P01</t>
        </is>
      </c>
      <c r="G1177" s="2" t="n">
        <v>630000</v>
      </c>
      <c r="H1177" s="2" t="inlineStr">
        <is>
          <t>Servicios externos</t>
        </is>
      </c>
      <c r="I1177" s="9" t="n">
        <v>1872.85</v>
      </c>
      <c r="J1177" s="9" t="n">
        <v>1765.18</v>
      </c>
      <c r="K1177" s="9" t="n">
        <v>1843.81</v>
      </c>
      <c r="L1177" s="9" t="n">
        <v>1951.53</v>
      </c>
      <c r="M1177" s="9" t="n">
        <v>1773.83</v>
      </c>
      <c r="N1177" s="9" t="n">
        <v>1607.56</v>
      </c>
      <c r="O1177" s="9" t="n">
        <v>1691.39</v>
      </c>
      <c r="P1177" s="9" t="n">
        <v>1921.53</v>
      </c>
      <c r="Q1177" s="9" t="n">
        <v>1818.32</v>
      </c>
      <c r="R1177" s="9" t="n">
        <v>2021.09</v>
      </c>
      <c r="S1177" s="9" t="n">
        <v>1722.95</v>
      </c>
      <c r="T1177" s="9" t="n">
        <v>1975.84</v>
      </c>
      <c r="U1177" s="10">
        <f>SUM(I1177:T1177)</f>
        <v/>
      </c>
    </row>
    <row r="1178">
      <c r="A1178" s="2" t="inlineStr">
        <is>
          <t>SN-3000-3300-3330-3330FL0006</t>
        </is>
      </c>
      <c r="B1178" s="2" t="inlineStr">
        <is>
          <t>3330FL0006</t>
        </is>
      </c>
      <c r="C1178" s="2" t="inlineStr">
        <is>
          <t>Filtro precipitado 3</t>
        </is>
      </c>
      <c r="D1178" s="2" t="n">
        <v>393</v>
      </c>
      <c r="E1178" s="2" t="inlineStr">
        <is>
          <t>CC-3000</t>
        </is>
      </c>
      <c r="F1178" s="2" t="inlineStr">
        <is>
          <t>P01</t>
        </is>
      </c>
      <c r="G1178" s="2" t="n">
        <v>610000</v>
      </c>
      <c r="H1178" s="2" t="inlineStr">
        <is>
          <t>Mano obra interna</t>
        </is>
      </c>
      <c r="I1178" s="9" t="n">
        <v>3143.59</v>
      </c>
      <c r="J1178" s="9" t="n">
        <v>2996.68</v>
      </c>
      <c r="K1178" s="9" t="n">
        <v>2952.73</v>
      </c>
      <c r="L1178" s="9" t="n">
        <v>2972.78</v>
      </c>
      <c r="M1178" s="9" t="n">
        <v>2743.36</v>
      </c>
      <c r="N1178" s="9" t="n">
        <v>2697.53</v>
      </c>
      <c r="O1178" s="9" t="n">
        <v>3049.86</v>
      </c>
      <c r="P1178" s="9" t="n">
        <v>3100.27</v>
      </c>
      <c r="Q1178" s="9" t="n">
        <v>2814.43</v>
      </c>
      <c r="R1178" s="9" t="n">
        <v>3129.96</v>
      </c>
      <c r="S1178" s="9" t="n">
        <v>2638.47</v>
      </c>
      <c r="T1178" s="9" t="n">
        <v>2751.97</v>
      </c>
      <c r="U1178" s="10">
        <f>SUM(I1178:T1178)</f>
        <v/>
      </c>
    </row>
    <row r="1179">
      <c r="A1179" s="2" t="inlineStr">
        <is>
          <t>SN-3000-3300-3330-3330FL0006</t>
        </is>
      </c>
      <c r="B1179" s="2" t="inlineStr">
        <is>
          <t>3330FL0006</t>
        </is>
      </c>
      <c r="C1179" s="2" t="inlineStr">
        <is>
          <t>Filtro precipitado 3</t>
        </is>
      </c>
      <c r="D1179" s="2" t="n">
        <v>393</v>
      </c>
      <c r="E1179" s="2" t="inlineStr">
        <is>
          <t>CC-3000</t>
        </is>
      </c>
      <c r="F1179" s="2" t="inlineStr">
        <is>
          <t>P01</t>
        </is>
      </c>
      <c r="G1179" s="2" t="n">
        <v>620000</v>
      </c>
      <c r="H1179" s="2" t="inlineStr">
        <is>
          <t>Materiales</t>
        </is>
      </c>
      <c r="I1179" s="9" t="n">
        <v>2619.68</v>
      </c>
      <c r="J1179" s="9" t="n">
        <v>2586.43</v>
      </c>
      <c r="K1179" s="9" t="n">
        <v>2452.54</v>
      </c>
      <c r="L1179" s="9" t="n">
        <v>2844.73</v>
      </c>
      <c r="M1179" s="9" t="n">
        <v>2498.82</v>
      </c>
      <c r="N1179" s="9" t="n">
        <v>2605.17</v>
      </c>
      <c r="O1179" s="9" t="n">
        <v>2596.74</v>
      </c>
      <c r="P1179" s="9" t="n">
        <v>2426.69</v>
      </c>
      <c r="Q1179" s="9" t="n">
        <v>2517.11</v>
      </c>
      <c r="R1179" s="9" t="n">
        <v>2877</v>
      </c>
      <c r="S1179" s="9" t="n">
        <v>2509.66</v>
      </c>
      <c r="T1179" s="9" t="n">
        <v>2625.55</v>
      </c>
      <c r="U1179" s="10">
        <f>SUM(I1179:T1179)</f>
        <v/>
      </c>
    </row>
    <row r="1180">
      <c r="A1180" s="2" t="inlineStr">
        <is>
          <t>SN-3000-3300-3330-3330FL0006</t>
        </is>
      </c>
      <c r="B1180" s="2" t="inlineStr">
        <is>
          <t>3330FL0006</t>
        </is>
      </c>
      <c r="C1180" s="2" t="inlineStr">
        <is>
          <t>Filtro precipitado 3</t>
        </is>
      </c>
      <c r="D1180" s="2" t="n">
        <v>393</v>
      </c>
      <c r="E1180" s="2" t="inlineStr">
        <is>
          <t>CC-3000</t>
        </is>
      </c>
      <c r="F1180" s="2" t="inlineStr">
        <is>
          <t>P01</t>
        </is>
      </c>
      <c r="G1180" s="2" t="n">
        <v>630000</v>
      </c>
      <c r="H1180" s="2" t="inlineStr">
        <is>
          <t>Servicios externos</t>
        </is>
      </c>
      <c r="I1180" s="9" t="n">
        <v>2486.81</v>
      </c>
      <c r="J1180" s="9" t="n">
        <v>2494.79</v>
      </c>
      <c r="K1180" s="9" t="n">
        <v>2292.39</v>
      </c>
      <c r="L1180" s="9" t="n">
        <v>2337.24</v>
      </c>
      <c r="M1180" s="9" t="n">
        <v>2503.59</v>
      </c>
      <c r="N1180" s="9" t="n">
        <v>2193.94</v>
      </c>
      <c r="O1180" s="9" t="n">
        <v>2436.41</v>
      </c>
      <c r="P1180" s="9" t="n">
        <v>2388.22</v>
      </c>
      <c r="Q1180" s="9" t="n">
        <v>2246.57</v>
      </c>
      <c r="R1180" s="9" t="n">
        <v>2528.62</v>
      </c>
      <c r="S1180" s="9" t="n">
        <v>2227.23</v>
      </c>
      <c r="T1180" s="9" t="n">
        <v>2237.82</v>
      </c>
      <c r="U1180" s="10">
        <f>SUM(I1180:T1180)</f>
        <v/>
      </c>
    </row>
    <row r="1181">
      <c r="A1181" s="2" t="inlineStr">
        <is>
          <t>SN-3000-3300-3330-3330FL0007</t>
        </is>
      </c>
      <c r="B1181" s="2" t="inlineStr">
        <is>
          <t>3330FL0007</t>
        </is>
      </c>
      <c r="C1181" s="2" t="inlineStr">
        <is>
          <t>Filtro limpieza</t>
        </is>
      </c>
      <c r="D1181" s="2" t="n">
        <v>394</v>
      </c>
      <c r="E1181" s="2" t="inlineStr">
        <is>
          <t>CC-3000</t>
        </is>
      </c>
      <c r="F1181" s="2" t="inlineStr">
        <is>
          <t>P01</t>
        </is>
      </c>
      <c r="G1181" s="2" t="n">
        <v>610000</v>
      </c>
      <c r="H1181" s="2" t="inlineStr">
        <is>
          <t>Mano obra interna</t>
        </is>
      </c>
      <c r="I1181" s="9" t="n">
        <v>2021.88</v>
      </c>
      <c r="J1181" s="9" t="n">
        <v>1927.98</v>
      </c>
      <c r="K1181" s="9" t="n">
        <v>2011.04</v>
      </c>
      <c r="L1181" s="9" t="n">
        <v>1867.71</v>
      </c>
      <c r="M1181" s="9" t="n">
        <v>1741.73</v>
      </c>
      <c r="N1181" s="9" t="n">
        <v>1911.84</v>
      </c>
      <c r="O1181" s="9" t="n">
        <v>1903.72</v>
      </c>
      <c r="P1181" s="9" t="n">
        <v>1845.29</v>
      </c>
      <c r="Q1181" s="9" t="n">
        <v>1660.87</v>
      </c>
      <c r="R1181" s="9" t="n">
        <v>1911.23</v>
      </c>
      <c r="S1181" s="9" t="n">
        <v>1800.1</v>
      </c>
      <c r="T1181" s="9" t="n">
        <v>2028.15</v>
      </c>
      <c r="U1181" s="10">
        <f>SUM(I1181:T1181)</f>
        <v/>
      </c>
    </row>
    <row r="1182">
      <c r="A1182" s="2" t="inlineStr">
        <is>
          <t>SN-3000-3300-3330-3330FL0007</t>
        </is>
      </c>
      <c r="B1182" s="2" t="inlineStr">
        <is>
          <t>3330FL0007</t>
        </is>
      </c>
      <c r="C1182" s="2" t="inlineStr">
        <is>
          <t>Filtro limpieza</t>
        </is>
      </c>
      <c r="D1182" s="2" t="n">
        <v>394</v>
      </c>
      <c r="E1182" s="2" t="inlineStr">
        <is>
          <t>CC-3000</t>
        </is>
      </c>
      <c r="F1182" s="2" t="inlineStr">
        <is>
          <t>P01</t>
        </is>
      </c>
      <c r="G1182" s="2" t="n">
        <v>620000</v>
      </c>
      <c r="H1182" s="2" t="inlineStr">
        <is>
          <t>Materiales</t>
        </is>
      </c>
      <c r="I1182" s="9" t="n">
        <v>2084.69</v>
      </c>
      <c r="J1182" s="9" t="n">
        <v>2018.24</v>
      </c>
      <c r="K1182" s="9" t="n">
        <v>2110.22</v>
      </c>
      <c r="L1182" s="9" t="n">
        <v>1971.11</v>
      </c>
      <c r="M1182" s="9" t="n">
        <v>1815.05</v>
      </c>
      <c r="N1182" s="9" t="n">
        <v>1923.42</v>
      </c>
      <c r="O1182" s="9" t="n">
        <v>1833.1</v>
      </c>
      <c r="P1182" s="9" t="n">
        <v>1847.32</v>
      </c>
      <c r="Q1182" s="9" t="n">
        <v>1711.21</v>
      </c>
      <c r="R1182" s="9" t="n">
        <v>2075.79</v>
      </c>
      <c r="S1182" s="9" t="n">
        <v>1805.91</v>
      </c>
      <c r="T1182" s="9" t="n">
        <v>1840.9</v>
      </c>
      <c r="U1182" s="10">
        <f>SUM(I1182:T1182)</f>
        <v/>
      </c>
    </row>
    <row r="1183">
      <c r="A1183" s="2" t="inlineStr">
        <is>
          <t>SN-3000-3300-3330-3330FL0007</t>
        </is>
      </c>
      <c r="B1183" s="2" t="inlineStr">
        <is>
          <t>3330FL0007</t>
        </is>
      </c>
      <c r="C1183" s="2" t="inlineStr">
        <is>
          <t>Filtro limpieza</t>
        </is>
      </c>
      <c r="D1183" s="2" t="n">
        <v>394</v>
      </c>
      <c r="E1183" s="2" t="inlineStr">
        <is>
          <t>CC-3000</t>
        </is>
      </c>
      <c r="F1183" s="2" t="inlineStr">
        <is>
          <t>P01</t>
        </is>
      </c>
      <c r="G1183" s="2" t="n">
        <v>630000</v>
      </c>
      <c r="H1183" s="2" t="inlineStr">
        <is>
          <t>Servicios externos</t>
        </is>
      </c>
      <c r="I1183" s="9" t="n">
        <v>1789.51</v>
      </c>
      <c r="J1183" s="9" t="n">
        <v>1647.36</v>
      </c>
      <c r="K1183" s="9" t="n">
        <v>1809.64</v>
      </c>
      <c r="L1183" s="9" t="n">
        <v>1608.22</v>
      </c>
      <c r="M1183" s="9" t="n">
        <v>1549.69</v>
      </c>
      <c r="N1183" s="9" t="n">
        <v>1600.47</v>
      </c>
      <c r="O1183" s="9" t="n">
        <v>1645.06</v>
      </c>
      <c r="P1183" s="9" t="n">
        <v>1695.14</v>
      </c>
      <c r="Q1183" s="9" t="n">
        <v>1612.27</v>
      </c>
      <c r="R1183" s="9" t="n">
        <v>1855.46</v>
      </c>
      <c r="S1183" s="9" t="n">
        <v>1714.5</v>
      </c>
      <c r="T1183" s="9" t="n">
        <v>1651.25</v>
      </c>
      <c r="U1183" s="10">
        <f>SUM(I1183:T1183)</f>
        <v/>
      </c>
    </row>
    <row r="1184">
      <c r="A1184" s="2" t="inlineStr">
        <is>
          <t>SN-3000-3300-3330-3330HO0006</t>
        </is>
      </c>
      <c r="B1184" s="2" t="inlineStr">
        <is>
          <t>3330HO0006</t>
        </is>
      </c>
      <c r="C1184" s="2" t="inlineStr">
        <is>
          <t>Tolva zinc</t>
        </is>
      </c>
      <c r="D1184" s="2" t="n">
        <v>395</v>
      </c>
      <c r="E1184" s="2" t="inlineStr">
        <is>
          <t>CC-3000</t>
        </is>
      </c>
      <c r="F1184" s="2" t="inlineStr">
        <is>
          <t>P01</t>
        </is>
      </c>
      <c r="G1184" s="2" t="n">
        <v>610000</v>
      </c>
      <c r="H1184" s="2" t="inlineStr">
        <is>
          <t>Mano obra interna</t>
        </is>
      </c>
      <c r="I1184" s="9" t="n">
        <v>1334.48</v>
      </c>
      <c r="J1184" s="9" t="n">
        <v>1197.5</v>
      </c>
      <c r="K1184" s="9" t="n">
        <v>1292.5</v>
      </c>
      <c r="L1184" s="9" t="n">
        <v>1263.31</v>
      </c>
      <c r="M1184" s="9" t="n">
        <v>1262.02</v>
      </c>
      <c r="N1184" s="9" t="n">
        <v>1162.59</v>
      </c>
      <c r="O1184" s="9" t="n">
        <v>1200.08</v>
      </c>
      <c r="P1184" s="9" t="n">
        <v>1328.2</v>
      </c>
      <c r="Q1184" s="9" t="n">
        <v>1228.33</v>
      </c>
      <c r="R1184" s="9" t="n">
        <v>1444.98</v>
      </c>
      <c r="S1184" s="9" t="n">
        <v>1287.47</v>
      </c>
      <c r="T1184" s="9" t="n">
        <v>1234.71</v>
      </c>
      <c r="U1184" s="10">
        <f>SUM(I1184:T1184)</f>
        <v/>
      </c>
    </row>
    <row r="1185">
      <c r="A1185" s="2" t="inlineStr">
        <is>
          <t>SN-3000-3300-3330-3330HO0006</t>
        </is>
      </c>
      <c r="B1185" s="2" t="inlineStr">
        <is>
          <t>3330HO0006</t>
        </is>
      </c>
      <c r="C1185" s="2" t="inlineStr">
        <is>
          <t>Tolva zinc</t>
        </is>
      </c>
      <c r="D1185" s="2" t="n">
        <v>395</v>
      </c>
      <c r="E1185" s="2" t="inlineStr">
        <is>
          <t>CC-3000</t>
        </is>
      </c>
      <c r="F1185" s="2" t="inlineStr">
        <is>
          <t>P01</t>
        </is>
      </c>
      <c r="G1185" s="2" t="n">
        <v>620000</v>
      </c>
      <c r="H1185" s="2" t="inlineStr">
        <is>
          <t>Materiales</t>
        </is>
      </c>
      <c r="I1185" s="9" t="n">
        <v>1208.27</v>
      </c>
      <c r="J1185" s="9" t="n">
        <v>1307.12</v>
      </c>
      <c r="K1185" s="9" t="n">
        <v>1349.26</v>
      </c>
      <c r="L1185" s="9" t="n">
        <v>1224.5</v>
      </c>
      <c r="M1185" s="9" t="n">
        <v>1213.55</v>
      </c>
      <c r="N1185" s="9" t="n">
        <v>1292.71</v>
      </c>
      <c r="O1185" s="9" t="n">
        <v>1277.71</v>
      </c>
      <c r="P1185" s="9" t="n">
        <v>1317.81</v>
      </c>
      <c r="Q1185" s="9" t="n">
        <v>1127.09</v>
      </c>
      <c r="R1185" s="9" t="n">
        <v>1293.9</v>
      </c>
      <c r="S1185" s="9" t="n">
        <v>1273.32</v>
      </c>
      <c r="T1185" s="9" t="n">
        <v>1314.83</v>
      </c>
      <c r="U1185" s="10">
        <f>SUM(I1185:T1185)</f>
        <v/>
      </c>
    </row>
    <row r="1186">
      <c r="A1186" s="2" t="inlineStr">
        <is>
          <t>SN-3000-3300-3330-3330HO0006</t>
        </is>
      </c>
      <c r="B1186" s="2" t="inlineStr">
        <is>
          <t>3330HO0006</t>
        </is>
      </c>
      <c r="C1186" s="2" t="inlineStr">
        <is>
          <t>Tolva zinc</t>
        </is>
      </c>
      <c r="D1186" s="2" t="n">
        <v>395</v>
      </c>
      <c r="E1186" s="2" t="inlineStr">
        <is>
          <t>CC-3000</t>
        </is>
      </c>
      <c r="F1186" s="2" t="inlineStr">
        <is>
          <t>P01</t>
        </is>
      </c>
      <c r="G1186" s="2" t="n">
        <v>630000</v>
      </c>
      <c r="H1186" s="2" t="inlineStr">
        <is>
          <t>Servicios externos</t>
        </is>
      </c>
      <c r="I1186" s="9" t="n">
        <v>1451.93</v>
      </c>
      <c r="J1186" s="9" t="n">
        <v>1403.17</v>
      </c>
      <c r="K1186" s="9" t="n">
        <v>1509.9</v>
      </c>
      <c r="L1186" s="9" t="n">
        <v>1388.45</v>
      </c>
      <c r="M1186" s="9" t="n">
        <v>1362.93</v>
      </c>
      <c r="N1186" s="9" t="n">
        <v>1428.62</v>
      </c>
      <c r="O1186" s="9" t="n">
        <v>1367.89</v>
      </c>
      <c r="P1186" s="9" t="n">
        <v>1419.79</v>
      </c>
      <c r="Q1186" s="9" t="n">
        <v>1355.48</v>
      </c>
      <c r="R1186" s="9" t="n">
        <v>1642.67</v>
      </c>
      <c r="S1186" s="9" t="n">
        <v>1351.22</v>
      </c>
      <c r="T1186" s="9" t="n">
        <v>1414.87</v>
      </c>
      <c r="U1186" s="10">
        <f>SUM(I1186:T1186)</f>
        <v/>
      </c>
    </row>
    <row r="1187">
      <c r="A1187" s="2" t="inlineStr">
        <is>
          <t>SN-3000-3300-3330-3330HO0007</t>
        </is>
      </c>
      <c r="B1187" s="2" t="inlineStr">
        <is>
          <t>3330HO0007</t>
        </is>
      </c>
      <c r="C1187" s="2" t="inlineStr">
        <is>
          <t>Tolva alimentación nitrato plomo</t>
        </is>
      </c>
      <c r="D1187" s="2" t="n">
        <v>396</v>
      </c>
      <c r="E1187" s="2" t="inlineStr">
        <is>
          <t>CC-3000</t>
        </is>
      </c>
      <c r="F1187" s="2" t="inlineStr">
        <is>
          <t>P01</t>
        </is>
      </c>
      <c r="G1187" s="2" t="n">
        <v>610000</v>
      </c>
      <c r="H1187" s="2" t="inlineStr">
        <is>
          <t>Mano obra interna</t>
        </is>
      </c>
      <c r="I1187" s="9" t="n">
        <v>570.6900000000001</v>
      </c>
      <c r="J1187" s="9" t="n">
        <v>544.3200000000001</v>
      </c>
      <c r="K1187" s="9" t="n">
        <v>546.61</v>
      </c>
      <c r="L1187" s="9" t="n">
        <v>529.38</v>
      </c>
      <c r="M1187" s="9" t="n">
        <v>536.64</v>
      </c>
      <c r="N1187" s="9" t="n">
        <v>540.24</v>
      </c>
      <c r="O1187" s="9" t="n">
        <v>565.96</v>
      </c>
      <c r="P1187" s="9" t="n">
        <v>499.22</v>
      </c>
      <c r="Q1187" s="9" t="n">
        <v>490.45</v>
      </c>
      <c r="R1187" s="9" t="n">
        <v>571.53</v>
      </c>
      <c r="S1187" s="9" t="n">
        <v>555.39</v>
      </c>
      <c r="T1187" s="9" t="n">
        <v>556.3</v>
      </c>
      <c r="U1187" s="10">
        <f>SUM(I1187:T1187)</f>
        <v/>
      </c>
    </row>
    <row r="1188">
      <c r="A1188" s="2" t="inlineStr">
        <is>
          <t>SN-3000-3300-3330-3330HO0007</t>
        </is>
      </c>
      <c r="B1188" s="2" t="inlineStr">
        <is>
          <t>3330HO0007</t>
        </is>
      </c>
      <c r="C1188" s="2" t="inlineStr">
        <is>
          <t>Tolva alimentación nitrato plomo</t>
        </is>
      </c>
      <c r="D1188" s="2" t="n">
        <v>396</v>
      </c>
      <c r="E1188" s="2" t="inlineStr">
        <is>
          <t>CC-3000</t>
        </is>
      </c>
      <c r="F1188" s="2" t="inlineStr">
        <is>
          <t>P01</t>
        </is>
      </c>
      <c r="G1188" s="2" t="n">
        <v>620000</v>
      </c>
      <c r="H1188" s="2" t="inlineStr">
        <is>
          <t>Materiales</t>
        </is>
      </c>
      <c r="I1188" s="9" t="n">
        <v>435.98</v>
      </c>
      <c r="J1188" s="9" t="n">
        <v>459.89</v>
      </c>
      <c r="K1188" s="9" t="n">
        <v>445.93</v>
      </c>
      <c r="L1188" s="9" t="n">
        <v>497.58</v>
      </c>
      <c r="M1188" s="9" t="n">
        <v>475.82</v>
      </c>
      <c r="N1188" s="9" t="n">
        <v>439.03</v>
      </c>
      <c r="O1188" s="9" t="n">
        <v>457.1</v>
      </c>
      <c r="P1188" s="9" t="n">
        <v>491.13</v>
      </c>
      <c r="Q1188" s="9" t="n">
        <v>415.62</v>
      </c>
      <c r="R1188" s="9" t="n">
        <v>478.35</v>
      </c>
      <c r="S1188" s="9" t="n">
        <v>478.8</v>
      </c>
      <c r="T1188" s="9" t="n">
        <v>492.19</v>
      </c>
      <c r="U1188" s="10">
        <f>SUM(I1188:T1188)</f>
        <v/>
      </c>
    </row>
    <row r="1189">
      <c r="A1189" s="2" t="inlineStr">
        <is>
          <t>SN-3000-3300-3330-3330HO0007</t>
        </is>
      </c>
      <c r="B1189" s="2" t="inlineStr">
        <is>
          <t>3330HO0007</t>
        </is>
      </c>
      <c r="C1189" s="2" t="inlineStr">
        <is>
          <t>Tolva alimentación nitrato plomo</t>
        </is>
      </c>
      <c r="D1189" s="2" t="n">
        <v>396</v>
      </c>
      <c r="E1189" s="2" t="inlineStr">
        <is>
          <t>CC-3000</t>
        </is>
      </c>
      <c r="F1189" s="2" t="inlineStr">
        <is>
          <t>P01</t>
        </is>
      </c>
      <c r="G1189" s="2" t="n">
        <v>630000</v>
      </c>
      <c r="H1189" s="2" t="inlineStr">
        <is>
          <t>Servicios externos</t>
        </is>
      </c>
      <c r="I1189" s="9" t="n">
        <v>517.54</v>
      </c>
      <c r="J1189" s="9" t="n">
        <v>494.94</v>
      </c>
      <c r="K1189" s="9" t="n">
        <v>508.13</v>
      </c>
      <c r="L1189" s="9" t="n">
        <v>521.8</v>
      </c>
      <c r="M1189" s="9" t="n">
        <v>550.59</v>
      </c>
      <c r="N1189" s="9" t="n">
        <v>488.36</v>
      </c>
      <c r="O1189" s="9" t="n">
        <v>552.75</v>
      </c>
      <c r="P1189" s="9" t="n">
        <v>511.43</v>
      </c>
      <c r="Q1189" s="9" t="n">
        <v>487.82</v>
      </c>
      <c r="R1189" s="9" t="n">
        <v>619.2</v>
      </c>
      <c r="S1189" s="9" t="n">
        <v>494.88</v>
      </c>
      <c r="T1189" s="9" t="n">
        <v>530.1799999999999</v>
      </c>
      <c r="U1189" s="10">
        <f>SUM(I1189:T1189)</f>
        <v/>
      </c>
    </row>
    <row r="1190">
      <c r="A1190" s="2" t="inlineStr">
        <is>
          <t>SN-3000-3300-3330-3330HT0067</t>
        </is>
      </c>
      <c r="B1190" s="2" t="inlineStr">
        <is>
          <t>3330HT0067</t>
        </is>
      </c>
      <c r="C1190" s="2" t="inlineStr">
        <is>
          <t>Carro mantención bombas alimentacion</t>
        </is>
      </c>
      <c r="D1190" s="2" t="n">
        <v>397</v>
      </c>
      <c r="E1190" s="2" t="inlineStr">
        <is>
          <t>CC-3000</t>
        </is>
      </c>
      <c r="F1190" s="2" t="inlineStr">
        <is>
          <t>P01</t>
        </is>
      </c>
      <c r="G1190" s="2" t="n">
        <v>610000</v>
      </c>
      <c r="H1190" s="2" t="inlineStr">
        <is>
          <t>Mano obra interna</t>
        </is>
      </c>
      <c r="I1190" s="9" t="n">
        <v>450.63</v>
      </c>
      <c r="J1190" s="9" t="n">
        <v>462.95</v>
      </c>
      <c r="K1190" s="9" t="n">
        <v>476.3</v>
      </c>
      <c r="L1190" s="9" t="n">
        <v>496.22</v>
      </c>
      <c r="M1190" s="9" t="n">
        <v>489.64</v>
      </c>
      <c r="N1190" s="9" t="n">
        <v>453.34</v>
      </c>
      <c r="O1190" s="9" t="n">
        <v>435.79</v>
      </c>
      <c r="P1190" s="9" t="n">
        <v>479.43</v>
      </c>
      <c r="Q1190" s="9" t="n">
        <v>407.11</v>
      </c>
      <c r="R1190" s="9" t="n">
        <v>517.21</v>
      </c>
      <c r="S1190" s="9" t="n">
        <v>469.29</v>
      </c>
      <c r="T1190" s="9" t="n">
        <v>454.72</v>
      </c>
      <c r="U1190" s="10">
        <f>SUM(I1190:T1190)</f>
        <v/>
      </c>
    </row>
    <row r="1191">
      <c r="A1191" s="2" t="inlineStr">
        <is>
          <t>SN-3000-3300-3330-3330HT0067</t>
        </is>
      </c>
      <c r="B1191" s="2" t="inlineStr">
        <is>
          <t>3330HT0067</t>
        </is>
      </c>
      <c r="C1191" s="2" t="inlineStr">
        <is>
          <t>Carro mantención bombas alimentacion</t>
        </is>
      </c>
      <c r="D1191" s="2" t="n">
        <v>397</v>
      </c>
      <c r="E1191" s="2" t="inlineStr">
        <is>
          <t>CC-3000</t>
        </is>
      </c>
      <c r="F1191" s="2" t="inlineStr">
        <is>
          <t>P01</t>
        </is>
      </c>
      <c r="G1191" s="2" t="n">
        <v>620000</v>
      </c>
      <c r="H1191" s="2" t="inlineStr">
        <is>
          <t>Materiales</t>
        </is>
      </c>
      <c r="I1191" s="9" t="n">
        <v>565.75</v>
      </c>
      <c r="J1191" s="9" t="n">
        <v>537.77</v>
      </c>
      <c r="K1191" s="9" t="n">
        <v>519.72</v>
      </c>
      <c r="L1191" s="9" t="n">
        <v>538.8200000000001</v>
      </c>
      <c r="M1191" s="9" t="n">
        <v>548.77</v>
      </c>
      <c r="N1191" s="9" t="n">
        <v>482.88</v>
      </c>
      <c r="O1191" s="9" t="n">
        <v>546.87</v>
      </c>
      <c r="P1191" s="9" t="n">
        <v>478.82</v>
      </c>
      <c r="Q1191" s="9" t="n">
        <v>445.61</v>
      </c>
      <c r="R1191" s="9" t="n">
        <v>584.08</v>
      </c>
      <c r="S1191" s="9" t="n">
        <v>524.4400000000001</v>
      </c>
      <c r="T1191" s="9" t="n">
        <v>552.11</v>
      </c>
      <c r="U1191" s="10">
        <f>SUM(I1191:T1191)</f>
        <v/>
      </c>
    </row>
    <row r="1192">
      <c r="A1192" s="2" t="inlineStr">
        <is>
          <t>SN-3000-3300-3330-3330HT0067</t>
        </is>
      </c>
      <c r="B1192" s="2" t="inlineStr">
        <is>
          <t>3330HT0067</t>
        </is>
      </c>
      <c r="C1192" s="2" t="inlineStr">
        <is>
          <t>Carro mantención bombas alimentacion</t>
        </is>
      </c>
      <c r="D1192" s="2" t="n">
        <v>397</v>
      </c>
      <c r="E1192" s="2" t="inlineStr">
        <is>
          <t>CC-3000</t>
        </is>
      </c>
      <c r="F1192" s="2" t="inlineStr">
        <is>
          <t>P01</t>
        </is>
      </c>
      <c r="G1192" s="2" t="n">
        <v>630000</v>
      </c>
      <c r="H1192" s="2" t="inlineStr">
        <is>
          <t>Servicios externos</t>
        </is>
      </c>
      <c r="I1192" s="9" t="n">
        <v>522.52</v>
      </c>
      <c r="J1192" s="9" t="n">
        <v>513.9</v>
      </c>
      <c r="K1192" s="9" t="n">
        <v>598.76</v>
      </c>
      <c r="L1192" s="9" t="n">
        <v>528.42</v>
      </c>
      <c r="M1192" s="9" t="n">
        <v>555.27</v>
      </c>
      <c r="N1192" s="9" t="n">
        <v>523.77</v>
      </c>
      <c r="O1192" s="9" t="n">
        <v>509.05</v>
      </c>
      <c r="P1192" s="9" t="n">
        <v>526.05</v>
      </c>
      <c r="Q1192" s="9" t="n">
        <v>509.15</v>
      </c>
      <c r="R1192" s="9" t="n">
        <v>621.08</v>
      </c>
      <c r="S1192" s="9" t="n">
        <v>545.29</v>
      </c>
      <c r="T1192" s="9" t="n">
        <v>564.0599999999999</v>
      </c>
      <c r="U1192" s="10">
        <f>SUM(I1192:T1192)</f>
        <v/>
      </c>
    </row>
    <row r="1193">
      <c r="A1193" s="2" t="inlineStr">
        <is>
          <t>SN-3000-3300-3330-3330HT0068</t>
        </is>
      </c>
      <c r="B1193" s="2" t="inlineStr">
        <is>
          <t>3330HT0068</t>
        </is>
      </c>
      <c r="C1193" s="2" t="inlineStr">
        <is>
          <t>Carro mantención bombas barren</t>
        </is>
      </c>
      <c r="D1193" s="2" t="n">
        <v>398</v>
      </c>
      <c r="E1193" s="2" t="inlineStr">
        <is>
          <t>CC-3000</t>
        </is>
      </c>
      <c r="F1193" s="2" t="inlineStr">
        <is>
          <t>P01</t>
        </is>
      </c>
      <c r="G1193" s="2" t="n">
        <v>610000</v>
      </c>
      <c r="H1193" s="2" t="inlineStr">
        <is>
          <t>Mano obra interna</t>
        </is>
      </c>
      <c r="I1193" s="9" t="n">
        <v>2147.38</v>
      </c>
      <c r="J1193" s="9" t="n">
        <v>2010.22</v>
      </c>
      <c r="K1193" s="9" t="n">
        <v>2209.7</v>
      </c>
      <c r="L1193" s="9" t="n">
        <v>2053.88</v>
      </c>
      <c r="M1193" s="9" t="n">
        <v>2051.62</v>
      </c>
      <c r="N1193" s="9" t="n">
        <v>2055.61</v>
      </c>
      <c r="O1193" s="9" t="n">
        <v>2146.21</v>
      </c>
      <c r="P1193" s="9" t="n">
        <v>2013.56</v>
      </c>
      <c r="Q1193" s="9" t="n">
        <v>2052.13</v>
      </c>
      <c r="R1193" s="9" t="n">
        <v>2362.64</v>
      </c>
      <c r="S1193" s="9" t="n">
        <v>1962.09</v>
      </c>
      <c r="T1193" s="9" t="n">
        <v>2362.22</v>
      </c>
      <c r="U1193" s="10">
        <f>SUM(I1193:T1193)</f>
        <v/>
      </c>
    </row>
    <row r="1194">
      <c r="A1194" s="2" t="inlineStr">
        <is>
          <t>SN-3000-3300-3330-3330HT0068</t>
        </is>
      </c>
      <c r="B1194" s="2" t="inlineStr">
        <is>
          <t>3330HT0068</t>
        </is>
      </c>
      <c r="C1194" s="2" t="inlineStr">
        <is>
          <t>Carro mantención bombas barren</t>
        </is>
      </c>
      <c r="D1194" s="2" t="n">
        <v>398</v>
      </c>
      <c r="E1194" s="2" t="inlineStr">
        <is>
          <t>CC-3000</t>
        </is>
      </c>
      <c r="F1194" s="2" t="inlineStr">
        <is>
          <t>P01</t>
        </is>
      </c>
      <c r="G1194" s="2" t="n">
        <v>620000</v>
      </c>
      <c r="H1194" s="2" t="inlineStr">
        <is>
          <t>Materiales</t>
        </is>
      </c>
      <c r="I1194" s="9" t="n">
        <v>1956.43</v>
      </c>
      <c r="J1194" s="9" t="n">
        <v>1643.26</v>
      </c>
      <c r="K1194" s="9" t="n">
        <v>1985.34</v>
      </c>
      <c r="L1194" s="9" t="n">
        <v>1711.07</v>
      </c>
      <c r="M1194" s="9" t="n">
        <v>1868.8</v>
      </c>
      <c r="N1194" s="9" t="n">
        <v>1695.48</v>
      </c>
      <c r="O1194" s="9" t="n">
        <v>1883.49</v>
      </c>
      <c r="P1194" s="9" t="n">
        <v>1783.68</v>
      </c>
      <c r="Q1194" s="9" t="n">
        <v>1572.26</v>
      </c>
      <c r="R1194" s="9" t="n">
        <v>2039.46</v>
      </c>
      <c r="S1194" s="9" t="n">
        <v>1635.17</v>
      </c>
      <c r="T1194" s="9" t="n">
        <v>1964.75</v>
      </c>
      <c r="U1194" s="10">
        <f>SUM(I1194:T1194)</f>
        <v/>
      </c>
    </row>
    <row r="1195">
      <c r="A1195" s="2" t="inlineStr">
        <is>
          <t>SN-3000-3300-3330-3330HT0068</t>
        </is>
      </c>
      <c r="B1195" s="2" t="inlineStr">
        <is>
          <t>3330HT0068</t>
        </is>
      </c>
      <c r="C1195" s="2" t="inlineStr">
        <is>
          <t>Carro mantención bombas barren</t>
        </is>
      </c>
      <c r="D1195" s="2" t="n">
        <v>398</v>
      </c>
      <c r="E1195" s="2" t="inlineStr">
        <is>
          <t>CC-3000</t>
        </is>
      </c>
      <c r="F1195" s="2" t="inlineStr">
        <is>
          <t>P01</t>
        </is>
      </c>
      <c r="G1195" s="2" t="n">
        <v>630000</v>
      </c>
      <c r="H1195" s="2" t="inlineStr">
        <is>
          <t>Servicios externos</t>
        </is>
      </c>
      <c r="I1195" s="9" t="n">
        <v>1801.15</v>
      </c>
      <c r="J1195" s="9" t="n">
        <v>1805.63</v>
      </c>
      <c r="K1195" s="9" t="n">
        <v>1795.04</v>
      </c>
      <c r="L1195" s="9" t="n">
        <v>1727.39</v>
      </c>
      <c r="M1195" s="9" t="n">
        <v>1824.54</v>
      </c>
      <c r="N1195" s="9" t="n">
        <v>1769.44</v>
      </c>
      <c r="O1195" s="9" t="n">
        <v>1890.8</v>
      </c>
      <c r="P1195" s="9" t="n">
        <v>1733.85</v>
      </c>
      <c r="Q1195" s="9" t="n">
        <v>1649.51</v>
      </c>
      <c r="R1195" s="9" t="n">
        <v>1867.25</v>
      </c>
      <c r="S1195" s="9" t="n">
        <v>1647.08</v>
      </c>
      <c r="T1195" s="9" t="n">
        <v>1868.66</v>
      </c>
      <c r="U1195" s="10">
        <f>SUM(I1195:T1195)</f>
        <v/>
      </c>
    </row>
    <row r="1196">
      <c r="A1196" s="2" t="inlineStr">
        <is>
          <t>SN-3000-3300-3330-3330IO0001</t>
        </is>
      </c>
      <c r="B1196" s="2" t="inlineStr">
        <is>
          <t>3330IO0001</t>
        </is>
      </c>
      <c r="C1196" s="2" t="inlineStr">
        <is>
          <t xml:space="preserve">Gabinete RIO  </t>
        </is>
      </c>
      <c r="D1196" s="2" t="n">
        <v>399</v>
      </c>
      <c r="E1196" s="2" t="inlineStr">
        <is>
          <t>CC-3000</t>
        </is>
      </c>
      <c r="F1196" s="2" t="inlineStr">
        <is>
          <t>P01</t>
        </is>
      </c>
      <c r="G1196" s="2" t="n">
        <v>610000</v>
      </c>
      <c r="H1196" s="2" t="inlineStr">
        <is>
          <t>Mano obra interna</t>
        </is>
      </c>
      <c r="I1196" s="9" t="n">
        <v>1688.35</v>
      </c>
      <c r="J1196" s="9" t="n">
        <v>1622.37</v>
      </c>
      <c r="K1196" s="9" t="n">
        <v>1784.77</v>
      </c>
      <c r="L1196" s="9" t="n">
        <v>1824.3</v>
      </c>
      <c r="M1196" s="9" t="n">
        <v>1699.98</v>
      </c>
      <c r="N1196" s="9" t="n">
        <v>1592.33</v>
      </c>
      <c r="O1196" s="9" t="n">
        <v>1748.64</v>
      </c>
      <c r="P1196" s="9" t="n">
        <v>1709.56</v>
      </c>
      <c r="Q1196" s="9" t="n">
        <v>1447.96</v>
      </c>
      <c r="R1196" s="9" t="n">
        <v>1687.59</v>
      </c>
      <c r="S1196" s="9" t="n">
        <v>1499.92</v>
      </c>
      <c r="T1196" s="9" t="n">
        <v>1686.21</v>
      </c>
      <c r="U1196" s="10">
        <f>SUM(I1196:T1196)</f>
        <v/>
      </c>
    </row>
    <row r="1197">
      <c r="A1197" s="2" t="inlineStr">
        <is>
          <t>SN-3000-3300-3330-3330IO0001</t>
        </is>
      </c>
      <c r="B1197" s="2" t="inlineStr">
        <is>
          <t>3330IO0001</t>
        </is>
      </c>
      <c r="C1197" s="2" t="inlineStr">
        <is>
          <t xml:space="preserve">Gabinete RIO  </t>
        </is>
      </c>
      <c r="D1197" s="2" t="n">
        <v>399</v>
      </c>
      <c r="E1197" s="2" t="inlineStr">
        <is>
          <t>CC-3000</t>
        </is>
      </c>
      <c r="F1197" s="2" t="inlineStr">
        <is>
          <t>P01</t>
        </is>
      </c>
      <c r="G1197" s="2" t="n">
        <v>620000</v>
      </c>
      <c r="H1197" s="2" t="inlineStr">
        <is>
          <t>Materiales</t>
        </is>
      </c>
      <c r="I1197" s="9" t="n">
        <v>1883.5</v>
      </c>
      <c r="J1197" s="9" t="n">
        <v>1838.4</v>
      </c>
      <c r="K1197" s="9" t="n">
        <v>2090.65</v>
      </c>
      <c r="L1197" s="9" t="n">
        <v>2048.63</v>
      </c>
      <c r="M1197" s="9" t="n">
        <v>1931.95</v>
      </c>
      <c r="N1197" s="9" t="n">
        <v>1750.52</v>
      </c>
      <c r="O1197" s="9" t="n">
        <v>1786.19</v>
      </c>
      <c r="P1197" s="9" t="n">
        <v>1753.34</v>
      </c>
      <c r="Q1197" s="9" t="n">
        <v>1659.13</v>
      </c>
      <c r="R1197" s="9" t="n">
        <v>1983.01</v>
      </c>
      <c r="S1197" s="9" t="n">
        <v>1856.44</v>
      </c>
      <c r="T1197" s="9" t="n">
        <v>1795.51</v>
      </c>
      <c r="U1197" s="10">
        <f>SUM(I1197:T1197)</f>
        <v/>
      </c>
    </row>
    <row r="1198">
      <c r="A1198" s="2" t="inlineStr">
        <is>
          <t>SN-3000-3300-3330-3330IO0001</t>
        </is>
      </c>
      <c r="B1198" s="2" t="inlineStr">
        <is>
          <t>3330IO0001</t>
        </is>
      </c>
      <c r="C1198" s="2" t="inlineStr">
        <is>
          <t xml:space="preserve">Gabinete RIO  </t>
        </is>
      </c>
      <c r="D1198" s="2" t="n">
        <v>399</v>
      </c>
      <c r="E1198" s="2" t="inlineStr">
        <is>
          <t>CC-3000</t>
        </is>
      </c>
      <c r="F1198" s="2" t="inlineStr">
        <is>
          <t>P01</t>
        </is>
      </c>
      <c r="G1198" s="2" t="n">
        <v>630000</v>
      </c>
      <c r="H1198" s="2" t="inlineStr">
        <is>
          <t>Servicios externos</t>
        </is>
      </c>
      <c r="I1198" s="9" t="n">
        <v>1458.97</v>
      </c>
      <c r="J1198" s="9" t="n">
        <v>1514.54</v>
      </c>
      <c r="K1198" s="9" t="n">
        <v>1582.46</v>
      </c>
      <c r="L1198" s="9" t="n">
        <v>1551.73</v>
      </c>
      <c r="M1198" s="9" t="n">
        <v>1430.95</v>
      </c>
      <c r="N1198" s="9" t="n">
        <v>1410.17</v>
      </c>
      <c r="O1198" s="9" t="n">
        <v>1409.48</v>
      </c>
      <c r="P1198" s="9" t="n">
        <v>1439.04</v>
      </c>
      <c r="Q1198" s="9" t="n">
        <v>1491.13</v>
      </c>
      <c r="R1198" s="9" t="n">
        <v>1748.79</v>
      </c>
      <c r="S1198" s="9" t="n">
        <v>1492.37</v>
      </c>
      <c r="T1198" s="9" t="n">
        <v>1630.32</v>
      </c>
      <c r="U1198" s="10">
        <f>SUM(I1198:T1198)</f>
        <v/>
      </c>
    </row>
    <row r="1199">
      <c r="A1199" s="2" t="inlineStr">
        <is>
          <t>SN-3000-3300-3330-3330IO0002</t>
        </is>
      </c>
      <c r="B1199" s="2" t="inlineStr">
        <is>
          <t>3330IO0002</t>
        </is>
      </c>
      <c r="C1199" s="2" t="inlineStr">
        <is>
          <t xml:space="preserve">Gabinete RIO  </t>
        </is>
      </c>
      <c r="D1199" s="2" t="n">
        <v>400</v>
      </c>
      <c r="E1199" s="2" t="inlineStr">
        <is>
          <t>CC-3000</t>
        </is>
      </c>
      <c r="F1199" s="2" t="inlineStr">
        <is>
          <t>P01</t>
        </is>
      </c>
      <c r="G1199" s="2" t="n">
        <v>610000</v>
      </c>
      <c r="H1199" s="2" t="inlineStr">
        <is>
          <t>Mano obra interna</t>
        </is>
      </c>
      <c r="I1199" s="9" t="n">
        <v>827.03</v>
      </c>
      <c r="J1199" s="9" t="n">
        <v>930.8099999999999</v>
      </c>
      <c r="K1199" s="9" t="n">
        <v>845.28</v>
      </c>
      <c r="L1199" s="9" t="n">
        <v>920.99</v>
      </c>
      <c r="M1199" s="9" t="n">
        <v>832.21</v>
      </c>
      <c r="N1199" s="9" t="n">
        <v>822.61</v>
      </c>
      <c r="O1199" s="9" t="n">
        <v>896.39</v>
      </c>
      <c r="P1199" s="9" t="n">
        <v>865.99</v>
      </c>
      <c r="Q1199" s="9" t="n">
        <v>782.49</v>
      </c>
      <c r="R1199" s="9" t="n">
        <v>919.1900000000001</v>
      </c>
      <c r="S1199" s="9" t="n">
        <v>826.09</v>
      </c>
      <c r="T1199" s="9" t="n">
        <v>953.84</v>
      </c>
      <c r="U1199" s="10">
        <f>SUM(I1199:T1199)</f>
        <v/>
      </c>
    </row>
    <row r="1200">
      <c r="A1200" s="2" t="inlineStr">
        <is>
          <t>SN-3000-3300-3330-3330IO0002</t>
        </is>
      </c>
      <c r="B1200" s="2" t="inlineStr">
        <is>
          <t>3330IO0002</t>
        </is>
      </c>
      <c r="C1200" s="2" t="inlineStr">
        <is>
          <t xml:space="preserve">Gabinete RIO  </t>
        </is>
      </c>
      <c r="D1200" s="2" t="n">
        <v>400</v>
      </c>
      <c r="E1200" s="2" t="inlineStr">
        <is>
          <t>CC-3000</t>
        </is>
      </c>
      <c r="F1200" s="2" t="inlineStr">
        <is>
          <t>P01</t>
        </is>
      </c>
      <c r="G1200" s="2" t="n">
        <v>620000</v>
      </c>
      <c r="H1200" s="2" t="inlineStr">
        <is>
          <t>Materiales</t>
        </is>
      </c>
      <c r="I1200" s="9" t="n">
        <v>908.9</v>
      </c>
      <c r="J1200" s="9" t="n">
        <v>840.3200000000001</v>
      </c>
      <c r="K1200" s="9" t="n">
        <v>970.66</v>
      </c>
      <c r="L1200" s="9" t="n">
        <v>865.8</v>
      </c>
      <c r="M1200" s="9" t="n">
        <v>845.92</v>
      </c>
      <c r="N1200" s="9" t="n">
        <v>838.54</v>
      </c>
      <c r="O1200" s="9" t="n">
        <v>951.26</v>
      </c>
      <c r="P1200" s="9" t="n">
        <v>842.85</v>
      </c>
      <c r="Q1200" s="9" t="n">
        <v>783.9</v>
      </c>
      <c r="R1200" s="9" t="n">
        <v>965.64</v>
      </c>
      <c r="S1200" s="9" t="n">
        <v>836.62</v>
      </c>
      <c r="T1200" s="9" t="n">
        <v>919.59</v>
      </c>
      <c r="U1200" s="10">
        <f>SUM(I1200:T1200)</f>
        <v/>
      </c>
    </row>
    <row r="1201">
      <c r="A1201" s="2" t="inlineStr">
        <is>
          <t>SN-3000-3300-3330-3330IO0002</t>
        </is>
      </c>
      <c r="B1201" s="2" t="inlineStr">
        <is>
          <t>3330IO0002</t>
        </is>
      </c>
      <c r="C1201" s="2" t="inlineStr">
        <is>
          <t xml:space="preserve">Gabinete RIO  </t>
        </is>
      </c>
      <c r="D1201" s="2" t="n">
        <v>400</v>
      </c>
      <c r="E1201" s="2" t="inlineStr">
        <is>
          <t>CC-3000</t>
        </is>
      </c>
      <c r="F1201" s="2" t="inlineStr">
        <is>
          <t>P01</t>
        </is>
      </c>
      <c r="G1201" s="2" t="n">
        <v>630000</v>
      </c>
      <c r="H1201" s="2" t="inlineStr">
        <is>
          <t>Servicios externos</t>
        </is>
      </c>
      <c r="I1201" s="9" t="n">
        <v>813.74</v>
      </c>
      <c r="J1201" s="9" t="n">
        <v>744.0599999999999</v>
      </c>
      <c r="K1201" s="9" t="n">
        <v>783.27</v>
      </c>
      <c r="L1201" s="9" t="n">
        <v>865.5599999999999</v>
      </c>
      <c r="M1201" s="9" t="n">
        <v>846.39</v>
      </c>
      <c r="N1201" s="9" t="n">
        <v>737.4299999999999</v>
      </c>
      <c r="O1201" s="9" t="n">
        <v>756.03</v>
      </c>
      <c r="P1201" s="9" t="n">
        <v>747.39</v>
      </c>
      <c r="Q1201" s="9" t="n">
        <v>762.8200000000001</v>
      </c>
      <c r="R1201" s="9" t="n">
        <v>898.61</v>
      </c>
      <c r="S1201" s="9" t="n">
        <v>763.91</v>
      </c>
      <c r="T1201" s="9" t="n">
        <v>840.97</v>
      </c>
      <c r="U1201" s="10">
        <f>SUM(I1201:T1201)</f>
        <v/>
      </c>
    </row>
    <row r="1202">
      <c r="A1202" s="2" t="inlineStr">
        <is>
          <t>SN-3000-3300-3330-3330IO0003</t>
        </is>
      </c>
      <c r="B1202" s="2" t="inlineStr">
        <is>
          <t>3330IO0003</t>
        </is>
      </c>
      <c r="C1202" s="2" t="inlineStr">
        <is>
          <t xml:space="preserve">Gabinete RIO  </t>
        </is>
      </c>
      <c r="D1202" s="2" t="n">
        <v>401</v>
      </c>
      <c r="E1202" s="2" t="inlineStr">
        <is>
          <t>CC-3000</t>
        </is>
      </c>
      <c r="F1202" s="2" t="inlineStr">
        <is>
          <t>P01</t>
        </is>
      </c>
      <c r="G1202" s="2" t="n">
        <v>610000</v>
      </c>
      <c r="H1202" s="2" t="inlineStr">
        <is>
          <t>Mano obra interna</t>
        </is>
      </c>
      <c r="I1202" s="9" t="n">
        <v>739.74</v>
      </c>
      <c r="J1202" s="9" t="n">
        <v>620.74</v>
      </c>
      <c r="K1202" s="9" t="n">
        <v>664.48</v>
      </c>
      <c r="L1202" s="9" t="n">
        <v>644.59</v>
      </c>
      <c r="M1202" s="9" t="n">
        <v>709.92</v>
      </c>
      <c r="N1202" s="9" t="n">
        <v>678.01</v>
      </c>
      <c r="O1202" s="9" t="n">
        <v>685.85</v>
      </c>
      <c r="P1202" s="9" t="n">
        <v>631.85</v>
      </c>
      <c r="Q1202" s="9" t="n">
        <v>607.75</v>
      </c>
      <c r="R1202" s="9" t="n">
        <v>706.9400000000001</v>
      </c>
      <c r="S1202" s="9" t="n">
        <v>662.1900000000001</v>
      </c>
      <c r="T1202" s="9" t="n">
        <v>660.89</v>
      </c>
      <c r="U1202" s="10">
        <f>SUM(I1202:T1202)</f>
        <v/>
      </c>
    </row>
    <row r="1203">
      <c r="A1203" s="2" t="inlineStr">
        <is>
          <t>SN-3000-3300-3330-3330IO0003</t>
        </is>
      </c>
      <c r="B1203" s="2" t="inlineStr">
        <is>
          <t>3330IO0003</t>
        </is>
      </c>
      <c r="C1203" s="2" t="inlineStr">
        <is>
          <t xml:space="preserve">Gabinete RIO  </t>
        </is>
      </c>
      <c r="D1203" s="2" t="n">
        <v>401</v>
      </c>
      <c r="E1203" s="2" t="inlineStr">
        <is>
          <t>CC-3000</t>
        </is>
      </c>
      <c r="F1203" s="2" t="inlineStr">
        <is>
          <t>P01</t>
        </is>
      </c>
      <c r="G1203" s="2" t="n">
        <v>620000</v>
      </c>
      <c r="H1203" s="2" t="inlineStr">
        <is>
          <t>Materiales</t>
        </is>
      </c>
      <c r="I1203" s="9" t="n">
        <v>549.8</v>
      </c>
      <c r="J1203" s="9" t="n">
        <v>495.08</v>
      </c>
      <c r="K1203" s="9" t="n">
        <v>531.74</v>
      </c>
      <c r="L1203" s="9" t="n">
        <v>499.22</v>
      </c>
      <c r="M1203" s="9" t="n">
        <v>538.9</v>
      </c>
      <c r="N1203" s="9" t="n">
        <v>501.78</v>
      </c>
      <c r="O1203" s="9" t="n">
        <v>553.02</v>
      </c>
      <c r="P1203" s="9" t="n">
        <v>518.63</v>
      </c>
      <c r="Q1203" s="9" t="n">
        <v>517.64</v>
      </c>
      <c r="R1203" s="9" t="n">
        <v>595.25</v>
      </c>
      <c r="S1203" s="9" t="n">
        <v>508.96</v>
      </c>
      <c r="T1203" s="9" t="n">
        <v>563.7</v>
      </c>
      <c r="U1203" s="10">
        <f>SUM(I1203:T1203)</f>
        <v/>
      </c>
    </row>
    <row r="1204">
      <c r="A1204" s="2" t="inlineStr">
        <is>
          <t>SN-3000-3300-3330-3330IO0003</t>
        </is>
      </c>
      <c r="B1204" s="2" t="inlineStr">
        <is>
          <t>3330IO0003</t>
        </is>
      </c>
      <c r="C1204" s="2" t="inlineStr">
        <is>
          <t xml:space="preserve">Gabinete RIO  </t>
        </is>
      </c>
      <c r="D1204" s="2" t="n">
        <v>401</v>
      </c>
      <c r="E1204" s="2" t="inlineStr">
        <is>
          <t>CC-3000</t>
        </is>
      </c>
      <c r="F1204" s="2" t="inlineStr">
        <is>
          <t>P01</t>
        </is>
      </c>
      <c r="G1204" s="2" t="n">
        <v>630000</v>
      </c>
      <c r="H1204" s="2" t="inlineStr">
        <is>
          <t>Servicios externos</t>
        </is>
      </c>
      <c r="I1204" s="9" t="n">
        <v>582.65</v>
      </c>
      <c r="J1204" s="9" t="n">
        <v>532.6799999999999</v>
      </c>
      <c r="K1204" s="9" t="n">
        <v>610.34</v>
      </c>
      <c r="L1204" s="9" t="n">
        <v>617.3200000000001</v>
      </c>
      <c r="M1204" s="9" t="n">
        <v>602.52</v>
      </c>
      <c r="N1204" s="9" t="n">
        <v>526.42</v>
      </c>
      <c r="O1204" s="9" t="n">
        <v>578.34</v>
      </c>
      <c r="P1204" s="9" t="n">
        <v>552.72</v>
      </c>
      <c r="Q1204" s="9" t="n">
        <v>557.0599999999999</v>
      </c>
      <c r="R1204" s="9" t="n">
        <v>594.61</v>
      </c>
      <c r="S1204" s="9" t="n">
        <v>601.1799999999999</v>
      </c>
      <c r="T1204" s="9" t="n">
        <v>566.4400000000001</v>
      </c>
      <c r="U1204" s="10">
        <f>SUM(I1204:T1204)</f>
        <v/>
      </c>
    </row>
    <row r="1205">
      <c r="A1205" s="2" t="inlineStr">
        <is>
          <t>SN-3000-3300-3330-3330IO0004</t>
        </is>
      </c>
      <c r="B1205" s="2" t="inlineStr">
        <is>
          <t>3330IO0004</t>
        </is>
      </c>
      <c r="C1205" s="2" t="inlineStr">
        <is>
          <t xml:space="preserve">Gabinete RIO  </t>
        </is>
      </c>
      <c r="D1205" s="2" t="n">
        <v>402</v>
      </c>
      <c r="E1205" s="2" t="inlineStr">
        <is>
          <t>CC-3000</t>
        </is>
      </c>
      <c r="F1205" s="2" t="inlineStr">
        <is>
          <t>P01</t>
        </is>
      </c>
      <c r="G1205" s="2" t="n">
        <v>610000</v>
      </c>
      <c r="H1205" s="2" t="inlineStr">
        <is>
          <t>Mano obra interna</t>
        </is>
      </c>
      <c r="I1205" s="9" t="n">
        <v>1812.05</v>
      </c>
      <c r="J1205" s="9" t="n">
        <v>1644.23</v>
      </c>
      <c r="K1205" s="9" t="n">
        <v>1601.81</v>
      </c>
      <c r="L1205" s="9" t="n">
        <v>1716.24</v>
      </c>
      <c r="M1205" s="9" t="n">
        <v>1552.73</v>
      </c>
      <c r="N1205" s="9" t="n">
        <v>1731.63</v>
      </c>
      <c r="O1205" s="9" t="n">
        <v>1705.15</v>
      </c>
      <c r="P1205" s="9" t="n">
        <v>1614</v>
      </c>
      <c r="Q1205" s="9" t="n">
        <v>1580.46</v>
      </c>
      <c r="R1205" s="9" t="n">
        <v>1689.78</v>
      </c>
      <c r="S1205" s="9" t="n">
        <v>1705.08</v>
      </c>
      <c r="T1205" s="9" t="n">
        <v>1821.71</v>
      </c>
      <c r="U1205" s="10">
        <f>SUM(I1205:T1205)</f>
        <v/>
      </c>
    </row>
    <row r="1206">
      <c r="A1206" s="2" t="inlineStr">
        <is>
          <t>SN-3000-3300-3330-3330IO0004</t>
        </is>
      </c>
      <c r="B1206" s="2" t="inlineStr">
        <is>
          <t>3330IO0004</t>
        </is>
      </c>
      <c r="C1206" s="2" t="inlineStr">
        <is>
          <t xml:space="preserve">Gabinete RIO  </t>
        </is>
      </c>
      <c r="D1206" s="2" t="n">
        <v>402</v>
      </c>
      <c r="E1206" s="2" t="inlineStr">
        <is>
          <t>CC-3000</t>
        </is>
      </c>
      <c r="F1206" s="2" t="inlineStr">
        <is>
          <t>P01</t>
        </is>
      </c>
      <c r="G1206" s="2" t="n">
        <v>620000</v>
      </c>
      <c r="H1206" s="2" t="inlineStr">
        <is>
          <t>Materiales</t>
        </is>
      </c>
      <c r="I1206" s="9" t="n">
        <v>1986.52</v>
      </c>
      <c r="J1206" s="9" t="n">
        <v>1911.46</v>
      </c>
      <c r="K1206" s="9" t="n">
        <v>1906.47</v>
      </c>
      <c r="L1206" s="9" t="n">
        <v>2089.95</v>
      </c>
      <c r="M1206" s="9" t="n">
        <v>1986.89</v>
      </c>
      <c r="N1206" s="9" t="n">
        <v>1896.38</v>
      </c>
      <c r="O1206" s="9" t="n">
        <v>2127.68</v>
      </c>
      <c r="P1206" s="9" t="n">
        <v>1889</v>
      </c>
      <c r="Q1206" s="9" t="n">
        <v>1712.69</v>
      </c>
      <c r="R1206" s="9" t="n">
        <v>2006.09</v>
      </c>
      <c r="S1206" s="9" t="n">
        <v>1847.2</v>
      </c>
      <c r="T1206" s="9" t="n">
        <v>1874.85</v>
      </c>
      <c r="U1206" s="10">
        <f>SUM(I1206:T1206)</f>
        <v/>
      </c>
    </row>
    <row r="1207">
      <c r="A1207" s="2" t="inlineStr">
        <is>
          <t>SN-3000-3300-3330-3330IO0004</t>
        </is>
      </c>
      <c r="B1207" s="2" t="inlineStr">
        <is>
          <t>3330IO0004</t>
        </is>
      </c>
      <c r="C1207" s="2" t="inlineStr">
        <is>
          <t xml:space="preserve">Gabinete RIO  </t>
        </is>
      </c>
      <c r="D1207" s="2" t="n">
        <v>402</v>
      </c>
      <c r="E1207" s="2" t="inlineStr">
        <is>
          <t>CC-3000</t>
        </is>
      </c>
      <c r="F1207" s="2" t="inlineStr">
        <is>
          <t>P01</t>
        </is>
      </c>
      <c r="G1207" s="2" t="n">
        <v>630000</v>
      </c>
      <c r="H1207" s="2" t="inlineStr">
        <is>
          <t>Servicios externos</t>
        </is>
      </c>
      <c r="I1207" s="9" t="n">
        <v>1727.42</v>
      </c>
      <c r="J1207" s="9" t="n">
        <v>1629.81</v>
      </c>
      <c r="K1207" s="9" t="n">
        <v>1871.2</v>
      </c>
      <c r="L1207" s="9" t="n">
        <v>1698.18</v>
      </c>
      <c r="M1207" s="9" t="n">
        <v>1777.79</v>
      </c>
      <c r="N1207" s="9" t="n">
        <v>1627.19</v>
      </c>
      <c r="O1207" s="9" t="n">
        <v>1748.12</v>
      </c>
      <c r="P1207" s="9" t="n">
        <v>1863.7</v>
      </c>
      <c r="Q1207" s="9" t="n">
        <v>1503.3</v>
      </c>
      <c r="R1207" s="9" t="n">
        <v>1880.88</v>
      </c>
      <c r="S1207" s="9" t="n">
        <v>1784.07</v>
      </c>
      <c r="T1207" s="9" t="n">
        <v>1794.83</v>
      </c>
      <c r="U1207" s="10">
        <f>SUM(I1207:T1207)</f>
        <v/>
      </c>
    </row>
    <row r="1208">
      <c r="A1208" s="2" t="inlineStr">
        <is>
          <t>SN-3000-3300-3330-3330ME0035</t>
        </is>
      </c>
      <c r="B1208" s="2" t="inlineStr">
        <is>
          <t>3330ME0035</t>
        </is>
      </c>
      <c r="C1208" s="2" t="inlineStr">
        <is>
          <t>Mesa rodillos</t>
        </is>
      </c>
      <c r="D1208" s="2" t="n">
        <v>403</v>
      </c>
      <c r="E1208" s="2" t="inlineStr">
        <is>
          <t>CC-3000</t>
        </is>
      </c>
      <c r="F1208" s="2" t="inlineStr">
        <is>
          <t>P01</t>
        </is>
      </c>
      <c r="G1208" s="2" t="n">
        <v>610000</v>
      </c>
      <c r="H1208" s="2" t="inlineStr">
        <is>
          <t>Mano obra interna</t>
        </is>
      </c>
      <c r="I1208" s="9" t="n">
        <v>2133</v>
      </c>
      <c r="J1208" s="9" t="n">
        <v>2152.4</v>
      </c>
      <c r="K1208" s="9" t="n">
        <v>2328.46</v>
      </c>
      <c r="L1208" s="9" t="n">
        <v>2011.63</v>
      </c>
      <c r="M1208" s="9" t="n">
        <v>1958.13</v>
      </c>
      <c r="N1208" s="9" t="n">
        <v>1974.05</v>
      </c>
      <c r="O1208" s="9" t="n">
        <v>2034.32</v>
      </c>
      <c r="P1208" s="9" t="n">
        <v>2042.8</v>
      </c>
      <c r="Q1208" s="9" t="n">
        <v>1889.2</v>
      </c>
      <c r="R1208" s="9" t="n">
        <v>2179.32</v>
      </c>
      <c r="S1208" s="9" t="n">
        <v>1934.85</v>
      </c>
      <c r="T1208" s="9" t="n">
        <v>2305.44</v>
      </c>
      <c r="U1208" s="10">
        <f>SUM(I1208:T1208)</f>
        <v/>
      </c>
    </row>
    <row r="1209">
      <c r="A1209" s="2" t="inlineStr">
        <is>
          <t>SN-3000-3300-3330-3330ME0035</t>
        </is>
      </c>
      <c r="B1209" s="2" t="inlineStr">
        <is>
          <t>3330ME0035</t>
        </is>
      </c>
      <c r="C1209" s="2" t="inlineStr">
        <is>
          <t>Mesa rodillos</t>
        </is>
      </c>
      <c r="D1209" s="2" t="n">
        <v>403</v>
      </c>
      <c r="E1209" s="2" t="inlineStr">
        <is>
          <t>CC-3000</t>
        </is>
      </c>
      <c r="F1209" s="2" t="inlineStr">
        <is>
          <t>P01</t>
        </is>
      </c>
      <c r="G1209" s="2" t="n">
        <v>620000</v>
      </c>
      <c r="H1209" s="2" t="inlineStr">
        <is>
          <t>Materiales</t>
        </is>
      </c>
      <c r="I1209" s="9" t="n">
        <v>1859.92</v>
      </c>
      <c r="J1209" s="9" t="n">
        <v>1806.96</v>
      </c>
      <c r="K1209" s="9" t="n">
        <v>2109.58</v>
      </c>
      <c r="L1209" s="9" t="n">
        <v>2034.51</v>
      </c>
      <c r="M1209" s="9" t="n">
        <v>1980.33</v>
      </c>
      <c r="N1209" s="9" t="n">
        <v>1712.74</v>
      </c>
      <c r="O1209" s="9" t="n">
        <v>2016.2</v>
      </c>
      <c r="P1209" s="9" t="n">
        <v>1882.88</v>
      </c>
      <c r="Q1209" s="9" t="n">
        <v>1712.64</v>
      </c>
      <c r="R1209" s="9" t="n">
        <v>2087.36</v>
      </c>
      <c r="S1209" s="9" t="n">
        <v>1946.74</v>
      </c>
      <c r="T1209" s="9" t="n">
        <v>2027.31</v>
      </c>
      <c r="U1209" s="10">
        <f>SUM(I1209:T1209)</f>
        <v/>
      </c>
    </row>
    <row r="1210">
      <c r="A1210" s="2" t="inlineStr">
        <is>
          <t>SN-3000-3300-3330-3330ME0035</t>
        </is>
      </c>
      <c r="B1210" s="2" t="inlineStr">
        <is>
          <t>3330ME0035</t>
        </is>
      </c>
      <c r="C1210" s="2" t="inlineStr">
        <is>
          <t>Mesa rodillos</t>
        </is>
      </c>
      <c r="D1210" s="2" t="n">
        <v>403</v>
      </c>
      <c r="E1210" s="2" t="inlineStr">
        <is>
          <t>CC-3000</t>
        </is>
      </c>
      <c r="F1210" s="2" t="inlineStr">
        <is>
          <t>P01</t>
        </is>
      </c>
      <c r="G1210" s="2" t="n">
        <v>630000</v>
      </c>
      <c r="H1210" s="2" t="inlineStr">
        <is>
          <t>Servicios externos</t>
        </is>
      </c>
      <c r="I1210" s="9" t="n">
        <v>2654.66</v>
      </c>
      <c r="J1210" s="9" t="n">
        <v>2296.46</v>
      </c>
      <c r="K1210" s="9" t="n">
        <v>2480.16</v>
      </c>
      <c r="L1210" s="9" t="n">
        <v>2294.22</v>
      </c>
      <c r="M1210" s="9" t="n">
        <v>2554.75</v>
      </c>
      <c r="N1210" s="9" t="n">
        <v>2198.22</v>
      </c>
      <c r="O1210" s="9" t="n">
        <v>2575.66</v>
      </c>
      <c r="P1210" s="9" t="n">
        <v>2365.54</v>
      </c>
      <c r="Q1210" s="9" t="n">
        <v>2217.71</v>
      </c>
      <c r="R1210" s="9" t="n">
        <v>2431.07</v>
      </c>
      <c r="S1210" s="9" t="n">
        <v>2290.76</v>
      </c>
      <c r="T1210" s="9" t="n">
        <v>2623.35</v>
      </c>
      <c r="U1210" s="10">
        <f>SUM(I1210:T1210)</f>
        <v/>
      </c>
    </row>
    <row r="1211">
      <c r="A1211" s="2" t="inlineStr">
        <is>
          <t>SN-3000-3300-3330-3330ME0076</t>
        </is>
      </c>
      <c r="B1211" s="2" t="inlineStr">
        <is>
          <t>3330ME0076</t>
        </is>
      </c>
      <c r="C1211" s="2" t="inlineStr">
        <is>
          <t>Sistema alimentación precipitado filtro 1</t>
        </is>
      </c>
      <c r="D1211" s="2" t="n">
        <v>404</v>
      </c>
      <c r="E1211" s="2" t="inlineStr">
        <is>
          <t>CC-3000</t>
        </is>
      </c>
      <c r="F1211" s="2" t="inlineStr">
        <is>
          <t>P01</t>
        </is>
      </c>
      <c r="G1211" s="2" t="n">
        <v>610000</v>
      </c>
      <c r="H1211" s="2" t="inlineStr">
        <is>
          <t>Mano obra interna</t>
        </is>
      </c>
      <c r="I1211" s="9" t="n">
        <v>1581.45</v>
      </c>
      <c r="J1211" s="9" t="n">
        <v>1432.78</v>
      </c>
      <c r="K1211" s="9" t="n">
        <v>1588.99</v>
      </c>
      <c r="L1211" s="9" t="n">
        <v>1523.21</v>
      </c>
      <c r="M1211" s="9" t="n">
        <v>1494.76</v>
      </c>
      <c r="N1211" s="9" t="n">
        <v>1594.48</v>
      </c>
      <c r="O1211" s="9" t="n">
        <v>1557.34</v>
      </c>
      <c r="P1211" s="9" t="n">
        <v>1514.68</v>
      </c>
      <c r="Q1211" s="9" t="n">
        <v>1484.94</v>
      </c>
      <c r="R1211" s="9" t="n">
        <v>1598.95</v>
      </c>
      <c r="S1211" s="9" t="n">
        <v>1463.89</v>
      </c>
      <c r="T1211" s="9" t="n">
        <v>1607.89</v>
      </c>
      <c r="U1211" s="10">
        <f>SUM(I1211:T1211)</f>
        <v/>
      </c>
    </row>
    <row r="1212">
      <c r="A1212" s="2" t="inlineStr">
        <is>
          <t>SN-3000-3300-3330-3330ME0076</t>
        </is>
      </c>
      <c r="B1212" s="2" t="inlineStr">
        <is>
          <t>3330ME0076</t>
        </is>
      </c>
      <c r="C1212" s="2" t="inlineStr">
        <is>
          <t>Sistema alimentación precipitado filtro 1</t>
        </is>
      </c>
      <c r="D1212" s="2" t="n">
        <v>404</v>
      </c>
      <c r="E1212" s="2" t="inlineStr">
        <is>
          <t>CC-3000</t>
        </is>
      </c>
      <c r="F1212" s="2" t="inlineStr">
        <is>
          <t>P01</t>
        </is>
      </c>
      <c r="G1212" s="2" t="n">
        <v>620000</v>
      </c>
      <c r="H1212" s="2" t="inlineStr">
        <is>
          <t>Materiales</t>
        </is>
      </c>
      <c r="I1212" s="9" t="n">
        <v>1673.27</v>
      </c>
      <c r="J1212" s="9" t="n">
        <v>1567.17</v>
      </c>
      <c r="K1212" s="9" t="n">
        <v>1715.39</v>
      </c>
      <c r="L1212" s="9" t="n">
        <v>1745.36</v>
      </c>
      <c r="M1212" s="9" t="n">
        <v>1480.01</v>
      </c>
      <c r="N1212" s="9" t="n">
        <v>1483.13</v>
      </c>
      <c r="O1212" s="9" t="n">
        <v>1548.13</v>
      </c>
      <c r="P1212" s="9" t="n">
        <v>1503.38</v>
      </c>
      <c r="Q1212" s="9" t="n">
        <v>1556.93</v>
      </c>
      <c r="R1212" s="9" t="n">
        <v>1789.85</v>
      </c>
      <c r="S1212" s="9" t="n">
        <v>1538.7</v>
      </c>
      <c r="T1212" s="9" t="n">
        <v>1626.87</v>
      </c>
      <c r="U1212" s="10">
        <f>SUM(I1212:T1212)</f>
        <v/>
      </c>
    </row>
    <row r="1213">
      <c r="A1213" s="2" t="inlineStr">
        <is>
          <t>SN-3000-3300-3330-3330ME0076</t>
        </is>
      </c>
      <c r="B1213" s="2" t="inlineStr">
        <is>
          <t>3330ME0076</t>
        </is>
      </c>
      <c r="C1213" s="2" t="inlineStr">
        <is>
          <t>Sistema alimentación precipitado filtro 1</t>
        </is>
      </c>
      <c r="D1213" s="2" t="n">
        <v>404</v>
      </c>
      <c r="E1213" s="2" t="inlineStr">
        <is>
          <t>CC-3000</t>
        </is>
      </c>
      <c r="F1213" s="2" t="inlineStr">
        <is>
          <t>P01</t>
        </is>
      </c>
      <c r="G1213" s="2" t="n">
        <v>630000</v>
      </c>
      <c r="H1213" s="2" t="inlineStr">
        <is>
          <t>Servicios externos</t>
        </is>
      </c>
      <c r="I1213" s="9" t="n">
        <v>1550.04</v>
      </c>
      <c r="J1213" s="9" t="n">
        <v>1551.33</v>
      </c>
      <c r="K1213" s="9" t="n">
        <v>1570.99</v>
      </c>
      <c r="L1213" s="9" t="n">
        <v>1480.44</v>
      </c>
      <c r="M1213" s="9" t="n">
        <v>1529.39</v>
      </c>
      <c r="N1213" s="9" t="n">
        <v>1407.02</v>
      </c>
      <c r="O1213" s="9" t="n">
        <v>1516.52</v>
      </c>
      <c r="P1213" s="9" t="n">
        <v>1500.91</v>
      </c>
      <c r="Q1213" s="9" t="n">
        <v>1374.36</v>
      </c>
      <c r="R1213" s="9" t="n">
        <v>1679.9</v>
      </c>
      <c r="S1213" s="9" t="n">
        <v>1546.45</v>
      </c>
      <c r="T1213" s="9" t="n">
        <v>1406.45</v>
      </c>
      <c r="U1213" s="10">
        <f>SUM(I1213:T1213)</f>
        <v/>
      </c>
    </row>
    <row r="1214">
      <c r="A1214" s="2" t="inlineStr">
        <is>
          <t>SN-3000-3300-3330-3330ME0077</t>
        </is>
      </c>
      <c r="B1214" s="2" t="inlineStr">
        <is>
          <t>3330ME0077</t>
        </is>
      </c>
      <c r="C1214" s="2" t="inlineStr">
        <is>
          <t>Sistema alimentación precipitado filtro 2</t>
        </is>
      </c>
      <c r="D1214" s="2" t="n">
        <v>405</v>
      </c>
      <c r="E1214" s="2" t="inlineStr">
        <is>
          <t>CC-3000</t>
        </is>
      </c>
      <c r="F1214" s="2" t="inlineStr">
        <is>
          <t>P01</t>
        </is>
      </c>
      <c r="G1214" s="2" t="n">
        <v>610000</v>
      </c>
      <c r="H1214" s="2" t="inlineStr">
        <is>
          <t>Mano obra interna</t>
        </is>
      </c>
      <c r="I1214" s="9" t="n">
        <v>3059.46</v>
      </c>
      <c r="J1214" s="9" t="n">
        <v>3040.8</v>
      </c>
      <c r="K1214" s="9" t="n">
        <v>3261.73</v>
      </c>
      <c r="L1214" s="9" t="n">
        <v>3041.33</v>
      </c>
      <c r="M1214" s="9" t="n">
        <v>3119.2</v>
      </c>
      <c r="N1214" s="9" t="n">
        <v>2712.53</v>
      </c>
      <c r="O1214" s="9" t="n">
        <v>2829.62</v>
      </c>
      <c r="P1214" s="9" t="n">
        <v>3064.55</v>
      </c>
      <c r="Q1214" s="9" t="n">
        <v>2949.61</v>
      </c>
      <c r="R1214" s="9" t="n">
        <v>3428.64</v>
      </c>
      <c r="S1214" s="9" t="n">
        <v>2962.54</v>
      </c>
      <c r="T1214" s="9" t="n">
        <v>3048.27</v>
      </c>
      <c r="U1214" s="10">
        <f>SUM(I1214:T1214)</f>
        <v/>
      </c>
    </row>
    <row r="1215">
      <c r="A1215" s="2" t="inlineStr">
        <is>
          <t>SN-3000-3300-3330-3330ME0077</t>
        </is>
      </c>
      <c r="B1215" s="2" t="inlineStr">
        <is>
          <t>3330ME0077</t>
        </is>
      </c>
      <c r="C1215" s="2" t="inlineStr">
        <is>
          <t>Sistema alimentación precipitado filtro 2</t>
        </is>
      </c>
      <c r="D1215" s="2" t="n">
        <v>405</v>
      </c>
      <c r="E1215" s="2" t="inlineStr">
        <is>
          <t>CC-3000</t>
        </is>
      </c>
      <c r="F1215" s="2" t="inlineStr">
        <is>
          <t>P01</t>
        </is>
      </c>
      <c r="G1215" s="2" t="n">
        <v>620000</v>
      </c>
      <c r="H1215" s="2" t="inlineStr">
        <is>
          <t>Materiales</t>
        </is>
      </c>
      <c r="I1215" s="9" t="n">
        <v>2681.7</v>
      </c>
      <c r="J1215" s="9" t="n">
        <v>2333.33</v>
      </c>
      <c r="K1215" s="9" t="n">
        <v>2615.11</v>
      </c>
      <c r="L1215" s="9" t="n">
        <v>2506.12</v>
      </c>
      <c r="M1215" s="9" t="n">
        <v>2456.27</v>
      </c>
      <c r="N1215" s="9" t="n">
        <v>2292.66</v>
      </c>
      <c r="O1215" s="9" t="n">
        <v>2622.21</v>
      </c>
      <c r="P1215" s="9" t="n">
        <v>2465.72</v>
      </c>
      <c r="Q1215" s="9" t="n">
        <v>2430.02</v>
      </c>
      <c r="R1215" s="9" t="n">
        <v>2423.63</v>
      </c>
      <c r="S1215" s="9" t="n">
        <v>2389.13</v>
      </c>
      <c r="T1215" s="9" t="n">
        <v>2561.84</v>
      </c>
      <c r="U1215" s="10">
        <f>SUM(I1215:T1215)</f>
        <v/>
      </c>
    </row>
    <row r="1216">
      <c r="A1216" s="2" t="inlineStr">
        <is>
          <t>SN-3000-3300-3330-3330ME0077</t>
        </is>
      </c>
      <c r="B1216" s="2" t="inlineStr">
        <is>
          <t>3330ME0077</t>
        </is>
      </c>
      <c r="C1216" s="2" t="inlineStr">
        <is>
          <t>Sistema alimentación precipitado filtro 2</t>
        </is>
      </c>
      <c r="D1216" s="2" t="n">
        <v>405</v>
      </c>
      <c r="E1216" s="2" t="inlineStr">
        <is>
          <t>CC-3000</t>
        </is>
      </c>
      <c r="F1216" s="2" t="inlineStr">
        <is>
          <t>P01</t>
        </is>
      </c>
      <c r="G1216" s="2" t="n">
        <v>630000</v>
      </c>
      <c r="H1216" s="2" t="inlineStr">
        <is>
          <t>Servicios externos</t>
        </is>
      </c>
      <c r="I1216" s="9" t="n">
        <v>3129.97</v>
      </c>
      <c r="J1216" s="9" t="n">
        <v>2611</v>
      </c>
      <c r="K1216" s="9" t="n">
        <v>2733.1</v>
      </c>
      <c r="L1216" s="9" t="n">
        <v>2929.89</v>
      </c>
      <c r="M1216" s="9" t="n">
        <v>2635.07</v>
      </c>
      <c r="N1216" s="9" t="n">
        <v>2962</v>
      </c>
      <c r="O1216" s="9" t="n">
        <v>2752.67</v>
      </c>
      <c r="P1216" s="9" t="n">
        <v>2864.74</v>
      </c>
      <c r="Q1216" s="9" t="n">
        <v>2492.22</v>
      </c>
      <c r="R1216" s="9" t="n">
        <v>3116.26</v>
      </c>
      <c r="S1216" s="9" t="n">
        <v>2733.98</v>
      </c>
      <c r="T1216" s="9" t="n">
        <v>2709.33</v>
      </c>
      <c r="U1216" s="10">
        <f>SUM(I1216:T1216)</f>
        <v/>
      </c>
    </row>
    <row r="1217">
      <c r="A1217" s="2" t="inlineStr">
        <is>
          <t>SN-3000-3300-3330-3330ME0078</t>
        </is>
      </c>
      <c r="B1217" s="2" t="inlineStr">
        <is>
          <t>3330ME0078</t>
        </is>
      </c>
      <c r="C1217" s="2" t="inlineStr">
        <is>
          <t>Sistema alimentación precipitado filtro 3</t>
        </is>
      </c>
      <c r="D1217" s="2" t="n">
        <v>406</v>
      </c>
      <c r="E1217" s="2" t="inlineStr">
        <is>
          <t>CC-3000</t>
        </is>
      </c>
      <c r="F1217" s="2" t="inlineStr">
        <is>
          <t>P01</t>
        </is>
      </c>
      <c r="G1217" s="2" t="n">
        <v>610000</v>
      </c>
      <c r="H1217" s="2" t="inlineStr">
        <is>
          <t>Mano obra interna</t>
        </is>
      </c>
      <c r="I1217" s="9" t="n">
        <v>1610.4</v>
      </c>
      <c r="J1217" s="9" t="n">
        <v>1705.03</v>
      </c>
      <c r="K1217" s="9" t="n">
        <v>1578.79</v>
      </c>
      <c r="L1217" s="9" t="n">
        <v>1652.55</v>
      </c>
      <c r="M1217" s="9" t="n">
        <v>1712.68</v>
      </c>
      <c r="N1217" s="9" t="n">
        <v>1606.59</v>
      </c>
      <c r="O1217" s="9" t="n">
        <v>1732.92</v>
      </c>
      <c r="P1217" s="9" t="n">
        <v>1724.4</v>
      </c>
      <c r="Q1217" s="9" t="n">
        <v>1491.93</v>
      </c>
      <c r="R1217" s="9" t="n">
        <v>1785.71</v>
      </c>
      <c r="S1217" s="9" t="n">
        <v>1457.26</v>
      </c>
      <c r="T1217" s="9" t="n">
        <v>1613.9</v>
      </c>
      <c r="U1217" s="10">
        <f>SUM(I1217:T1217)</f>
        <v/>
      </c>
    </row>
    <row r="1218">
      <c r="A1218" s="2" t="inlineStr">
        <is>
          <t>SN-3000-3300-3330-3330ME0078</t>
        </is>
      </c>
      <c r="B1218" s="2" t="inlineStr">
        <is>
          <t>3330ME0078</t>
        </is>
      </c>
      <c r="C1218" s="2" t="inlineStr">
        <is>
          <t>Sistema alimentación precipitado filtro 3</t>
        </is>
      </c>
      <c r="D1218" s="2" t="n">
        <v>406</v>
      </c>
      <c r="E1218" s="2" t="inlineStr">
        <is>
          <t>CC-3000</t>
        </is>
      </c>
      <c r="F1218" s="2" t="inlineStr">
        <is>
          <t>P01</t>
        </is>
      </c>
      <c r="G1218" s="2" t="n">
        <v>620000</v>
      </c>
      <c r="H1218" s="2" t="inlineStr">
        <is>
          <t>Materiales</t>
        </is>
      </c>
      <c r="I1218" s="9" t="n">
        <v>1851.14</v>
      </c>
      <c r="J1218" s="9" t="n">
        <v>1842.23</v>
      </c>
      <c r="K1218" s="9" t="n">
        <v>1942.62</v>
      </c>
      <c r="L1218" s="9" t="n">
        <v>1778.69</v>
      </c>
      <c r="M1218" s="9" t="n">
        <v>1900.84</v>
      </c>
      <c r="N1218" s="9" t="n">
        <v>1721.06</v>
      </c>
      <c r="O1218" s="9" t="n">
        <v>1728.56</v>
      </c>
      <c r="P1218" s="9" t="n">
        <v>1916.29</v>
      </c>
      <c r="Q1218" s="9" t="n">
        <v>1664.38</v>
      </c>
      <c r="R1218" s="9" t="n">
        <v>2032.14</v>
      </c>
      <c r="S1218" s="9" t="n">
        <v>1767.41</v>
      </c>
      <c r="T1218" s="9" t="n">
        <v>1803.94</v>
      </c>
      <c r="U1218" s="10">
        <f>SUM(I1218:T1218)</f>
        <v/>
      </c>
    </row>
    <row r="1219">
      <c r="A1219" s="2" t="inlineStr">
        <is>
          <t>SN-3000-3300-3330-3330ME0078</t>
        </is>
      </c>
      <c r="B1219" s="2" t="inlineStr">
        <is>
          <t>3330ME0078</t>
        </is>
      </c>
      <c r="C1219" s="2" t="inlineStr">
        <is>
          <t>Sistema alimentación precipitado filtro 3</t>
        </is>
      </c>
      <c r="D1219" s="2" t="n">
        <v>406</v>
      </c>
      <c r="E1219" s="2" t="inlineStr">
        <is>
          <t>CC-3000</t>
        </is>
      </c>
      <c r="F1219" s="2" t="inlineStr">
        <is>
          <t>P01</t>
        </is>
      </c>
      <c r="G1219" s="2" t="n">
        <v>630000</v>
      </c>
      <c r="H1219" s="2" t="inlineStr">
        <is>
          <t>Servicios externos</t>
        </is>
      </c>
      <c r="I1219" s="9" t="n">
        <v>1887.92</v>
      </c>
      <c r="J1219" s="9" t="n">
        <v>1765.61</v>
      </c>
      <c r="K1219" s="9" t="n">
        <v>1764.86</v>
      </c>
      <c r="L1219" s="9" t="n">
        <v>1982.93</v>
      </c>
      <c r="M1219" s="9" t="n">
        <v>1671.62</v>
      </c>
      <c r="N1219" s="9" t="n">
        <v>1845.92</v>
      </c>
      <c r="O1219" s="9" t="n">
        <v>1784.63</v>
      </c>
      <c r="P1219" s="9" t="n">
        <v>1864</v>
      </c>
      <c r="Q1219" s="9" t="n">
        <v>1813.32</v>
      </c>
      <c r="R1219" s="9" t="n">
        <v>1858.15</v>
      </c>
      <c r="S1219" s="9" t="n">
        <v>1785.36</v>
      </c>
      <c r="T1219" s="9" t="n">
        <v>1930.15</v>
      </c>
      <c r="U1219" s="10">
        <f>SUM(I1219:T1219)</f>
        <v/>
      </c>
    </row>
    <row r="1220">
      <c r="A1220" s="2" t="inlineStr">
        <is>
          <t>SN-3000-3300-3330-3330PR0002</t>
        </is>
      </c>
      <c r="B1220" s="2" t="inlineStr">
        <is>
          <t>3330PR0002</t>
        </is>
      </c>
      <c r="C1220" s="2" t="inlineStr">
        <is>
          <t>Tablero de enchufes</t>
        </is>
      </c>
      <c r="D1220" s="2" t="n">
        <v>407</v>
      </c>
      <c r="E1220" s="2" t="inlineStr">
        <is>
          <t>CC-3000</t>
        </is>
      </c>
      <c r="F1220" s="2" t="inlineStr">
        <is>
          <t>P01</t>
        </is>
      </c>
      <c r="G1220" s="2" t="n">
        <v>610000</v>
      </c>
      <c r="H1220" s="2" t="inlineStr">
        <is>
          <t>Mano obra interna</t>
        </is>
      </c>
      <c r="I1220" s="9" t="n">
        <v>1584.13</v>
      </c>
      <c r="J1220" s="9" t="n">
        <v>1552.42</v>
      </c>
      <c r="K1220" s="9" t="n">
        <v>1660.03</v>
      </c>
      <c r="L1220" s="9" t="n">
        <v>1665.69</v>
      </c>
      <c r="M1220" s="9" t="n">
        <v>1593.52</v>
      </c>
      <c r="N1220" s="9" t="n">
        <v>1443.03</v>
      </c>
      <c r="O1220" s="9" t="n">
        <v>1669.02</v>
      </c>
      <c r="P1220" s="9" t="n">
        <v>1528.1</v>
      </c>
      <c r="Q1220" s="9" t="n">
        <v>1329.16</v>
      </c>
      <c r="R1220" s="9" t="n">
        <v>1630.01</v>
      </c>
      <c r="S1220" s="9" t="n">
        <v>1406.99</v>
      </c>
      <c r="T1220" s="9" t="n">
        <v>1473.39</v>
      </c>
      <c r="U1220" s="10">
        <f>SUM(I1220:T1220)</f>
        <v/>
      </c>
    </row>
    <row r="1221">
      <c r="A1221" s="2" t="inlineStr">
        <is>
          <t>SN-3000-3300-3330-3330PR0002</t>
        </is>
      </c>
      <c r="B1221" s="2" t="inlineStr">
        <is>
          <t>3330PR0002</t>
        </is>
      </c>
      <c r="C1221" s="2" t="inlineStr">
        <is>
          <t>Tablero de enchufes</t>
        </is>
      </c>
      <c r="D1221" s="2" t="n">
        <v>407</v>
      </c>
      <c r="E1221" s="2" t="inlineStr">
        <is>
          <t>CC-3000</t>
        </is>
      </c>
      <c r="F1221" s="2" t="inlineStr">
        <is>
          <t>P01</t>
        </is>
      </c>
      <c r="G1221" s="2" t="n">
        <v>620000</v>
      </c>
      <c r="H1221" s="2" t="inlineStr">
        <is>
          <t>Materiales</t>
        </is>
      </c>
      <c r="I1221" s="9" t="n">
        <v>1251.71</v>
      </c>
      <c r="J1221" s="9" t="n">
        <v>1339.74</v>
      </c>
      <c r="K1221" s="9" t="n">
        <v>1269.44</v>
      </c>
      <c r="L1221" s="9" t="n">
        <v>1285.55</v>
      </c>
      <c r="M1221" s="9" t="n">
        <v>1221.73</v>
      </c>
      <c r="N1221" s="9" t="n">
        <v>1174.26</v>
      </c>
      <c r="O1221" s="9" t="n">
        <v>1272.02</v>
      </c>
      <c r="P1221" s="9" t="n">
        <v>1334.71</v>
      </c>
      <c r="Q1221" s="9" t="n">
        <v>1320.63</v>
      </c>
      <c r="R1221" s="9" t="n">
        <v>1509.65</v>
      </c>
      <c r="S1221" s="9" t="n">
        <v>1355.23</v>
      </c>
      <c r="T1221" s="9" t="n">
        <v>1270.66</v>
      </c>
      <c r="U1221" s="10">
        <f>SUM(I1221:T1221)</f>
        <v/>
      </c>
    </row>
    <row r="1222">
      <c r="A1222" s="2" t="inlineStr">
        <is>
          <t>SN-3000-3300-3330-3330PR0002</t>
        </is>
      </c>
      <c r="B1222" s="2" t="inlineStr">
        <is>
          <t>3330PR0002</t>
        </is>
      </c>
      <c r="C1222" s="2" t="inlineStr">
        <is>
          <t>Tablero de enchufes</t>
        </is>
      </c>
      <c r="D1222" s="2" t="n">
        <v>407</v>
      </c>
      <c r="E1222" s="2" t="inlineStr">
        <is>
          <t>CC-3000</t>
        </is>
      </c>
      <c r="F1222" s="2" t="inlineStr">
        <is>
          <t>P01</t>
        </is>
      </c>
      <c r="G1222" s="2" t="n">
        <v>630000</v>
      </c>
      <c r="H1222" s="2" t="inlineStr">
        <is>
          <t>Servicios externos</t>
        </is>
      </c>
      <c r="I1222" s="9" t="n">
        <v>1221.39</v>
      </c>
      <c r="J1222" s="9" t="n">
        <v>1320.32</v>
      </c>
      <c r="K1222" s="9" t="n">
        <v>1232.91</v>
      </c>
      <c r="L1222" s="9" t="n">
        <v>1323.63</v>
      </c>
      <c r="M1222" s="9" t="n">
        <v>1218.92</v>
      </c>
      <c r="N1222" s="9" t="n">
        <v>1176.68</v>
      </c>
      <c r="O1222" s="9" t="n">
        <v>1384.83</v>
      </c>
      <c r="P1222" s="9" t="n">
        <v>1335.17</v>
      </c>
      <c r="Q1222" s="9" t="n">
        <v>1259.13</v>
      </c>
      <c r="R1222" s="9" t="n">
        <v>1400.03</v>
      </c>
      <c r="S1222" s="9" t="n">
        <v>1316.2</v>
      </c>
      <c r="T1222" s="9" t="n">
        <v>1332.81</v>
      </c>
      <c r="U1222" s="10">
        <f>SUM(I1222:T1222)</f>
        <v/>
      </c>
    </row>
    <row r="1223">
      <c r="A1223" s="2" t="inlineStr">
        <is>
          <t>SN-3000-3300-3330-3330PU0119</t>
        </is>
      </c>
      <c r="B1223" s="2" t="inlineStr">
        <is>
          <t>3330PU0119</t>
        </is>
      </c>
      <c r="C1223" s="2" t="inlineStr">
        <is>
          <t>Bomba descarga clarificador MC</t>
        </is>
      </c>
      <c r="D1223" s="2" t="n">
        <v>408</v>
      </c>
      <c r="E1223" s="2" t="inlineStr">
        <is>
          <t>CC-3000</t>
        </is>
      </c>
      <c r="F1223" s="2" t="inlineStr">
        <is>
          <t>P01</t>
        </is>
      </c>
      <c r="G1223" s="2" t="n">
        <v>610000</v>
      </c>
      <c r="H1223" s="2" t="inlineStr">
        <is>
          <t>Mano obra interna</t>
        </is>
      </c>
      <c r="I1223" s="9" t="n">
        <v>2158.64</v>
      </c>
      <c r="J1223" s="9" t="n">
        <v>2190.95</v>
      </c>
      <c r="K1223" s="9" t="n">
        <v>2329.32</v>
      </c>
      <c r="L1223" s="9" t="n">
        <v>2201.16</v>
      </c>
      <c r="M1223" s="9" t="n">
        <v>2300.3</v>
      </c>
      <c r="N1223" s="9" t="n">
        <v>2255.78</v>
      </c>
      <c r="O1223" s="9" t="n">
        <v>2190.03</v>
      </c>
      <c r="P1223" s="9" t="n">
        <v>2151.27</v>
      </c>
      <c r="Q1223" s="9" t="n">
        <v>2030.6</v>
      </c>
      <c r="R1223" s="9" t="n">
        <v>2496.44</v>
      </c>
      <c r="S1223" s="9" t="n">
        <v>2170.61</v>
      </c>
      <c r="T1223" s="9" t="n">
        <v>2061.79</v>
      </c>
      <c r="U1223" s="10">
        <f>SUM(I1223:T1223)</f>
        <v/>
      </c>
    </row>
    <row r="1224">
      <c r="A1224" s="2" t="inlineStr">
        <is>
          <t>SN-3000-3300-3330-3330PU0119</t>
        </is>
      </c>
      <c r="B1224" s="2" t="inlineStr">
        <is>
          <t>3330PU0119</t>
        </is>
      </c>
      <c r="C1224" s="2" t="inlineStr">
        <is>
          <t>Bomba descarga clarificador MC</t>
        </is>
      </c>
      <c r="D1224" s="2" t="n">
        <v>408</v>
      </c>
      <c r="E1224" s="2" t="inlineStr">
        <is>
          <t>CC-3000</t>
        </is>
      </c>
      <c r="F1224" s="2" t="inlineStr">
        <is>
          <t>P01</t>
        </is>
      </c>
      <c r="G1224" s="2" t="n">
        <v>620000</v>
      </c>
      <c r="H1224" s="2" t="inlineStr">
        <is>
          <t>Materiales</t>
        </is>
      </c>
      <c r="I1224" s="9" t="n">
        <v>1821.25</v>
      </c>
      <c r="J1224" s="9" t="n">
        <v>1988.96</v>
      </c>
      <c r="K1224" s="9" t="n">
        <v>1939.77</v>
      </c>
      <c r="L1224" s="9" t="n">
        <v>1967.15</v>
      </c>
      <c r="M1224" s="9" t="n">
        <v>2004.82</v>
      </c>
      <c r="N1224" s="9" t="n">
        <v>1714.31</v>
      </c>
      <c r="O1224" s="9" t="n">
        <v>1828.58</v>
      </c>
      <c r="P1224" s="9" t="n">
        <v>1900.4</v>
      </c>
      <c r="Q1224" s="9" t="n">
        <v>1721.97</v>
      </c>
      <c r="R1224" s="9" t="n">
        <v>2030.93</v>
      </c>
      <c r="S1224" s="9" t="n">
        <v>2020.82</v>
      </c>
      <c r="T1224" s="9" t="n">
        <v>2064.25</v>
      </c>
      <c r="U1224" s="10">
        <f>SUM(I1224:T1224)</f>
        <v/>
      </c>
    </row>
    <row r="1225">
      <c r="A1225" s="2" t="inlineStr">
        <is>
          <t>SN-3000-3300-3330-3330PU0119</t>
        </is>
      </c>
      <c r="B1225" s="2" t="inlineStr">
        <is>
          <t>3330PU0119</t>
        </is>
      </c>
      <c r="C1225" s="2" t="inlineStr">
        <is>
          <t>Bomba descarga clarificador MC</t>
        </is>
      </c>
      <c r="D1225" s="2" t="n">
        <v>408</v>
      </c>
      <c r="E1225" s="2" t="inlineStr">
        <is>
          <t>CC-3000</t>
        </is>
      </c>
      <c r="F1225" s="2" t="inlineStr">
        <is>
          <t>P01</t>
        </is>
      </c>
      <c r="G1225" s="2" t="n">
        <v>630000</v>
      </c>
      <c r="H1225" s="2" t="inlineStr">
        <is>
          <t>Servicios externos</t>
        </is>
      </c>
      <c r="I1225" s="9" t="n">
        <v>2299.79</v>
      </c>
      <c r="J1225" s="9" t="n">
        <v>2020.92</v>
      </c>
      <c r="K1225" s="9" t="n">
        <v>2101.68</v>
      </c>
      <c r="L1225" s="9" t="n">
        <v>2060.43</v>
      </c>
      <c r="M1225" s="9" t="n">
        <v>2193.87</v>
      </c>
      <c r="N1225" s="9" t="n">
        <v>2070.91</v>
      </c>
      <c r="O1225" s="9" t="n">
        <v>2017.61</v>
      </c>
      <c r="P1225" s="9" t="n">
        <v>2062.6</v>
      </c>
      <c r="Q1225" s="9" t="n">
        <v>1962.14</v>
      </c>
      <c r="R1225" s="9" t="n">
        <v>2280.94</v>
      </c>
      <c r="S1225" s="9" t="n">
        <v>2165.12</v>
      </c>
      <c r="T1225" s="9" t="n">
        <v>2096.01</v>
      </c>
      <c r="U1225" s="10">
        <f>SUM(I1225:T1225)</f>
        <v/>
      </c>
    </row>
    <row r="1226">
      <c r="A1226" s="2" t="inlineStr">
        <is>
          <t>SN-3000-3300-3330-3330PU0120</t>
        </is>
      </c>
      <c r="B1226" s="2" t="inlineStr">
        <is>
          <t>3330PU0120</t>
        </is>
      </c>
      <c r="C1226" s="2" t="inlineStr">
        <is>
          <t>Bomba descarga clarificador MC</t>
        </is>
      </c>
      <c r="D1226" s="2" t="n">
        <v>409</v>
      </c>
      <c r="E1226" s="2" t="inlineStr">
        <is>
          <t>CC-3000</t>
        </is>
      </c>
      <c r="F1226" s="2" t="inlineStr">
        <is>
          <t>P01</t>
        </is>
      </c>
      <c r="G1226" s="2" t="n">
        <v>610000</v>
      </c>
      <c r="H1226" s="2" t="inlineStr">
        <is>
          <t>Mano obra interna</t>
        </is>
      </c>
      <c r="I1226" s="9" t="n">
        <v>1520.32</v>
      </c>
      <c r="J1226" s="9" t="n">
        <v>1538.98</v>
      </c>
      <c r="K1226" s="9" t="n">
        <v>1657.72</v>
      </c>
      <c r="L1226" s="9" t="n">
        <v>1636.72</v>
      </c>
      <c r="M1226" s="9" t="n">
        <v>1382.36</v>
      </c>
      <c r="N1226" s="9" t="n">
        <v>1369.66</v>
      </c>
      <c r="O1226" s="9" t="n">
        <v>1498.5</v>
      </c>
      <c r="P1226" s="9" t="n">
        <v>1485.81</v>
      </c>
      <c r="Q1226" s="9" t="n">
        <v>1431.01</v>
      </c>
      <c r="R1226" s="9" t="n">
        <v>1736.65</v>
      </c>
      <c r="S1226" s="9" t="n">
        <v>1365.11</v>
      </c>
      <c r="T1226" s="9" t="n">
        <v>1513.95</v>
      </c>
      <c r="U1226" s="10">
        <f>SUM(I1226:T1226)</f>
        <v/>
      </c>
    </row>
    <row r="1227">
      <c r="A1227" s="2" t="inlineStr">
        <is>
          <t>SN-3000-3300-3330-3330PU0120</t>
        </is>
      </c>
      <c r="B1227" s="2" t="inlineStr">
        <is>
          <t>3330PU0120</t>
        </is>
      </c>
      <c r="C1227" s="2" t="inlineStr">
        <is>
          <t>Bomba descarga clarificador MC</t>
        </is>
      </c>
      <c r="D1227" s="2" t="n">
        <v>409</v>
      </c>
      <c r="E1227" s="2" t="inlineStr">
        <is>
          <t>CC-3000</t>
        </is>
      </c>
      <c r="F1227" s="2" t="inlineStr">
        <is>
          <t>P01</t>
        </is>
      </c>
      <c r="G1227" s="2" t="n">
        <v>620000</v>
      </c>
      <c r="H1227" s="2" t="inlineStr">
        <is>
          <t>Materiales</t>
        </is>
      </c>
      <c r="I1227" s="9" t="n">
        <v>1262.2</v>
      </c>
      <c r="J1227" s="9" t="n">
        <v>1230.62</v>
      </c>
      <c r="K1227" s="9" t="n">
        <v>1195.8</v>
      </c>
      <c r="L1227" s="9" t="n">
        <v>1113.41</v>
      </c>
      <c r="M1227" s="9" t="n">
        <v>1203.6</v>
      </c>
      <c r="N1227" s="9" t="n">
        <v>1147.07</v>
      </c>
      <c r="O1227" s="9" t="n">
        <v>1136.56</v>
      </c>
      <c r="P1227" s="9" t="n">
        <v>1234.26</v>
      </c>
      <c r="Q1227" s="9" t="n">
        <v>1165.12</v>
      </c>
      <c r="R1227" s="9" t="n">
        <v>1265.91</v>
      </c>
      <c r="S1227" s="9" t="n">
        <v>1137.78</v>
      </c>
      <c r="T1227" s="9" t="n">
        <v>1142.12</v>
      </c>
      <c r="U1227" s="10">
        <f>SUM(I1227:T1227)</f>
        <v/>
      </c>
    </row>
    <row r="1228">
      <c r="A1228" s="2" t="inlineStr">
        <is>
          <t>SN-3000-3300-3330-3330PU0120</t>
        </is>
      </c>
      <c r="B1228" s="2" t="inlineStr">
        <is>
          <t>3330PU0120</t>
        </is>
      </c>
      <c r="C1228" s="2" t="inlineStr">
        <is>
          <t>Bomba descarga clarificador MC</t>
        </is>
      </c>
      <c r="D1228" s="2" t="n">
        <v>409</v>
      </c>
      <c r="E1228" s="2" t="inlineStr">
        <is>
          <t>CC-3000</t>
        </is>
      </c>
      <c r="F1228" s="2" t="inlineStr">
        <is>
          <t>P01</t>
        </is>
      </c>
      <c r="G1228" s="2" t="n">
        <v>630000</v>
      </c>
      <c r="H1228" s="2" t="inlineStr">
        <is>
          <t>Servicios externos</t>
        </is>
      </c>
      <c r="I1228" s="9" t="n">
        <v>1371.33</v>
      </c>
      <c r="J1228" s="9" t="n">
        <v>1293.6</v>
      </c>
      <c r="K1228" s="9" t="n">
        <v>1302.44</v>
      </c>
      <c r="L1228" s="9" t="n">
        <v>1331.47</v>
      </c>
      <c r="M1228" s="9" t="n">
        <v>1277.5</v>
      </c>
      <c r="N1228" s="9" t="n">
        <v>1305.56</v>
      </c>
      <c r="O1228" s="9" t="n">
        <v>1379.11</v>
      </c>
      <c r="P1228" s="9" t="n">
        <v>1378.95</v>
      </c>
      <c r="Q1228" s="9" t="n">
        <v>1240.07</v>
      </c>
      <c r="R1228" s="9" t="n">
        <v>1444.36</v>
      </c>
      <c r="S1228" s="9" t="n">
        <v>1383.33</v>
      </c>
      <c r="T1228" s="9" t="n">
        <v>1371.33</v>
      </c>
      <c r="U1228" s="10">
        <f>SUM(I1228:T1228)</f>
        <v/>
      </c>
    </row>
    <row r="1229">
      <c r="A1229" s="2" t="inlineStr">
        <is>
          <t>SN-3000-3300-3330-3330PU0121</t>
        </is>
      </c>
      <c r="B1229" s="2" t="inlineStr">
        <is>
          <t>3330PU0121</t>
        </is>
      </c>
      <c r="C1229" s="2" t="inlineStr">
        <is>
          <t>Bomba alimentación filtro clarificador</t>
        </is>
      </c>
      <c r="D1229" s="2" t="n">
        <v>410</v>
      </c>
      <c r="E1229" s="2" t="inlineStr">
        <is>
          <t>CC-3000</t>
        </is>
      </c>
      <c r="F1229" s="2" t="inlineStr">
        <is>
          <t>P01</t>
        </is>
      </c>
      <c r="G1229" s="2" t="n">
        <v>610000</v>
      </c>
      <c r="H1229" s="2" t="inlineStr">
        <is>
          <t>Mano obra interna</t>
        </is>
      </c>
      <c r="I1229" s="9" t="n">
        <v>2672.72</v>
      </c>
      <c r="J1229" s="9" t="n">
        <v>2665.97</v>
      </c>
      <c r="K1229" s="9" t="n">
        <v>2531.13</v>
      </c>
      <c r="L1229" s="9" t="n">
        <v>2768.26</v>
      </c>
      <c r="M1229" s="9" t="n">
        <v>2763.46</v>
      </c>
      <c r="N1229" s="9" t="n">
        <v>2706.48</v>
      </c>
      <c r="O1229" s="9" t="n">
        <v>2855.34</v>
      </c>
      <c r="P1229" s="9" t="n">
        <v>2549.65</v>
      </c>
      <c r="Q1229" s="9" t="n">
        <v>2490.63</v>
      </c>
      <c r="R1229" s="9" t="n">
        <v>2828.54</v>
      </c>
      <c r="S1229" s="9" t="n">
        <v>2585.39</v>
      </c>
      <c r="T1229" s="9" t="n">
        <v>2535.9</v>
      </c>
      <c r="U1229" s="10">
        <f>SUM(I1229:T1229)</f>
        <v/>
      </c>
    </row>
    <row r="1230">
      <c r="A1230" s="2" t="inlineStr">
        <is>
          <t>SN-3000-3300-3330-3330PU0121</t>
        </is>
      </c>
      <c r="B1230" s="2" t="inlineStr">
        <is>
          <t>3330PU0121</t>
        </is>
      </c>
      <c r="C1230" s="2" t="inlineStr">
        <is>
          <t>Bomba alimentación filtro clarificador</t>
        </is>
      </c>
      <c r="D1230" s="2" t="n">
        <v>410</v>
      </c>
      <c r="E1230" s="2" t="inlineStr">
        <is>
          <t>CC-3000</t>
        </is>
      </c>
      <c r="F1230" s="2" t="inlineStr">
        <is>
          <t>P01</t>
        </is>
      </c>
      <c r="G1230" s="2" t="n">
        <v>620000</v>
      </c>
      <c r="H1230" s="2" t="inlineStr">
        <is>
          <t>Materiales</t>
        </is>
      </c>
      <c r="I1230" s="9" t="n">
        <v>2695.08</v>
      </c>
      <c r="J1230" s="9" t="n">
        <v>2420.51</v>
      </c>
      <c r="K1230" s="9" t="n">
        <v>2466.28</v>
      </c>
      <c r="L1230" s="9" t="n">
        <v>2386.78</v>
      </c>
      <c r="M1230" s="9" t="n">
        <v>2524.15</v>
      </c>
      <c r="N1230" s="9" t="n">
        <v>2297.67</v>
      </c>
      <c r="O1230" s="9" t="n">
        <v>2641.23</v>
      </c>
      <c r="P1230" s="9" t="n">
        <v>2543.58</v>
      </c>
      <c r="Q1230" s="9" t="n">
        <v>2360.18</v>
      </c>
      <c r="R1230" s="9" t="n">
        <v>2697.39</v>
      </c>
      <c r="S1230" s="9" t="n">
        <v>2224.24</v>
      </c>
      <c r="T1230" s="9" t="n">
        <v>2688.24</v>
      </c>
      <c r="U1230" s="10">
        <f>SUM(I1230:T1230)</f>
        <v/>
      </c>
    </row>
    <row r="1231">
      <c r="A1231" s="2" t="inlineStr">
        <is>
          <t>SN-3000-3300-3330-3330PU0121</t>
        </is>
      </c>
      <c r="B1231" s="2" t="inlineStr">
        <is>
          <t>3330PU0121</t>
        </is>
      </c>
      <c r="C1231" s="2" t="inlineStr">
        <is>
          <t>Bomba alimentación filtro clarificador</t>
        </is>
      </c>
      <c r="D1231" s="2" t="n">
        <v>410</v>
      </c>
      <c r="E1231" s="2" t="inlineStr">
        <is>
          <t>CC-3000</t>
        </is>
      </c>
      <c r="F1231" s="2" t="inlineStr">
        <is>
          <t>P01</t>
        </is>
      </c>
      <c r="G1231" s="2" t="n">
        <v>630000</v>
      </c>
      <c r="H1231" s="2" t="inlineStr">
        <is>
          <t>Servicios externos</t>
        </is>
      </c>
      <c r="I1231" s="9" t="n">
        <v>2527.44</v>
      </c>
      <c r="J1231" s="9" t="n">
        <v>2273.22</v>
      </c>
      <c r="K1231" s="9" t="n">
        <v>2446.63</v>
      </c>
      <c r="L1231" s="9" t="n">
        <v>2178.53</v>
      </c>
      <c r="M1231" s="9" t="n">
        <v>2318.59</v>
      </c>
      <c r="N1231" s="9" t="n">
        <v>2286.55</v>
      </c>
      <c r="O1231" s="9" t="n">
        <v>2397.79</v>
      </c>
      <c r="P1231" s="9" t="n">
        <v>2391.83</v>
      </c>
      <c r="Q1231" s="9" t="n">
        <v>2042.32</v>
      </c>
      <c r="R1231" s="9" t="n">
        <v>2662.61</v>
      </c>
      <c r="S1231" s="9" t="n">
        <v>2397.16</v>
      </c>
      <c r="T1231" s="9" t="n">
        <v>2170.41</v>
      </c>
      <c r="U1231" s="10">
        <f>SUM(I1231:T1231)</f>
        <v/>
      </c>
    </row>
    <row r="1232">
      <c r="A1232" s="2" t="inlineStr">
        <is>
          <t>SN-3000-3300-3330-3330PU0122</t>
        </is>
      </c>
      <c r="B1232" s="2" t="inlineStr">
        <is>
          <t>3330PU0122</t>
        </is>
      </c>
      <c r="C1232" s="2" t="inlineStr">
        <is>
          <t>Bomba alimentación filtro clarificador</t>
        </is>
      </c>
      <c r="D1232" s="2" t="n">
        <v>411</v>
      </c>
      <c r="E1232" s="2" t="inlineStr">
        <is>
          <t>CC-3000</t>
        </is>
      </c>
      <c r="F1232" s="2" t="inlineStr">
        <is>
          <t>P01</t>
        </is>
      </c>
      <c r="G1232" s="2" t="n">
        <v>610000</v>
      </c>
      <c r="H1232" s="2" t="inlineStr">
        <is>
          <t>Mano obra interna</t>
        </is>
      </c>
      <c r="I1232" s="9" t="n">
        <v>1413.14</v>
      </c>
      <c r="J1232" s="9" t="n">
        <v>1453.58</v>
      </c>
      <c r="K1232" s="9" t="n">
        <v>1439.59</v>
      </c>
      <c r="L1232" s="9" t="n">
        <v>1573.7</v>
      </c>
      <c r="M1232" s="9" t="n">
        <v>1327.33</v>
      </c>
      <c r="N1232" s="9" t="n">
        <v>1369.11</v>
      </c>
      <c r="O1232" s="9" t="n">
        <v>1416.69</v>
      </c>
      <c r="P1232" s="9" t="n">
        <v>1391.62</v>
      </c>
      <c r="Q1232" s="9" t="n">
        <v>1364.57</v>
      </c>
      <c r="R1232" s="9" t="n">
        <v>1453.69</v>
      </c>
      <c r="S1232" s="9" t="n">
        <v>1434.87</v>
      </c>
      <c r="T1232" s="9" t="n">
        <v>1565.6</v>
      </c>
      <c r="U1232" s="10">
        <f>SUM(I1232:T1232)</f>
        <v/>
      </c>
    </row>
    <row r="1233">
      <c r="A1233" s="2" t="inlineStr">
        <is>
          <t>SN-3000-3300-3330-3330PU0122</t>
        </is>
      </c>
      <c r="B1233" s="2" t="inlineStr">
        <is>
          <t>3330PU0122</t>
        </is>
      </c>
      <c r="C1233" s="2" t="inlineStr">
        <is>
          <t>Bomba alimentación filtro clarificador</t>
        </is>
      </c>
      <c r="D1233" s="2" t="n">
        <v>411</v>
      </c>
      <c r="E1233" s="2" t="inlineStr">
        <is>
          <t>CC-3000</t>
        </is>
      </c>
      <c r="F1233" s="2" t="inlineStr">
        <is>
          <t>P01</t>
        </is>
      </c>
      <c r="G1233" s="2" t="n">
        <v>620000</v>
      </c>
      <c r="H1233" s="2" t="inlineStr">
        <is>
          <t>Materiales</t>
        </is>
      </c>
      <c r="I1233" s="9" t="n">
        <v>1464.87</v>
      </c>
      <c r="J1233" s="9" t="n">
        <v>1306.25</v>
      </c>
      <c r="K1233" s="9" t="n">
        <v>1360.52</v>
      </c>
      <c r="L1233" s="9" t="n">
        <v>1390.5</v>
      </c>
      <c r="M1233" s="9" t="n">
        <v>1245.17</v>
      </c>
      <c r="N1233" s="9" t="n">
        <v>1389.63</v>
      </c>
      <c r="O1233" s="9" t="n">
        <v>1280.05</v>
      </c>
      <c r="P1233" s="9" t="n">
        <v>1443.21</v>
      </c>
      <c r="Q1233" s="9" t="n">
        <v>1178.87</v>
      </c>
      <c r="R1233" s="9" t="n">
        <v>1538.74</v>
      </c>
      <c r="S1233" s="9" t="n">
        <v>1240.33</v>
      </c>
      <c r="T1233" s="9" t="n">
        <v>1275.19</v>
      </c>
      <c r="U1233" s="10">
        <f>SUM(I1233:T1233)</f>
        <v/>
      </c>
    </row>
    <row r="1234">
      <c r="A1234" s="2" t="inlineStr">
        <is>
          <t>SN-3000-3300-3330-3330PU0122</t>
        </is>
      </c>
      <c r="B1234" s="2" t="inlineStr">
        <is>
          <t>3330PU0122</t>
        </is>
      </c>
      <c r="C1234" s="2" t="inlineStr">
        <is>
          <t>Bomba alimentación filtro clarificador</t>
        </is>
      </c>
      <c r="D1234" s="2" t="n">
        <v>411</v>
      </c>
      <c r="E1234" s="2" t="inlineStr">
        <is>
          <t>CC-3000</t>
        </is>
      </c>
      <c r="F1234" s="2" t="inlineStr">
        <is>
          <t>P01</t>
        </is>
      </c>
      <c r="G1234" s="2" t="n">
        <v>630000</v>
      </c>
      <c r="H1234" s="2" t="inlineStr">
        <is>
          <t>Servicios externos</t>
        </is>
      </c>
      <c r="I1234" s="9" t="n">
        <v>1293.71</v>
      </c>
      <c r="J1234" s="9" t="n">
        <v>1337.97</v>
      </c>
      <c r="K1234" s="9" t="n">
        <v>1366.97</v>
      </c>
      <c r="L1234" s="9" t="n">
        <v>1258.4</v>
      </c>
      <c r="M1234" s="9" t="n">
        <v>1389.76</v>
      </c>
      <c r="N1234" s="9" t="n">
        <v>1246.18</v>
      </c>
      <c r="O1234" s="9" t="n">
        <v>1363.36</v>
      </c>
      <c r="P1234" s="9" t="n">
        <v>1312.7</v>
      </c>
      <c r="Q1234" s="9" t="n">
        <v>1243.09</v>
      </c>
      <c r="R1234" s="9" t="n">
        <v>1371.78</v>
      </c>
      <c r="S1234" s="9" t="n">
        <v>1210.56</v>
      </c>
      <c r="T1234" s="9" t="n">
        <v>1342.05</v>
      </c>
      <c r="U1234" s="10">
        <f>SUM(I1234:T1234)</f>
        <v/>
      </c>
    </row>
    <row r="1235">
      <c r="A1235" s="2" t="inlineStr">
        <is>
          <t>SN-3000-3300-3330-3330PU0123</t>
        </is>
      </c>
      <c r="B1235" s="2" t="inlineStr">
        <is>
          <t>3330PU0123</t>
        </is>
      </c>
      <c r="C1235" s="2" t="inlineStr">
        <is>
          <t>Bomba alimentación filtro clarificador</t>
        </is>
      </c>
      <c r="D1235" s="2" t="n">
        <v>412</v>
      </c>
      <c r="E1235" s="2" t="inlineStr">
        <is>
          <t>CC-3000</t>
        </is>
      </c>
      <c r="F1235" s="2" t="inlineStr">
        <is>
          <t>P01</t>
        </is>
      </c>
      <c r="G1235" s="2" t="n">
        <v>610000</v>
      </c>
      <c r="H1235" s="2" t="inlineStr">
        <is>
          <t>Mano obra interna</t>
        </is>
      </c>
      <c r="I1235" s="9" t="n">
        <v>1934.67</v>
      </c>
      <c r="J1235" s="9" t="n">
        <v>1952.33</v>
      </c>
      <c r="K1235" s="9" t="n">
        <v>2050.78</v>
      </c>
      <c r="L1235" s="9" t="n">
        <v>1828.37</v>
      </c>
      <c r="M1235" s="9" t="n">
        <v>1859.87</v>
      </c>
      <c r="N1235" s="9" t="n">
        <v>1818.3</v>
      </c>
      <c r="O1235" s="9" t="n">
        <v>1805.48</v>
      </c>
      <c r="P1235" s="9" t="n">
        <v>1846.19</v>
      </c>
      <c r="Q1235" s="9" t="n">
        <v>1666.92</v>
      </c>
      <c r="R1235" s="9" t="n">
        <v>2245.55</v>
      </c>
      <c r="S1235" s="9" t="n">
        <v>1938.16</v>
      </c>
      <c r="T1235" s="9" t="n">
        <v>1828.5</v>
      </c>
      <c r="U1235" s="10">
        <f>SUM(I1235:T1235)</f>
        <v/>
      </c>
    </row>
    <row r="1236">
      <c r="A1236" s="2" t="inlineStr">
        <is>
          <t>SN-3000-3300-3330-3330PU0123</t>
        </is>
      </c>
      <c r="B1236" s="2" t="inlineStr">
        <is>
          <t>3330PU0123</t>
        </is>
      </c>
      <c r="C1236" s="2" t="inlineStr">
        <is>
          <t>Bomba alimentación filtro clarificador</t>
        </is>
      </c>
      <c r="D1236" s="2" t="n">
        <v>412</v>
      </c>
      <c r="E1236" s="2" t="inlineStr">
        <is>
          <t>CC-3000</t>
        </is>
      </c>
      <c r="F1236" s="2" t="inlineStr">
        <is>
          <t>P01</t>
        </is>
      </c>
      <c r="G1236" s="2" t="n">
        <v>620000</v>
      </c>
      <c r="H1236" s="2" t="inlineStr">
        <is>
          <t>Materiales</t>
        </is>
      </c>
      <c r="I1236" s="9" t="n">
        <v>1665.58</v>
      </c>
      <c r="J1236" s="9" t="n">
        <v>1537.29</v>
      </c>
      <c r="K1236" s="9" t="n">
        <v>1700.76</v>
      </c>
      <c r="L1236" s="9" t="n">
        <v>1720.17</v>
      </c>
      <c r="M1236" s="9" t="n">
        <v>1584.74</v>
      </c>
      <c r="N1236" s="9" t="n">
        <v>1431.57</v>
      </c>
      <c r="O1236" s="9" t="n">
        <v>1648.18</v>
      </c>
      <c r="P1236" s="9" t="n">
        <v>1689.95</v>
      </c>
      <c r="Q1236" s="9" t="n">
        <v>1486.14</v>
      </c>
      <c r="R1236" s="9" t="n">
        <v>1749.38</v>
      </c>
      <c r="S1236" s="9" t="n">
        <v>1486.24</v>
      </c>
      <c r="T1236" s="9" t="n">
        <v>1569.34</v>
      </c>
      <c r="U1236" s="10">
        <f>SUM(I1236:T1236)</f>
        <v/>
      </c>
    </row>
    <row r="1237">
      <c r="A1237" s="2" t="inlineStr">
        <is>
          <t>SN-3000-3300-3330-3330PU0123</t>
        </is>
      </c>
      <c r="B1237" s="2" t="inlineStr">
        <is>
          <t>3330PU0123</t>
        </is>
      </c>
      <c r="C1237" s="2" t="inlineStr">
        <is>
          <t>Bomba alimentación filtro clarificador</t>
        </is>
      </c>
      <c r="D1237" s="2" t="n">
        <v>412</v>
      </c>
      <c r="E1237" s="2" t="inlineStr">
        <is>
          <t>CC-3000</t>
        </is>
      </c>
      <c r="F1237" s="2" t="inlineStr">
        <is>
          <t>P01</t>
        </is>
      </c>
      <c r="G1237" s="2" t="n">
        <v>630000</v>
      </c>
      <c r="H1237" s="2" t="inlineStr">
        <is>
          <t>Servicios externos</t>
        </is>
      </c>
      <c r="I1237" s="9" t="n">
        <v>2176.94</v>
      </c>
      <c r="J1237" s="9" t="n">
        <v>2006.23</v>
      </c>
      <c r="K1237" s="9" t="n">
        <v>2154.53</v>
      </c>
      <c r="L1237" s="9" t="n">
        <v>1932.71</v>
      </c>
      <c r="M1237" s="9" t="n">
        <v>1884.21</v>
      </c>
      <c r="N1237" s="9" t="n">
        <v>1917.98</v>
      </c>
      <c r="O1237" s="9" t="n">
        <v>1893.45</v>
      </c>
      <c r="P1237" s="9" t="n">
        <v>2037.47</v>
      </c>
      <c r="Q1237" s="9" t="n">
        <v>1795.99</v>
      </c>
      <c r="R1237" s="9" t="n">
        <v>2252.81</v>
      </c>
      <c r="S1237" s="9" t="n">
        <v>2027.39</v>
      </c>
      <c r="T1237" s="9" t="n">
        <v>2013.78</v>
      </c>
      <c r="U1237" s="10">
        <f>SUM(I1237:T1237)</f>
        <v/>
      </c>
    </row>
    <row r="1238">
      <c r="A1238" s="2" t="inlineStr">
        <is>
          <t>SN-3000-3300-3330-3330PU0125</t>
        </is>
      </c>
      <c r="B1238" s="2" t="inlineStr">
        <is>
          <t>3330PU0125</t>
        </is>
      </c>
      <c r="C1238" s="2" t="inlineStr">
        <is>
          <t>Bomba vacío</t>
        </is>
      </c>
      <c r="D1238" s="2" t="n">
        <v>413</v>
      </c>
      <c r="E1238" s="2" t="inlineStr">
        <is>
          <t>CC-3000</t>
        </is>
      </c>
      <c r="F1238" s="2" t="inlineStr">
        <is>
          <t>P01</t>
        </is>
      </c>
      <c r="G1238" s="2" t="n">
        <v>610000</v>
      </c>
      <c r="H1238" s="2" t="inlineStr">
        <is>
          <t>Mano obra interna</t>
        </is>
      </c>
      <c r="I1238" s="9" t="n">
        <v>321.94</v>
      </c>
      <c r="J1238" s="9" t="n">
        <v>327.39</v>
      </c>
      <c r="K1238" s="9" t="n">
        <v>324.11</v>
      </c>
      <c r="L1238" s="9" t="n">
        <v>291.53</v>
      </c>
      <c r="M1238" s="9" t="n">
        <v>281.39</v>
      </c>
      <c r="N1238" s="9" t="n">
        <v>286.12</v>
      </c>
      <c r="O1238" s="9" t="n">
        <v>293.26</v>
      </c>
      <c r="P1238" s="9" t="n">
        <v>323.32</v>
      </c>
      <c r="Q1238" s="9" t="n">
        <v>302.65</v>
      </c>
      <c r="R1238" s="9" t="n">
        <v>319.46</v>
      </c>
      <c r="S1238" s="9" t="n">
        <v>289.97</v>
      </c>
      <c r="T1238" s="9" t="n">
        <v>299.51</v>
      </c>
      <c r="U1238" s="10">
        <f>SUM(I1238:T1238)</f>
        <v/>
      </c>
    </row>
    <row r="1239">
      <c r="A1239" s="2" t="inlineStr">
        <is>
          <t>SN-3000-3300-3330-3330PU0125</t>
        </is>
      </c>
      <c r="B1239" s="2" t="inlineStr">
        <is>
          <t>3330PU0125</t>
        </is>
      </c>
      <c r="C1239" s="2" t="inlineStr">
        <is>
          <t>Bomba vacío</t>
        </is>
      </c>
      <c r="D1239" s="2" t="n">
        <v>413</v>
      </c>
      <c r="E1239" s="2" t="inlineStr">
        <is>
          <t>CC-3000</t>
        </is>
      </c>
      <c r="F1239" s="2" t="inlineStr">
        <is>
          <t>P01</t>
        </is>
      </c>
      <c r="G1239" s="2" t="n">
        <v>620000</v>
      </c>
      <c r="H1239" s="2" t="inlineStr">
        <is>
          <t>Materiales</t>
        </is>
      </c>
      <c r="I1239" s="9" t="n">
        <v>378.6</v>
      </c>
      <c r="J1239" s="9" t="n">
        <v>374.22</v>
      </c>
      <c r="K1239" s="9" t="n">
        <v>377.27</v>
      </c>
      <c r="L1239" s="9" t="n">
        <v>386.83</v>
      </c>
      <c r="M1239" s="9" t="n">
        <v>360.18</v>
      </c>
      <c r="N1239" s="9" t="n">
        <v>345.34</v>
      </c>
      <c r="O1239" s="9" t="n">
        <v>378.86</v>
      </c>
      <c r="P1239" s="9" t="n">
        <v>375.83</v>
      </c>
      <c r="Q1239" s="9" t="n">
        <v>333.69</v>
      </c>
      <c r="R1239" s="9" t="n">
        <v>377.36</v>
      </c>
      <c r="S1239" s="9" t="n">
        <v>351.33</v>
      </c>
      <c r="T1239" s="9" t="n">
        <v>371.11</v>
      </c>
      <c r="U1239" s="10">
        <f>SUM(I1239:T1239)</f>
        <v/>
      </c>
    </row>
    <row r="1240">
      <c r="A1240" s="2" t="inlineStr">
        <is>
          <t>SN-3000-3300-3330-3330PU0125</t>
        </is>
      </c>
      <c r="B1240" s="2" t="inlineStr">
        <is>
          <t>3330PU0125</t>
        </is>
      </c>
      <c r="C1240" s="2" t="inlineStr">
        <is>
          <t>Bomba vacío</t>
        </is>
      </c>
      <c r="D1240" s="2" t="n">
        <v>413</v>
      </c>
      <c r="E1240" s="2" t="inlineStr">
        <is>
          <t>CC-3000</t>
        </is>
      </c>
      <c r="F1240" s="2" t="inlineStr">
        <is>
          <t>P01</t>
        </is>
      </c>
      <c r="G1240" s="2" t="n">
        <v>630000</v>
      </c>
      <c r="H1240" s="2" t="inlineStr">
        <is>
          <t>Servicios externos</t>
        </is>
      </c>
      <c r="I1240" s="9" t="n">
        <v>367.05</v>
      </c>
      <c r="J1240" s="9" t="n">
        <v>307.44</v>
      </c>
      <c r="K1240" s="9" t="n">
        <v>333.59</v>
      </c>
      <c r="L1240" s="9" t="n">
        <v>327.73</v>
      </c>
      <c r="M1240" s="9" t="n">
        <v>333.82</v>
      </c>
      <c r="N1240" s="9" t="n">
        <v>318.75</v>
      </c>
      <c r="O1240" s="9" t="n">
        <v>349.7</v>
      </c>
      <c r="P1240" s="9" t="n">
        <v>323.05</v>
      </c>
      <c r="Q1240" s="9" t="n">
        <v>318.63</v>
      </c>
      <c r="R1240" s="9" t="n">
        <v>385.97</v>
      </c>
      <c r="S1240" s="9" t="n">
        <v>347.87</v>
      </c>
      <c r="T1240" s="9" t="n">
        <v>367.32</v>
      </c>
      <c r="U1240" s="10">
        <f>SUM(I1240:T1240)</f>
        <v/>
      </c>
    </row>
    <row r="1241">
      <c r="A1241" s="2" t="inlineStr">
        <is>
          <t>SN-3000-3300-3330-3330PU0126</t>
        </is>
      </c>
      <c r="B1241" s="2" t="inlineStr">
        <is>
          <t>3330PU0126</t>
        </is>
      </c>
      <c r="C1241" s="2" t="inlineStr">
        <is>
          <t>Bomba vacío</t>
        </is>
      </c>
      <c r="D1241" s="2" t="n">
        <v>414</v>
      </c>
      <c r="E1241" s="2" t="inlineStr">
        <is>
          <t>CC-3000</t>
        </is>
      </c>
      <c r="F1241" s="2" t="inlineStr">
        <is>
          <t>P01</t>
        </is>
      </c>
      <c r="G1241" s="2" t="n">
        <v>610000</v>
      </c>
      <c r="H1241" s="2" t="inlineStr">
        <is>
          <t>Mano obra interna</t>
        </is>
      </c>
      <c r="I1241" s="9" t="n">
        <v>2623.69</v>
      </c>
      <c r="J1241" s="9" t="n">
        <v>2275.85</v>
      </c>
      <c r="K1241" s="9" t="n">
        <v>2369.24</v>
      </c>
      <c r="L1241" s="9" t="n">
        <v>2271.78</v>
      </c>
      <c r="M1241" s="9" t="n">
        <v>2467.43</v>
      </c>
      <c r="N1241" s="9" t="n">
        <v>2468.82</v>
      </c>
      <c r="O1241" s="9" t="n">
        <v>2293.5</v>
      </c>
      <c r="P1241" s="9" t="n">
        <v>2464.38</v>
      </c>
      <c r="Q1241" s="9" t="n">
        <v>2335.12</v>
      </c>
      <c r="R1241" s="9" t="n">
        <v>2780.68</v>
      </c>
      <c r="S1241" s="9" t="n">
        <v>2391.17</v>
      </c>
      <c r="T1241" s="9" t="n">
        <v>2633.47</v>
      </c>
      <c r="U1241" s="10">
        <f>SUM(I1241:T1241)</f>
        <v/>
      </c>
    </row>
    <row r="1242">
      <c r="A1242" s="2" t="inlineStr">
        <is>
          <t>SN-3000-3300-3330-3330PU0126</t>
        </is>
      </c>
      <c r="B1242" s="2" t="inlineStr">
        <is>
          <t>3330PU0126</t>
        </is>
      </c>
      <c r="C1242" s="2" t="inlineStr">
        <is>
          <t>Bomba vacío</t>
        </is>
      </c>
      <c r="D1242" s="2" t="n">
        <v>414</v>
      </c>
      <c r="E1242" s="2" t="inlineStr">
        <is>
          <t>CC-3000</t>
        </is>
      </c>
      <c r="F1242" s="2" t="inlineStr">
        <is>
          <t>P01</t>
        </is>
      </c>
      <c r="G1242" s="2" t="n">
        <v>620000</v>
      </c>
      <c r="H1242" s="2" t="inlineStr">
        <is>
          <t>Materiales</t>
        </is>
      </c>
      <c r="I1242" s="9" t="n">
        <v>2106.48</v>
      </c>
      <c r="J1242" s="9" t="n">
        <v>2096.55</v>
      </c>
      <c r="K1242" s="9" t="n">
        <v>2140.47</v>
      </c>
      <c r="L1242" s="9" t="n">
        <v>1988.46</v>
      </c>
      <c r="M1242" s="9" t="n">
        <v>2169.95</v>
      </c>
      <c r="N1242" s="9" t="n">
        <v>2102.76</v>
      </c>
      <c r="O1242" s="9" t="n">
        <v>2198.77</v>
      </c>
      <c r="P1242" s="9" t="n">
        <v>2060.26</v>
      </c>
      <c r="Q1242" s="9" t="n">
        <v>1975.11</v>
      </c>
      <c r="R1242" s="9" t="n">
        <v>2228.96</v>
      </c>
      <c r="S1242" s="9" t="n">
        <v>1888.22</v>
      </c>
      <c r="T1242" s="9" t="n">
        <v>2167.06</v>
      </c>
      <c r="U1242" s="10">
        <f>SUM(I1242:T1242)</f>
        <v/>
      </c>
    </row>
    <row r="1243">
      <c r="A1243" s="2" t="inlineStr">
        <is>
          <t>SN-3000-3300-3330-3330PU0126</t>
        </is>
      </c>
      <c r="B1243" s="2" t="inlineStr">
        <is>
          <t>3330PU0126</t>
        </is>
      </c>
      <c r="C1243" s="2" t="inlineStr">
        <is>
          <t>Bomba vacío</t>
        </is>
      </c>
      <c r="D1243" s="2" t="n">
        <v>414</v>
      </c>
      <c r="E1243" s="2" t="inlineStr">
        <is>
          <t>CC-3000</t>
        </is>
      </c>
      <c r="F1243" s="2" t="inlineStr">
        <is>
          <t>P01</t>
        </is>
      </c>
      <c r="G1243" s="2" t="n">
        <v>630000</v>
      </c>
      <c r="H1243" s="2" t="inlineStr">
        <is>
          <t>Servicios externos</t>
        </is>
      </c>
      <c r="I1243" s="9" t="n">
        <v>1861.53</v>
      </c>
      <c r="J1243" s="9" t="n">
        <v>2003.98</v>
      </c>
      <c r="K1243" s="9" t="n">
        <v>1858.46</v>
      </c>
      <c r="L1243" s="9" t="n">
        <v>2144.7</v>
      </c>
      <c r="M1243" s="9" t="n">
        <v>1939.38</v>
      </c>
      <c r="N1243" s="9" t="n">
        <v>2013.43</v>
      </c>
      <c r="O1243" s="9" t="n">
        <v>1817.45</v>
      </c>
      <c r="P1243" s="9" t="n">
        <v>1979.52</v>
      </c>
      <c r="Q1243" s="9" t="n">
        <v>1775.88</v>
      </c>
      <c r="R1243" s="9" t="n">
        <v>2224.05</v>
      </c>
      <c r="S1243" s="9" t="n">
        <v>1850.42</v>
      </c>
      <c r="T1243" s="9" t="n">
        <v>1907.87</v>
      </c>
      <c r="U1243" s="10">
        <f>SUM(I1243:T1243)</f>
        <v/>
      </c>
    </row>
    <row r="1244">
      <c r="A1244" s="2" t="inlineStr">
        <is>
          <t>SN-3000-3300-3330-3330PU0127</t>
        </is>
      </c>
      <c r="B1244" s="2" t="inlineStr">
        <is>
          <t>3330PU0127</t>
        </is>
      </c>
      <c r="C1244" s="2" t="inlineStr">
        <is>
          <t>Bomba precipitado</t>
        </is>
      </c>
      <c r="D1244" s="2" t="n">
        <v>415</v>
      </c>
      <c r="E1244" s="2" t="inlineStr">
        <is>
          <t>CC-3000</t>
        </is>
      </c>
      <c r="F1244" s="2" t="inlineStr">
        <is>
          <t>P01</t>
        </is>
      </c>
      <c r="G1244" s="2" t="n">
        <v>610000</v>
      </c>
      <c r="H1244" s="2" t="inlineStr">
        <is>
          <t>Mano obra interna</t>
        </is>
      </c>
      <c r="I1244" s="9" t="n">
        <v>2673.78</v>
      </c>
      <c r="J1244" s="9" t="n">
        <v>2428.82</v>
      </c>
      <c r="K1244" s="9" t="n">
        <v>2708.96</v>
      </c>
      <c r="L1244" s="9" t="n">
        <v>2799.25</v>
      </c>
      <c r="M1244" s="9" t="n">
        <v>2541.18</v>
      </c>
      <c r="N1244" s="9" t="n">
        <v>2527.56</v>
      </c>
      <c r="O1244" s="9" t="n">
        <v>2484.34</v>
      </c>
      <c r="P1244" s="9" t="n">
        <v>2708.43</v>
      </c>
      <c r="Q1244" s="9" t="n">
        <v>2590.06</v>
      </c>
      <c r="R1244" s="9" t="n">
        <v>2842.42</v>
      </c>
      <c r="S1244" s="9" t="n">
        <v>2554.41</v>
      </c>
      <c r="T1244" s="9" t="n">
        <v>2533.79</v>
      </c>
      <c r="U1244" s="10">
        <f>SUM(I1244:T1244)</f>
        <v/>
      </c>
    </row>
    <row r="1245">
      <c r="A1245" s="2" t="inlineStr">
        <is>
          <t>SN-3000-3300-3330-3330PU0127</t>
        </is>
      </c>
      <c r="B1245" s="2" t="inlineStr">
        <is>
          <t>3330PU0127</t>
        </is>
      </c>
      <c r="C1245" s="2" t="inlineStr">
        <is>
          <t>Bomba precipitado</t>
        </is>
      </c>
      <c r="D1245" s="2" t="n">
        <v>415</v>
      </c>
      <c r="E1245" s="2" t="inlineStr">
        <is>
          <t>CC-3000</t>
        </is>
      </c>
      <c r="F1245" s="2" t="inlineStr">
        <is>
          <t>P01</t>
        </is>
      </c>
      <c r="G1245" s="2" t="n">
        <v>620000</v>
      </c>
      <c r="H1245" s="2" t="inlineStr">
        <is>
          <t>Materiales</t>
        </is>
      </c>
      <c r="I1245" s="9" t="n">
        <v>2025.32</v>
      </c>
      <c r="J1245" s="9" t="n">
        <v>2062.13</v>
      </c>
      <c r="K1245" s="9" t="n">
        <v>2176.58</v>
      </c>
      <c r="L1245" s="9" t="n">
        <v>2300.45</v>
      </c>
      <c r="M1245" s="9" t="n">
        <v>1936.36</v>
      </c>
      <c r="N1245" s="9" t="n">
        <v>2039.81</v>
      </c>
      <c r="O1245" s="9" t="n">
        <v>2109.85</v>
      </c>
      <c r="P1245" s="9" t="n">
        <v>2103.87</v>
      </c>
      <c r="Q1245" s="9" t="n">
        <v>2071.54</v>
      </c>
      <c r="R1245" s="9" t="n">
        <v>2157.98</v>
      </c>
      <c r="S1245" s="9" t="n">
        <v>1883.55</v>
      </c>
      <c r="T1245" s="9" t="n">
        <v>2189.91</v>
      </c>
      <c r="U1245" s="10">
        <f>SUM(I1245:T1245)</f>
        <v/>
      </c>
    </row>
    <row r="1246">
      <c r="A1246" s="2" t="inlineStr">
        <is>
          <t>SN-3000-3300-3330-3330PU0127</t>
        </is>
      </c>
      <c r="B1246" s="2" t="inlineStr">
        <is>
          <t>3330PU0127</t>
        </is>
      </c>
      <c r="C1246" s="2" t="inlineStr">
        <is>
          <t>Bomba precipitado</t>
        </is>
      </c>
      <c r="D1246" s="2" t="n">
        <v>415</v>
      </c>
      <c r="E1246" s="2" t="inlineStr">
        <is>
          <t>CC-3000</t>
        </is>
      </c>
      <c r="F1246" s="2" t="inlineStr">
        <is>
          <t>P01</t>
        </is>
      </c>
      <c r="G1246" s="2" t="n">
        <v>630000</v>
      </c>
      <c r="H1246" s="2" t="inlineStr">
        <is>
          <t>Servicios externos</t>
        </is>
      </c>
      <c r="I1246" s="9" t="n">
        <v>2082.91</v>
      </c>
      <c r="J1246" s="9" t="n">
        <v>2090.94</v>
      </c>
      <c r="K1246" s="9" t="n">
        <v>2211.41</v>
      </c>
      <c r="L1246" s="9" t="n">
        <v>2302.03</v>
      </c>
      <c r="M1246" s="9" t="n">
        <v>2073.54</v>
      </c>
      <c r="N1246" s="9" t="n">
        <v>2084.5</v>
      </c>
      <c r="O1246" s="9" t="n">
        <v>2205.84</v>
      </c>
      <c r="P1246" s="9" t="n">
        <v>2194.98</v>
      </c>
      <c r="Q1246" s="9" t="n">
        <v>2214.28</v>
      </c>
      <c r="R1246" s="9" t="n">
        <v>2211.05</v>
      </c>
      <c r="S1246" s="9" t="n">
        <v>2294.87</v>
      </c>
      <c r="T1246" s="9" t="n">
        <v>2273.29</v>
      </c>
      <c r="U1246" s="10">
        <f>SUM(I1246:T1246)</f>
        <v/>
      </c>
    </row>
    <row r="1247">
      <c r="A1247" s="2" t="inlineStr">
        <is>
          <t>SN-3000-3300-3330-3330PU0128</t>
        </is>
      </c>
      <c r="B1247" s="2" t="inlineStr">
        <is>
          <t>3330PU0128</t>
        </is>
      </c>
      <c r="C1247" s="2" t="inlineStr">
        <is>
          <t>Bomba precipitado</t>
        </is>
      </c>
      <c r="D1247" s="2" t="n">
        <v>416</v>
      </c>
      <c r="E1247" s="2" t="inlineStr">
        <is>
          <t>CC-3000</t>
        </is>
      </c>
      <c r="F1247" s="2" t="inlineStr">
        <is>
          <t>P01</t>
        </is>
      </c>
      <c r="G1247" s="2" t="n">
        <v>610000</v>
      </c>
      <c r="H1247" s="2" t="inlineStr">
        <is>
          <t>Mano obra interna</t>
        </is>
      </c>
      <c r="I1247" s="9" t="n">
        <v>2237.82</v>
      </c>
      <c r="J1247" s="9" t="n">
        <v>2167.12</v>
      </c>
      <c r="K1247" s="9" t="n">
        <v>2425.76</v>
      </c>
      <c r="L1247" s="9" t="n">
        <v>2409.21</v>
      </c>
      <c r="M1247" s="9" t="n">
        <v>2102.16</v>
      </c>
      <c r="N1247" s="9" t="n">
        <v>2017.43</v>
      </c>
      <c r="O1247" s="9" t="n">
        <v>2216.48</v>
      </c>
      <c r="P1247" s="9" t="n">
        <v>2357.02</v>
      </c>
      <c r="Q1247" s="9" t="n">
        <v>2004.93</v>
      </c>
      <c r="R1247" s="9" t="n">
        <v>2448.81</v>
      </c>
      <c r="S1247" s="9" t="n">
        <v>2217.49</v>
      </c>
      <c r="T1247" s="9" t="n">
        <v>2350.04</v>
      </c>
      <c r="U1247" s="10">
        <f>SUM(I1247:T1247)</f>
        <v/>
      </c>
    </row>
    <row r="1248">
      <c r="A1248" s="2" t="inlineStr">
        <is>
          <t>SN-3000-3300-3330-3330PU0128</t>
        </is>
      </c>
      <c r="B1248" s="2" t="inlineStr">
        <is>
          <t>3330PU0128</t>
        </is>
      </c>
      <c r="C1248" s="2" t="inlineStr">
        <is>
          <t>Bomba precipitado</t>
        </is>
      </c>
      <c r="D1248" s="2" t="n">
        <v>416</v>
      </c>
      <c r="E1248" s="2" t="inlineStr">
        <is>
          <t>CC-3000</t>
        </is>
      </c>
      <c r="F1248" s="2" t="inlineStr">
        <is>
          <t>P01</t>
        </is>
      </c>
      <c r="G1248" s="2" t="n">
        <v>620000</v>
      </c>
      <c r="H1248" s="2" t="inlineStr">
        <is>
          <t>Materiales</t>
        </is>
      </c>
      <c r="I1248" s="9" t="n">
        <v>2040.86</v>
      </c>
      <c r="J1248" s="9" t="n">
        <v>2149.59</v>
      </c>
      <c r="K1248" s="9" t="n">
        <v>2132.47</v>
      </c>
      <c r="L1248" s="9" t="n">
        <v>2151.57</v>
      </c>
      <c r="M1248" s="9" t="n">
        <v>1960.03</v>
      </c>
      <c r="N1248" s="9" t="n">
        <v>1994.46</v>
      </c>
      <c r="O1248" s="9" t="n">
        <v>1953.07</v>
      </c>
      <c r="P1248" s="9" t="n">
        <v>1946.6</v>
      </c>
      <c r="Q1248" s="9" t="n">
        <v>1955.45</v>
      </c>
      <c r="R1248" s="9" t="n">
        <v>2197.66</v>
      </c>
      <c r="S1248" s="9" t="n">
        <v>2023.68</v>
      </c>
      <c r="T1248" s="9" t="n">
        <v>1985.01</v>
      </c>
      <c r="U1248" s="10">
        <f>SUM(I1248:T1248)</f>
        <v/>
      </c>
    </row>
    <row r="1249">
      <c r="A1249" s="2" t="inlineStr">
        <is>
          <t>SN-3000-3300-3330-3330PU0128</t>
        </is>
      </c>
      <c r="B1249" s="2" t="inlineStr">
        <is>
          <t>3330PU0128</t>
        </is>
      </c>
      <c r="C1249" s="2" t="inlineStr">
        <is>
          <t>Bomba precipitado</t>
        </is>
      </c>
      <c r="D1249" s="2" t="n">
        <v>416</v>
      </c>
      <c r="E1249" s="2" t="inlineStr">
        <is>
          <t>CC-3000</t>
        </is>
      </c>
      <c r="F1249" s="2" t="inlineStr">
        <is>
          <t>P01</t>
        </is>
      </c>
      <c r="G1249" s="2" t="n">
        <v>630000</v>
      </c>
      <c r="H1249" s="2" t="inlineStr">
        <is>
          <t>Servicios externos</t>
        </is>
      </c>
      <c r="I1249" s="9" t="n">
        <v>2071.26</v>
      </c>
      <c r="J1249" s="9" t="n">
        <v>2047.61</v>
      </c>
      <c r="K1249" s="9" t="n">
        <v>2041.44</v>
      </c>
      <c r="L1249" s="9" t="n">
        <v>2164.59</v>
      </c>
      <c r="M1249" s="9" t="n">
        <v>2125.33</v>
      </c>
      <c r="N1249" s="9" t="n">
        <v>1882.2</v>
      </c>
      <c r="O1249" s="9" t="n">
        <v>1982.92</v>
      </c>
      <c r="P1249" s="9" t="n">
        <v>2098.55</v>
      </c>
      <c r="Q1249" s="9" t="n">
        <v>1965.45</v>
      </c>
      <c r="R1249" s="9" t="n">
        <v>2279.99</v>
      </c>
      <c r="S1249" s="9" t="n">
        <v>2039.88</v>
      </c>
      <c r="T1249" s="9" t="n">
        <v>2042.09</v>
      </c>
      <c r="U1249" s="10">
        <f>SUM(I1249:T1249)</f>
        <v/>
      </c>
    </row>
    <row r="1250">
      <c r="A1250" s="2" t="inlineStr">
        <is>
          <t>SN-3000-3300-3330-3330PU0130</t>
        </is>
      </c>
      <c r="B1250" s="2" t="inlineStr">
        <is>
          <t>3330PU0130</t>
        </is>
      </c>
      <c r="C1250" s="2" t="inlineStr">
        <is>
          <t>Bomba solución barren</t>
        </is>
      </c>
      <c r="D1250" s="2" t="n">
        <v>417</v>
      </c>
      <c r="E1250" s="2" t="inlineStr">
        <is>
          <t>CC-3000</t>
        </is>
      </c>
      <c r="F1250" s="2" t="inlineStr">
        <is>
          <t>P01</t>
        </is>
      </c>
      <c r="G1250" s="2" t="n">
        <v>610000</v>
      </c>
      <c r="H1250" s="2" t="inlineStr">
        <is>
          <t>Mano obra interna</t>
        </is>
      </c>
      <c r="I1250" s="9" t="n">
        <v>505.13</v>
      </c>
      <c r="J1250" s="9" t="n">
        <v>479.37</v>
      </c>
      <c r="K1250" s="9" t="n">
        <v>547.6799999999999</v>
      </c>
      <c r="L1250" s="9" t="n">
        <v>492.11</v>
      </c>
      <c r="M1250" s="9" t="n">
        <v>545.39</v>
      </c>
      <c r="N1250" s="9" t="n">
        <v>518.13</v>
      </c>
      <c r="O1250" s="9" t="n">
        <v>544.72</v>
      </c>
      <c r="P1250" s="9" t="n">
        <v>548.12</v>
      </c>
      <c r="Q1250" s="9" t="n">
        <v>472.4</v>
      </c>
      <c r="R1250" s="9" t="n">
        <v>586.21</v>
      </c>
      <c r="S1250" s="9" t="n">
        <v>471.29</v>
      </c>
      <c r="T1250" s="9" t="n">
        <v>482.66</v>
      </c>
      <c r="U1250" s="10">
        <f>SUM(I1250:T1250)</f>
        <v/>
      </c>
    </row>
    <row r="1251">
      <c r="A1251" s="2" t="inlineStr">
        <is>
          <t>SN-3000-3300-3330-3330PU0130</t>
        </is>
      </c>
      <c r="B1251" s="2" t="inlineStr">
        <is>
          <t>3330PU0130</t>
        </is>
      </c>
      <c r="C1251" s="2" t="inlineStr">
        <is>
          <t>Bomba solución barren</t>
        </is>
      </c>
      <c r="D1251" s="2" t="n">
        <v>417</v>
      </c>
      <c r="E1251" s="2" t="inlineStr">
        <is>
          <t>CC-3000</t>
        </is>
      </c>
      <c r="F1251" s="2" t="inlineStr">
        <is>
          <t>P01</t>
        </is>
      </c>
      <c r="G1251" s="2" t="n">
        <v>620000</v>
      </c>
      <c r="H1251" s="2" t="inlineStr">
        <is>
          <t>Materiales</t>
        </is>
      </c>
      <c r="I1251" s="9" t="n">
        <v>538</v>
      </c>
      <c r="J1251" s="9" t="n">
        <v>600.46</v>
      </c>
      <c r="K1251" s="9" t="n">
        <v>599.7</v>
      </c>
      <c r="L1251" s="9" t="n">
        <v>601.39</v>
      </c>
      <c r="M1251" s="9" t="n">
        <v>536.88</v>
      </c>
      <c r="N1251" s="9" t="n">
        <v>555.6799999999999</v>
      </c>
      <c r="O1251" s="9" t="n">
        <v>524.4</v>
      </c>
      <c r="P1251" s="9" t="n">
        <v>595.61</v>
      </c>
      <c r="Q1251" s="9" t="n">
        <v>498.57</v>
      </c>
      <c r="R1251" s="9" t="n">
        <v>629.09</v>
      </c>
      <c r="S1251" s="9" t="n">
        <v>523.29</v>
      </c>
      <c r="T1251" s="9" t="n">
        <v>534.26</v>
      </c>
      <c r="U1251" s="10">
        <f>SUM(I1251:T1251)</f>
        <v/>
      </c>
    </row>
    <row r="1252">
      <c r="A1252" s="2" t="inlineStr">
        <is>
          <t>SN-3000-3300-3330-3330PU0130</t>
        </is>
      </c>
      <c r="B1252" s="2" t="inlineStr">
        <is>
          <t>3330PU0130</t>
        </is>
      </c>
      <c r="C1252" s="2" t="inlineStr">
        <is>
          <t>Bomba solución barren</t>
        </is>
      </c>
      <c r="D1252" s="2" t="n">
        <v>417</v>
      </c>
      <c r="E1252" s="2" t="inlineStr">
        <is>
          <t>CC-3000</t>
        </is>
      </c>
      <c r="F1252" s="2" t="inlineStr">
        <is>
          <t>P01</t>
        </is>
      </c>
      <c r="G1252" s="2" t="n">
        <v>630000</v>
      </c>
      <c r="H1252" s="2" t="inlineStr">
        <is>
          <t>Servicios externos</t>
        </is>
      </c>
      <c r="I1252" s="9" t="n">
        <v>507.45</v>
      </c>
      <c r="J1252" s="9" t="n">
        <v>535.89</v>
      </c>
      <c r="K1252" s="9" t="n">
        <v>518.73</v>
      </c>
      <c r="L1252" s="9" t="n">
        <v>522.91</v>
      </c>
      <c r="M1252" s="9" t="n">
        <v>525.03</v>
      </c>
      <c r="N1252" s="9" t="n">
        <v>484.54</v>
      </c>
      <c r="O1252" s="9" t="n">
        <v>514.85</v>
      </c>
      <c r="P1252" s="9" t="n">
        <v>550.95</v>
      </c>
      <c r="Q1252" s="9" t="n">
        <v>463.5</v>
      </c>
      <c r="R1252" s="9" t="n">
        <v>528.1799999999999</v>
      </c>
      <c r="S1252" s="9" t="n">
        <v>494.14</v>
      </c>
      <c r="T1252" s="9" t="n">
        <v>526.21</v>
      </c>
      <c r="U1252" s="10">
        <f>SUM(I1252:T1252)</f>
        <v/>
      </c>
    </row>
    <row r="1253">
      <c r="A1253" s="2" t="inlineStr">
        <is>
          <t>SN-3000-3300-3330-3330PU0131</t>
        </is>
      </c>
      <c r="B1253" s="2" t="inlineStr">
        <is>
          <t>3330PU0131</t>
        </is>
      </c>
      <c r="C1253" s="2" t="inlineStr">
        <is>
          <t>Bomba solución barren</t>
        </is>
      </c>
      <c r="D1253" s="2" t="n">
        <v>418</v>
      </c>
      <c r="E1253" s="2" t="inlineStr">
        <is>
          <t>CC-3000</t>
        </is>
      </c>
      <c r="F1253" s="2" t="inlineStr">
        <is>
          <t>P01</t>
        </is>
      </c>
      <c r="G1253" s="2" t="n">
        <v>610000</v>
      </c>
      <c r="H1253" s="2" t="inlineStr">
        <is>
          <t>Mano obra interna</t>
        </is>
      </c>
      <c r="I1253" s="9" t="n">
        <v>764.05</v>
      </c>
      <c r="J1253" s="9" t="n">
        <v>787.38</v>
      </c>
      <c r="K1253" s="9" t="n">
        <v>730.12</v>
      </c>
      <c r="L1253" s="9" t="n">
        <v>772.36</v>
      </c>
      <c r="M1253" s="9" t="n">
        <v>741.9</v>
      </c>
      <c r="N1253" s="9" t="n">
        <v>747.73</v>
      </c>
      <c r="O1253" s="9" t="n">
        <v>821.42</v>
      </c>
      <c r="P1253" s="9" t="n">
        <v>764.74</v>
      </c>
      <c r="Q1253" s="9" t="n">
        <v>766.64</v>
      </c>
      <c r="R1253" s="9" t="n">
        <v>797.89</v>
      </c>
      <c r="S1253" s="9" t="n">
        <v>684.12</v>
      </c>
      <c r="T1253" s="9" t="n">
        <v>733.91</v>
      </c>
      <c r="U1253" s="10">
        <f>SUM(I1253:T1253)</f>
        <v/>
      </c>
    </row>
    <row r="1254">
      <c r="A1254" s="2" t="inlineStr">
        <is>
          <t>SN-3000-3300-3330-3330PU0131</t>
        </is>
      </c>
      <c r="B1254" s="2" t="inlineStr">
        <is>
          <t>3330PU0131</t>
        </is>
      </c>
      <c r="C1254" s="2" t="inlineStr">
        <is>
          <t>Bomba solución barren</t>
        </is>
      </c>
      <c r="D1254" s="2" t="n">
        <v>418</v>
      </c>
      <c r="E1254" s="2" t="inlineStr">
        <is>
          <t>CC-3000</t>
        </is>
      </c>
      <c r="F1254" s="2" t="inlineStr">
        <is>
          <t>P01</t>
        </is>
      </c>
      <c r="G1254" s="2" t="n">
        <v>620000</v>
      </c>
      <c r="H1254" s="2" t="inlineStr">
        <is>
          <t>Materiales</t>
        </is>
      </c>
      <c r="I1254" s="9" t="n">
        <v>710.03</v>
      </c>
      <c r="J1254" s="9" t="n">
        <v>660.24</v>
      </c>
      <c r="K1254" s="9" t="n">
        <v>731.3</v>
      </c>
      <c r="L1254" s="9" t="n">
        <v>713.42</v>
      </c>
      <c r="M1254" s="9" t="n">
        <v>666.36</v>
      </c>
      <c r="N1254" s="9" t="n">
        <v>662.76</v>
      </c>
      <c r="O1254" s="9" t="n">
        <v>761.24</v>
      </c>
      <c r="P1254" s="9" t="n">
        <v>693.38</v>
      </c>
      <c r="Q1254" s="9" t="n">
        <v>689.89</v>
      </c>
      <c r="R1254" s="9" t="n">
        <v>786.64</v>
      </c>
      <c r="S1254" s="9" t="n">
        <v>685.62</v>
      </c>
      <c r="T1254" s="9" t="n">
        <v>696.86</v>
      </c>
      <c r="U1254" s="10">
        <f>SUM(I1254:T1254)</f>
        <v/>
      </c>
    </row>
    <row r="1255">
      <c r="A1255" s="2" t="inlineStr">
        <is>
          <t>SN-3000-3300-3330-3330PU0131</t>
        </is>
      </c>
      <c r="B1255" s="2" t="inlineStr">
        <is>
          <t>3330PU0131</t>
        </is>
      </c>
      <c r="C1255" s="2" t="inlineStr">
        <is>
          <t>Bomba solución barren</t>
        </is>
      </c>
      <c r="D1255" s="2" t="n">
        <v>418</v>
      </c>
      <c r="E1255" s="2" t="inlineStr">
        <is>
          <t>CC-3000</t>
        </is>
      </c>
      <c r="F1255" s="2" t="inlineStr">
        <is>
          <t>P01</t>
        </is>
      </c>
      <c r="G1255" s="2" t="n">
        <v>630000</v>
      </c>
      <c r="H1255" s="2" t="inlineStr">
        <is>
          <t>Servicios externos</t>
        </is>
      </c>
      <c r="I1255" s="9" t="n">
        <v>719.54</v>
      </c>
      <c r="J1255" s="9" t="n">
        <v>667.75</v>
      </c>
      <c r="K1255" s="9" t="n">
        <v>683.9</v>
      </c>
      <c r="L1255" s="9" t="n">
        <v>666.35</v>
      </c>
      <c r="M1255" s="9" t="n">
        <v>729.1900000000001</v>
      </c>
      <c r="N1255" s="9" t="n">
        <v>657.75</v>
      </c>
      <c r="O1255" s="9" t="n">
        <v>708.84</v>
      </c>
      <c r="P1255" s="9" t="n">
        <v>693.02</v>
      </c>
      <c r="Q1255" s="9" t="n">
        <v>685.14</v>
      </c>
      <c r="R1255" s="9" t="n">
        <v>754.71</v>
      </c>
      <c r="S1255" s="9" t="n">
        <v>670.35</v>
      </c>
      <c r="T1255" s="9" t="n">
        <v>752.8099999999999</v>
      </c>
      <c r="U1255" s="10">
        <f>SUM(I1255:T1255)</f>
        <v/>
      </c>
    </row>
    <row r="1256">
      <c r="A1256" s="2" t="inlineStr">
        <is>
          <t>SN-3000-3300-3330-3330PU0132</t>
        </is>
      </c>
      <c r="B1256" s="2" t="inlineStr">
        <is>
          <t>3330PU0132</t>
        </is>
      </c>
      <c r="C1256" s="2" t="inlineStr">
        <is>
          <t>Bomba precapa precipitado</t>
        </is>
      </c>
      <c r="D1256" s="2" t="n">
        <v>419</v>
      </c>
      <c r="E1256" s="2" t="inlineStr">
        <is>
          <t>CC-3000</t>
        </is>
      </c>
      <c r="F1256" s="2" t="inlineStr">
        <is>
          <t>P01</t>
        </is>
      </c>
      <c r="G1256" s="2" t="n">
        <v>610000</v>
      </c>
      <c r="H1256" s="2" t="inlineStr">
        <is>
          <t>Mano obra interna</t>
        </is>
      </c>
      <c r="I1256" s="9" t="n">
        <v>1082.28</v>
      </c>
      <c r="J1256" s="9" t="n">
        <v>1055.91</v>
      </c>
      <c r="K1256" s="9" t="n">
        <v>1219.78</v>
      </c>
      <c r="L1256" s="9" t="n">
        <v>1217.44</v>
      </c>
      <c r="M1256" s="9" t="n">
        <v>1126.83</v>
      </c>
      <c r="N1256" s="9" t="n">
        <v>1090.19</v>
      </c>
      <c r="O1256" s="9" t="n">
        <v>1154.82</v>
      </c>
      <c r="P1256" s="9" t="n">
        <v>1118.59</v>
      </c>
      <c r="Q1256" s="9" t="n">
        <v>1082.64</v>
      </c>
      <c r="R1256" s="9" t="n">
        <v>1142.73</v>
      </c>
      <c r="S1256" s="9" t="n">
        <v>1175.1</v>
      </c>
      <c r="T1256" s="9" t="n">
        <v>1193.14</v>
      </c>
      <c r="U1256" s="10">
        <f>SUM(I1256:T1256)</f>
        <v/>
      </c>
    </row>
    <row r="1257">
      <c r="A1257" s="2" t="inlineStr">
        <is>
          <t>SN-3000-3300-3330-3330PU0132</t>
        </is>
      </c>
      <c r="B1257" s="2" t="inlineStr">
        <is>
          <t>3330PU0132</t>
        </is>
      </c>
      <c r="C1257" s="2" t="inlineStr">
        <is>
          <t>Bomba precapa precipitado</t>
        </is>
      </c>
      <c r="D1257" s="2" t="n">
        <v>419</v>
      </c>
      <c r="E1257" s="2" t="inlineStr">
        <is>
          <t>CC-3000</t>
        </is>
      </c>
      <c r="F1257" s="2" t="inlineStr">
        <is>
          <t>P01</t>
        </is>
      </c>
      <c r="G1257" s="2" t="n">
        <v>620000</v>
      </c>
      <c r="H1257" s="2" t="inlineStr">
        <is>
          <t>Materiales</t>
        </is>
      </c>
      <c r="I1257" s="9" t="n">
        <v>1070.54</v>
      </c>
      <c r="J1257" s="9" t="n">
        <v>1006.35</v>
      </c>
      <c r="K1257" s="9" t="n">
        <v>1098.45</v>
      </c>
      <c r="L1257" s="9" t="n">
        <v>1132.8</v>
      </c>
      <c r="M1257" s="9" t="n">
        <v>1092.13</v>
      </c>
      <c r="N1257" s="9" t="n">
        <v>1013.57</v>
      </c>
      <c r="O1257" s="9" t="n">
        <v>1100.51</v>
      </c>
      <c r="P1257" s="9" t="n">
        <v>1133.82</v>
      </c>
      <c r="Q1257" s="9" t="n">
        <v>929.52</v>
      </c>
      <c r="R1257" s="9" t="n">
        <v>1155.96</v>
      </c>
      <c r="S1257" s="9" t="n">
        <v>1089.2</v>
      </c>
      <c r="T1257" s="9" t="n">
        <v>1104.57</v>
      </c>
      <c r="U1257" s="10">
        <f>SUM(I1257:T1257)</f>
        <v/>
      </c>
    </row>
    <row r="1258">
      <c r="A1258" s="2" t="inlineStr">
        <is>
          <t>SN-3000-3300-3330-3330PU0132</t>
        </is>
      </c>
      <c r="B1258" s="2" t="inlineStr">
        <is>
          <t>3330PU0132</t>
        </is>
      </c>
      <c r="C1258" s="2" t="inlineStr">
        <is>
          <t>Bomba precapa precipitado</t>
        </is>
      </c>
      <c r="D1258" s="2" t="n">
        <v>419</v>
      </c>
      <c r="E1258" s="2" t="inlineStr">
        <is>
          <t>CC-3000</t>
        </is>
      </c>
      <c r="F1258" s="2" t="inlineStr">
        <is>
          <t>P01</t>
        </is>
      </c>
      <c r="G1258" s="2" t="n">
        <v>630000</v>
      </c>
      <c r="H1258" s="2" t="inlineStr">
        <is>
          <t>Servicios externos</t>
        </is>
      </c>
      <c r="I1258" s="9" t="n">
        <v>1113.29</v>
      </c>
      <c r="J1258" s="9" t="n">
        <v>1155.49</v>
      </c>
      <c r="K1258" s="9" t="n">
        <v>1042.11</v>
      </c>
      <c r="L1258" s="9" t="n">
        <v>1110.04</v>
      </c>
      <c r="M1258" s="9" t="n">
        <v>1006.04</v>
      </c>
      <c r="N1258" s="9" t="n">
        <v>983.27</v>
      </c>
      <c r="O1258" s="9" t="n">
        <v>1067.79</v>
      </c>
      <c r="P1258" s="9" t="n">
        <v>1026.95</v>
      </c>
      <c r="Q1258" s="9" t="n">
        <v>1087.59</v>
      </c>
      <c r="R1258" s="9" t="n">
        <v>1256.81</v>
      </c>
      <c r="S1258" s="9" t="n">
        <v>1025.31</v>
      </c>
      <c r="T1258" s="9" t="n">
        <v>1128.49</v>
      </c>
      <c r="U1258" s="10">
        <f>SUM(I1258:T1258)</f>
        <v/>
      </c>
    </row>
    <row r="1259">
      <c r="A1259" s="2" t="inlineStr">
        <is>
          <t>SN-3000-3300-3330-3330PU0133</t>
        </is>
      </c>
      <c r="B1259" s="2" t="inlineStr">
        <is>
          <t>3330PU0133</t>
        </is>
      </c>
      <c r="C1259" s="2" t="inlineStr">
        <is>
          <t>Bomba lavado telas</t>
        </is>
      </c>
      <c r="D1259" s="2" t="n">
        <v>420</v>
      </c>
      <c r="E1259" s="2" t="inlineStr">
        <is>
          <t>CC-3000</t>
        </is>
      </c>
      <c r="F1259" s="2" t="inlineStr">
        <is>
          <t>P01</t>
        </is>
      </c>
      <c r="G1259" s="2" t="n">
        <v>610000</v>
      </c>
      <c r="H1259" s="2" t="inlineStr">
        <is>
          <t>Mano obra interna</t>
        </is>
      </c>
      <c r="I1259" s="9" t="n">
        <v>1786.69</v>
      </c>
      <c r="J1259" s="9" t="n">
        <v>1674.31</v>
      </c>
      <c r="K1259" s="9" t="n">
        <v>1581.36</v>
      </c>
      <c r="L1259" s="9" t="n">
        <v>1774.51</v>
      </c>
      <c r="M1259" s="9" t="n">
        <v>1713.97</v>
      </c>
      <c r="N1259" s="9" t="n">
        <v>1595.36</v>
      </c>
      <c r="O1259" s="9" t="n">
        <v>1774.29</v>
      </c>
      <c r="P1259" s="9" t="n">
        <v>1773.63</v>
      </c>
      <c r="Q1259" s="9" t="n">
        <v>1556.85</v>
      </c>
      <c r="R1259" s="9" t="n">
        <v>1827.79</v>
      </c>
      <c r="S1259" s="9" t="n">
        <v>1741</v>
      </c>
      <c r="T1259" s="9" t="n">
        <v>1636.39</v>
      </c>
      <c r="U1259" s="10">
        <f>SUM(I1259:T1259)</f>
        <v/>
      </c>
    </row>
    <row r="1260">
      <c r="A1260" s="2" t="inlineStr">
        <is>
          <t>SN-3000-3300-3330-3330PU0133</t>
        </is>
      </c>
      <c r="B1260" s="2" t="inlineStr">
        <is>
          <t>3330PU0133</t>
        </is>
      </c>
      <c r="C1260" s="2" t="inlineStr">
        <is>
          <t>Bomba lavado telas</t>
        </is>
      </c>
      <c r="D1260" s="2" t="n">
        <v>420</v>
      </c>
      <c r="E1260" s="2" t="inlineStr">
        <is>
          <t>CC-3000</t>
        </is>
      </c>
      <c r="F1260" s="2" t="inlineStr">
        <is>
          <t>P01</t>
        </is>
      </c>
      <c r="G1260" s="2" t="n">
        <v>620000</v>
      </c>
      <c r="H1260" s="2" t="inlineStr">
        <is>
          <t>Materiales</t>
        </is>
      </c>
      <c r="I1260" s="9" t="n">
        <v>1483.99</v>
      </c>
      <c r="J1260" s="9" t="n">
        <v>1603.75</v>
      </c>
      <c r="K1260" s="9" t="n">
        <v>1641.67</v>
      </c>
      <c r="L1260" s="9" t="n">
        <v>1466.41</v>
      </c>
      <c r="M1260" s="9" t="n">
        <v>1632.4</v>
      </c>
      <c r="N1260" s="9" t="n">
        <v>1518.24</v>
      </c>
      <c r="O1260" s="9" t="n">
        <v>1618.03</v>
      </c>
      <c r="P1260" s="9" t="n">
        <v>1419.64</v>
      </c>
      <c r="Q1260" s="9" t="n">
        <v>1426.69</v>
      </c>
      <c r="R1260" s="9" t="n">
        <v>1703.99</v>
      </c>
      <c r="S1260" s="9" t="n">
        <v>1492.69</v>
      </c>
      <c r="T1260" s="9" t="n">
        <v>1595.59</v>
      </c>
      <c r="U1260" s="10">
        <f>SUM(I1260:T1260)</f>
        <v/>
      </c>
    </row>
    <row r="1261">
      <c r="A1261" s="2" t="inlineStr">
        <is>
          <t>SN-3000-3300-3330-3330PU0133</t>
        </is>
      </c>
      <c r="B1261" s="2" t="inlineStr">
        <is>
          <t>3330PU0133</t>
        </is>
      </c>
      <c r="C1261" s="2" t="inlineStr">
        <is>
          <t>Bomba lavado telas</t>
        </is>
      </c>
      <c r="D1261" s="2" t="n">
        <v>420</v>
      </c>
      <c r="E1261" s="2" t="inlineStr">
        <is>
          <t>CC-3000</t>
        </is>
      </c>
      <c r="F1261" s="2" t="inlineStr">
        <is>
          <t>P01</t>
        </is>
      </c>
      <c r="G1261" s="2" t="n">
        <v>630000</v>
      </c>
      <c r="H1261" s="2" t="inlineStr">
        <is>
          <t>Servicios externos</t>
        </is>
      </c>
      <c r="I1261" s="9" t="n">
        <v>1817.55</v>
      </c>
      <c r="J1261" s="9" t="n">
        <v>1889.29</v>
      </c>
      <c r="K1261" s="9" t="n">
        <v>1773.37</v>
      </c>
      <c r="L1261" s="9" t="n">
        <v>1788.95</v>
      </c>
      <c r="M1261" s="9" t="n">
        <v>1666.79</v>
      </c>
      <c r="N1261" s="9" t="n">
        <v>1699.47</v>
      </c>
      <c r="O1261" s="9" t="n">
        <v>1782.87</v>
      </c>
      <c r="P1261" s="9" t="n">
        <v>1904.3</v>
      </c>
      <c r="Q1261" s="9" t="n">
        <v>1732.82</v>
      </c>
      <c r="R1261" s="9" t="n">
        <v>1939.63</v>
      </c>
      <c r="S1261" s="9" t="n">
        <v>1801.75</v>
      </c>
      <c r="T1261" s="9" t="n">
        <v>1712.01</v>
      </c>
      <c r="U1261" s="10">
        <f>SUM(I1261:T1261)</f>
        <v/>
      </c>
    </row>
    <row r="1262">
      <c r="A1262" s="2" t="inlineStr">
        <is>
          <t>SN-3000-3300-3330-3330PU0135</t>
        </is>
      </c>
      <c r="B1262" s="2" t="inlineStr">
        <is>
          <t>3330PU0135</t>
        </is>
      </c>
      <c r="C1262" s="2" t="inlineStr">
        <is>
          <t>Bomba ayuda filtrante</t>
        </is>
      </c>
      <c r="D1262" s="2" t="n">
        <v>421</v>
      </c>
      <c r="E1262" s="2" t="inlineStr">
        <is>
          <t>CC-3000</t>
        </is>
      </c>
      <c r="F1262" s="2" t="inlineStr">
        <is>
          <t>P01</t>
        </is>
      </c>
      <c r="G1262" s="2" t="n">
        <v>610000</v>
      </c>
      <c r="H1262" s="2" t="inlineStr">
        <is>
          <t>Mano obra interna</t>
        </is>
      </c>
      <c r="I1262" s="9" t="n">
        <v>2578.02</v>
      </c>
      <c r="J1262" s="9" t="n">
        <v>2492.76</v>
      </c>
      <c r="K1262" s="9" t="n">
        <v>2665.42</v>
      </c>
      <c r="L1262" s="9" t="n">
        <v>2490.41</v>
      </c>
      <c r="M1262" s="9" t="n">
        <v>2536.73</v>
      </c>
      <c r="N1262" s="9" t="n">
        <v>2436.03</v>
      </c>
      <c r="O1262" s="9" t="n">
        <v>2659.82</v>
      </c>
      <c r="P1262" s="9" t="n">
        <v>2360.53</v>
      </c>
      <c r="Q1262" s="9" t="n">
        <v>2323.07</v>
      </c>
      <c r="R1262" s="9" t="n">
        <v>2712.68</v>
      </c>
      <c r="S1262" s="9" t="n">
        <v>2587.23</v>
      </c>
      <c r="T1262" s="9" t="n">
        <v>2391.76</v>
      </c>
      <c r="U1262" s="10">
        <f>SUM(I1262:T1262)</f>
        <v/>
      </c>
    </row>
    <row r="1263">
      <c r="A1263" s="2" t="inlineStr">
        <is>
          <t>SN-3000-3300-3330-3330PU0135</t>
        </is>
      </c>
      <c r="B1263" s="2" t="inlineStr">
        <is>
          <t>3330PU0135</t>
        </is>
      </c>
      <c r="C1263" s="2" t="inlineStr">
        <is>
          <t>Bomba ayuda filtrante</t>
        </is>
      </c>
      <c r="D1263" s="2" t="n">
        <v>421</v>
      </c>
      <c r="E1263" s="2" t="inlineStr">
        <is>
          <t>CC-3000</t>
        </is>
      </c>
      <c r="F1263" s="2" t="inlineStr">
        <is>
          <t>P01</t>
        </is>
      </c>
      <c r="G1263" s="2" t="n">
        <v>620000</v>
      </c>
      <c r="H1263" s="2" t="inlineStr">
        <is>
          <t>Materiales</t>
        </is>
      </c>
      <c r="I1263" s="9" t="n">
        <v>2748.86</v>
      </c>
      <c r="J1263" s="9" t="n">
        <v>2730.13</v>
      </c>
      <c r="K1263" s="9" t="n">
        <v>2725.96</v>
      </c>
      <c r="L1263" s="9" t="n">
        <v>2617.3</v>
      </c>
      <c r="M1263" s="9" t="n">
        <v>2763.84</v>
      </c>
      <c r="N1263" s="9" t="n">
        <v>2570.07</v>
      </c>
      <c r="O1263" s="9" t="n">
        <v>2621.37</v>
      </c>
      <c r="P1263" s="9" t="n">
        <v>2680.9</v>
      </c>
      <c r="Q1263" s="9" t="n">
        <v>2384.52</v>
      </c>
      <c r="R1263" s="9" t="n">
        <v>3191.75</v>
      </c>
      <c r="S1263" s="9" t="n">
        <v>2707.2</v>
      </c>
      <c r="T1263" s="9" t="n">
        <v>2942.76</v>
      </c>
      <c r="U1263" s="10">
        <f>SUM(I1263:T1263)</f>
        <v/>
      </c>
    </row>
    <row r="1264">
      <c r="A1264" s="2" t="inlineStr">
        <is>
          <t>SN-3000-3300-3330-3330PU0135</t>
        </is>
      </c>
      <c r="B1264" s="2" t="inlineStr">
        <is>
          <t>3330PU0135</t>
        </is>
      </c>
      <c r="C1264" s="2" t="inlineStr">
        <is>
          <t>Bomba ayuda filtrante</t>
        </is>
      </c>
      <c r="D1264" s="2" t="n">
        <v>421</v>
      </c>
      <c r="E1264" s="2" t="inlineStr">
        <is>
          <t>CC-3000</t>
        </is>
      </c>
      <c r="F1264" s="2" t="inlineStr">
        <is>
          <t>P01</t>
        </is>
      </c>
      <c r="G1264" s="2" t="n">
        <v>630000</v>
      </c>
      <c r="H1264" s="2" t="inlineStr">
        <is>
          <t>Servicios externos</t>
        </is>
      </c>
      <c r="I1264" s="9" t="n">
        <v>2881.39</v>
      </c>
      <c r="J1264" s="9" t="n">
        <v>2604.33</v>
      </c>
      <c r="K1264" s="9" t="n">
        <v>2767.71</v>
      </c>
      <c r="L1264" s="9" t="n">
        <v>2706.35</v>
      </c>
      <c r="M1264" s="9" t="n">
        <v>2721.97</v>
      </c>
      <c r="N1264" s="9" t="n">
        <v>2562</v>
      </c>
      <c r="O1264" s="9" t="n">
        <v>2555.71</v>
      </c>
      <c r="P1264" s="9" t="n">
        <v>2499.21</v>
      </c>
      <c r="Q1264" s="9" t="n">
        <v>2510.08</v>
      </c>
      <c r="R1264" s="9" t="n">
        <v>2854.44</v>
      </c>
      <c r="S1264" s="9" t="n">
        <v>2400.85</v>
      </c>
      <c r="T1264" s="9" t="n">
        <v>2645.88</v>
      </c>
      <c r="U1264" s="10">
        <f>SUM(I1264:T1264)</f>
        <v/>
      </c>
    </row>
    <row r="1265">
      <c r="A1265" s="2" t="inlineStr">
        <is>
          <t>SN-3000-3300-3330-3330PU0136</t>
        </is>
      </c>
      <c r="B1265" s="2" t="inlineStr">
        <is>
          <t>3330PU0136</t>
        </is>
      </c>
      <c r="C1265" s="2" t="inlineStr">
        <is>
          <t>Bomba ayuda filtrante</t>
        </is>
      </c>
      <c r="D1265" s="2" t="n">
        <v>422</v>
      </c>
      <c r="E1265" s="2" t="inlineStr">
        <is>
          <t>CC-3000</t>
        </is>
      </c>
      <c r="F1265" s="2" t="inlineStr">
        <is>
          <t>P01</t>
        </is>
      </c>
      <c r="G1265" s="2" t="n">
        <v>610000</v>
      </c>
      <c r="H1265" s="2" t="inlineStr">
        <is>
          <t>Mano obra interna</t>
        </is>
      </c>
      <c r="I1265" s="9" t="n">
        <v>1945.47</v>
      </c>
      <c r="J1265" s="9" t="n">
        <v>1662.63</v>
      </c>
      <c r="K1265" s="9" t="n">
        <v>1823.03</v>
      </c>
      <c r="L1265" s="9" t="n">
        <v>1946.5</v>
      </c>
      <c r="M1265" s="9" t="n">
        <v>1834.85</v>
      </c>
      <c r="N1265" s="9" t="n">
        <v>1673.27</v>
      </c>
      <c r="O1265" s="9" t="n">
        <v>1911.95</v>
      </c>
      <c r="P1265" s="9" t="n">
        <v>1807.73</v>
      </c>
      <c r="Q1265" s="9" t="n">
        <v>1685.39</v>
      </c>
      <c r="R1265" s="9" t="n">
        <v>2101.98</v>
      </c>
      <c r="S1265" s="9" t="n">
        <v>1878.6</v>
      </c>
      <c r="T1265" s="9" t="n">
        <v>1796.31</v>
      </c>
      <c r="U1265" s="10">
        <f>SUM(I1265:T1265)</f>
        <v/>
      </c>
    </row>
    <row r="1266">
      <c r="A1266" s="2" t="inlineStr">
        <is>
          <t>SN-3000-3300-3330-3330PU0136</t>
        </is>
      </c>
      <c r="B1266" s="2" t="inlineStr">
        <is>
          <t>3330PU0136</t>
        </is>
      </c>
      <c r="C1266" s="2" t="inlineStr">
        <is>
          <t>Bomba ayuda filtrante</t>
        </is>
      </c>
      <c r="D1266" s="2" t="n">
        <v>422</v>
      </c>
      <c r="E1266" s="2" t="inlineStr">
        <is>
          <t>CC-3000</t>
        </is>
      </c>
      <c r="F1266" s="2" t="inlineStr">
        <is>
          <t>P01</t>
        </is>
      </c>
      <c r="G1266" s="2" t="n">
        <v>620000</v>
      </c>
      <c r="H1266" s="2" t="inlineStr">
        <is>
          <t>Materiales</t>
        </is>
      </c>
      <c r="I1266" s="9" t="n">
        <v>1602.37</v>
      </c>
      <c r="J1266" s="9" t="n">
        <v>1470.78</v>
      </c>
      <c r="K1266" s="9" t="n">
        <v>1538.06</v>
      </c>
      <c r="L1266" s="9" t="n">
        <v>1622.7</v>
      </c>
      <c r="M1266" s="9" t="n">
        <v>1710.75</v>
      </c>
      <c r="N1266" s="9" t="n">
        <v>1635.48</v>
      </c>
      <c r="O1266" s="9" t="n">
        <v>1618.38</v>
      </c>
      <c r="P1266" s="9" t="n">
        <v>1630.32</v>
      </c>
      <c r="Q1266" s="9" t="n">
        <v>1384.26</v>
      </c>
      <c r="R1266" s="9" t="n">
        <v>1662.06</v>
      </c>
      <c r="S1266" s="9" t="n">
        <v>1444.27</v>
      </c>
      <c r="T1266" s="9" t="n">
        <v>1705.4</v>
      </c>
      <c r="U1266" s="10">
        <f>SUM(I1266:T1266)</f>
        <v/>
      </c>
    </row>
    <row r="1267">
      <c r="A1267" s="2" t="inlineStr">
        <is>
          <t>SN-3000-3300-3330-3330PU0136</t>
        </is>
      </c>
      <c r="B1267" s="2" t="inlineStr">
        <is>
          <t>3330PU0136</t>
        </is>
      </c>
      <c r="C1267" s="2" t="inlineStr">
        <is>
          <t>Bomba ayuda filtrante</t>
        </is>
      </c>
      <c r="D1267" s="2" t="n">
        <v>422</v>
      </c>
      <c r="E1267" s="2" t="inlineStr">
        <is>
          <t>CC-3000</t>
        </is>
      </c>
      <c r="F1267" s="2" t="inlineStr">
        <is>
          <t>P01</t>
        </is>
      </c>
      <c r="G1267" s="2" t="n">
        <v>630000</v>
      </c>
      <c r="H1267" s="2" t="inlineStr">
        <is>
          <t>Servicios externos</t>
        </is>
      </c>
      <c r="I1267" s="9" t="n">
        <v>1693.01</v>
      </c>
      <c r="J1267" s="9" t="n">
        <v>1577.63</v>
      </c>
      <c r="K1267" s="9" t="n">
        <v>1545.58</v>
      </c>
      <c r="L1267" s="9" t="n">
        <v>1512.84</v>
      </c>
      <c r="M1267" s="9" t="n">
        <v>1581.42</v>
      </c>
      <c r="N1267" s="9" t="n">
        <v>1593.19</v>
      </c>
      <c r="O1267" s="9" t="n">
        <v>1621.42</v>
      </c>
      <c r="P1267" s="9" t="n">
        <v>1526.88</v>
      </c>
      <c r="Q1267" s="9" t="n">
        <v>1478.11</v>
      </c>
      <c r="R1267" s="9" t="n">
        <v>1637.65</v>
      </c>
      <c r="S1267" s="9" t="n">
        <v>1637.03</v>
      </c>
      <c r="T1267" s="9" t="n">
        <v>1652.5</v>
      </c>
      <c r="U1267" s="10">
        <f>SUM(I1267:T1267)</f>
        <v/>
      </c>
    </row>
    <row r="1268">
      <c r="A1268" s="2" t="inlineStr">
        <is>
          <t>SN-3000-3300-3330-3330PU0139</t>
        </is>
      </c>
      <c r="B1268" s="2" t="inlineStr">
        <is>
          <t>3330PU0139</t>
        </is>
      </c>
      <c r="C1268" s="2" t="inlineStr">
        <is>
          <t>Bomba precapa precipitado</t>
        </is>
      </c>
      <c r="D1268" s="2" t="n">
        <v>423</v>
      </c>
      <c r="E1268" s="2" t="inlineStr">
        <is>
          <t>CC-3000</t>
        </is>
      </c>
      <c r="F1268" s="2" t="inlineStr">
        <is>
          <t>P01</t>
        </is>
      </c>
      <c r="G1268" s="2" t="n">
        <v>610000</v>
      </c>
      <c r="H1268" s="2" t="inlineStr">
        <is>
          <t>Mano obra interna</t>
        </is>
      </c>
      <c r="I1268" s="9" t="n">
        <v>2343.31</v>
      </c>
      <c r="J1268" s="9" t="n">
        <v>2332.08</v>
      </c>
      <c r="K1268" s="9" t="n">
        <v>2336.78</v>
      </c>
      <c r="L1268" s="9" t="n">
        <v>2196.18</v>
      </c>
      <c r="M1268" s="9" t="n">
        <v>2261.35</v>
      </c>
      <c r="N1268" s="9" t="n">
        <v>2374.94</v>
      </c>
      <c r="O1268" s="9" t="n">
        <v>2372.04</v>
      </c>
      <c r="P1268" s="9" t="n">
        <v>2167.68</v>
      </c>
      <c r="Q1268" s="9" t="n">
        <v>2296.62</v>
      </c>
      <c r="R1268" s="9" t="n">
        <v>2413.58</v>
      </c>
      <c r="S1268" s="9" t="n">
        <v>2157.55</v>
      </c>
      <c r="T1268" s="9" t="n">
        <v>2281.94</v>
      </c>
      <c r="U1268" s="10">
        <f>SUM(I1268:T1268)</f>
        <v/>
      </c>
    </row>
    <row r="1269">
      <c r="A1269" s="2" t="inlineStr">
        <is>
          <t>SN-3000-3300-3330-3330PU0139</t>
        </is>
      </c>
      <c r="B1269" s="2" t="inlineStr">
        <is>
          <t>3330PU0139</t>
        </is>
      </c>
      <c r="C1269" s="2" t="inlineStr">
        <is>
          <t>Bomba precapa precipitado</t>
        </is>
      </c>
      <c r="D1269" s="2" t="n">
        <v>423</v>
      </c>
      <c r="E1269" s="2" t="inlineStr">
        <is>
          <t>CC-3000</t>
        </is>
      </c>
      <c r="F1269" s="2" t="inlineStr">
        <is>
          <t>P01</t>
        </is>
      </c>
      <c r="G1269" s="2" t="n">
        <v>620000</v>
      </c>
      <c r="H1269" s="2" t="inlineStr">
        <is>
          <t>Materiales</t>
        </is>
      </c>
      <c r="I1269" s="9" t="n">
        <v>2254.29</v>
      </c>
      <c r="J1269" s="9" t="n">
        <v>2156.41</v>
      </c>
      <c r="K1269" s="9" t="n">
        <v>2340.68</v>
      </c>
      <c r="L1269" s="9" t="n">
        <v>2175.13</v>
      </c>
      <c r="M1269" s="9" t="n">
        <v>2267.83</v>
      </c>
      <c r="N1269" s="9" t="n">
        <v>1987.36</v>
      </c>
      <c r="O1269" s="9" t="n">
        <v>2292.76</v>
      </c>
      <c r="P1269" s="9" t="n">
        <v>2248.36</v>
      </c>
      <c r="Q1269" s="9" t="n">
        <v>2100.85</v>
      </c>
      <c r="R1269" s="9" t="n">
        <v>2357.55</v>
      </c>
      <c r="S1269" s="9" t="n">
        <v>2179.27</v>
      </c>
      <c r="T1269" s="9" t="n">
        <v>2075.53</v>
      </c>
      <c r="U1269" s="10">
        <f>SUM(I1269:T1269)</f>
        <v/>
      </c>
    </row>
    <row r="1270">
      <c r="A1270" s="2" t="inlineStr">
        <is>
          <t>SN-3000-3300-3330-3330PU0139</t>
        </is>
      </c>
      <c r="B1270" s="2" t="inlineStr">
        <is>
          <t>3330PU0139</t>
        </is>
      </c>
      <c r="C1270" s="2" t="inlineStr">
        <is>
          <t>Bomba precapa precipitado</t>
        </is>
      </c>
      <c r="D1270" s="2" t="n">
        <v>423</v>
      </c>
      <c r="E1270" s="2" t="inlineStr">
        <is>
          <t>CC-3000</t>
        </is>
      </c>
      <c r="F1270" s="2" t="inlineStr">
        <is>
          <t>P01</t>
        </is>
      </c>
      <c r="G1270" s="2" t="n">
        <v>630000</v>
      </c>
      <c r="H1270" s="2" t="inlineStr">
        <is>
          <t>Servicios externos</t>
        </is>
      </c>
      <c r="I1270" s="9" t="n">
        <v>2252.89</v>
      </c>
      <c r="J1270" s="9" t="n">
        <v>2208.36</v>
      </c>
      <c r="K1270" s="9" t="n">
        <v>2481.13</v>
      </c>
      <c r="L1270" s="9" t="n">
        <v>2521.23</v>
      </c>
      <c r="M1270" s="9" t="n">
        <v>2191.85</v>
      </c>
      <c r="N1270" s="9" t="n">
        <v>2424.38</v>
      </c>
      <c r="O1270" s="9" t="n">
        <v>2557.03</v>
      </c>
      <c r="P1270" s="9" t="n">
        <v>2414.31</v>
      </c>
      <c r="Q1270" s="9" t="n">
        <v>2204.97</v>
      </c>
      <c r="R1270" s="9" t="n">
        <v>2661.12</v>
      </c>
      <c r="S1270" s="9" t="n">
        <v>2236.8</v>
      </c>
      <c r="T1270" s="9" t="n">
        <v>2408.51</v>
      </c>
      <c r="U1270" s="10">
        <f>SUM(I1270:T1270)</f>
        <v/>
      </c>
    </row>
    <row r="1271">
      <c r="A1271" s="2" t="inlineStr">
        <is>
          <t>SN-3000-3300-3330-3330PU0142</t>
        </is>
      </c>
      <c r="B1271" s="2" t="inlineStr">
        <is>
          <t>3330PU0142</t>
        </is>
      </c>
      <c r="C1271" s="2" t="inlineStr">
        <is>
          <t>Bomba sumidero MC</t>
        </is>
      </c>
      <c r="D1271" s="2" t="n">
        <v>424</v>
      </c>
      <c r="E1271" s="2" t="inlineStr">
        <is>
          <t>CC-3000</t>
        </is>
      </c>
      <c r="F1271" s="2" t="inlineStr">
        <is>
          <t>P01</t>
        </is>
      </c>
      <c r="G1271" s="2" t="n">
        <v>610000</v>
      </c>
      <c r="H1271" s="2" t="inlineStr">
        <is>
          <t>Mano obra interna</t>
        </is>
      </c>
      <c r="I1271" s="9" t="n">
        <v>334.96</v>
      </c>
      <c r="J1271" s="9" t="n">
        <v>321.77</v>
      </c>
      <c r="K1271" s="9" t="n">
        <v>303.51</v>
      </c>
      <c r="L1271" s="9" t="n">
        <v>299.19</v>
      </c>
      <c r="M1271" s="9" t="n">
        <v>292.86</v>
      </c>
      <c r="N1271" s="9" t="n">
        <v>289.64</v>
      </c>
      <c r="O1271" s="9" t="n">
        <v>296.87</v>
      </c>
      <c r="P1271" s="9" t="n">
        <v>299.45</v>
      </c>
      <c r="Q1271" s="9" t="n">
        <v>290.18</v>
      </c>
      <c r="R1271" s="9" t="n">
        <v>343.66</v>
      </c>
      <c r="S1271" s="9" t="n">
        <v>307.22</v>
      </c>
      <c r="T1271" s="9" t="n">
        <v>325.98</v>
      </c>
      <c r="U1271" s="10">
        <f>SUM(I1271:T1271)</f>
        <v/>
      </c>
    </row>
    <row r="1272">
      <c r="A1272" s="2" t="inlineStr">
        <is>
          <t>SN-3000-3300-3330-3330PU0142</t>
        </is>
      </c>
      <c r="B1272" s="2" t="inlineStr">
        <is>
          <t>3330PU0142</t>
        </is>
      </c>
      <c r="C1272" s="2" t="inlineStr">
        <is>
          <t>Bomba sumidero MC</t>
        </is>
      </c>
      <c r="D1272" s="2" t="n">
        <v>424</v>
      </c>
      <c r="E1272" s="2" t="inlineStr">
        <is>
          <t>CC-3000</t>
        </is>
      </c>
      <c r="F1272" s="2" t="inlineStr">
        <is>
          <t>P01</t>
        </is>
      </c>
      <c r="G1272" s="2" t="n">
        <v>620000</v>
      </c>
      <c r="H1272" s="2" t="inlineStr">
        <is>
          <t>Materiales</t>
        </is>
      </c>
      <c r="I1272" s="9" t="n">
        <v>215.43</v>
      </c>
      <c r="J1272" s="9" t="n">
        <v>234.42</v>
      </c>
      <c r="K1272" s="9" t="n">
        <v>235.93</v>
      </c>
      <c r="L1272" s="9" t="n">
        <v>235.41</v>
      </c>
      <c r="M1272" s="9" t="n">
        <v>209.02</v>
      </c>
      <c r="N1272" s="9" t="n">
        <v>208.98</v>
      </c>
      <c r="O1272" s="9" t="n">
        <v>232.63</v>
      </c>
      <c r="P1272" s="9" t="n">
        <v>240.38</v>
      </c>
      <c r="Q1272" s="9" t="n">
        <v>225.89</v>
      </c>
      <c r="R1272" s="9" t="n">
        <v>245.35</v>
      </c>
      <c r="S1272" s="9" t="n">
        <v>221.83</v>
      </c>
      <c r="T1272" s="9" t="n">
        <v>243.17</v>
      </c>
      <c r="U1272" s="10">
        <f>SUM(I1272:T1272)</f>
        <v/>
      </c>
    </row>
    <row r="1273">
      <c r="A1273" s="2" t="inlineStr">
        <is>
          <t>SN-3000-3300-3330-3330PU0142</t>
        </is>
      </c>
      <c r="B1273" s="2" t="inlineStr">
        <is>
          <t>3330PU0142</t>
        </is>
      </c>
      <c r="C1273" s="2" t="inlineStr">
        <is>
          <t>Bomba sumidero MC</t>
        </is>
      </c>
      <c r="D1273" s="2" t="n">
        <v>424</v>
      </c>
      <c r="E1273" s="2" t="inlineStr">
        <is>
          <t>CC-3000</t>
        </is>
      </c>
      <c r="F1273" s="2" t="inlineStr">
        <is>
          <t>P01</t>
        </is>
      </c>
      <c r="G1273" s="2" t="n">
        <v>630000</v>
      </c>
      <c r="H1273" s="2" t="inlineStr">
        <is>
          <t>Servicios externos</t>
        </is>
      </c>
      <c r="I1273" s="9" t="n">
        <v>271.6</v>
      </c>
      <c r="J1273" s="9" t="n">
        <v>278.26</v>
      </c>
      <c r="K1273" s="9" t="n">
        <v>286.44</v>
      </c>
      <c r="L1273" s="9" t="n">
        <v>288.94</v>
      </c>
      <c r="M1273" s="9" t="n">
        <v>250.76</v>
      </c>
      <c r="N1273" s="9" t="n">
        <v>254.67</v>
      </c>
      <c r="O1273" s="9" t="n">
        <v>280.01</v>
      </c>
      <c r="P1273" s="9" t="n">
        <v>248.65</v>
      </c>
      <c r="Q1273" s="9" t="n">
        <v>258.65</v>
      </c>
      <c r="R1273" s="9" t="n">
        <v>271.64</v>
      </c>
      <c r="S1273" s="9" t="n">
        <v>269.53</v>
      </c>
      <c r="T1273" s="9" t="n">
        <v>274.11</v>
      </c>
      <c r="U1273" s="10">
        <f>SUM(I1273:T1273)</f>
        <v/>
      </c>
    </row>
    <row r="1274">
      <c r="A1274" s="2" t="inlineStr">
        <is>
          <t>SN-3000-3300-3330-3330PU0143</t>
        </is>
      </c>
      <c r="B1274" s="2" t="inlineStr">
        <is>
          <t>3330PU0143</t>
        </is>
      </c>
      <c r="C1274" s="2" t="inlineStr">
        <is>
          <t>Bomba nitrato plomo</t>
        </is>
      </c>
      <c r="D1274" s="2" t="n">
        <v>425</v>
      </c>
      <c r="E1274" s="2" t="inlineStr">
        <is>
          <t>CC-3000</t>
        </is>
      </c>
      <c r="F1274" s="2" t="inlineStr">
        <is>
          <t>P01</t>
        </is>
      </c>
      <c r="G1274" s="2" t="n">
        <v>610000</v>
      </c>
      <c r="H1274" s="2" t="inlineStr">
        <is>
          <t>Mano obra interna</t>
        </is>
      </c>
      <c r="I1274" s="9" t="n">
        <v>2208.66</v>
      </c>
      <c r="J1274" s="9" t="n">
        <v>2202.2</v>
      </c>
      <c r="K1274" s="9" t="n">
        <v>2289.58</v>
      </c>
      <c r="L1274" s="9" t="n">
        <v>2194.87</v>
      </c>
      <c r="M1274" s="9" t="n">
        <v>2287.75</v>
      </c>
      <c r="N1274" s="9" t="n">
        <v>2083.77</v>
      </c>
      <c r="O1274" s="9" t="n">
        <v>2175.85</v>
      </c>
      <c r="P1274" s="9" t="n">
        <v>2019.13</v>
      </c>
      <c r="Q1274" s="9" t="n">
        <v>2159.24</v>
      </c>
      <c r="R1274" s="9" t="n">
        <v>2222.17</v>
      </c>
      <c r="S1274" s="9" t="n">
        <v>2112.97</v>
      </c>
      <c r="T1274" s="9" t="n">
        <v>2312.19</v>
      </c>
      <c r="U1274" s="10">
        <f>SUM(I1274:T1274)</f>
        <v/>
      </c>
    </row>
    <row r="1275">
      <c r="A1275" s="2" t="inlineStr">
        <is>
          <t>SN-3000-3300-3330-3330PU0143</t>
        </is>
      </c>
      <c r="B1275" s="2" t="inlineStr">
        <is>
          <t>3330PU0143</t>
        </is>
      </c>
      <c r="C1275" s="2" t="inlineStr">
        <is>
          <t>Bomba nitrato plomo</t>
        </is>
      </c>
      <c r="D1275" s="2" t="n">
        <v>425</v>
      </c>
      <c r="E1275" s="2" t="inlineStr">
        <is>
          <t>CC-3000</t>
        </is>
      </c>
      <c r="F1275" s="2" t="inlineStr">
        <is>
          <t>P01</t>
        </is>
      </c>
      <c r="G1275" s="2" t="n">
        <v>620000</v>
      </c>
      <c r="H1275" s="2" t="inlineStr">
        <is>
          <t>Materiales</t>
        </is>
      </c>
      <c r="I1275" s="9" t="n">
        <v>2146.63</v>
      </c>
      <c r="J1275" s="9" t="n">
        <v>1976.37</v>
      </c>
      <c r="K1275" s="9" t="n">
        <v>2249.61</v>
      </c>
      <c r="L1275" s="9" t="n">
        <v>2161.81</v>
      </c>
      <c r="M1275" s="9" t="n">
        <v>2189.98</v>
      </c>
      <c r="N1275" s="9" t="n">
        <v>2128.01</v>
      </c>
      <c r="O1275" s="9" t="n">
        <v>2144.42</v>
      </c>
      <c r="P1275" s="9" t="n">
        <v>2167.5</v>
      </c>
      <c r="Q1275" s="9" t="n">
        <v>1964.25</v>
      </c>
      <c r="R1275" s="9" t="n">
        <v>2216.07</v>
      </c>
      <c r="S1275" s="9" t="n">
        <v>2074.79</v>
      </c>
      <c r="T1275" s="9" t="n">
        <v>2263.51</v>
      </c>
      <c r="U1275" s="10">
        <f>SUM(I1275:T1275)</f>
        <v/>
      </c>
    </row>
    <row r="1276">
      <c r="A1276" s="2" t="inlineStr">
        <is>
          <t>SN-3000-3300-3330-3330PU0143</t>
        </is>
      </c>
      <c r="B1276" s="2" t="inlineStr">
        <is>
          <t>3330PU0143</t>
        </is>
      </c>
      <c r="C1276" s="2" t="inlineStr">
        <is>
          <t>Bomba nitrato plomo</t>
        </is>
      </c>
      <c r="D1276" s="2" t="n">
        <v>425</v>
      </c>
      <c r="E1276" s="2" t="inlineStr">
        <is>
          <t>CC-3000</t>
        </is>
      </c>
      <c r="F1276" s="2" t="inlineStr">
        <is>
          <t>P01</t>
        </is>
      </c>
      <c r="G1276" s="2" t="n">
        <v>630000</v>
      </c>
      <c r="H1276" s="2" t="inlineStr">
        <is>
          <t>Servicios externos</t>
        </is>
      </c>
      <c r="I1276" s="9" t="n">
        <v>2255</v>
      </c>
      <c r="J1276" s="9" t="n">
        <v>2202.07</v>
      </c>
      <c r="K1276" s="9" t="n">
        <v>2324.32</v>
      </c>
      <c r="L1276" s="9" t="n">
        <v>2167.99</v>
      </c>
      <c r="M1276" s="9" t="n">
        <v>2252.45</v>
      </c>
      <c r="N1276" s="9" t="n">
        <v>2174.56</v>
      </c>
      <c r="O1276" s="9" t="n">
        <v>2309.82</v>
      </c>
      <c r="P1276" s="9" t="n">
        <v>2224.93</v>
      </c>
      <c r="Q1276" s="9" t="n">
        <v>2157.55</v>
      </c>
      <c r="R1276" s="9" t="n">
        <v>2603.67</v>
      </c>
      <c r="S1276" s="9" t="n">
        <v>2364.46</v>
      </c>
      <c r="T1276" s="9" t="n">
        <v>2341.27</v>
      </c>
      <c r="U1276" s="10">
        <f>SUM(I1276:T1276)</f>
        <v/>
      </c>
    </row>
    <row r="1277">
      <c r="A1277" s="2" t="inlineStr">
        <is>
          <t>SN-3000-3300-3330-3330PU0148</t>
        </is>
      </c>
      <c r="B1277" s="2" t="inlineStr">
        <is>
          <t>3330PU0148</t>
        </is>
      </c>
      <c r="C1277" s="2" t="inlineStr">
        <is>
          <t>Bomba alimentación filtro limpieza</t>
        </is>
      </c>
      <c r="D1277" s="2" t="n">
        <v>426</v>
      </c>
      <c r="E1277" s="2" t="inlineStr">
        <is>
          <t>CC-3000</t>
        </is>
      </c>
      <c r="F1277" s="2" t="inlineStr">
        <is>
          <t>P01</t>
        </is>
      </c>
      <c r="G1277" s="2" t="n">
        <v>610000</v>
      </c>
      <c r="H1277" s="2" t="inlineStr">
        <is>
          <t>Mano obra interna</t>
        </is>
      </c>
      <c r="I1277" s="9" t="n">
        <v>2162.68</v>
      </c>
      <c r="J1277" s="9" t="n">
        <v>2004.66</v>
      </c>
      <c r="K1277" s="9" t="n">
        <v>1979.57</v>
      </c>
      <c r="L1277" s="9" t="n">
        <v>1900.31</v>
      </c>
      <c r="M1277" s="9" t="n">
        <v>1838.93</v>
      </c>
      <c r="N1277" s="9" t="n">
        <v>1783.85</v>
      </c>
      <c r="O1277" s="9" t="n">
        <v>1828.12</v>
      </c>
      <c r="P1277" s="9" t="n">
        <v>2095.8</v>
      </c>
      <c r="Q1277" s="9" t="n">
        <v>1846.33</v>
      </c>
      <c r="R1277" s="9" t="n">
        <v>2193.11</v>
      </c>
      <c r="S1277" s="9" t="n">
        <v>2007.79</v>
      </c>
      <c r="T1277" s="9" t="n">
        <v>2093.12</v>
      </c>
      <c r="U1277" s="10">
        <f>SUM(I1277:T1277)</f>
        <v/>
      </c>
    </row>
    <row r="1278">
      <c r="A1278" s="2" t="inlineStr">
        <is>
          <t>SN-3000-3300-3330-3330PU0148</t>
        </is>
      </c>
      <c r="B1278" s="2" t="inlineStr">
        <is>
          <t>3330PU0148</t>
        </is>
      </c>
      <c r="C1278" s="2" t="inlineStr">
        <is>
          <t>Bomba alimentación filtro limpieza</t>
        </is>
      </c>
      <c r="D1278" s="2" t="n">
        <v>426</v>
      </c>
      <c r="E1278" s="2" t="inlineStr">
        <is>
          <t>CC-3000</t>
        </is>
      </c>
      <c r="F1278" s="2" t="inlineStr">
        <is>
          <t>P01</t>
        </is>
      </c>
      <c r="G1278" s="2" t="n">
        <v>620000</v>
      </c>
      <c r="H1278" s="2" t="inlineStr">
        <is>
          <t>Materiales</t>
        </is>
      </c>
      <c r="I1278" s="9" t="n">
        <v>2693.99</v>
      </c>
      <c r="J1278" s="9" t="n">
        <v>2394.65</v>
      </c>
      <c r="K1278" s="9" t="n">
        <v>2715.62</v>
      </c>
      <c r="L1278" s="9" t="n">
        <v>2599.19</v>
      </c>
      <c r="M1278" s="9" t="n">
        <v>2263.09</v>
      </c>
      <c r="N1278" s="9" t="n">
        <v>2415.82</v>
      </c>
      <c r="O1278" s="9" t="n">
        <v>2529.91</v>
      </c>
      <c r="P1278" s="9" t="n">
        <v>2612.9</v>
      </c>
      <c r="Q1278" s="9" t="n">
        <v>2239.21</v>
      </c>
      <c r="R1278" s="9" t="n">
        <v>2683.95</v>
      </c>
      <c r="S1278" s="9" t="n">
        <v>2191.47</v>
      </c>
      <c r="T1278" s="9" t="n">
        <v>2424.91</v>
      </c>
      <c r="U1278" s="10">
        <f>SUM(I1278:T1278)</f>
        <v/>
      </c>
    </row>
    <row r="1279">
      <c r="A1279" s="2" t="inlineStr">
        <is>
          <t>SN-3000-3300-3330-3330PU0148</t>
        </is>
      </c>
      <c r="B1279" s="2" t="inlineStr">
        <is>
          <t>3330PU0148</t>
        </is>
      </c>
      <c r="C1279" s="2" t="inlineStr">
        <is>
          <t>Bomba alimentación filtro limpieza</t>
        </is>
      </c>
      <c r="D1279" s="2" t="n">
        <v>426</v>
      </c>
      <c r="E1279" s="2" t="inlineStr">
        <is>
          <t>CC-3000</t>
        </is>
      </c>
      <c r="F1279" s="2" t="inlineStr">
        <is>
          <t>P01</t>
        </is>
      </c>
      <c r="G1279" s="2" t="n">
        <v>630000</v>
      </c>
      <c r="H1279" s="2" t="inlineStr">
        <is>
          <t>Servicios externos</t>
        </is>
      </c>
      <c r="I1279" s="9" t="n">
        <v>2028.06</v>
      </c>
      <c r="J1279" s="9" t="n">
        <v>2048.77</v>
      </c>
      <c r="K1279" s="9" t="n">
        <v>1946.43</v>
      </c>
      <c r="L1279" s="9" t="n">
        <v>2032.25</v>
      </c>
      <c r="M1279" s="9" t="n">
        <v>1866.46</v>
      </c>
      <c r="N1279" s="9" t="n">
        <v>1777.88</v>
      </c>
      <c r="O1279" s="9" t="n">
        <v>1984.1</v>
      </c>
      <c r="P1279" s="9" t="n">
        <v>1845.04</v>
      </c>
      <c r="Q1279" s="9" t="n">
        <v>1868.63</v>
      </c>
      <c r="R1279" s="9" t="n">
        <v>1974.89</v>
      </c>
      <c r="S1279" s="9" t="n">
        <v>1795.9</v>
      </c>
      <c r="T1279" s="9" t="n">
        <v>2025.19</v>
      </c>
      <c r="U1279" s="10">
        <f>SUM(I1279:T1279)</f>
        <v/>
      </c>
    </row>
    <row r="1280">
      <c r="A1280" s="2" t="inlineStr">
        <is>
          <t>SN-3000-3300-3330-3330PU0149</t>
        </is>
      </c>
      <c r="B1280" s="2" t="inlineStr">
        <is>
          <t>3330PU0149</t>
        </is>
      </c>
      <c r="C1280" s="2" t="inlineStr">
        <is>
          <t>Bomba solución rica recuperada</t>
        </is>
      </c>
      <c r="D1280" s="2" t="n">
        <v>427</v>
      </c>
      <c r="E1280" s="2" t="inlineStr">
        <is>
          <t>CC-3000</t>
        </is>
      </c>
      <c r="F1280" s="2" t="inlineStr">
        <is>
          <t>P01</t>
        </is>
      </c>
      <c r="G1280" s="2" t="n">
        <v>610000</v>
      </c>
      <c r="H1280" s="2" t="inlineStr">
        <is>
          <t>Mano obra interna</t>
        </is>
      </c>
      <c r="I1280" s="9" t="n">
        <v>148.17</v>
      </c>
      <c r="J1280" s="9" t="n">
        <v>156.42</v>
      </c>
      <c r="K1280" s="9" t="n">
        <v>170.72</v>
      </c>
      <c r="L1280" s="9" t="n">
        <v>166.15</v>
      </c>
      <c r="M1280" s="9" t="n">
        <v>146.19</v>
      </c>
      <c r="N1280" s="9" t="n">
        <v>152.3</v>
      </c>
      <c r="O1280" s="9" t="n">
        <v>161.38</v>
      </c>
      <c r="P1280" s="9" t="n">
        <v>145.25</v>
      </c>
      <c r="Q1280" s="9" t="n">
        <v>154.44</v>
      </c>
      <c r="R1280" s="9" t="n">
        <v>180.29</v>
      </c>
      <c r="S1280" s="9" t="n">
        <v>160.49</v>
      </c>
      <c r="T1280" s="9" t="n">
        <v>167.58</v>
      </c>
      <c r="U1280" s="10">
        <f>SUM(I1280:T1280)</f>
        <v/>
      </c>
    </row>
    <row r="1281">
      <c r="A1281" s="2" t="inlineStr">
        <is>
          <t>SN-3000-3300-3330-3330PU0149</t>
        </is>
      </c>
      <c r="B1281" s="2" t="inlineStr">
        <is>
          <t>3330PU0149</t>
        </is>
      </c>
      <c r="C1281" s="2" t="inlineStr">
        <is>
          <t>Bomba solución rica recuperada</t>
        </is>
      </c>
      <c r="D1281" s="2" t="n">
        <v>427</v>
      </c>
      <c r="E1281" s="2" t="inlineStr">
        <is>
          <t>CC-3000</t>
        </is>
      </c>
      <c r="F1281" s="2" t="inlineStr">
        <is>
          <t>P01</t>
        </is>
      </c>
      <c r="G1281" s="2" t="n">
        <v>620000</v>
      </c>
      <c r="H1281" s="2" t="inlineStr">
        <is>
          <t>Materiales</t>
        </is>
      </c>
      <c r="I1281" s="9" t="n">
        <v>164.34</v>
      </c>
      <c r="J1281" s="9" t="n">
        <v>159.67</v>
      </c>
      <c r="K1281" s="9" t="n">
        <v>170.58</v>
      </c>
      <c r="L1281" s="9" t="n">
        <v>165.29</v>
      </c>
      <c r="M1281" s="9" t="n">
        <v>151.69</v>
      </c>
      <c r="N1281" s="9" t="n">
        <v>147.71</v>
      </c>
      <c r="O1281" s="9" t="n">
        <v>167.71</v>
      </c>
      <c r="P1281" s="9" t="n">
        <v>145.34</v>
      </c>
      <c r="Q1281" s="9" t="n">
        <v>151.4</v>
      </c>
      <c r="R1281" s="9" t="n">
        <v>182.35</v>
      </c>
      <c r="S1281" s="9" t="n">
        <v>157.62</v>
      </c>
      <c r="T1281" s="9" t="n">
        <v>172.6</v>
      </c>
      <c r="U1281" s="10">
        <f>SUM(I1281:T1281)</f>
        <v/>
      </c>
    </row>
    <row r="1282">
      <c r="A1282" s="2" t="inlineStr">
        <is>
          <t>SN-3000-3300-3330-3330PU0149</t>
        </is>
      </c>
      <c r="B1282" s="2" t="inlineStr">
        <is>
          <t>3330PU0149</t>
        </is>
      </c>
      <c r="C1282" s="2" t="inlineStr">
        <is>
          <t>Bomba solución rica recuperada</t>
        </is>
      </c>
      <c r="D1282" s="2" t="n">
        <v>427</v>
      </c>
      <c r="E1282" s="2" t="inlineStr">
        <is>
          <t>CC-3000</t>
        </is>
      </c>
      <c r="F1282" s="2" t="inlineStr">
        <is>
          <t>P01</t>
        </is>
      </c>
      <c r="G1282" s="2" t="n">
        <v>630000</v>
      </c>
      <c r="H1282" s="2" t="inlineStr">
        <is>
          <t>Servicios externos</t>
        </is>
      </c>
      <c r="I1282" s="9" t="n">
        <v>152.18</v>
      </c>
      <c r="J1282" s="9" t="n">
        <v>166.93</v>
      </c>
      <c r="K1282" s="9" t="n">
        <v>160.44</v>
      </c>
      <c r="L1282" s="9" t="n">
        <v>163.2</v>
      </c>
      <c r="M1282" s="9" t="n">
        <v>154.61</v>
      </c>
      <c r="N1282" s="9" t="n">
        <v>148.29</v>
      </c>
      <c r="O1282" s="9" t="n">
        <v>159.38</v>
      </c>
      <c r="P1282" s="9" t="n">
        <v>157.83</v>
      </c>
      <c r="Q1282" s="9" t="n">
        <v>153.14</v>
      </c>
      <c r="R1282" s="9" t="n">
        <v>182.41</v>
      </c>
      <c r="S1282" s="9" t="n">
        <v>150.86</v>
      </c>
      <c r="T1282" s="9" t="n">
        <v>155.98</v>
      </c>
      <c r="U1282" s="10">
        <f>SUM(I1282:T1282)</f>
        <v/>
      </c>
    </row>
    <row r="1283">
      <c r="A1283" s="2" t="inlineStr">
        <is>
          <t>SN-3000-3300-3330-3330PU0150</t>
        </is>
      </c>
      <c r="B1283" s="2" t="inlineStr">
        <is>
          <t>3330PU0150</t>
        </is>
      </c>
      <c r="C1283" s="2" t="inlineStr">
        <is>
          <t>Bomba rebose clarificador MC</t>
        </is>
      </c>
      <c r="D1283" s="2" t="n">
        <v>428</v>
      </c>
      <c r="E1283" s="2" t="inlineStr">
        <is>
          <t>CC-3000</t>
        </is>
      </c>
      <c r="F1283" s="2" t="inlineStr">
        <is>
          <t>P01</t>
        </is>
      </c>
      <c r="G1283" s="2" t="n">
        <v>610000</v>
      </c>
      <c r="H1283" s="2" t="inlineStr">
        <is>
          <t>Mano obra interna</t>
        </is>
      </c>
      <c r="I1283" s="9" t="n">
        <v>2642.35</v>
      </c>
      <c r="J1283" s="9" t="n">
        <v>2640.85</v>
      </c>
      <c r="K1283" s="9" t="n">
        <v>2398.14</v>
      </c>
      <c r="L1283" s="9" t="n">
        <v>2720.75</v>
      </c>
      <c r="M1283" s="9" t="n">
        <v>2502.05</v>
      </c>
      <c r="N1283" s="9" t="n">
        <v>2455.79</v>
      </c>
      <c r="O1283" s="9" t="n">
        <v>2356.06</v>
      </c>
      <c r="P1283" s="9" t="n">
        <v>2490.7</v>
      </c>
      <c r="Q1283" s="9" t="n">
        <v>2243.22</v>
      </c>
      <c r="R1283" s="9" t="n">
        <v>2610.49</v>
      </c>
      <c r="S1283" s="9" t="n">
        <v>2440.86</v>
      </c>
      <c r="T1283" s="9" t="n">
        <v>2684.98</v>
      </c>
      <c r="U1283" s="10">
        <f>SUM(I1283:T1283)</f>
        <v/>
      </c>
    </row>
    <row r="1284">
      <c r="A1284" s="2" t="inlineStr">
        <is>
          <t>SN-3000-3300-3330-3330PU0150</t>
        </is>
      </c>
      <c r="B1284" s="2" t="inlineStr">
        <is>
          <t>3330PU0150</t>
        </is>
      </c>
      <c r="C1284" s="2" t="inlineStr">
        <is>
          <t>Bomba rebose clarificador MC</t>
        </is>
      </c>
      <c r="D1284" s="2" t="n">
        <v>428</v>
      </c>
      <c r="E1284" s="2" t="inlineStr">
        <is>
          <t>CC-3000</t>
        </is>
      </c>
      <c r="F1284" s="2" t="inlineStr">
        <is>
          <t>P01</t>
        </is>
      </c>
      <c r="G1284" s="2" t="n">
        <v>620000</v>
      </c>
      <c r="H1284" s="2" t="inlineStr">
        <is>
          <t>Materiales</t>
        </is>
      </c>
      <c r="I1284" s="9" t="n">
        <v>2577.26</v>
      </c>
      <c r="J1284" s="9" t="n">
        <v>2466.18</v>
      </c>
      <c r="K1284" s="9" t="n">
        <v>2537.28</v>
      </c>
      <c r="L1284" s="9" t="n">
        <v>2735.61</v>
      </c>
      <c r="M1284" s="9" t="n">
        <v>2486.38</v>
      </c>
      <c r="N1284" s="9" t="n">
        <v>2285.42</v>
      </c>
      <c r="O1284" s="9" t="n">
        <v>2382.01</v>
      </c>
      <c r="P1284" s="9" t="n">
        <v>2530.84</v>
      </c>
      <c r="Q1284" s="9" t="n">
        <v>2324.85</v>
      </c>
      <c r="R1284" s="9" t="n">
        <v>2472.17</v>
      </c>
      <c r="S1284" s="9" t="n">
        <v>2536.14</v>
      </c>
      <c r="T1284" s="9" t="n">
        <v>2607.82</v>
      </c>
      <c r="U1284" s="10">
        <f>SUM(I1284:T1284)</f>
        <v/>
      </c>
    </row>
    <row r="1285">
      <c r="A1285" s="2" t="inlineStr">
        <is>
          <t>SN-3000-3300-3330-3330PU0150</t>
        </is>
      </c>
      <c r="B1285" s="2" t="inlineStr">
        <is>
          <t>3330PU0150</t>
        </is>
      </c>
      <c r="C1285" s="2" t="inlineStr">
        <is>
          <t>Bomba rebose clarificador MC</t>
        </is>
      </c>
      <c r="D1285" s="2" t="n">
        <v>428</v>
      </c>
      <c r="E1285" s="2" t="inlineStr">
        <is>
          <t>CC-3000</t>
        </is>
      </c>
      <c r="F1285" s="2" t="inlineStr">
        <is>
          <t>P01</t>
        </is>
      </c>
      <c r="G1285" s="2" t="n">
        <v>630000</v>
      </c>
      <c r="H1285" s="2" t="inlineStr">
        <is>
          <t>Servicios externos</t>
        </is>
      </c>
      <c r="I1285" s="9" t="n">
        <v>2329.97</v>
      </c>
      <c r="J1285" s="9" t="n">
        <v>2361.13</v>
      </c>
      <c r="K1285" s="9" t="n">
        <v>2705.29</v>
      </c>
      <c r="L1285" s="9" t="n">
        <v>2650.94</v>
      </c>
      <c r="M1285" s="9" t="n">
        <v>2342.93</v>
      </c>
      <c r="N1285" s="9" t="n">
        <v>2215.23</v>
      </c>
      <c r="O1285" s="9" t="n">
        <v>2432.67</v>
      </c>
      <c r="P1285" s="9" t="n">
        <v>2393.2</v>
      </c>
      <c r="Q1285" s="9" t="n">
        <v>2348.62</v>
      </c>
      <c r="R1285" s="9" t="n">
        <v>2841.11</v>
      </c>
      <c r="S1285" s="9" t="n">
        <v>2321.23</v>
      </c>
      <c r="T1285" s="9" t="n">
        <v>2313.67</v>
      </c>
      <c r="U1285" s="10">
        <f>SUM(I1285:T1285)</f>
        <v/>
      </c>
    </row>
    <row r="1286">
      <c r="A1286" s="2" t="inlineStr">
        <is>
          <t>SN-3000-3300-3330-3330PU0151</t>
        </is>
      </c>
      <c r="B1286" s="2" t="inlineStr">
        <is>
          <t>3330PU0151</t>
        </is>
      </c>
      <c r="C1286" s="2" t="inlineStr">
        <is>
          <t>Bomba rebose clarificador MC</t>
        </is>
      </c>
      <c r="D1286" s="2" t="n">
        <v>429</v>
      </c>
      <c r="E1286" s="2" t="inlineStr">
        <is>
          <t>CC-3000</t>
        </is>
      </c>
      <c r="F1286" s="2" t="inlineStr">
        <is>
          <t>P01</t>
        </is>
      </c>
      <c r="G1286" s="2" t="n">
        <v>610000</v>
      </c>
      <c r="H1286" s="2" t="inlineStr">
        <is>
          <t>Mano obra interna</t>
        </is>
      </c>
      <c r="I1286" s="9" t="n">
        <v>188.13</v>
      </c>
      <c r="J1286" s="9" t="n">
        <v>210.18</v>
      </c>
      <c r="K1286" s="9" t="n">
        <v>210.7</v>
      </c>
      <c r="L1286" s="9" t="n">
        <v>217.76</v>
      </c>
      <c r="M1286" s="9" t="n">
        <v>187.48</v>
      </c>
      <c r="N1286" s="9" t="n">
        <v>176.28</v>
      </c>
      <c r="O1286" s="9" t="n">
        <v>198.71</v>
      </c>
      <c r="P1286" s="9" t="n">
        <v>197.28</v>
      </c>
      <c r="Q1286" s="9" t="n">
        <v>180.25</v>
      </c>
      <c r="R1286" s="9" t="n">
        <v>230.32</v>
      </c>
      <c r="S1286" s="9" t="n">
        <v>202.59</v>
      </c>
      <c r="T1286" s="9" t="n">
        <v>207.17</v>
      </c>
      <c r="U1286" s="10">
        <f>SUM(I1286:T1286)</f>
        <v/>
      </c>
    </row>
    <row r="1287">
      <c r="A1287" s="2" t="inlineStr">
        <is>
          <t>SN-3000-3300-3330-3330PU0151</t>
        </is>
      </c>
      <c r="B1287" s="2" t="inlineStr">
        <is>
          <t>3330PU0151</t>
        </is>
      </c>
      <c r="C1287" s="2" t="inlineStr">
        <is>
          <t>Bomba rebose clarificador MC</t>
        </is>
      </c>
      <c r="D1287" s="2" t="n">
        <v>429</v>
      </c>
      <c r="E1287" s="2" t="inlineStr">
        <is>
          <t>CC-3000</t>
        </is>
      </c>
      <c r="F1287" s="2" t="inlineStr">
        <is>
          <t>P01</t>
        </is>
      </c>
      <c r="G1287" s="2" t="n">
        <v>620000</v>
      </c>
      <c r="H1287" s="2" t="inlineStr">
        <is>
          <t>Materiales</t>
        </is>
      </c>
      <c r="I1287" s="9" t="n">
        <v>167.3</v>
      </c>
      <c r="J1287" s="9" t="n">
        <v>161.22</v>
      </c>
      <c r="K1287" s="9" t="n">
        <v>161</v>
      </c>
      <c r="L1287" s="9" t="n">
        <v>172.41</v>
      </c>
      <c r="M1287" s="9" t="n">
        <v>147.99</v>
      </c>
      <c r="N1287" s="9" t="n">
        <v>145.4</v>
      </c>
      <c r="O1287" s="9" t="n">
        <v>146.99</v>
      </c>
      <c r="P1287" s="9" t="n">
        <v>165.3</v>
      </c>
      <c r="Q1287" s="9" t="n">
        <v>149.9</v>
      </c>
      <c r="R1287" s="9" t="n">
        <v>165.3</v>
      </c>
      <c r="S1287" s="9" t="n">
        <v>144.69</v>
      </c>
      <c r="T1287" s="9" t="n">
        <v>148.51</v>
      </c>
      <c r="U1287" s="10">
        <f>SUM(I1287:T1287)</f>
        <v/>
      </c>
    </row>
    <row r="1288">
      <c r="A1288" s="2" t="inlineStr">
        <is>
          <t>SN-3000-3300-3330-3330PU0151</t>
        </is>
      </c>
      <c r="B1288" s="2" t="inlineStr">
        <is>
          <t>3330PU0151</t>
        </is>
      </c>
      <c r="C1288" s="2" t="inlineStr">
        <is>
          <t>Bomba rebose clarificador MC</t>
        </is>
      </c>
      <c r="D1288" s="2" t="n">
        <v>429</v>
      </c>
      <c r="E1288" s="2" t="inlineStr">
        <is>
          <t>CC-3000</t>
        </is>
      </c>
      <c r="F1288" s="2" t="inlineStr">
        <is>
          <t>P01</t>
        </is>
      </c>
      <c r="G1288" s="2" t="n">
        <v>630000</v>
      </c>
      <c r="H1288" s="2" t="inlineStr">
        <is>
          <t>Servicios externos</t>
        </is>
      </c>
      <c r="I1288" s="9" t="n">
        <v>160.52</v>
      </c>
      <c r="J1288" s="9" t="n">
        <v>149.72</v>
      </c>
      <c r="K1288" s="9" t="n">
        <v>157.14</v>
      </c>
      <c r="L1288" s="9" t="n">
        <v>171.65</v>
      </c>
      <c r="M1288" s="9" t="n">
        <v>157.17</v>
      </c>
      <c r="N1288" s="9" t="n">
        <v>157.02</v>
      </c>
      <c r="O1288" s="9" t="n">
        <v>146.72</v>
      </c>
      <c r="P1288" s="9" t="n">
        <v>154.89</v>
      </c>
      <c r="Q1288" s="9" t="n">
        <v>146.98</v>
      </c>
      <c r="R1288" s="9" t="n">
        <v>162.28</v>
      </c>
      <c r="S1288" s="9" t="n">
        <v>144.05</v>
      </c>
      <c r="T1288" s="9" t="n">
        <v>170.3</v>
      </c>
      <c r="U1288" s="10">
        <f>SUM(I1288:T1288)</f>
        <v/>
      </c>
    </row>
    <row r="1289">
      <c r="A1289" s="2" t="inlineStr">
        <is>
          <t>SN-3000-3300-3330-3330PU0192</t>
        </is>
      </c>
      <c r="B1289" s="2" t="inlineStr">
        <is>
          <t>3330PU0192</t>
        </is>
      </c>
      <c r="C1289" s="2" t="inlineStr">
        <is>
          <t>Bomba ayuda filtrante</t>
        </is>
      </c>
      <c r="D1289" s="2" t="n">
        <v>430</v>
      </c>
      <c r="E1289" s="2" t="inlineStr">
        <is>
          <t>CC-3000</t>
        </is>
      </c>
      <c r="F1289" s="2" t="inlineStr">
        <is>
          <t>P01</t>
        </is>
      </c>
      <c r="G1289" s="2" t="n">
        <v>610000</v>
      </c>
      <c r="H1289" s="2" t="inlineStr">
        <is>
          <t>Mano obra interna</t>
        </is>
      </c>
      <c r="I1289" s="9" t="n">
        <v>535.61</v>
      </c>
      <c r="J1289" s="9" t="n">
        <v>540.6900000000001</v>
      </c>
      <c r="K1289" s="9" t="n">
        <v>622.95</v>
      </c>
      <c r="L1289" s="9" t="n">
        <v>536.64</v>
      </c>
      <c r="M1289" s="9" t="n">
        <v>569.5700000000001</v>
      </c>
      <c r="N1289" s="9" t="n">
        <v>578.51</v>
      </c>
      <c r="O1289" s="9" t="n">
        <v>605.91</v>
      </c>
      <c r="P1289" s="9" t="n">
        <v>559.58</v>
      </c>
      <c r="Q1289" s="9" t="n">
        <v>495.44</v>
      </c>
      <c r="R1289" s="9" t="n">
        <v>577.79</v>
      </c>
      <c r="S1289" s="9" t="n">
        <v>578.5700000000001</v>
      </c>
      <c r="T1289" s="9" t="n">
        <v>608.55</v>
      </c>
      <c r="U1289" s="10">
        <f>SUM(I1289:T1289)</f>
        <v/>
      </c>
    </row>
    <row r="1290">
      <c r="A1290" s="2" t="inlineStr">
        <is>
          <t>SN-3000-3300-3330-3330PU0192</t>
        </is>
      </c>
      <c r="B1290" s="2" t="inlineStr">
        <is>
          <t>3330PU0192</t>
        </is>
      </c>
      <c r="C1290" s="2" t="inlineStr">
        <is>
          <t>Bomba ayuda filtrante</t>
        </is>
      </c>
      <c r="D1290" s="2" t="n">
        <v>430</v>
      </c>
      <c r="E1290" s="2" t="inlineStr">
        <is>
          <t>CC-3000</t>
        </is>
      </c>
      <c r="F1290" s="2" t="inlineStr">
        <is>
          <t>P01</t>
        </is>
      </c>
      <c r="G1290" s="2" t="n">
        <v>620000</v>
      </c>
      <c r="H1290" s="2" t="inlineStr">
        <is>
          <t>Materiales</t>
        </is>
      </c>
      <c r="I1290" s="9" t="n">
        <v>524.6799999999999</v>
      </c>
      <c r="J1290" s="9" t="n">
        <v>504.14</v>
      </c>
      <c r="K1290" s="9" t="n">
        <v>521.73</v>
      </c>
      <c r="L1290" s="9" t="n">
        <v>530.22</v>
      </c>
      <c r="M1290" s="9" t="n">
        <v>502.34</v>
      </c>
      <c r="N1290" s="9" t="n">
        <v>473.87</v>
      </c>
      <c r="O1290" s="9" t="n">
        <v>472.43</v>
      </c>
      <c r="P1290" s="9" t="n">
        <v>511.82</v>
      </c>
      <c r="Q1290" s="9" t="n">
        <v>456.94</v>
      </c>
      <c r="R1290" s="9" t="n">
        <v>514.17</v>
      </c>
      <c r="S1290" s="9" t="n">
        <v>500.28</v>
      </c>
      <c r="T1290" s="9" t="n">
        <v>516.03</v>
      </c>
      <c r="U1290" s="10">
        <f>SUM(I1290:T1290)</f>
        <v/>
      </c>
    </row>
    <row r="1291">
      <c r="A1291" s="2" t="inlineStr">
        <is>
          <t>SN-3000-3300-3330-3330PU0192</t>
        </is>
      </c>
      <c r="B1291" s="2" t="inlineStr">
        <is>
          <t>3330PU0192</t>
        </is>
      </c>
      <c r="C1291" s="2" t="inlineStr">
        <is>
          <t>Bomba ayuda filtrante</t>
        </is>
      </c>
      <c r="D1291" s="2" t="n">
        <v>430</v>
      </c>
      <c r="E1291" s="2" t="inlineStr">
        <is>
          <t>CC-3000</t>
        </is>
      </c>
      <c r="F1291" s="2" t="inlineStr">
        <is>
          <t>P01</t>
        </is>
      </c>
      <c r="G1291" s="2" t="n">
        <v>630000</v>
      </c>
      <c r="H1291" s="2" t="inlineStr">
        <is>
          <t>Servicios externos</t>
        </is>
      </c>
      <c r="I1291" s="9" t="n">
        <v>532.33</v>
      </c>
      <c r="J1291" s="9" t="n">
        <v>555.5599999999999</v>
      </c>
      <c r="K1291" s="9" t="n">
        <v>545.12</v>
      </c>
      <c r="L1291" s="9" t="n">
        <v>599.46</v>
      </c>
      <c r="M1291" s="9" t="n">
        <v>510.31</v>
      </c>
      <c r="N1291" s="9" t="n">
        <v>539.91</v>
      </c>
      <c r="O1291" s="9" t="n">
        <v>576.87</v>
      </c>
      <c r="P1291" s="9" t="n">
        <v>537.76</v>
      </c>
      <c r="Q1291" s="9" t="n">
        <v>550.13</v>
      </c>
      <c r="R1291" s="9" t="n">
        <v>627.5</v>
      </c>
      <c r="S1291" s="9" t="n">
        <v>515.83</v>
      </c>
      <c r="T1291" s="9" t="n">
        <v>515.0700000000001</v>
      </c>
      <c r="U1291" s="10">
        <f>SUM(I1291:T1291)</f>
        <v/>
      </c>
    </row>
    <row r="1292">
      <c r="A1292" s="2" t="inlineStr">
        <is>
          <t>SN-3000-3300-3330-3330PU0193</t>
        </is>
      </c>
      <c r="B1292" s="2" t="inlineStr">
        <is>
          <t>3330PU0193</t>
        </is>
      </c>
      <c r="C1292" s="2" t="inlineStr">
        <is>
          <t>Bomba ayuda filtrante</t>
        </is>
      </c>
      <c r="D1292" s="2" t="n">
        <v>431</v>
      </c>
      <c r="E1292" s="2" t="inlineStr">
        <is>
          <t>CC-3000</t>
        </is>
      </c>
      <c r="F1292" s="2" t="inlineStr">
        <is>
          <t>P01</t>
        </is>
      </c>
      <c r="G1292" s="2" t="n">
        <v>610000</v>
      </c>
      <c r="H1292" s="2" t="inlineStr">
        <is>
          <t>Mano obra interna</t>
        </is>
      </c>
      <c r="I1292" s="9" t="n">
        <v>459.25</v>
      </c>
      <c r="J1292" s="9" t="n">
        <v>487.77</v>
      </c>
      <c r="K1292" s="9" t="n">
        <v>516.88</v>
      </c>
      <c r="L1292" s="9" t="n">
        <v>443.72</v>
      </c>
      <c r="M1292" s="9" t="n">
        <v>459.24</v>
      </c>
      <c r="N1292" s="9" t="n">
        <v>449.15</v>
      </c>
      <c r="O1292" s="9" t="n">
        <v>436.02</v>
      </c>
      <c r="P1292" s="9" t="n">
        <v>456.71</v>
      </c>
      <c r="Q1292" s="9" t="n">
        <v>421.26</v>
      </c>
      <c r="R1292" s="9" t="n">
        <v>505.65</v>
      </c>
      <c r="S1292" s="9" t="n">
        <v>462.94</v>
      </c>
      <c r="T1292" s="9" t="n">
        <v>488.51</v>
      </c>
      <c r="U1292" s="10">
        <f>SUM(I1292:T1292)</f>
        <v/>
      </c>
    </row>
    <row r="1293">
      <c r="A1293" s="2" t="inlineStr">
        <is>
          <t>SN-3000-3300-3330-3330PU0193</t>
        </is>
      </c>
      <c r="B1293" s="2" t="inlineStr">
        <is>
          <t>3330PU0193</t>
        </is>
      </c>
      <c r="C1293" s="2" t="inlineStr">
        <is>
          <t>Bomba ayuda filtrante</t>
        </is>
      </c>
      <c r="D1293" s="2" t="n">
        <v>431</v>
      </c>
      <c r="E1293" s="2" t="inlineStr">
        <is>
          <t>CC-3000</t>
        </is>
      </c>
      <c r="F1293" s="2" t="inlineStr">
        <is>
          <t>P01</t>
        </is>
      </c>
      <c r="G1293" s="2" t="n">
        <v>620000</v>
      </c>
      <c r="H1293" s="2" t="inlineStr">
        <is>
          <t>Materiales</t>
        </is>
      </c>
      <c r="I1293" s="9" t="n">
        <v>443.49</v>
      </c>
      <c r="J1293" s="9" t="n">
        <v>419.09</v>
      </c>
      <c r="K1293" s="9" t="n">
        <v>453.38</v>
      </c>
      <c r="L1293" s="9" t="n">
        <v>419.41</v>
      </c>
      <c r="M1293" s="9" t="n">
        <v>435.24</v>
      </c>
      <c r="N1293" s="9" t="n">
        <v>418.69</v>
      </c>
      <c r="O1293" s="9" t="n">
        <v>409.83</v>
      </c>
      <c r="P1293" s="9" t="n">
        <v>405.55</v>
      </c>
      <c r="Q1293" s="9" t="n">
        <v>411.79</v>
      </c>
      <c r="R1293" s="9" t="n">
        <v>461.52</v>
      </c>
      <c r="S1293" s="9" t="n">
        <v>427.95</v>
      </c>
      <c r="T1293" s="9" t="n">
        <v>439.81</v>
      </c>
      <c r="U1293" s="10">
        <f>SUM(I1293:T1293)</f>
        <v/>
      </c>
    </row>
    <row r="1294">
      <c r="A1294" s="2" t="inlineStr">
        <is>
          <t>SN-3000-3300-3330-3330PU0193</t>
        </is>
      </c>
      <c r="B1294" s="2" t="inlineStr">
        <is>
          <t>3330PU0193</t>
        </is>
      </c>
      <c r="C1294" s="2" t="inlineStr">
        <is>
          <t>Bomba ayuda filtrante</t>
        </is>
      </c>
      <c r="D1294" s="2" t="n">
        <v>431</v>
      </c>
      <c r="E1294" s="2" t="inlineStr">
        <is>
          <t>CC-3000</t>
        </is>
      </c>
      <c r="F1294" s="2" t="inlineStr">
        <is>
          <t>P01</t>
        </is>
      </c>
      <c r="G1294" s="2" t="n">
        <v>630000</v>
      </c>
      <c r="H1294" s="2" t="inlineStr">
        <is>
          <t>Servicios externos</t>
        </is>
      </c>
      <c r="I1294" s="9" t="n">
        <v>481.95</v>
      </c>
      <c r="J1294" s="9" t="n">
        <v>478.88</v>
      </c>
      <c r="K1294" s="9" t="n">
        <v>557.87</v>
      </c>
      <c r="L1294" s="9" t="n">
        <v>499.26</v>
      </c>
      <c r="M1294" s="9" t="n">
        <v>465.42</v>
      </c>
      <c r="N1294" s="9" t="n">
        <v>496.89</v>
      </c>
      <c r="O1294" s="9" t="n">
        <v>522.09</v>
      </c>
      <c r="P1294" s="9" t="n">
        <v>485.39</v>
      </c>
      <c r="Q1294" s="9" t="n">
        <v>453.09</v>
      </c>
      <c r="R1294" s="9" t="n">
        <v>539.77</v>
      </c>
      <c r="S1294" s="9" t="n">
        <v>449.7</v>
      </c>
      <c r="T1294" s="9" t="n">
        <v>534.12</v>
      </c>
      <c r="U1294" s="10">
        <f>SUM(I1294:T1294)</f>
        <v/>
      </c>
    </row>
    <row r="1295">
      <c r="A1295" s="2" t="inlineStr">
        <is>
          <t>SN-3000-3300-3330-3330PU0493</t>
        </is>
      </c>
      <c r="B1295" s="2" t="inlineStr">
        <is>
          <t>3330PU0493</t>
        </is>
      </c>
      <c r="C1295" s="2" t="inlineStr">
        <is>
          <t>Bomba solución barren a clarificador</t>
        </is>
      </c>
      <c r="D1295" s="2" t="n">
        <v>432</v>
      </c>
      <c r="E1295" s="2" t="inlineStr">
        <is>
          <t>CC-3000</t>
        </is>
      </c>
      <c r="F1295" s="2" t="inlineStr">
        <is>
          <t>P01</t>
        </is>
      </c>
      <c r="G1295" s="2" t="n">
        <v>610000</v>
      </c>
      <c r="H1295" s="2" t="inlineStr">
        <is>
          <t>Mano obra interna</t>
        </is>
      </c>
      <c r="I1295" s="9" t="n">
        <v>810.25</v>
      </c>
      <c r="J1295" s="9" t="n">
        <v>775.64</v>
      </c>
      <c r="K1295" s="9" t="n">
        <v>794.97</v>
      </c>
      <c r="L1295" s="9" t="n">
        <v>746.24</v>
      </c>
      <c r="M1295" s="9" t="n">
        <v>745.36</v>
      </c>
      <c r="N1295" s="9" t="n">
        <v>711.85</v>
      </c>
      <c r="O1295" s="9" t="n">
        <v>732.15</v>
      </c>
      <c r="P1295" s="9" t="n">
        <v>792.4400000000001</v>
      </c>
      <c r="Q1295" s="9" t="n">
        <v>697.42</v>
      </c>
      <c r="R1295" s="9" t="n">
        <v>853.23</v>
      </c>
      <c r="S1295" s="9" t="n">
        <v>681.26</v>
      </c>
      <c r="T1295" s="9" t="n">
        <v>718.5599999999999</v>
      </c>
      <c r="U1295" s="10">
        <f>SUM(I1295:T1295)</f>
        <v/>
      </c>
    </row>
    <row r="1296">
      <c r="A1296" s="2" t="inlineStr">
        <is>
          <t>SN-3000-3300-3330-3330PU0493</t>
        </is>
      </c>
      <c r="B1296" s="2" t="inlineStr">
        <is>
          <t>3330PU0493</t>
        </is>
      </c>
      <c r="C1296" s="2" t="inlineStr">
        <is>
          <t>Bomba solución barren a clarificador</t>
        </is>
      </c>
      <c r="D1296" s="2" t="n">
        <v>432</v>
      </c>
      <c r="E1296" s="2" t="inlineStr">
        <is>
          <t>CC-3000</t>
        </is>
      </c>
      <c r="F1296" s="2" t="inlineStr">
        <is>
          <t>P01</t>
        </is>
      </c>
      <c r="G1296" s="2" t="n">
        <v>620000</v>
      </c>
      <c r="H1296" s="2" t="inlineStr">
        <is>
          <t>Materiales</t>
        </is>
      </c>
      <c r="I1296" s="9" t="n">
        <v>918.54</v>
      </c>
      <c r="J1296" s="9" t="n">
        <v>875.26</v>
      </c>
      <c r="K1296" s="9" t="n">
        <v>918.8</v>
      </c>
      <c r="L1296" s="9" t="n">
        <v>865.5700000000001</v>
      </c>
      <c r="M1296" s="9" t="n">
        <v>908.88</v>
      </c>
      <c r="N1296" s="9" t="n">
        <v>791.98</v>
      </c>
      <c r="O1296" s="9" t="n">
        <v>898.14</v>
      </c>
      <c r="P1296" s="9" t="n">
        <v>896.7</v>
      </c>
      <c r="Q1296" s="9" t="n">
        <v>880.73</v>
      </c>
      <c r="R1296" s="9" t="n">
        <v>960.92</v>
      </c>
      <c r="S1296" s="9" t="n">
        <v>809.11</v>
      </c>
      <c r="T1296" s="9" t="n">
        <v>910.98</v>
      </c>
      <c r="U1296" s="10">
        <f>SUM(I1296:T1296)</f>
        <v/>
      </c>
    </row>
    <row r="1297">
      <c r="A1297" s="2" t="inlineStr">
        <is>
          <t>SN-3000-3300-3330-3330PU0493</t>
        </is>
      </c>
      <c r="B1297" s="2" t="inlineStr">
        <is>
          <t>3330PU0493</t>
        </is>
      </c>
      <c r="C1297" s="2" t="inlineStr">
        <is>
          <t>Bomba solución barren a clarificador</t>
        </is>
      </c>
      <c r="D1297" s="2" t="n">
        <v>432</v>
      </c>
      <c r="E1297" s="2" t="inlineStr">
        <is>
          <t>CC-3000</t>
        </is>
      </c>
      <c r="F1297" s="2" t="inlineStr">
        <is>
          <t>P01</t>
        </is>
      </c>
      <c r="G1297" s="2" t="n">
        <v>630000</v>
      </c>
      <c r="H1297" s="2" t="inlineStr">
        <is>
          <t>Servicios externos</t>
        </is>
      </c>
      <c r="I1297" s="9" t="n">
        <v>672.02</v>
      </c>
      <c r="J1297" s="9" t="n">
        <v>629.53</v>
      </c>
      <c r="K1297" s="9" t="n">
        <v>714.4299999999999</v>
      </c>
      <c r="L1297" s="9" t="n">
        <v>659.33</v>
      </c>
      <c r="M1297" s="9" t="n">
        <v>680.55</v>
      </c>
      <c r="N1297" s="9" t="n">
        <v>706.46</v>
      </c>
      <c r="O1297" s="9" t="n">
        <v>715.67</v>
      </c>
      <c r="P1297" s="9" t="n">
        <v>643.84</v>
      </c>
      <c r="Q1297" s="9" t="n">
        <v>614.9</v>
      </c>
      <c r="R1297" s="9" t="n">
        <v>765.95</v>
      </c>
      <c r="S1297" s="9" t="n">
        <v>711.23</v>
      </c>
      <c r="T1297" s="9" t="n">
        <v>648.9</v>
      </c>
      <c r="U1297" s="10">
        <f>SUM(I1297:T1297)</f>
        <v/>
      </c>
    </row>
    <row r="1298">
      <c r="A1298" s="2" t="inlineStr">
        <is>
          <t>SN-3000-3300-3330-3330PU0494</t>
        </is>
      </c>
      <c r="B1298" s="2" t="inlineStr">
        <is>
          <t>3330PU0494</t>
        </is>
      </c>
      <c r="C1298" s="2" t="inlineStr">
        <is>
          <t>Bomba solución barren a clarificador</t>
        </is>
      </c>
      <c r="D1298" s="2" t="n">
        <v>433</v>
      </c>
      <c r="E1298" s="2" t="inlineStr">
        <is>
          <t>CC-3000</t>
        </is>
      </c>
      <c r="F1298" s="2" t="inlineStr">
        <is>
          <t>P01</t>
        </is>
      </c>
      <c r="G1298" s="2" t="n">
        <v>610000</v>
      </c>
      <c r="H1298" s="2" t="inlineStr">
        <is>
          <t>Mano obra interna</t>
        </is>
      </c>
      <c r="I1298" s="9" t="n">
        <v>1542.68</v>
      </c>
      <c r="J1298" s="9" t="n">
        <v>1484.59</v>
      </c>
      <c r="K1298" s="9" t="n">
        <v>1656.81</v>
      </c>
      <c r="L1298" s="9" t="n">
        <v>1589.97</v>
      </c>
      <c r="M1298" s="9" t="n">
        <v>1563.86</v>
      </c>
      <c r="N1298" s="9" t="n">
        <v>1397.22</v>
      </c>
      <c r="O1298" s="9" t="n">
        <v>1510.08</v>
      </c>
      <c r="P1298" s="9" t="n">
        <v>1522.88</v>
      </c>
      <c r="Q1298" s="9" t="n">
        <v>1353.18</v>
      </c>
      <c r="R1298" s="9" t="n">
        <v>1631.88</v>
      </c>
      <c r="S1298" s="9" t="n">
        <v>1387.56</v>
      </c>
      <c r="T1298" s="9" t="n">
        <v>1431.95</v>
      </c>
      <c r="U1298" s="10">
        <f>SUM(I1298:T1298)</f>
        <v/>
      </c>
    </row>
    <row r="1299">
      <c r="A1299" s="2" t="inlineStr">
        <is>
          <t>SN-3000-3300-3330-3330PU0494</t>
        </is>
      </c>
      <c r="B1299" s="2" t="inlineStr">
        <is>
          <t>3330PU0494</t>
        </is>
      </c>
      <c r="C1299" s="2" t="inlineStr">
        <is>
          <t>Bomba solución barren a clarificador</t>
        </is>
      </c>
      <c r="D1299" s="2" t="n">
        <v>433</v>
      </c>
      <c r="E1299" s="2" t="inlineStr">
        <is>
          <t>CC-3000</t>
        </is>
      </c>
      <c r="F1299" s="2" t="inlineStr">
        <is>
          <t>P01</t>
        </is>
      </c>
      <c r="G1299" s="2" t="n">
        <v>620000</v>
      </c>
      <c r="H1299" s="2" t="inlineStr">
        <is>
          <t>Materiales</t>
        </is>
      </c>
      <c r="I1299" s="9" t="n">
        <v>1334.77</v>
      </c>
      <c r="J1299" s="9" t="n">
        <v>1322.81</v>
      </c>
      <c r="K1299" s="9" t="n">
        <v>1290.35</v>
      </c>
      <c r="L1299" s="9" t="n">
        <v>1316.47</v>
      </c>
      <c r="M1299" s="9" t="n">
        <v>1167.11</v>
      </c>
      <c r="N1299" s="9" t="n">
        <v>1281.89</v>
      </c>
      <c r="O1299" s="9" t="n">
        <v>1273.7</v>
      </c>
      <c r="P1299" s="9" t="n">
        <v>1314.8</v>
      </c>
      <c r="Q1299" s="9" t="n">
        <v>1227.48</v>
      </c>
      <c r="R1299" s="9" t="n">
        <v>1305.14</v>
      </c>
      <c r="S1299" s="9" t="n">
        <v>1224.77</v>
      </c>
      <c r="T1299" s="9" t="n">
        <v>1372.15</v>
      </c>
      <c r="U1299" s="10">
        <f>SUM(I1299:T1299)</f>
        <v/>
      </c>
    </row>
    <row r="1300">
      <c r="A1300" s="2" t="inlineStr">
        <is>
          <t>SN-3000-3300-3330-3330PU0494</t>
        </is>
      </c>
      <c r="B1300" s="2" t="inlineStr">
        <is>
          <t>3330PU0494</t>
        </is>
      </c>
      <c r="C1300" s="2" t="inlineStr">
        <is>
          <t>Bomba solución barren a clarificador</t>
        </is>
      </c>
      <c r="D1300" s="2" t="n">
        <v>433</v>
      </c>
      <c r="E1300" s="2" t="inlineStr">
        <is>
          <t>CC-3000</t>
        </is>
      </c>
      <c r="F1300" s="2" t="inlineStr">
        <is>
          <t>P01</t>
        </is>
      </c>
      <c r="G1300" s="2" t="n">
        <v>630000</v>
      </c>
      <c r="H1300" s="2" t="inlineStr">
        <is>
          <t>Servicios externos</t>
        </is>
      </c>
      <c r="I1300" s="9" t="n">
        <v>1208.59</v>
      </c>
      <c r="J1300" s="9" t="n">
        <v>1216.6</v>
      </c>
      <c r="K1300" s="9" t="n">
        <v>1148.76</v>
      </c>
      <c r="L1300" s="9" t="n">
        <v>1243.57</v>
      </c>
      <c r="M1300" s="9" t="n">
        <v>1217.31</v>
      </c>
      <c r="N1300" s="9" t="n">
        <v>1143.17</v>
      </c>
      <c r="O1300" s="9" t="n">
        <v>1101.28</v>
      </c>
      <c r="P1300" s="9" t="n">
        <v>1118.84</v>
      </c>
      <c r="Q1300" s="9" t="n">
        <v>991.2</v>
      </c>
      <c r="R1300" s="9" t="n">
        <v>1306.22</v>
      </c>
      <c r="S1300" s="9" t="n">
        <v>1175.78</v>
      </c>
      <c r="T1300" s="9" t="n">
        <v>1192.09</v>
      </c>
      <c r="U1300" s="10">
        <f>SUM(I1300:T1300)</f>
        <v/>
      </c>
    </row>
    <row r="1301">
      <c r="A1301" s="2" t="inlineStr">
        <is>
          <t>SN-3000-3300-3330-3330PU0498</t>
        </is>
      </c>
      <c r="B1301" s="2" t="inlineStr">
        <is>
          <t>3330PU0498</t>
        </is>
      </c>
      <c r="C1301" s="2" t="inlineStr">
        <is>
          <t>Bomba intermedia solución barren</t>
        </is>
      </c>
      <c r="D1301" s="2" t="n">
        <v>434</v>
      </c>
      <c r="E1301" s="2" t="inlineStr">
        <is>
          <t>CC-3000</t>
        </is>
      </c>
      <c r="F1301" s="2" t="inlineStr">
        <is>
          <t>P01</t>
        </is>
      </c>
      <c r="G1301" s="2" t="n">
        <v>610000</v>
      </c>
      <c r="H1301" s="2" t="inlineStr">
        <is>
          <t>Mano obra interna</t>
        </is>
      </c>
      <c r="I1301" s="9" t="n">
        <v>1279.9</v>
      </c>
      <c r="J1301" s="9" t="n">
        <v>1378.08</v>
      </c>
      <c r="K1301" s="9" t="n">
        <v>1437.66</v>
      </c>
      <c r="L1301" s="9" t="n">
        <v>1465.21</v>
      </c>
      <c r="M1301" s="9" t="n">
        <v>1380</v>
      </c>
      <c r="N1301" s="9" t="n">
        <v>1353.36</v>
      </c>
      <c r="O1301" s="9" t="n">
        <v>1398.38</v>
      </c>
      <c r="P1301" s="9" t="n">
        <v>1371.92</v>
      </c>
      <c r="Q1301" s="9" t="n">
        <v>1237.23</v>
      </c>
      <c r="R1301" s="9" t="n">
        <v>1543.6</v>
      </c>
      <c r="S1301" s="9" t="n">
        <v>1333.32</v>
      </c>
      <c r="T1301" s="9" t="n">
        <v>1342.59</v>
      </c>
      <c r="U1301" s="10">
        <f>SUM(I1301:T1301)</f>
        <v/>
      </c>
    </row>
    <row r="1302">
      <c r="A1302" s="2" t="inlineStr">
        <is>
          <t>SN-3000-3300-3330-3330PU0498</t>
        </is>
      </c>
      <c r="B1302" s="2" t="inlineStr">
        <is>
          <t>3330PU0498</t>
        </is>
      </c>
      <c r="C1302" s="2" t="inlineStr">
        <is>
          <t>Bomba intermedia solución barren</t>
        </is>
      </c>
      <c r="D1302" s="2" t="n">
        <v>434</v>
      </c>
      <c r="E1302" s="2" t="inlineStr">
        <is>
          <t>CC-3000</t>
        </is>
      </c>
      <c r="F1302" s="2" t="inlineStr">
        <is>
          <t>P01</t>
        </is>
      </c>
      <c r="G1302" s="2" t="n">
        <v>620000</v>
      </c>
      <c r="H1302" s="2" t="inlineStr">
        <is>
          <t>Materiales</t>
        </is>
      </c>
      <c r="I1302" s="9" t="n">
        <v>1228.09</v>
      </c>
      <c r="J1302" s="9" t="n">
        <v>1234.42</v>
      </c>
      <c r="K1302" s="9" t="n">
        <v>1237.98</v>
      </c>
      <c r="L1302" s="9" t="n">
        <v>1215.39</v>
      </c>
      <c r="M1302" s="9" t="n">
        <v>1237.22</v>
      </c>
      <c r="N1302" s="9" t="n">
        <v>1127.15</v>
      </c>
      <c r="O1302" s="9" t="n">
        <v>1305.11</v>
      </c>
      <c r="P1302" s="9" t="n">
        <v>1240.65</v>
      </c>
      <c r="Q1302" s="9" t="n">
        <v>1172.35</v>
      </c>
      <c r="R1302" s="9" t="n">
        <v>1266.58</v>
      </c>
      <c r="S1302" s="9" t="n">
        <v>1171.12</v>
      </c>
      <c r="T1302" s="9" t="n">
        <v>1245</v>
      </c>
      <c r="U1302" s="10">
        <f>SUM(I1302:T1302)</f>
        <v/>
      </c>
    </row>
    <row r="1303">
      <c r="A1303" s="2" t="inlineStr">
        <is>
          <t>SN-3000-3300-3330-3330PU0498</t>
        </is>
      </c>
      <c r="B1303" s="2" t="inlineStr">
        <is>
          <t>3330PU0498</t>
        </is>
      </c>
      <c r="C1303" s="2" t="inlineStr">
        <is>
          <t>Bomba intermedia solución barren</t>
        </is>
      </c>
      <c r="D1303" s="2" t="n">
        <v>434</v>
      </c>
      <c r="E1303" s="2" t="inlineStr">
        <is>
          <t>CC-3000</t>
        </is>
      </c>
      <c r="F1303" s="2" t="inlineStr">
        <is>
          <t>P01</t>
        </is>
      </c>
      <c r="G1303" s="2" t="n">
        <v>630000</v>
      </c>
      <c r="H1303" s="2" t="inlineStr">
        <is>
          <t>Servicios externos</t>
        </is>
      </c>
      <c r="I1303" s="9" t="n">
        <v>1580.35</v>
      </c>
      <c r="J1303" s="9" t="n">
        <v>1396.69</v>
      </c>
      <c r="K1303" s="9" t="n">
        <v>1559.35</v>
      </c>
      <c r="L1303" s="9" t="n">
        <v>1454.39</v>
      </c>
      <c r="M1303" s="9" t="n">
        <v>1583.31</v>
      </c>
      <c r="N1303" s="9" t="n">
        <v>1521.37</v>
      </c>
      <c r="O1303" s="9" t="n">
        <v>1499.63</v>
      </c>
      <c r="P1303" s="9" t="n">
        <v>1530.02</v>
      </c>
      <c r="Q1303" s="9" t="n">
        <v>1447.98</v>
      </c>
      <c r="R1303" s="9" t="n">
        <v>1656.9</v>
      </c>
      <c r="S1303" s="9" t="n">
        <v>1482.47</v>
      </c>
      <c r="T1303" s="9" t="n">
        <v>1616.46</v>
      </c>
      <c r="U1303" s="10">
        <f>SUM(I1303:T1303)</f>
        <v/>
      </c>
    </row>
    <row r="1304">
      <c r="A1304" s="2" t="inlineStr">
        <is>
          <t>SN-3000-3300-3330-3330PU0499</t>
        </is>
      </c>
      <c r="B1304" s="2" t="inlineStr">
        <is>
          <t>3330PU0499</t>
        </is>
      </c>
      <c r="C1304" s="2" t="inlineStr">
        <is>
          <t>Bomba intermedia solución barren</t>
        </is>
      </c>
      <c r="D1304" s="2" t="n">
        <v>435</v>
      </c>
      <c r="E1304" s="2" t="inlineStr">
        <is>
          <t>CC-3000</t>
        </is>
      </c>
      <c r="F1304" s="2" t="inlineStr">
        <is>
          <t>P01</t>
        </is>
      </c>
      <c r="G1304" s="2" t="n">
        <v>610000</v>
      </c>
      <c r="H1304" s="2" t="inlineStr">
        <is>
          <t>Mano obra interna</t>
        </is>
      </c>
      <c r="I1304" s="9" t="n">
        <v>1508.79</v>
      </c>
      <c r="J1304" s="9" t="n">
        <v>1504.14</v>
      </c>
      <c r="K1304" s="9" t="n">
        <v>1532.77</v>
      </c>
      <c r="L1304" s="9" t="n">
        <v>1533.42</v>
      </c>
      <c r="M1304" s="9" t="n">
        <v>1370.59</v>
      </c>
      <c r="N1304" s="9" t="n">
        <v>1354.41</v>
      </c>
      <c r="O1304" s="9" t="n">
        <v>1365.43</v>
      </c>
      <c r="P1304" s="9" t="n">
        <v>1446.69</v>
      </c>
      <c r="Q1304" s="9" t="n">
        <v>1336.92</v>
      </c>
      <c r="R1304" s="9" t="n">
        <v>1683.96</v>
      </c>
      <c r="S1304" s="9" t="n">
        <v>1425.16</v>
      </c>
      <c r="T1304" s="9" t="n">
        <v>1535.19</v>
      </c>
      <c r="U1304" s="10">
        <f>SUM(I1304:T1304)</f>
        <v/>
      </c>
    </row>
    <row r="1305">
      <c r="A1305" s="2" t="inlineStr">
        <is>
          <t>SN-3000-3300-3330-3330PU0499</t>
        </is>
      </c>
      <c r="B1305" s="2" t="inlineStr">
        <is>
          <t>3330PU0499</t>
        </is>
      </c>
      <c r="C1305" s="2" t="inlineStr">
        <is>
          <t>Bomba intermedia solución barren</t>
        </is>
      </c>
      <c r="D1305" s="2" t="n">
        <v>435</v>
      </c>
      <c r="E1305" s="2" t="inlineStr">
        <is>
          <t>CC-3000</t>
        </is>
      </c>
      <c r="F1305" s="2" t="inlineStr">
        <is>
          <t>P01</t>
        </is>
      </c>
      <c r="G1305" s="2" t="n">
        <v>620000</v>
      </c>
      <c r="H1305" s="2" t="inlineStr">
        <is>
          <t>Materiales</t>
        </is>
      </c>
      <c r="I1305" s="9" t="n">
        <v>1365.19</v>
      </c>
      <c r="J1305" s="9" t="n">
        <v>1273.75</v>
      </c>
      <c r="K1305" s="9" t="n">
        <v>1351.42</v>
      </c>
      <c r="L1305" s="9" t="n">
        <v>1255.25</v>
      </c>
      <c r="M1305" s="9" t="n">
        <v>1266.59</v>
      </c>
      <c r="N1305" s="9" t="n">
        <v>1240.19</v>
      </c>
      <c r="O1305" s="9" t="n">
        <v>1288.63</v>
      </c>
      <c r="P1305" s="9" t="n">
        <v>1353.3</v>
      </c>
      <c r="Q1305" s="9" t="n">
        <v>1257.49</v>
      </c>
      <c r="R1305" s="9" t="n">
        <v>1472.75</v>
      </c>
      <c r="S1305" s="9" t="n">
        <v>1262.32</v>
      </c>
      <c r="T1305" s="9" t="n">
        <v>1386.11</v>
      </c>
      <c r="U1305" s="10">
        <f>SUM(I1305:T1305)</f>
        <v/>
      </c>
    </row>
    <row r="1306">
      <c r="A1306" s="2" t="inlineStr">
        <is>
          <t>SN-3000-3300-3330-3330PU0499</t>
        </is>
      </c>
      <c r="B1306" s="2" t="inlineStr">
        <is>
          <t>3330PU0499</t>
        </is>
      </c>
      <c r="C1306" s="2" t="inlineStr">
        <is>
          <t>Bomba intermedia solución barren</t>
        </is>
      </c>
      <c r="D1306" s="2" t="n">
        <v>435</v>
      </c>
      <c r="E1306" s="2" t="inlineStr">
        <is>
          <t>CC-3000</t>
        </is>
      </c>
      <c r="F1306" s="2" t="inlineStr">
        <is>
          <t>P01</t>
        </is>
      </c>
      <c r="G1306" s="2" t="n">
        <v>630000</v>
      </c>
      <c r="H1306" s="2" t="inlineStr">
        <is>
          <t>Servicios externos</t>
        </is>
      </c>
      <c r="I1306" s="9" t="n">
        <v>1512.7</v>
      </c>
      <c r="J1306" s="9" t="n">
        <v>1497.33</v>
      </c>
      <c r="K1306" s="9" t="n">
        <v>1520.46</v>
      </c>
      <c r="L1306" s="9" t="n">
        <v>1447.41</v>
      </c>
      <c r="M1306" s="9" t="n">
        <v>1446.32</v>
      </c>
      <c r="N1306" s="9" t="n">
        <v>1353.94</v>
      </c>
      <c r="O1306" s="9" t="n">
        <v>1593.04</v>
      </c>
      <c r="P1306" s="9" t="n">
        <v>1518.75</v>
      </c>
      <c r="Q1306" s="9" t="n">
        <v>1388.95</v>
      </c>
      <c r="R1306" s="9" t="n">
        <v>1728.31</v>
      </c>
      <c r="S1306" s="9" t="n">
        <v>1568.3</v>
      </c>
      <c r="T1306" s="9" t="n">
        <v>1679.77</v>
      </c>
      <c r="U1306" s="10">
        <f>SUM(I1306:T1306)</f>
        <v/>
      </c>
    </row>
    <row r="1307">
      <c r="A1307" s="2" t="inlineStr">
        <is>
          <t>SN-3000-3300-3330-3330PU0521</t>
        </is>
      </c>
      <c r="B1307" s="2" t="inlineStr">
        <is>
          <t>3330PU0521</t>
        </is>
      </c>
      <c r="C1307" s="2" t="inlineStr">
        <is>
          <t>Bomba sumidero solución rica</t>
        </is>
      </c>
      <c r="D1307" s="2" t="n">
        <v>436</v>
      </c>
      <c r="E1307" s="2" t="inlineStr">
        <is>
          <t>CC-3000</t>
        </is>
      </c>
      <c r="F1307" s="2" t="inlineStr">
        <is>
          <t>P01</t>
        </is>
      </c>
      <c r="G1307" s="2" t="n">
        <v>610000</v>
      </c>
      <c r="H1307" s="2" t="inlineStr">
        <is>
          <t>Mano obra interna</t>
        </is>
      </c>
      <c r="I1307" s="9" t="n">
        <v>211.54</v>
      </c>
      <c r="J1307" s="9" t="n">
        <v>198.95</v>
      </c>
      <c r="K1307" s="9" t="n">
        <v>205.54</v>
      </c>
      <c r="L1307" s="9" t="n">
        <v>203.31</v>
      </c>
      <c r="M1307" s="9" t="n">
        <v>203.35</v>
      </c>
      <c r="N1307" s="9" t="n">
        <v>215.03</v>
      </c>
      <c r="O1307" s="9" t="n">
        <v>191.94</v>
      </c>
      <c r="P1307" s="9" t="n">
        <v>198.25</v>
      </c>
      <c r="Q1307" s="9" t="n">
        <v>184.41</v>
      </c>
      <c r="R1307" s="9" t="n">
        <v>232.66</v>
      </c>
      <c r="S1307" s="9" t="n">
        <v>197.08</v>
      </c>
      <c r="T1307" s="9" t="n">
        <v>210.15</v>
      </c>
      <c r="U1307" s="10">
        <f>SUM(I1307:T1307)</f>
        <v/>
      </c>
    </row>
    <row r="1308">
      <c r="A1308" s="2" t="inlineStr">
        <is>
          <t>SN-3000-3300-3330-3330PU0521</t>
        </is>
      </c>
      <c r="B1308" s="2" t="inlineStr">
        <is>
          <t>3330PU0521</t>
        </is>
      </c>
      <c r="C1308" s="2" t="inlineStr">
        <is>
          <t>Bomba sumidero solución rica</t>
        </is>
      </c>
      <c r="D1308" s="2" t="n">
        <v>436</v>
      </c>
      <c r="E1308" s="2" t="inlineStr">
        <is>
          <t>CC-3000</t>
        </is>
      </c>
      <c r="F1308" s="2" t="inlineStr">
        <is>
          <t>P01</t>
        </is>
      </c>
      <c r="G1308" s="2" t="n">
        <v>620000</v>
      </c>
      <c r="H1308" s="2" t="inlineStr">
        <is>
          <t>Materiales</t>
        </is>
      </c>
      <c r="I1308" s="9" t="n">
        <v>173.16</v>
      </c>
      <c r="J1308" s="9" t="n">
        <v>158.86</v>
      </c>
      <c r="K1308" s="9" t="n">
        <v>178.63</v>
      </c>
      <c r="L1308" s="9" t="n">
        <v>164.71</v>
      </c>
      <c r="M1308" s="9" t="n">
        <v>178.38</v>
      </c>
      <c r="N1308" s="9" t="n">
        <v>166.43</v>
      </c>
      <c r="O1308" s="9" t="n">
        <v>178.49</v>
      </c>
      <c r="P1308" s="9" t="n">
        <v>169.87</v>
      </c>
      <c r="Q1308" s="9" t="n">
        <v>157.29</v>
      </c>
      <c r="R1308" s="9" t="n">
        <v>173.8</v>
      </c>
      <c r="S1308" s="9" t="n">
        <v>167.37</v>
      </c>
      <c r="T1308" s="9" t="n">
        <v>175.2</v>
      </c>
      <c r="U1308" s="10">
        <f>SUM(I1308:T1308)</f>
        <v/>
      </c>
    </row>
    <row r="1309">
      <c r="A1309" s="2" t="inlineStr">
        <is>
          <t>SN-3000-3300-3330-3330PU0521</t>
        </is>
      </c>
      <c r="B1309" s="2" t="inlineStr">
        <is>
          <t>3330PU0521</t>
        </is>
      </c>
      <c r="C1309" s="2" t="inlineStr">
        <is>
          <t>Bomba sumidero solución rica</t>
        </is>
      </c>
      <c r="D1309" s="2" t="n">
        <v>436</v>
      </c>
      <c r="E1309" s="2" t="inlineStr">
        <is>
          <t>CC-3000</t>
        </is>
      </c>
      <c r="F1309" s="2" t="inlineStr">
        <is>
          <t>P01</t>
        </is>
      </c>
      <c r="G1309" s="2" t="n">
        <v>630000</v>
      </c>
      <c r="H1309" s="2" t="inlineStr">
        <is>
          <t>Servicios externos</t>
        </is>
      </c>
      <c r="I1309" s="9" t="n">
        <v>199.06</v>
      </c>
      <c r="J1309" s="9" t="n">
        <v>194.77</v>
      </c>
      <c r="K1309" s="9" t="n">
        <v>201.49</v>
      </c>
      <c r="L1309" s="9" t="n">
        <v>180.98</v>
      </c>
      <c r="M1309" s="9" t="n">
        <v>189.46</v>
      </c>
      <c r="N1309" s="9" t="n">
        <v>167.47</v>
      </c>
      <c r="O1309" s="9" t="n">
        <v>193.71</v>
      </c>
      <c r="P1309" s="9" t="n">
        <v>184.08</v>
      </c>
      <c r="Q1309" s="9" t="n">
        <v>164.52</v>
      </c>
      <c r="R1309" s="9" t="n">
        <v>214.23</v>
      </c>
      <c r="S1309" s="9" t="n">
        <v>185.09</v>
      </c>
      <c r="T1309" s="9" t="n">
        <v>186.13</v>
      </c>
      <c r="U1309" s="10">
        <f>SUM(I1309:T1309)</f>
        <v/>
      </c>
    </row>
    <row r="1310">
      <c r="A1310" s="2" t="inlineStr">
        <is>
          <t>SN-3000-3300-3330-3330PU0522</t>
        </is>
      </c>
      <c r="B1310" s="2" t="inlineStr">
        <is>
          <t>3330PU0522</t>
        </is>
      </c>
      <c r="C1310" s="2" t="inlineStr">
        <is>
          <t>Bomba sumidero solución rica</t>
        </is>
      </c>
      <c r="D1310" s="2" t="n">
        <v>437</v>
      </c>
      <c r="E1310" s="2" t="inlineStr">
        <is>
          <t>CC-3000</t>
        </is>
      </c>
      <c r="F1310" s="2" t="inlineStr">
        <is>
          <t>P01</t>
        </is>
      </c>
      <c r="G1310" s="2" t="n">
        <v>610000</v>
      </c>
      <c r="H1310" s="2" t="inlineStr">
        <is>
          <t>Mano obra interna</t>
        </is>
      </c>
      <c r="I1310" s="9" t="n">
        <v>1052.69</v>
      </c>
      <c r="J1310" s="9" t="n">
        <v>1077.92</v>
      </c>
      <c r="K1310" s="9" t="n">
        <v>1073.82</v>
      </c>
      <c r="L1310" s="9" t="n">
        <v>1126.74</v>
      </c>
      <c r="M1310" s="9" t="n">
        <v>955.47</v>
      </c>
      <c r="N1310" s="9" t="n">
        <v>990.76</v>
      </c>
      <c r="O1310" s="9" t="n">
        <v>1074.46</v>
      </c>
      <c r="P1310" s="9" t="n">
        <v>1028.5</v>
      </c>
      <c r="Q1310" s="9" t="n">
        <v>891.79</v>
      </c>
      <c r="R1310" s="9" t="n">
        <v>1120.13</v>
      </c>
      <c r="S1310" s="9" t="n">
        <v>1010.08</v>
      </c>
      <c r="T1310" s="9" t="n">
        <v>1078.37</v>
      </c>
      <c r="U1310" s="10">
        <f>SUM(I1310:T1310)</f>
        <v/>
      </c>
    </row>
    <row r="1311">
      <c r="A1311" s="2" t="inlineStr">
        <is>
          <t>SN-3000-3300-3330-3330PU0522</t>
        </is>
      </c>
      <c r="B1311" s="2" t="inlineStr">
        <is>
          <t>3330PU0522</t>
        </is>
      </c>
      <c r="C1311" s="2" t="inlineStr">
        <is>
          <t>Bomba sumidero solución rica</t>
        </is>
      </c>
      <c r="D1311" s="2" t="n">
        <v>437</v>
      </c>
      <c r="E1311" s="2" t="inlineStr">
        <is>
          <t>CC-3000</t>
        </is>
      </c>
      <c r="F1311" s="2" t="inlineStr">
        <is>
          <t>P01</t>
        </is>
      </c>
      <c r="G1311" s="2" t="n">
        <v>620000</v>
      </c>
      <c r="H1311" s="2" t="inlineStr">
        <is>
          <t>Materiales</t>
        </is>
      </c>
      <c r="I1311" s="9" t="n">
        <v>1349.53</v>
      </c>
      <c r="J1311" s="9" t="n">
        <v>1280.53</v>
      </c>
      <c r="K1311" s="9" t="n">
        <v>1247.74</v>
      </c>
      <c r="L1311" s="9" t="n">
        <v>1275.17</v>
      </c>
      <c r="M1311" s="9" t="n">
        <v>1309.38</v>
      </c>
      <c r="N1311" s="9" t="n">
        <v>1299.3</v>
      </c>
      <c r="O1311" s="9" t="n">
        <v>1182.25</v>
      </c>
      <c r="P1311" s="9" t="n">
        <v>1273.33</v>
      </c>
      <c r="Q1311" s="9" t="n">
        <v>1144.12</v>
      </c>
      <c r="R1311" s="9" t="n">
        <v>1306.41</v>
      </c>
      <c r="S1311" s="9" t="n">
        <v>1227.76</v>
      </c>
      <c r="T1311" s="9" t="n">
        <v>1307.72</v>
      </c>
      <c r="U1311" s="10">
        <f>SUM(I1311:T1311)</f>
        <v/>
      </c>
    </row>
    <row r="1312">
      <c r="A1312" s="2" t="inlineStr">
        <is>
          <t>SN-3000-3300-3330-3330PU0522</t>
        </is>
      </c>
      <c r="B1312" s="2" t="inlineStr">
        <is>
          <t>3330PU0522</t>
        </is>
      </c>
      <c r="C1312" s="2" t="inlineStr">
        <is>
          <t>Bomba sumidero solución rica</t>
        </is>
      </c>
      <c r="D1312" s="2" t="n">
        <v>437</v>
      </c>
      <c r="E1312" s="2" t="inlineStr">
        <is>
          <t>CC-3000</t>
        </is>
      </c>
      <c r="F1312" s="2" t="inlineStr">
        <is>
          <t>P01</t>
        </is>
      </c>
      <c r="G1312" s="2" t="n">
        <v>630000</v>
      </c>
      <c r="H1312" s="2" t="inlineStr">
        <is>
          <t>Servicios externos</t>
        </is>
      </c>
      <c r="I1312" s="9" t="n">
        <v>1052.31</v>
      </c>
      <c r="J1312" s="9" t="n">
        <v>1021.39</v>
      </c>
      <c r="K1312" s="9" t="n">
        <v>1093.62</v>
      </c>
      <c r="L1312" s="9" t="n">
        <v>956.8200000000001</v>
      </c>
      <c r="M1312" s="9" t="n">
        <v>991.16</v>
      </c>
      <c r="N1312" s="9" t="n">
        <v>932.1799999999999</v>
      </c>
      <c r="O1312" s="9" t="n">
        <v>960.96</v>
      </c>
      <c r="P1312" s="9" t="n">
        <v>996.21</v>
      </c>
      <c r="Q1312" s="9" t="n">
        <v>959.89</v>
      </c>
      <c r="R1312" s="9" t="n">
        <v>982.77</v>
      </c>
      <c r="S1312" s="9" t="n">
        <v>1026.82</v>
      </c>
      <c r="T1312" s="9" t="n">
        <v>1050.88</v>
      </c>
      <c r="U1312" s="10">
        <f>SUM(I1312:T1312)</f>
        <v/>
      </c>
    </row>
    <row r="1313">
      <c r="A1313" s="2" t="inlineStr">
        <is>
          <t>SN-3000-3300-3330-3330RL0001</t>
        </is>
      </c>
      <c r="B1313" s="2" t="inlineStr">
        <is>
          <t>3330RL0001</t>
        </is>
      </c>
      <c r="C1313" s="2" t="inlineStr">
        <is>
          <t>Línea sol rica 3330-2835-AA1A-14"-PPS-N</t>
        </is>
      </c>
      <c r="D1313" s="2" t="n">
        <v>438</v>
      </c>
      <c r="E1313" s="2" t="inlineStr">
        <is>
          <t>CC-3000</t>
        </is>
      </c>
      <c r="F1313" s="2" t="inlineStr">
        <is>
          <t>P01</t>
        </is>
      </c>
      <c r="G1313" s="2" t="n">
        <v>610000</v>
      </c>
      <c r="H1313" s="2" t="inlineStr">
        <is>
          <t>Mano obra interna</t>
        </is>
      </c>
      <c r="I1313" s="9" t="n">
        <v>550.11</v>
      </c>
      <c r="J1313" s="9" t="n">
        <v>500.44</v>
      </c>
      <c r="K1313" s="9" t="n">
        <v>555.1799999999999</v>
      </c>
      <c r="L1313" s="9" t="n">
        <v>519.15</v>
      </c>
      <c r="M1313" s="9" t="n">
        <v>544.63</v>
      </c>
      <c r="N1313" s="9" t="n">
        <v>469.05</v>
      </c>
      <c r="O1313" s="9" t="n">
        <v>500.36</v>
      </c>
      <c r="P1313" s="9" t="n">
        <v>521.1799999999999</v>
      </c>
      <c r="Q1313" s="9" t="n">
        <v>467.63</v>
      </c>
      <c r="R1313" s="9" t="n">
        <v>551.13</v>
      </c>
      <c r="S1313" s="9" t="n">
        <v>500.19</v>
      </c>
      <c r="T1313" s="9" t="n">
        <v>554.9400000000001</v>
      </c>
      <c r="U1313" s="10">
        <f>SUM(I1313:T1313)</f>
        <v/>
      </c>
    </row>
    <row r="1314">
      <c r="A1314" s="2" t="inlineStr">
        <is>
          <t>SN-3000-3300-3330-3330RL0001</t>
        </is>
      </c>
      <c r="B1314" s="2" t="inlineStr">
        <is>
          <t>3330RL0001</t>
        </is>
      </c>
      <c r="C1314" s="2" t="inlineStr">
        <is>
          <t>Línea sol rica 3330-2835-AA1A-14"-PPS-N</t>
        </is>
      </c>
      <c r="D1314" s="2" t="n">
        <v>438</v>
      </c>
      <c r="E1314" s="2" t="inlineStr">
        <is>
          <t>CC-3000</t>
        </is>
      </c>
      <c r="F1314" s="2" t="inlineStr">
        <is>
          <t>P01</t>
        </is>
      </c>
      <c r="G1314" s="2" t="n">
        <v>620000</v>
      </c>
      <c r="H1314" s="2" t="inlineStr">
        <is>
          <t>Materiales</t>
        </is>
      </c>
      <c r="I1314" s="9" t="n">
        <v>478.69</v>
      </c>
      <c r="J1314" s="9" t="n">
        <v>453.15</v>
      </c>
      <c r="K1314" s="9" t="n">
        <v>487.41</v>
      </c>
      <c r="L1314" s="9" t="n">
        <v>491.27</v>
      </c>
      <c r="M1314" s="9" t="n">
        <v>493.19</v>
      </c>
      <c r="N1314" s="9" t="n">
        <v>430.61</v>
      </c>
      <c r="O1314" s="9" t="n">
        <v>458.32</v>
      </c>
      <c r="P1314" s="9" t="n">
        <v>469.88</v>
      </c>
      <c r="Q1314" s="9" t="n">
        <v>436.36</v>
      </c>
      <c r="R1314" s="9" t="n">
        <v>508.11</v>
      </c>
      <c r="S1314" s="9" t="n">
        <v>485.95</v>
      </c>
      <c r="T1314" s="9" t="n">
        <v>472.9</v>
      </c>
      <c r="U1314" s="10">
        <f>SUM(I1314:T1314)</f>
        <v/>
      </c>
    </row>
    <row r="1315">
      <c r="A1315" s="2" t="inlineStr">
        <is>
          <t>SN-3000-3300-3330-3330RL0001</t>
        </is>
      </c>
      <c r="B1315" s="2" t="inlineStr">
        <is>
          <t>3330RL0001</t>
        </is>
      </c>
      <c r="C1315" s="2" t="inlineStr">
        <is>
          <t>Línea sol rica 3330-2835-AA1A-14"-PPS-N</t>
        </is>
      </c>
      <c r="D1315" s="2" t="n">
        <v>438</v>
      </c>
      <c r="E1315" s="2" t="inlineStr">
        <is>
          <t>CC-3000</t>
        </is>
      </c>
      <c r="F1315" s="2" t="inlineStr">
        <is>
          <t>P01</t>
        </is>
      </c>
      <c r="G1315" s="2" t="n">
        <v>630000</v>
      </c>
      <c r="H1315" s="2" t="inlineStr">
        <is>
          <t>Servicios externos</t>
        </is>
      </c>
      <c r="I1315" s="9" t="n">
        <v>479.81</v>
      </c>
      <c r="J1315" s="9" t="n">
        <v>434.45</v>
      </c>
      <c r="K1315" s="9" t="n">
        <v>492.1</v>
      </c>
      <c r="L1315" s="9" t="n">
        <v>474.59</v>
      </c>
      <c r="M1315" s="9" t="n">
        <v>452.23</v>
      </c>
      <c r="N1315" s="9" t="n">
        <v>462.47</v>
      </c>
      <c r="O1315" s="9" t="n">
        <v>442.16</v>
      </c>
      <c r="P1315" s="9" t="n">
        <v>488.77</v>
      </c>
      <c r="Q1315" s="9" t="n">
        <v>433.21</v>
      </c>
      <c r="R1315" s="9" t="n">
        <v>505.7</v>
      </c>
      <c r="S1315" s="9" t="n">
        <v>472.93</v>
      </c>
      <c r="T1315" s="9" t="n">
        <v>491.49</v>
      </c>
      <c r="U1315" s="10">
        <f>SUM(I1315:T1315)</f>
        <v/>
      </c>
    </row>
    <row r="1316">
      <c r="A1316" s="2" t="inlineStr">
        <is>
          <t>SN-3000-3300-3330-3330SA0005</t>
        </is>
      </c>
      <c r="B1316" s="2" t="inlineStr">
        <is>
          <t>3330SA0005</t>
        </is>
      </c>
      <c r="C1316" s="2" t="inlineStr">
        <is>
          <t>Muestreador alimentación filtros</t>
        </is>
      </c>
      <c r="D1316" s="2" t="n">
        <v>439</v>
      </c>
      <c r="E1316" s="2" t="inlineStr">
        <is>
          <t>CC-3000</t>
        </is>
      </c>
      <c r="F1316" s="2" t="inlineStr">
        <is>
          <t>P01</t>
        </is>
      </c>
      <c r="G1316" s="2" t="n">
        <v>610000</v>
      </c>
      <c r="H1316" s="2" t="inlineStr">
        <is>
          <t>Mano obra interna</t>
        </is>
      </c>
      <c r="I1316" s="9" t="n">
        <v>2136.65</v>
      </c>
      <c r="J1316" s="9" t="n">
        <v>1959.94</v>
      </c>
      <c r="K1316" s="9" t="n">
        <v>2090.91</v>
      </c>
      <c r="L1316" s="9" t="n">
        <v>1911.83</v>
      </c>
      <c r="M1316" s="9" t="n">
        <v>1860.09</v>
      </c>
      <c r="N1316" s="9" t="n">
        <v>2024.53</v>
      </c>
      <c r="O1316" s="9" t="n">
        <v>1870.66</v>
      </c>
      <c r="P1316" s="9" t="n">
        <v>1903.71</v>
      </c>
      <c r="Q1316" s="9" t="n">
        <v>1961.12</v>
      </c>
      <c r="R1316" s="9" t="n">
        <v>1996.14</v>
      </c>
      <c r="S1316" s="9" t="n">
        <v>1879.5</v>
      </c>
      <c r="T1316" s="9" t="n">
        <v>2068.85</v>
      </c>
      <c r="U1316" s="10">
        <f>SUM(I1316:T1316)</f>
        <v/>
      </c>
    </row>
    <row r="1317">
      <c r="A1317" s="2" t="inlineStr">
        <is>
          <t>SN-3000-3300-3330-3330SA0005</t>
        </is>
      </c>
      <c r="B1317" s="2" t="inlineStr">
        <is>
          <t>3330SA0005</t>
        </is>
      </c>
      <c r="C1317" s="2" t="inlineStr">
        <is>
          <t>Muestreador alimentación filtros</t>
        </is>
      </c>
      <c r="D1317" s="2" t="n">
        <v>439</v>
      </c>
      <c r="E1317" s="2" t="inlineStr">
        <is>
          <t>CC-3000</t>
        </is>
      </c>
      <c r="F1317" s="2" t="inlineStr">
        <is>
          <t>P01</t>
        </is>
      </c>
      <c r="G1317" s="2" t="n">
        <v>620000</v>
      </c>
      <c r="H1317" s="2" t="inlineStr">
        <is>
          <t>Materiales</t>
        </is>
      </c>
      <c r="I1317" s="9" t="n">
        <v>2039.56</v>
      </c>
      <c r="J1317" s="9" t="n">
        <v>1885.9</v>
      </c>
      <c r="K1317" s="9" t="n">
        <v>1976.58</v>
      </c>
      <c r="L1317" s="9" t="n">
        <v>2025.74</v>
      </c>
      <c r="M1317" s="9" t="n">
        <v>1892.88</v>
      </c>
      <c r="N1317" s="9" t="n">
        <v>1860.78</v>
      </c>
      <c r="O1317" s="9" t="n">
        <v>2035.76</v>
      </c>
      <c r="P1317" s="9" t="n">
        <v>1881.51</v>
      </c>
      <c r="Q1317" s="9" t="n">
        <v>1748.11</v>
      </c>
      <c r="R1317" s="9" t="n">
        <v>1899.24</v>
      </c>
      <c r="S1317" s="9" t="n">
        <v>1885.59</v>
      </c>
      <c r="T1317" s="9" t="n">
        <v>1795.41</v>
      </c>
      <c r="U1317" s="10">
        <f>SUM(I1317:T1317)</f>
        <v/>
      </c>
    </row>
    <row r="1318">
      <c r="A1318" s="2" t="inlineStr">
        <is>
          <t>SN-3000-3300-3330-3330SA0005</t>
        </is>
      </c>
      <c r="B1318" s="2" t="inlineStr">
        <is>
          <t>3330SA0005</t>
        </is>
      </c>
      <c r="C1318" s="2" t="inlineStr">
        <is>
          <t>Muestreador alimentación filtros</t>
        </is>
      </c>
      <c r="D1318" s="2" t="n">
        <v>439</v>
      </c>
      <c r="E1318" s="2" t="inlineStr">
        <is>
          <t>CC-3000</t>
        </is>
      </c>
      <c r="F1318" s="2" t="inlineStr">
        <is>
          <t>P01</t>
        </is>
      </c>
      <c r="G1318" s="2" t="n">
        <v>630000</v>
      </c>
      <c r="H1318" s="2" t="inlineStr">
        <is>
          <t>Servicios externos</t>
        </is>
      </c>
      <c r="I1318" s="9" t="n">
        <v>1985.61</v>
      </c>
      <c r="J1318" s="9" t="n">
        <v>1841.28</v>
      </c>
      <c r="K1318" s="9" t="n">
        <v>1842.94</v>
      </c>
      <c r="L1318" s="9" t="n">
        <v>1982.46</v>
      </c>
      <c r="M1318" s="9" t="n">
        <v>1767.96</v>
      </c>
      <c r="N1318" s="9" t="n">
        <v>1839.41</v>
      </c>
      <c r="O1318" s="9" t="n">
        <v>1888.35</v>
      </c>
      <c r="P1318" s="9" t="n">
        <v>1755.53</v>
      </c>
      <c r="Q1318" s="9" t="n">
        <v>1838.49</v>
      </c>
      <c r="R1318" s="9" t="n">
        <v>1904.43</v>
      </c>
      <c r="S1318" s="9" t="n">
        <v>1936.19</v>
      </c>
      <c r="T1318" s="9" t="n">
        <v>1733.93</v>
      </c>
      <c r="U1318" s="10">
        <f>SUM(I1318:T1318)</f>
        <v/>
      </c>
    </row>
    <row r="1319">
      <c r="A1319" s="2" t="inlineStr">
        <is>
          <t>SN-3000-3300-3330-3330SA0006</t>
        </is>
      </c>
      <c r="B1319" s="2" t="inlineStr">
        <is>
          <t>3330SA0006</t>
        </is>
      </c>
      <c r="C1319" s="2" t="inlineStr">
        <is>
          <t>Muestreador solución barren</t>
        </is>
      </c>
      <c r="D1319" s="2" t="n">
        <v>440</v>
      </c>
      <c r="E1319" s="2" t="inlineStr">
        <is>
          <t>CC-3000</t>
        </is>
      </c>
      <c r="F1319" s="2" t="inlineStr">
        <is>
          <t>P01</t>
        </is>
      </c>
      <c r="G1319" s="2" t="n">
        <v>610000</v>
      </c>
      <c r="H1319" s="2" t="inlineStr">
        <is>
          <t>Mano obra interna</t>
        </is>
      </c>
      <c r="I1319" s="9" t="n">
        <v>756.86</v>
      </c>
      <c r="J1319" s="9" t="n">
        <v>707.37</v>
      </c>
      <c r="K1319" s="9" t="n">
        <v>833.3200000000001</v>
      </c>
      <c r="L1319" s="9" t="n">
        <v>820.61</v>
      </c>
      <c r="M1319" s="9" t="n">
        <v>806.8099999999999</v>
      </c>
      <c r="N1319" s="9" t="n">
        <v>715.61</v>
      </c>
      <c r="O1319" s="9" t="n">
        <v>772.22</v>
      </c>
      <c r="P1319" s="9" t="n">
        <v>798.04</v>
      </c>
      <c r="Q1319" s="9" t="n">
        <v>717.99</v>
      </c>
      <c r="R1319" s="9" t="n">
        <v>866.41</v>
      </c>
      <c r="S1319" s="9" t="n">
        <v>770.1</v>
      </c>
      <c r="T1319" s="9" t="n">
        <v>741.64</v>
      </c>
      <c r="U1319" s="10">
        <f>SUM(I1319:T1319)</f>
        <v/>
      </c>
    </row>
    <row r="1320">
      <c r="A1320" s="2" t="inlineStr">
        <is>
          <t>SN-3000-3300-3330-3330SA0006</t>
        </is>
      </c>
      <c r="B1320" s="2" t="inlineStr">
        <is>
          <t>3330SA0006</t>
        </is>
      </c>
      <c r="C1320" s="2" t="inlineStr">
        <is>
          <t>Muestreador solución barren</t>
        </is>
      </c>
      <c r="D1320" s="2" t="n">
        <v>440</v>
      </c>
      <c r="E1320" s="2" t="inlineStr">
        <is>
          <t>CC-3000</t>
        </is>
      </c>
      <c r="F1320" s="2" t="inlineStr">
        <is>
          <t>P01</t>
        </is>
      </c>
      <c r="G1320" s="2" t="n">
        <v>620000</v>
      </c>
      <c r="H1320" s="2" t="inlineStr">
        <is>
          <t>Materiales</t>
        </is>
      </c>
      <c r="I1320" s="9" t="n">
        <v>930.52</v>
      </c>
      <c r="J1320" s="9" t="n">
        <v>888.72</v>
      </c>
      <c r="K1320" s="9" t="n">
        <v>858.17</v>
      </c>
      <c r="L1320" s="9" t="n">
        <v>866.4400000000001</v>
      </c>
      <c r="M1320" s="9" t="n">
        <v>856.4299999999999</v>
      </c>
      <c r="N1320" s="9" t="n">
        <v>812.11</v>
      </c>
      <c r="O1320" s="9" t="n">
        <v>842.47</v>
      </c>
      <c r="P1320" s="9" t="n">
        <v>922.76</v>
      </c>
      <c r="Q1320" s="9" t="n">
        <v>837.7</v>
      </c>
      <c r="R1320" s="9" t="n">
        <v>959.4299999999999</v>
      </c>
      <c r="S1320" s="9" t="n">
        <v>814.9400000000001</v>
      </c>
      <c r="T1320" s="9" t="n">
        <v>953.27</v>
      </c>
      <c r="U1320" s="10">
        <f>SUM(I1320:T1320)</f>
        <v/>
      </c>
    </row>
    <row r="1321">
      <c r="A1321" s="2" t="inlineStr">
        <is>
          <t>SN-3000-3300-3330-3330SA0006</t>
        </is>
      </c>
      <c r="B1321" s="2" t="inlineStr">
        <is>
          <t>3330SA0006</t>
        </is>
      </c>
      <c r="C1321" s="2" t="inlineStr">
        <is>
          <t>Muestreador solución barren</t>
        </is>
      </c>
      <c r="D1321" s="2" t="n">
        <v>440</v>
      </c>
      <c r="E1321" s="2" t="inlineStr">
        <is>
          <t>CC-3000</t>
        </is>
      </c>
      <c r="F1321" s="2" t="inlineStr">
        <is>
          <t>P01</t>
        </is>
      </c>
      <c r="G1321" s="2" t="n">
        <v>630000</v>
      </c>
      <c r="H1321" s="2" t="inlineStr">
        <is>
          <t>Servicios externos</t>
        </is>
      </c>
      <c r="I1321" s="9" t="n">
        <v>778.46</v>
      </c>
      <c r="J1321" s="9" t="n">
        <v>770.72</v>
      </c>
      <c r="K1321" s="9" t="n">
        <v>778.53</v>
      </c>
      <c r="L1321" s="9" t="n">
        <v>802.9400000000001</v>
      </c>
      <c r="M1321" s="9" t="n">
        <v>738.08</v>
      </c>
      <c r="N1321" s="9" t="n">
        <v>664.73</v>
      </c>
      <c r="O1321" s="9" t="n">
        <v>694</v>
      </c>
      <c r="P1321" s="9" t="n">
        <v>707.23</v>
      </c>
      <c r="Q1321" s="9" t="n">
        <v>624.41</v>
      </c>
      <c r="R1321" s="9" t="n">
        <v>808.14</v>
      </c>
      <c r="S1321" s="9" t="n">
        <v>678.85</v>
      </c>
      <c r="T1321" s="9" t="n">
        <v>776.28</v>
      </c>
      <c r="U1321" s="10">
        <f>SUM(I1321:T1321)</f>
        <v/>
      </c>
    </row>
    <row r="1322">
      <c r="A1322" s="2" t="inlineStr">
        <is>
          <t>SN-3000-3300-3330-3330SY0009</t>
        </is>
      </c>
      <c r="B1322" s="2" t="inlineStr">
        <is>
          <t>3330SY0009</t>
        </is>
      </c>
      <c r="C1322" s="2" t="inlineStr">
        <is>
          <t>Ducha y lava ojos emergencia</t>
        </is>
      </c>
      <c r="D1322" s="2" t="n">
        <v>441</v>
      </c>
      <c r="E1322" s="2" t="inlineStr">
        <is>
          <t>CC-3000</t>
        </is>
      </c>
      <c r="F1322" s="2" t="inlineStr">
        <is>
          <t>P01</t>
        </is>
      </c>
      <c r="G1322" s="2" t="n">
        <v>610000</v>
      </c>
      <c r="H1322" s="2" t="inlineStr">
        <is>
          <t>Mano obra interna</t>
        </is>
      </c>
      <c r="I1322" s="9" t="n">
        <v>1110.78</v>
      </c>
      <c r="J1322" s="9" t="n">
        <v>1155.17</v>
      </c>
      <c r="K1322" s="9" t="n">
        <v>1079.68</v>
      </c>
      <c r="L1322" s="9" t="n">
        <v>1155.16</v>
      </c>
      <c r="M1322" s="9" t="n">
        <v>1124.4</v>
      </c>
      <c r="N1322" s="9" t="n">
        <v>997.05</v>
      </c>
      <c r="O1322" s="9" t="n">
        <v>1092.27</v>
      </c>
      <c r="P1322" s="9" t="n">
        <v>1064.64</v>
      </c>
      <c r="Q1322" s="9" t="n">
        <v>1060.35</v>
      </c>
      <c r="R1322" s="9" t="n">
        <v>1200.28</v>
      </c>
      <c r="S1322" s="9" t="n">
        <v>1052.68</v>
      </c>
      <c r="T1322" s="9" t="n">
        <v>1157.32</v>
      </c>
      <c r="U1322" s="10">
        <f>SUM(I1322:T1322)</f>
        <v/>
      </c>
    </row>
    <row r="1323">
      <c r="A1323" s="2" t="inlineStr">
        <is>
          <t>SN-3000-3300-3330-3330SY0009</t>
        </is>
      </c>
      <c r="B1323" s="2" t="inlineStr">
        <is>
          <t>3330SY0009</t>
        </is>
      </c>
      <c r="C1323" s="2" t="inlineStr">
        <is>
          <t>Ducha y lava ojos emergencia</t>
        </is>
      </c>
      <c r="D1323" s="2" t="n">
        <v>441</v>
      </c>
      <c r="E1323" s="2" t="inlineStr">
        <is>
          <t>CC-3000</t>
        </is>
      </c>
      <c r="F1323" s="2" t="inlineStr">
        <is>
          <t>P01</t>
        </is>
      </c>
      <c r="G1323" s="2" t="n">
        <v>620000</v>
      </c>
      <c r="H1323" s="2" t="inlineStr">
        <is>
          <t>Materiales</t>
        </is>
      </c>
      <c r="I1323" s="9" t="n">
        <v>1061.28</v>
      </c>
      <c r="J1323" s="9" t="n">
        <v>1041.46</v>
      </c>
      <c r="K1323" s="9" t="n">
        <v>1093.11</v>
      </c>
      <c r="L1323" s="9" t="n">
        <v>1067.43</v>
      </c>
      <c r="M1323" s="9" t="n">
        <v>974.1799999999999</v>
      </c>
      <c r="N1323" s="9" t="n">
        <v>1028.81</v>
      </c>
      <c r="O1323" s="9" t="n">
        <v>980.26</v>
      </c>
      <c r="P1323" s="9" t="n">
        <v>1020.46</v>
      </c>
      <c r="Q1323" s="9" t="n">
        <v>879.5700000000001</v>
      </c>
      <c r="R1323" s="9" t="n">
        <v>1160.24</v>
      </c>
      <c r="S1323" s="9" t="n">
        <v>998.72</v>
      </c>
      <c r="T1323" s="9" t="n">
        <v>1055</v>
      </c>
      <c r="U1323" s="10">
        <f>SUM(I1323:T1323)</f>
        <v/>
      </c>
    </row>
    <row r="1324">
      <c r="A1324" s="2" t="inlineStr">
        <is>
          <t>SN-3000-3300-3330-3330SY0009</t>
        </is>
      </c>
      <c r="B1324" s="2" t="inlineStr">
        <is>
          <t>3330SY0009</t>
        </is>
      </c>
      <c r="C1324" s="2" t="inlineStr">
        <is>
          <t>Ducha y lava ojos emergencia</t>
        </is>
      </c>
      <c r="D1324" s="2" t="n">
        <v>441</v>
      </c>
      <c r="E1324" s="2" t="inlineStr">
        <is>
          <t>CC-3000</t>
        </is>
      </c>
      <c r="F1324" s="2" t="inlineStr">
        <is>
          <t>P01</t>
        </is>
      </c>
      <c r="G1324" s="2" t="n">
        <v>630000</v>
      </c>
      <c r="H1324" s="2" t="inlineStr">
        <is>
          <t>Servicios externos</t>
        </is>
      </c>
      <c r="I1324" s="9" t="n">
        <v>1054.71</v>
      </c>
      <c r="J1324" s="9" t="n">
        <v>1019.29</v>
      </c>
      <c r="K1324" s="9" t="n">
        <v>1050.86</v>
      </c>
      <c r="L1324" s="9" t="n">
        <v>979.51</v>
      </c>
      <c r="M1324" s="9" t="n">
        <v>979.51</v>
      </c>
      <c r="N1324" s="9" t="n">
        <v>888.75</v>
      </c>
      <c r="O1324" s="9" t="n">
        <v>987.33</v>
      </c>
      <c r="P1324" s="9" t="n">
        <v>950.04</v>
      </c>
      <c r="Q1324" s="9" t="n">
        <v>900.58</v>
      </c>
      <c r="R1324" s="9" t="n">
        <v>1011.42</v>
      </c>
      <c r="S1324" s="9" t="n">
        <v>918.27</v>
      </c>
      <c r="T1324" s="9" t="n">
        <v>937.9400000000001</v>
      </c>
      <c r="U1324" s="10">
        <f>SUM(I1324:T1324)</f>
        <v/>
      </c>
    </row>
    <row r="1325">
      <c r="A1325" s="2" t="inlineStr">
        <is>
          <t>SN-3000-3300-3330-3330SY0027</t>
        </is>
      </c>
      <c r="B1325" s="2" t="inlineStr">
        <is>
          <t>3330SY0027</t>
        </is>
      </c>
      <c r="C1325" s="2" t="inlineStr">
        <is>
          <t>Lava ojos emergencia</t>
        </is>
      </c>
      <c r="D1325" s="2" t="n">
        <v>442</v>
      </c>
      <c r="E1325" s="2" t="inlineStr">
        <is>
          <t>CC-3000</t>
        </is>
      </c>
      <c r="F1325" s="2" t="inlineStr">
        <is>
          <t>P01</t>
        </is>
      </c>
      <c r="G1325" s="2" t="n">
        <v>610000</v>
      </c>
      <c r="H1325" s="2" t="inlineStr">
        <is>
          <t>Mano obra interna</t>
        </is>
      </c>
      <c r="I1325" s="9" t="n">
        <v>1754.47</v>
      </c>
      <c r="J1325" s="9" t="n">
        <v>1656.6</v>
      </c>
      <c r="K1325" s="9" t="n">
        <v>1774.33</v>
      </c>
      <c r="L1325" s="9" t="n">
        <v>1783.91</v>
      </c>
      <c r="M1325" s="9" t="n">
        <v>1806.89</v>
      </c>
      <c r="N1325" s="9" t="n">
        <v>1551.12</v>
      </c>
      <c r="O1325" s="9" t="n">
        <v>1655.13</v>
      </c>
      <c r="P1325" s="9" t="n">
        <v>1839.15</v>
      </c>
      <c r="Q1325" s="9" t="n">
        <v>1559.29</v>
      </c>
      <c r="R1325" s="9" t="n">
        <v>1703.56</v>
      </c>
      <c r="S1325" s="9" t="n">
        <v>1562.36</v>
      </c>
      <c r="T1325" s="9" t="n">
        <v>1604.18</v>
      </c>
      <c r="U1325" s="10">
        <f>SUM(I1325:T1325)</f>
        <v/>
      </c>
    </row>
    <row r="1326">
      <c r="A1326" s="2" t="inlineStr">
        <is>
          <t>SN-3000-3300-3330-3330SY0027</t>
        </is>
      </c>
      <c r="B1326" s="2" t="inlineStr">
        <is>
          <t>3330SY0027</t>
        </is>
      </c>
      <c r="C1326" s="2" t="inlineStr">
        <is>
          <t>Lava ojos emergencia</t>
        </is>
      </c>
      <c r="D1326" s="2" t="n">
        <v>442</v>
      </c>
      <c r="E1326" s="2" t="inlineStr">
        <is>
          <t>CC-3000</t>
        </is>
      </c>
      <c r="F1326" s="2" t="inlineStr">
        <is>
          <t>P01</t>
        </is>
      </c>
      <c r="G1326" s="2" t="n">
        <v>620000</v>
      </c>
      <c r="H1326" s="2" t="inlineStr">
        <is>
          <t>Materiales</t>
        </is>
      </c>
      <c r="I1326" s="9" t="n">
        <v>1636.46</v>
      </c>
      <c r="J1326" s="9" t="n">
        <v>1747.59</v>
      </c>
      <c r="K1326" s="9" t="n">
        <v>1850.45</v>
      </c>
      <c r="L1326" s="9" t="n">
        <v>1725.61</v>
      </c>
      <c r="M1326" s="9" t="n">
        <v>1521.82</v>
      </c>
      <c r="N1326" s="9" t="n">
        <v>1482.47</v>
      </c>
      <c r="O1326" s="9" t="n">
        <v>1657.7</v>
      </c>
      <c r="P1326" s="9" t="n">
        <v>1635.67</v>
      </c>
      <c r="Q1326" s="9" t="n">
        <v>1573.25</v>
      </c>
      <c r="R1326" s="9" t="n">
        <v>1774.64</v>
      </c>
      <c r="S1326" s="9" t="n">
        <v>1720.5</v>
      </c>
      <c r="T1326" s="9" t="n">
        <v>1695.89</v>
      </c>
      <c r="U1326" s="10">
        <f>SUM(I1326:T1326)</f>
        <v/>
      </c>
    </row>
    <row r="1327">
      <c r="A1327" s="2" t="inlineStr">
        <is>
          <t>SN-3000-3300-3330-3330SY0027</t>
        </is>
      </c>
      <c r="B1327" s="2" t="inlineStr">
        <is>
          <t>3330SY0027</t>
        </is>
      </c>
      <c r="C1327" s="2" t="inlineStr">
        <is>
          <t>Lava ojos emergencia</t>
        </is>
      </c>
      <c r="D1327" s="2" t="n">
        <v>442</v>
      </c>
      <c r="E1327" s="2" t="inlineStr">
        <is>
          <t>CC-3000</t>
        </is>
      </c>
      <c r="F1327" s="2" t="inlineStr">
        <is>
          <t>P01</t>
        </is>
      </c>
      <c r="G1327" s="2" t="n">
        <v>630000</v>
      </c>
      <c r="H1327" s="2" t="inlineStr">
        <is>
          <t>Servicios externos</t>
        </is>
      </c>
      <c r="I1327" s="9" t="n">
        <v>1705.82</v>
      </c>
      <c r="J1327" s="9" t="n">
        <v>1460.08</v>
      </c>
      <c r="K1327" s="9" t="n">
        <v>1550.93</v>
      </c>
      <c r="L1327" s="9" t="n">
        <v>1505.05</v>
      </c>
      <c r="M1327" s="9" t="n">
        <v>1465.4</v>
      </c>
      <c r="N1327" s="9" t="n">
        <v>1505.3</v>
      </c>
      <c r="O1327" s="9" t="n">
        <v>1527.04</v>
      </c>
      <c r="P1327" s="9" t="n">
        <v>1550.84</v>
      </c>
      <c r="Q1327" s="9" t="n">
        <v>1575.61</v>
      </c>
      <c r="R1327" s="9" t="n">
        <v>1601.46</v>
      </c>
      <c r="S1327" s="9" t="n">
        <v>1531.06</v>
      </c>
      <c r="T1327" s="9" t="n">
        <v>1492.3</v>
      </c>
      <c r="U1327" s="10">
        <f>SUM(I1327:T1327)</f>
        <v/>
      </c>
    </row>
    <row r="1328">
      <c r="A1328" s="2" t="inlineStr">
        <is>
          <t>SN-3000-3300-3330-3330SY0028</t>
        </is>
      </c>
      <c r="B1328" s="2" t="inlineStr">
        <is>
          <t>3330SY0028</t>
        </is>
      </c>
      <c r="C1328" s="2" t="inlineStr">
        <is>
          <t>Lava ojos emergencia</t>
        </is>
      </c>
      <c r="D1328" s="2" t="n">
        <v>443</v>
      </c>
      <c r="E1328" s="2" t="inlineStr">
        <is>
          <t>CC-3000</t>
        </is>
      </c>
      <c r="F1328" s="2" t="inlineStr">
        <is>
          <t>P01</t>
        </is>
      </c>
      <c r="G1328" s="2" t="n">
        <v>610000</v>
      </c>
      <c r="H1328" s="2" t="inlineStr">
        <is>
          <t>Mano obra interna</t>
        </is>
      </c>
      <c r="I1328" s="9" t="n">
        <v>605.01</v>
      </c>
      <c r="J1328" s="9" t="n">
        <v>622.65</v>
      </c>
      <c r="K1328" s="9" t="n">
        <v>598.14</v>
      </c>
      <c r="L1328" s="9" t="n">
        <v>561.09</v>
      </c>
      <c r="M1328" s="9" t="n">
        <v>573.51</v>
      </c>
      <c r="N1328" s="9" t="n">
        <v>532.16</v>
      </c>
      <c r="O1328" s="9" t="n">
        <v>564.8200000000001</v>
      </c>
      <c r="P1328" s="9" t="n">
        <v>600.76</v>
      </c>
      <c r="Q1328" s="9" t="n">
        <v>511.26</v>
      </c>
      <c r="R1328" s="9" t="n">
        <v>632.74</v>
      </c>
      <c r="S1328" s="9" t="n">
        <v>581.22</v>
      </c>
      <c r="T1328" s="9" t="n">
        <v>591.33</v>
      </c>
      <c r="U1328" s="10">
        <f>SUM(I1328:T1328)</f>
        <v/>
      </c>
    </row>
    <row r="1329">
      <c r="A1329" s="2" t="inlineStr">
        <is>
          <t>SN-3000-3300-3330-3330SY0028</t>
        </is>
      </c>
      <c r="B1329" s="2" t="inlineStr">
        <is>
          <t>3330SY0028</t>
        </is>
      </c>
      <c r="C1329" s="2" t="inlineStr">
        <is>
          <t>Lava ojos emergencia</t>
        </is>
      </c>
      <c r="D1329" s="2" t="n">
        <v>443</v>
      </c>
      <c r="E1329" s="2" t="inlineStr">
        <is>
          <t>CC-3000</t>
        </is>
      </c>
      <c r="F1329" s="2" t="inlineStr">
        <is>
          <t>P01</t>
        </is>
      </c>
      <c r="G1329" s="2" t="n">
        <v>620000</v>
      </c>
      <c r="H1329" s="2" t="inlineStr">
        <is>
          <t>Materiales</t>
        </is>
      </c>
      <c r="I1329" s="9" t="n">
        <v>563.16</v>
      </c>
      <c r="J1329" s="9" t="n">
        <v>493.42</v>
      </c>
      <c r="K1329" s="9" t="n">
        <v>551.63</v>
      </c>
      <c r="L1329" s="9" t="n">
        <v>508.58</v>
      </c>
      <c r="M1329" s="9" t="n">
        <v>504.57</v>
      </c>
      <c r="N1329" s="9" t="n">
        <v>480.67</v>
      </c>
      <c r="O1329" s="9" t="n">
        <v>499.22</v>
      </c>
      <c r="P1329" s="9" t="n">
        <v>472.38</v>
      </c>
      <c r="Q1329" s="9" t="n">
        <v>465.84</v>
      </c>
      <c r="R1329" s="9" t="n">
        <v>586.4400000000001</v>
      </c>
      <c r="S1329" s="9" t="n">
        <v>510.64</v>
      </c>
      <c r="T1329" s="9" t="n">
        <v>490.02</v>
      </c>
      <c r="U1329" s="10">
        <f>SUM(I1329:T1329)</f>
        <v/>
      </c>
    </row>
    <row r="1330">
      <c r="A1330" s="2" t="inlineStr">
        <is>
          <t>SN-3000-3300-3330-3330SY0028</t>
        </is>
      </c>
      <c r="B1330" s="2" t="inlineStr">
        <is>
          <t>3330SY0028</t>
        </is>
      </c>
      <c r="C1330" s="2" t="inlineStr">
        <is>
          <t>Lava ojos emergencia</t>
        </is>
      </c>
      <c r="D1330" s="2" t="n">
        <v>443</v>
      </c>
      <c r="E1330" s="2" t="inlineStr">
        <is>
          <t>CC-3000</t>
        </is>
      </c>
      <c r="F1330" s="2" t="inlineStr">
        <is>
          <t>P01</t>
        </is>
      </c>
      <c r="G1330" s="2" t="n">
        <v>630000</v>
      </c>
      <c r="H1330" s="2" t="inlineStr">
        <is>
          <t>Servicios externos</t>
        </is>
      </c>
      <c r="I1330" s="9" t="n">
        <v>651.55</v>
      </c>
      <c r="J1330" s="9" t="n">
        <v>610.39</v>
      </c>
      <c r="K1330" s="9" t="n">
        <v>584.73</v>
      </c>
      <c r="L1330" s="9" t="n">
        <v>649.92</v>
      </c>
      <c r="M1330" s="9" t="n">
        <v>575.47</v>
      </c>
      <c r="N1330" s="9" t="n">
        <v>569.95</v>
      </c>
      <c r="O1330" s="9" t="n">
        <v>603.34</v>
      </c>
      <c r="P1330" s="9" t="n">
        <v>633.76</v>
      </c>
      <c r="Q1330" s="9" t="n">
        <v>597.65</v>
      </c>
      <c r="R1330" s="9" t="n">
        <v>692.1799999999999</v>
      </c>
      <c r="S1330" s="9" t="n">
        <v>535.61</v>
      </c>
      <c r="T1330" s="9" t="n">
        <v>650.61</v>
      </c>
      <c r="U1330" s="10">
        <f>SUM(I1330:T1330)</f>
        <v/>
      </c>
    </row>
    <row r="1331">
      <c r="A1331" s="2" t="inlineStr">
        <is>
          <t>SN-3000-3300-3330-3330SY0029</t>
        </is>
      </c>
      <c r="B1331" s="2" t="inlineStr">
        <is>
          <t>3330SY0029</t>
        </is>
      </c>
      <c r="C1331" s="2" t="inlineStr">
        <is>
          <t>Lava ojos emergencia</t>
        </is>
      </c>
      <c r="D1331" s="2" t="n">
        <v>444</v>
      </c>
      <c r="E1331" s="2" t="inlineStr">
        <is>
          <t>CC-3000</t>
        </is>
      </c>
      <c r="F1331" s="2" t="inlineStr">
        <is>
          <t>P01</t>
        </is>
      </c>
      <c r="G1331" s="2" t="n">
        <v>610000</v>
      </c>
      <c r="H1331" s="2" t="inlineStr">
        <is>
          <t>Mano obra interna</t>
        </is>
      </c>
      <c r="I1331" s="9" t="n">
        <v>967.99</v>
      </c>
      <c r="J1331" s="9" t="n">
        <v>972.5599999999999</v>
      </c>
      <c r="K1331" s="9" t="n">
        <v>1013.06</v>
      </c>
      <c r="L1331" s="9" t="n">
        <v>1023.73</v>
      </c>
      <c r="M1331" s="9" t="n">
        <v>971.75</v>
      </c>
      <c r="N1331" s="9" t="n">
        <v>1007.33</v>
      </c>
      <c r="O1331" s="9" t="n">
        <v>944.6799999999999</v>
      </c>
      <c r="P1331" s="9" t="n">
        <v>948.8200000000001</v>
      </c>
      <c r="Q1331" s="9" t="n">
        <v>978.79</v>
      </c>
      <c r="R1331" s="9" t="n">
        <v>990.46</v>
      </c>
      <c r="S1331" s="9" t="n">
        <v>970.4</v>
      </c>
      <c r="T1331" s="9" t="n">
        <v>1028.85</v>
      </c>
      <c r="U1331" s="10">
        <f>SUM(I1331:T1331)</f>
        <v/>
      </c>
    </row>
    <row r="1332">
      <c r="A1332" s="2" t="inlineStr">
        <is>
          <t>SN-3000-3300-3330-3330SY0029</t>
        </is>
      </c>
      <c r="B1332" s="2" t="inlineStr">
        <is>
          <t>3330SY0029</t>
        </is>
      </c>
      <c r="C1332" s="2" t="inlineStr">
        <is>
          <t>Lava ojos emergencia</t>
        </is>
      </c>
      <c r="D1332" s="2" t="n">
        <v>444</v>
      </c>
      <c r="E1332" s="2" t="inlineStr">
        <is>
          <t>CC-3000</t>
        </is>
      </c>
      <c r="F1332" s="2" t="inlineStr">
        <is>
          <t>P01</t>
        </is>
      </c>
      <c r="G1332" s="2" t="n">
        <v>620000</v>
      </c>
      <c r="H1332" s="2" t="inlineStr">
        <is>
          <t>Materiales</t>
        </is>
      </c>
      <c r="I1332" s="9" t="n">
        <v>1152.41</v>
      </c>
      <c r="J1332" s="9" t="n">
        <v>1021.82</v>
      </c>
      <c r="K1332" s="9" t="n">
        <v>1193.23</v>
      </c>
      <c r="L1332" s="9" t="n">
        <v>1054.54</v>
      </c>
      <c r="M1332" s="9" t="n">
        <v>1066.34</v>
      </c>
      <c r="N1332" s="9" t="n">
        <v>975.62</v>
      </c>
      <c r="O1332" s="9" t="n">
        <v>1103.27</v>
      </c>
      <c r="P1332" s="9" t="n">
        <v>1123.75</v>
      </c>
      <c r="Q1332" s="9" t="n">
        <v>1091.12</v>
      </c>
      <c r="R1332" s="9" t="n">
        <v>1225.93</v>
      </c>
      <c r="S1332" s="9" t="n">
        <v>1066.86</v>
      </c>
      <c r="T1332" s="9" t="n">
        <v>1188.02</v>
      </c>
      <c r="U1332" s="10">
        <f>SUM(I1332:T1332)</f>
        <v/>
      </c>
    </row>
    <row r="1333">
      <c r="A1333" s="2" t="inlineStr">
        <is>
          <t>SN-3000-3300-3330-3330SY0029</t>
        </is>
      </c>
      <c r="B1333" s="2" t="inlineStr">
        <is>
          <t>3330SY0029</t>
        </is>
      </c>
      <c r="C1333" s="2" t="inlineStr">
        <is>
          <t>Lava ojos emergencia</t>
        </is>
      </c>
      <c r="D1333" s="2" t="n">
        <v>444</v>
      </c>
      <c r="E1333" s="2" t="inlineStr">
        <is>
          <t>CC-3000</t>
        </is>
      </c>
      <c r="F1333" s="2" t="inlineStr">
        <is>
          <t>P01</t>
        </is>
      </c>
      <c r="G1333" s="2" t="n">
        <v>630000</v>
      </c>
      <c r="H1333" s="2" t="inlineStr">
        <is>
          <t>Servicios externos</t>
        </is>
      </c>
      <c r="I1333" s="9" t="n">
        <v>1112.92</v>
      </c>
      <c r="J1333" s="9" t="n">
        <v>1079.62</v>
      </c>
      <c r="K1333" s="9" t="n">
        <v>1097.74</v>
      </c>
      <c r="L1333" s="9" t="n">
        <v>1163.18</v>
      </c>
      <c r="M1333" s="9" t="n">
        <v>1014.63</v>
      </c>
      <c r="N1333" s="9" t="n">
        <v>1041.25</v>
      </c>
      <c r="O1333" s="9" t="n">
        <v>1118.52</v>
      </c>
      <c r="P1333" s="9" t="n">
        <v>1148.55</v>
      </c>
      <c r="Q1333" s="9" t="n">
        <v>1066.73</v>
      </c>
      <c r="R1333" s="9" t="n">
        <v>1165.92</v>
      </c>
      <c r="S1333" s="9" t="n">
        <v>1069.08</v>
      </c>
      <c r="T1333" s="9" t="n">
        <v>1077.11</v>
      </c>
      <c r="U1333" s="10">
        <f>SUM(I1333:T1333)</f>
        <v/>
      </c>
    </row>
    <row r="1334">
      <c r="A1334" s="2" t="inlineStr">
        <is>
          <t>SN-3000-3300-3330-3330SY0037</t>
        </is>
      </c>
      <c r="B1334" s="2" t="inlineStr">
        <is>
          <t>3330SY0037</t>
        </is>
      </c>
      <c r="C1334" s="2" t="inlineStr">
        <is>
          <t>Lava ojos emergencia</t>
        </is>
      </c>
      <c r="D1334" s="2" t="n">
        <v>445</v>
      </c>
      <c r="E1334" s="2" t="inlineStr">
        <is>
          <t>CC-3000</t>
        </is>
      </c>
      <c r="F1334" s="2" t="inlineStr">
        <is>
          <t>P01</t>
        </is>
      </c>
      <c r="G1334" s="2" t="n">
        <v>610000</v>
      </c>
      <c r="H1334" s="2" t="inlineStr">
        <is>
          <t>Mano obra interna</t>
        </is>
      </c>
      <c r="I1334" s="9" t="n">
        <v>1331.51</v>
      </c>
      <c r="J1334" s="9" t="n">
        <v>1289.28</v>
      </c>
      <c r="K1334" s="9" t="n">
        <v>1343.4</v>
      </c>
      <c r="L1334" s="9" t="n">
        <v>1179.28</v>
      </c>
      <c r="M1334" s="9" t="n">
        <v>1279.93</v>
      </c>
      <c r="N1334" s="9" t="n">
        <v>1254.9</v>
      </c>
      <c r="O1334" s="9" t="n">
        <v>1198.06</v>
      </c>
      <c r="P1334" s="9" t="n">
        <v>1227.45</v>
      </c>
      <c r="Q1334" s="9" t="n">
        <v>1190.96</v>
      </c>
      <c r="R1334" s="9" t="n">
        <v>1333.88</v>
      </c>
      <c r="S1334" s="9" t="n">
        <v>1279.21</v>
      </c>
      <c r="T1334" s="9" t="n">
        <v>1234.09</v>
      </c>
      <c r="U1334" s="10">
        <f>SUM(I1334:T1334)</f>
        <v/>
      </c>
    </row>
    <row r="1335">
      <c r="A1335" s="2" t="inlineStr">
        <is>
          <t>SN-3000-3300-3330-3330SY0037</t>
        </is>
      </c>
      <c r="B1335" s="2" t="inlineStr">
        <is>
          <t>3330SY0037</t>
        </is>
      </c>
      <c r="C1335" s="2" t="inlineStr">
        <is>
          <t>Lava ojos emergencia</t>
        </is>
      </c>
      <c r="D1335" s="2" t="n">
        <v>445</v>
      </c>
      <c r="E1335" s="2" t="inlineStr">
        <is>
          <t>CC-3000</t>
        </is>
      </c>
      <c r="F1335" s="2" t="inlineStr">
        <is>
          <t>P01</t>
        </is>
      </c>
      <c r="G1335" s="2" t="n">
        <v>620000</v>
      </c>
      <c r="H1335" s="2" t="inlineStr">
        <is>
          <t>Materiales</t>
        </is>
      </c>
      <c r="I1335" s="9" t="n">
        <v>1406.43</v>
      </c>
      <c r="J1335" s="9" t="n">
        <v>1294.95</v>
      </c>
      <c r="K1335" s="9" t="n">
        <v>1435.3</v>
      </c>
      <c r="L1335" s="9" t="n">
        <v>1355.05</v>
      </c>
      <c r="M1335" s="9" t="n">
        <v>1284.08</v>
      </c>
      <c r="N1335" s="9" t="n">
        <v>1179.33</v>
      </c>
      <c r="O1335" s="9" t="n">
        <v>1294.24</v>
      </c>
      <c r="P1335" s="9" t="n">
        <v>1364.34</v>
      </c>
      <c r="Q1335" s="9" t="n">
        <v>1307.71</v>
      </c>
      <c r="R1335" s="9" t="n">
        <v>1362.93</v>
      </c>
      <c r="S1335" s="9" t="n">
        <v>1244.56</v>
      </c>
      <c r="T1335" s="9" t="n">
        <v>1261.69</v>
      </c>
      <c r="U1335" s="10">
        <f>SUM(I1335:T1335)</f>
        <v/>
      </c>
    </row>
    <row r="1336">
      <c r="A1336" s="2" t="inlineStr">
        <is>
          <t>SN-3000-3300-3330-3330SY0037</t>
        </is>
      </c>
      <c r="B1336" s="2" t="inlineStr">
        <is>
          <t>3330SY0037</t>
        </is>
      </c>
      <c r="C1336" s="2" t="inlineStr">
        <is>
          <t>Lava ojos emergencia</t>
        </is>
      </c>
      <c r="D1336" s="2" t="n">
        <v>445</v>
      </c>
      <c r="E1336" s="2" t="inlineStr">
        <is>
          <t>CC-3000</t>
        </is>
      </c>
      <c r="F1336" s="2" t="inlineStr">
        <is>
          <t>P01</t>
        </is>
      </c>
      <c r="G1336" s="2" t="n">
        <v>630000</v>
      </c>
      <c r="H1336" s="2" t="inlineStr">
        <is>
          <t>Servicios externos</t>
        </is>
      </c>
      <c r="I1336" s="9" t="n">
        <v>1391.52</v>
      </c>
      <c r="J1336" s="9" t="n">
        <v>1278.6</v>
      </c>
      <c r="K1336" s="9" t="n">
        <v>1334.33</v>
      </c>
      <c r="L1336" s="9" t="n">
        <v>1308.72</v>
      </c>
      <c r="M1336" s="9" t="n">
        <v>1173.75</v>
      </c>
      <c r="N1336" s="9" t="n">
        <v>1258.42</v>
      </c>
      <c r="O1336" s="9" t="n">
        <v>1290.94</v>
      </c>
      <c r="P1336" s="9" t="n">
        <v>1301.45</v>
      </c>
      <c r="Q1336" s="9" t="n">
        <v>1257.28</v>
      </c>
      <c r="R1336" s="9" t="n">
        <v>1431.4</v>
      </c>
      <c r="S1336" s="9" t="n">
        <v>1284.32</v>
      </c>
      <c r="T1336" s="9" t="n">
        <v>1376.54</v>
      </c>
      <c r="U1336" s="10">
        <f>SUM(I1336:T1336)</f>
        <v/>
      </c>
    </row>
    <row r="1337">
      <c r="A1337" s="2" t="inlineStr">
        <is>
          <t>SN-3000-3300-3330-3330SY0040</t>
        </is>
      </c>
      <c r="B1337" s="2" t="inlineStr">
        <is>
          <t>3330SY0040</t>
        </is>
      </c>
      <c r="C1337" s="2" t="inlineStr">
        <is>
          <t>Lava ojos emergencia</t>
        </is>
      </c>
      <c r="D1337" s="2" t="n">
        <v>446</v>
      </c>
      <c r="E1337" s="2" t="inlineStr">
        <is>
          <t>CC-3000</t>
        </is>
      </c>
      <c r="F1337" s="2" t="inlineStr">
        <is>
          <t>P01</t>
        </is>
      </c>
      <c r="G1337" s="2" t="n">
        <v>610000</v>
      </c>
      <c r="H1337" s="2" t="inlineStr">
        <is>
          <t>Mano obra interna</t>
        </is>
      </c>
      <c r="I1337" s="9" t="n">
        <v>2306.38</v>
      </c>
      <c r="J1337" s="9" t="n">
        <v>2059.05</v>
      </c>
      <c r="K1337" s="9" t="n">
        <v>2285.8</v>
      </c>
      <c r="L1337" s="9" t="n">
        <v>2384.34</v>
      </c>
      <c r="M1337" s="9" t="n">
        <v>2040.42</v>
      </c>
      <c r="N1337" s="9" t="n">
        <v>1981.12</v>
      </c>
      <c r="O1337" s="9" t="n">
        <v>2076.76</v>
      </c>
      <c r="P1337" s="9" t="n">
        <v>2311</v>
      </c>
      <c r="Q1337" s="9" t="n">
        <v>2076.5</v>
      </c>
      <c r="R1337" s="9" t="n">
        <v>2354.74</v>
      </c>
      <c r="S1337" s="9" t="n">
        <v>2022.81</v>
      </c>
      <c r="T1337" s="9" t="n">
        <v>2347.5</v>
      </c>
      <c r="U1337" s="10">
        <f>SUM(I1337:T1337)</f>
        <v/>
      </c>
    </row>
    <row r="1338">
      <c r="A1338" s="2" t="inlineStr">
        <is>
          <t>SN-3000-3300-3330-3330SY0040</t>
        </is>
      </c>
      <c r="B1338" s="2" t="inlineStr">
        <is>
          <t>3330SY0040</t>
        </is>
      </c>
      <c r="C1338" s="2" t="inlineStr">
        <is>
          <t>Lava ojos emergencia</t>
        </is>
      </c>
      <c r="D1338" s="2" t="n">
        <v>446</v>
      </c>
      <c r="E1338" s="2" t="inlineStr">
        <is>
          <t>CC-3000</t>
        </is>
      </c>
      <c r="F1338" s="2" t="inlineStr">
        <is>
          <t>P01</t>
        </is>
      </c>
      <c r="G1338" s="2" t="n">
        <v>620000</v>
      </c>
      <c r="H1338" s="2" t="inlineStr">
        <is>
          <t>Materiales</t>
        </is>
      </c>
      <c r="I1338" s="9" t="n">
        <v>1729.5</v>
      </c>
      <c r="J1338" s="9" t="n">
        <v>1775.88</v>
      </c>
      <c r="K1338" s="9" t="n">
        <v>1833.12</v>
      </c>
      <c r="L1338" s="9" t="n">
        <v>1759.48</v>
      </c>
      <c r="M1338" s="9" t="n">
        <v>1781.51</v>
      </c>
      <c r="N1338" s="9" t="n">
        <v>1621.34</v>
      </c>
      <c r="O1338" s="9" t="n">
        <v>1844.15</v>
      </c>
      <c r="P1338" s="9" t="n">
        <v>1682.79</v>
      </c>
      <c r="Q1338" s="9" t="n">
        <v>1549.16</v>
      </c>
      <c r="R1338" s="9" t="n">
        <v>1984.12</v>
      </c>
      <c r="S1338" s="9" t="n">
        <v>1760.74</v>
      </c>
      <c r="T1338" s="9" t="n">
        <v>1695.7</v>
      </c>
      <c r="U1338" s="10">
        <f>SUM(I1338:T1338)</f>
        <v/>
      </c>
    </row>
    <row r="1339">
      <c r="A1339" s="2" t="inlineStr">
        <is>
          <t>SN-3000-3300-3330-3330SY0040</t>
        </is>
      </c>
      <c r="B1339" s="2" t="inlineStr">
        <is>
          <t>3330SY0040</t>
        </is>
      </c>
      <c r="C1339" s="2" t="inlineStr">
        <is>
          <t>Lava ojos emergencia</t>
        </is>
      </c>
      <c r="D1339" s="2" t="n">
        <v>446</v>
      </c>
      <c r="E1339" s="2" t="inlineStr">
        <is>
          <t>CC-3000</t>
        </is>
      </c>
      <c r="F1339" s="2" t="inlineStr">
        <is>
          <t>P01</t>
        </is>
      </c>
      <c r="G1339" s="2" t="n">
        <v>630000</v>
      </c>
      <c r="H1339" s="2" t="inlineStr">
        <is>
          <t>Servicios externos</t>
        </is>
      </c>
      <c r="I1339" s="9" t="n">
        <v>1784.48</v>
      </c>
      <c r="J1339" s="9" t="n">
        <v>1705.42</v>
      </c>
      <c r="K1339" s="9" t="n">
        <v>1663.44</v>
      </c>
      <c r="L1339" s="9" t="n">
        <v>1737.71</v>
      </c>
      <c r="M1339" s="9" t="n">
        <v>1542.41</v>
      </c>
      <c r="N1339" s="9" t="n">
        <v>1587.19</v>
      </c>
      <c r="O1339" s="9" t="n">
        <v>1531.26</v>
      </c>
      <c r="P1339" s="9" t="n">
        <v>1628.28</v>
      </c>
      <c r="Q1339" s="9" t="n">
        <v>1438.62</v>
      </c>
      <c r="R1339" s="9" t="n">
        <v>1781.19</v>
      </c>
      <c r="S1339" s="9" t="n">
        <v>1585.18</v>
      </c>
      <c r="T1339" s="9" t="n">
        <v>1667.9</v>
      </c>
      <c r="U1339" s="10">
        <f>SUM(I1339:T1339)</f>
        <v/>
      </c>
    </row>
    <row r="1340">
      <c r="A1340" s="2" t="inlineStr">
        <is>
          <t>SN-3000-3300-3330-3330TA0015</t>
        </is>
      </c>
      <c r="B1340" s="2" t="inlineStr">
        <is>
          <t>3330TA0015</t>
        </is>
      </c>
      <c r="C1340" s="2" t="inlineStr">
        <is>
          <t>Estanque precapa</t>
        </is>
      </c>
      <c r="D1340" s="2" t="n">
        <v>447</v>
      </c>
      <c r="E1340" s="2" t="inlineStr">
        <is>
          <t>CC-3000</t>
        </is>
      </c>
      <c r="F1340" s="2" t="inlineStr">
        <is>
          <t>P01</t>
        </is>
      </c>
      <c r="G1340" s="2" t="n">
        <v>610000</v>
      </c>
      <c r="H1340" s="2" t="inlineStr">
        <is>
          <t>Mano obra interna</t>
        </is>
      </c>
      <c r="I1340" s="9" t="n">
        <v>2187.37</v>
      </c>
      <c r="J1340" s="9" t="n">
        <v>2246.6</v>
      </c>
      <c r="K1340" s="9" t="n">
        <v>2213.14</v>
      </c>
      <c r="L1340" s="9" t="n">
        <v>2316.63</v>
      </c>
      <c r="M1340" s="9" t="n">
        <v>2123.27</v>
      </c>
      <c r="N1340" s="9" t="n">
        <v>2069.23</v>
      </c>
      <c r="O1340" s="9" t="n">
        <v>2214.62</v>
      </c>
      <c r="P1340" s="9" t="n">
        <v>2347.47</v>
      </c>
      <c r="Q1340" s="9" t="n">
        <v>1912.1</v>
      </c>
      <c r="R1340" s="9" t="n">
        <v>2186.47</v>
      </c>
      <c r="S1340" s="9" t="n">
        <v>2157.88</v>
      </c>
      <c r="T1340" s="9" t="n">
        <v>2383.54</v>
      </c>
      <c r="U1340" s="10">
        <f>SUM(I1340:T1340)</f>
        <v/>
      </c>
    </row>
    <row r="1341">
      <c r="A1341" s="2" t="inlineStr">
        <is>
          <t>SN-3000-3300-3330-3330TA0015</t>
        </is>
      </c>
      <c r="B1341" s="2" t="inlineStr">
        <is>
          <t>3330TA0015</t>
        </is>
      </c>
      <c r="C1341" s="2" t="inlineStr">
        <is>
          <t>Estanque precapa</t>
        </is>
      </c>
      <c r="D1341" s="2" t="n">
        <v>447</v>
      </c>
      <c r="E1341" s="2" t="inlineStr">
        <is>
          <t>CC-3000</t>
        </is>
      </c>
      <c r="F1341" s="2" t="inlineStr">
        <is>
          <t>P01</t>
        </is>
      </c>
      <c r="G1341" s="2" t="n">
        <v>620000</v>
      </c>
      <c r="H1341" s="2" t="inlineStr">
        <is>
          <t>Materiales</t>
        </is>
      </c>
      <c r="I1341" s="9" t="n">
        <v>2848.73</v>
      </c>
      <c r="J1341" s="9" t="n">
        <v>2741.21</v>
      </c>
      <c r="K1341" s="9" t="n">
        <v>2953.11</v>
      </c>
      <c r="L1341" s="9" t="n">
        <v>2884.77</v>
      </c>
      <c r="M1341" s="9" t="n">
        <v>2828.11</v>
      </c>
      <c r="N1341" s="9" t="n">
        <v>2834.8</v>
      </c>
      <c r="O1341" s="9" t="n">
        <v>2909.21</v>
      </c>
      <c r="P1341" s="9" t="n">
        <v>2794.16</v>
      </c>
      <c r="Q1341" s="9" t="n">
        <v>2588.37</v>
      </c>
      <c r="R1341" s="9" t="n">
        <v>3084.44</v>
      </c>
      <c r="S1341" s="9" t="n">
        <v>2689.11</v>
      </c>
      <c r="T1341" s="9" t="n">
        <v>2820</v>
      </c>
      <c r="U1341" s="10">
        <f>SUM(I1341:T1341)</f>
        <v/>
      </c>
    </row>
    <row r="1342">
      <c r="A1342" s="2" t="inlineStr">
        <is>
          <t>SN-3000-3300-3330-3330TA0015</t>
        </is>
      </c>
      <c r="B1342" s="2" t="inlineStr">
        <is>
          <t>3330TA0015</t>
        </is>
      </c>
      <c r="C1342" s="2" t="inlineStr">
        <is>
          <t>Estanque precapa</t>
        </is>
      </c>
      <c r="D1342" s="2" t="n">
        <v>447</v>
      </c>
      <c r="E1342" s="2" t="inlineStr">
        <is>
          <t>CC-3000</t>
        </is>
      </c>
      <c r="F1342" s="2" t="inlineStr">
        <is>
          <t>P01</t>
        </is>
      </c>
      <c r="G1342" s="2" t="n">
        <v>630000</v>
      </c>
      <c r="H1342" s="2" t="inlineStr">
        <is>
          <t>Servicios externos</t>
        </is>
      </c>
      <c r="I1342" s="9" t="n">
        <v>2052.62</v>
      </c>
      <c r="J1342" s="9" t="n">
        <v>2085.37</v>
      </c>
      <c r="K1342" s="9" t="n">
        <v>2301.43</v>
      </c>
      <c r="L1342" s="9" t="n">
        <v>2091.34</v>
      </c>
      <c r="M1342" s="9" t="n">
        <v>2106.99</v>
      </c>
      <c r="N1342" s="9" t="n">
        <v>1977.82</v>
      </c>
      <c r="O1342" s="9" t="n">
        <v>1988.09</v>
      </c>
      <c r="P1342" s="9" t="n">
        <v>2275.18</v>
      </c>
      <c r="Q1342" s="9" t="n">
        <v>2086.76</v>
      </c>
      <c r="R1342" s="9" t="n">
        <v>2133.41</v>
      </c>
      <c r="S1342" s="9" t="n">
        <v>2125.8</v>
      </c>
      <c r="T1342" s="9" t="n">
        <v>2100.32</v>
      </c>
      <c r="U1342" s="10">
        <f>SUM(I1342:T1342)</f>
        <v/>
      </c>
    </row>
    <row r="1343">
      <c r="A1343" s="2" t="inlineStr">
        <is>
          <t>SN-3000-3300-3330-3330TA0016</t>
        </is>
      </c>
      <c r="B1343" s="2" t="inlineStr">
        <is>
          <t>3330TA0016</t>
        </is>
      </c>
      <c r="C1343" s="2" t="inlineStr">
        <is>
          <t>Estanque ayuda filtrante</t>
        </is>
      </c>
      <c r="D1343" s="2" t="n">
        <v>448</v>
      </c>
      <c r="E1343" s="2" t="inlineStr">
        <is>
          <t>CC-3000</t>
        </is>
      </c>
      <c r="F1343" s="2" t="inlineStr">
        <is>
          <t>P01</t>
        </is>
      </c>
      <c r="G1343" s="2" t="n">
        <v>610000</v>
      </c>
      <c r="H1343" s="2" t="inlineStr">
        <is>
          <t>Mano obra interna</t>
        </is>
      </c>
      <c r="I1343" s="9" t="n">
        <v>2013.51</v>
      </c>
      <c r="J1343" s="9" t="n">
        <v>1922.09</v>
      </c>
      <c r="K1343" s="9" t="n">
        <v>2124.06</v>
      </c>
      <c r="L1343" s="9" t="n">
        <v>2193.31</v>
      </c>
      <c r="M1343" s="9" t="n">
        <v>1916.55</v>
      </c>
      <c r="N1343" s="9" t="n">
        <v>2012.55</v>
      </c>
      <c r="O1343" s="9" t="n">
        <v>1894.71</v>
      </c>
      <c r="P1343" s="9" t="n">
        <v>2171.69</v>
      </c>
      <c r="Q1343" s="9" t="n">
        <v>1768.91</v>
      </c>
      <c r="R1343" s="9" t="n">
        <v>2342.1</v>
      </c>
      <c r="S1343" s="9" t="n">
        <v>1968.84</v>
      </c>
      <c r="T1343" s="9" t="n">
        <v>2049.86</v>
      </c>
      <c r="U1343" s="10">
        <f>SUM(I1343:T1343)</f>
        <v/>
      </c>
    </row>
    <row r="1344">
      <c r="A1344" s="2" t="inlineStr">
        <is>
          <t>SN-3000-3300-3330-3330TA0016</t>
        </is>
      </c>
      <c r="B1344" s="2" t="inlineStr">
        <is>
          <t>3330TA0016</t>
        </is>
      </c>
      <c r="C1344" s="2" t="inlineStr">
        <is>
          <t>Estanque ayuda filtrante</t>
        </is>
      </c>
      <c r="D1344" s="2" t="n">
        <v>448</v>
      </c>
      <c r="E1344" s="2" t="inlineStr">
        <is>
          <t>CC-3000</t>
        </is>
      </c>
      <c r="F1344" s="2" t="inlineStr">
        <is>
          <t>P01</t>
        </is>
      </c>
      <c r="G1344" s="2" t="n">
        <v>620000</v>
      </c>
      <c r="H1344" s="2" t="inlineStr">
        <is>
          <t>Materiales</t>
        </is>
      </c>
      <c r="I1344" s="9" t="n">
        <v>2158.36</v>
      </c>
      <c r="J1344" s="9" t="n">
        <v>1977.18</v>
      </c>
      <c r="K1344" s="9" t="n">
        <v>1901.84</v>
      </c>
      <c r="L1344" s="9" t="n">
        <v>2005.67</v>
      </c>
      <c r="M1344" s="9" t="n">
        <v>1949.24</v>
      </c>
      <c r="N1344" s="9" t="n">
        <v>1878.67</v>
      </c>
      <c r="O1344" s="9" t="n">
        <v>1983.16</v>
      </c>
      <c r="P1344" s="9" t="n">
        <v>1808.15</v>
      </c>
      <c r="Q1344" s="9" t="n">
        <v>1886.63</v>
      </c>
      <c r="R1344" s="9" t="n">
        <v>2186.07</v>
      </c>
      <c r="S1344" s="9" t="n">
        <v>1781.09</v>
      </c>
      <c r="T1344" s="9" t="n">
        <v>2011.94</v>
      </c>
      <c r="U1344" s="10">
        <f>SUM(I1344:T1344)</f>
        <v/>
      </c>
    </row>
    <row r="1345">
      <c r="A1345" s="2" t="inlineStr">
        <is>
          <t>SN-3000-3300-3330-3330TA0016</t>
        </is>
      </c>
      <c r="B1345" s="2" t="inlineStr">
        <is>
          <t>3330TA0016</t>
        </is>
      </c>
      <c r="C1345" s="2" t="inlineStr">
        <is>
          <t>Estanque ayuda filtrante</t>
        </is>
      </c>
      <c r="D1345" s="2" t="n">
        <v>448</v>
      </c>
      <c r="E1345" s="2" t="inlineStr">
        <is>
          <t>CC-3000</t>
        </is>
      </c>
      <c r="F1345" s="2" t="inlineStr">
        <is>
          <t>P01</t>
        </is>
      </c>
      <c r="G1345" s="2" t="n">
        <v>630000</v>
      </c>
      <c r="H1345" s="2" t="inlineStr">
        <is>
          <t>Servicios externos</t>
        </is>
      </c>
      <c r="I1345" s="9" t="n">
        <v>1831.66</v>
      </c>
      <c r="J1345" s="9" t="n">
        <v>1603.07</v>
      </c>
      <c r="K1345" s="9" t="n">
        <v>1834.93</v>
      </c>
      <c r="L1345" s="9" t="n">
        <v>1719.29</v>
      </c>
      <c r="M1345" s="9" t="n">
        <v>1727.26</v>
      </c>
      <c r="N1345" s="9" t="n">
        <v>1739.66</v>
      </c>
      <c r="O1345" s="9" t="n">
        <v>1801.54</v>
      </c>
      <c r="P1345" s="9" t="n">
        <v>1635.84</v>
      </c>
      <c r="Q1345" s="9" t="n">
        <v>1646.53</v>
      </c>
      <c r="R1345" s="9" t="n">
        <v>2021.2</v>
      </c>
      <c r="S1345" s="9" t="n">
        <v>1595</v>
      </c>
      <c r="T1345" s="9" t="n">
        <v>1869.15</v>
      </c>
      <c r="U1345" s="10">
        <f>SUM(I1345:T1345)</f>
        <v/>
      </c>
    </row>
    <row r="1346">
      <c r="A1346" s="2" t="inlineStr">
        <is>
          <t>SN-3000-3300-3330-3330TA0018</t>
        </is>
      </c>
      <c r="B1346" s="2" t="inlineStr">
        <is>
          <t>3330TA0018</t>
        </is>
      </c>
      <c r="C1346" s="2" t="inlineStr">
        <is>
          <t>Estanque conico zinc</t>
        </is>
      </c>
      <c r="D1346" s="2" t="n">
        <v>449</v>
      </c>
      <c r="E1346" s="2" t="inlineStr">
        <is>
          <t>CC-3000</t>
        </is>
      </c>
      <c r="F1346" s="2" t="inlineStr">
        <is>
          <t>P01</t>
        </is>
      </c>
      <c r="G1346" s="2" t="n">
        <v>610000</v>
      </c>
      <c r="H1346" s="2" t="inlineStr">
        <is>
          <t>Mano obra interna</t>
        </is>
      </c>
      <c r="I1346" s="9" t="n">
        <v>889.76</v>
      </c>
      <c r="J1346" s="9" t="n">
        <v>793.65</v>
      </c>
      <c r="K1346" s="9" t="n">
        <v>832.17</v>
      </c>
      <c r="L1346" s="9" t="n">
        <v>908.83</v>
      </c>
      <c r="M1346" s="9" t="n">
        <v>807.8099999999999</v>
      </c>
      <c r="N1346" s="9" t="n">
        <v>742.48</v>
      </c>
      <c r="O1346" s="9" t="n">
        <v>848.8099999999999</v>
      </c>
      <c r="P1346" s="9" t="n">
        <v>784.27</v>
      </c>
      <c r="Q1346" s="9" t="n">
        <v>814.15</v>
      </c>
      <c r="R1346" s="9" t="n">
        <v>920.89</v>
      </c>
      <c r="S1346" s="9" t="n">
        <v>856.78</v>
      </c>
      <c r="T1346" s="9" t="n">
        <v>886</v>
      </c>
      <c r="U1346" s="10">
        <f>SUM(I1346:T1346)</f>
        <v/>
      </c>
    </row>
    <row r="1347">
      <c r="A1347" s="2" t="inlineStr">
        <is>
          <t>SN-3000-3300-3330-3330TA0018</t>
        </is>
      </c>
      <c r="B1347" s="2" t="inlineStr">
        <is>
          <t>3330TA0018</t>
        </is>
      </c>
      <c r="C1347" s="2" t="inlineStr">
        <is>
          <t>Estanque conico zinc</t>
        </is>
      </c>
      <c r="D1347" s="2" t="n">
        <v>449</v>
      </c>
      <c r="E1347" s="2" t="inlineStr">
        <is>
          <t>CC-3000</t>
        </is>
      </c>
      <c r="F1347" s="2" t="inlineStr">
        <is>
          <t>P01</t>
        </is>
      </c>
      <c r="G1347" s="2" t="n">
        <v>620000</v>
      </c>
      <c r="H1347" s="2" t="inlineStr">
        <is>
          <t>Materiales</t>
        </is>
      </c>
      <c r="I1347" s="9" t="n">
        <v>675.2</v>
      </c>
      <c r="J1347" s="9" t="n">
        <v>693.21</v>
      </c>
      <c r="K1347" s="9" t="n">
        <v>686.38</v>
      </c>
      <c r="L1347" s="9" t="n">
        <v>741.1900000000001</v>
      </c>
      <c r="M1347" s="9" t="n">
        <v>692.4400000000001</v>
      </c>
      <c r="N1347" s="9" t="n">
        <v>594.65</v>
      </c>
      <c r="O1347" s="9" t="n">
        <v>715.5599999999999</v>
      </c>
      <c r="P1347" s="9" t="n">
        <v>630.71</v>
      </c>
      <c r="Q1347" s="9" t="n">
        <v>591.54</v>
      </c>
      <c r="R1347" s="9" t="n">
        <v>754.41</v>
      </c>
      <c r="S1347" s="9" t="n">
        <v>690.83</v>
      </c>
      <c r="T1347" s="9" t="n">
        <v>688.24</v>
      </c>
      <c r="U1347" s="10">
        <f>SUM(I1347:T1347)</f>
        <v/>
      </c>
    </row>
    <row r="1348">
      <c r="A1348" s="2" t="inlineStr">
        <is>
          <t>SN-3000-3300-3330-3330TA0018</t>
        </is>
      </c>
      <c r="B1348" s="2" t="inlineStr">
        <is>
          <t>3330TA0018</t>
        </is>
      </c>
      <c r="C1348" s="2" t="inlineStr">
        <is>
          <t>Estanque conico zinc</t>
        </is>
      </c>
      <c r="D1348" s="2" t="n">
        <v>449</v>
      </c>
      <c r="E1348" s="2" t="inlineStr">
        <is>
          <t>CC-3000</t>
        </is>
      </c>
      <c r="F1348" s="2" t="inlineStr">
        <is>
          <t>P01</t>
        </is>
      </c>
      <c r="G1348" s="2" t="n">
        <v>630000</v>
      </c>
      <c r="H1348" s="2" t="inlineStr">
        <is>
          <t>Servicios externos</t>
        </is>
      </c>
      <c r="I1348" s="9" t="n">
        <v>719.11</v>
      </c>
      <c r="J1348" s="9" t="n">
        <v>692.8</v>
      </c>
      <c r="K1348" s="9" t="n">
        <v>723.78</v>
      </c>
      <c r="L1348" s="9" t="n">
        <v>707.16</v>
      </c>
      <c r="M1348" s="9" t="n">
        <v>726.5599999999999</v>
      </c>
      <c r="N1348" s="9" t="n">
        <v>734.08</v>
      </c>
      <c r="O1348" s="9" t="n">
        <v>699.63</v>
      </c>
      <c r="P1348" s="9" t="n">
        <v>684.9</v>
      </c>
      <c r="Q1348" s="9" t="n">
        <v>708.1</v>
      </c>
      <c r="R1348" s="9" t="n">
        <v>808.28</v>
      </c>
      <c r="S1348" s="9" t="n">
        <v>746.7</v>
      </c>
      <c r="T1348" s="9" t="n">
        <v>693.11</v>
      </c>
      <c r="U1348" s="10">
        <f>SUM(I1348:T1348)</f>
        <v/>
      </c>
    </row>
    <row r="1349">
      <c r="A1349" s="2" t="inlineStr">
        <is>
          <t>SN-3000-3300-3330-3330TA0033</t>
        </is>
      </c>
      <c r="B1349" s="2" t="inlineStr">
        <is>
          <t>3330TA0033</t>
        </is>
      </c>
      <c r="C1349" s="2" t="inlineStr">
        <is>
          <t>Estanque colección derrames</t>
        </is>
      </c>
      <c r="D1349" s="2" t="n">
        <v>450</v>
      </c>
      <c r="E1349" s="2" t="inlineStr">
        <is>
          <t>CC-3000</t>
        </is>
      </c>
      <c r="F1349" s="2" t="inlineStr">
        <is>
          <t>P01</t>
        </is>
      </c>
      <c r="G1349" s="2" t="n">
        <v>610000</v>
      </c>
      <c r="H1349" s="2" t="inlineStr">
        <is>
          <t>Mano obra interna</t>
        </is>
      </c>
      <c r="I1349" s="9" t="n">
        <v>721.91</v>
      </c>
      <c r="J1349" s="9" t="n">
        <v>704.55</v>
      </c>
      <c r="K1349" s="9" t="n">
        <v>722.45</v>
      </c>
      <c r="L1349" s="9" t="n">
        <v>729.37</v>
      </c>
      <c r="M1349" s="9" t="n">
        <v>659.6900000000001</v>
      </c>
      <c r="N1349" s="9" t="n">
        <v>669.46</v>
      </c>
      <c r="O1349" s="9" t="n">
        <v>720.61</v>
      </c>
      <c r="P1349" s="9" t="n">
        <v>694.4299999999999</v>
      </c>
      <c r="Q1349" s="9" t="n">
        <v>672.73</v>
      </c>
      <c r="R1349" s="9" t="n">
        <v>751.6900000000001</v>
      </c>
      <c r="S1349" s="9" t="n">
        <v>661.97</v>
      </c>
      <c r="T1349" s="9" t="n">
        <v>690.54</v>
      </c>
      <c r="U1349" s="10">
        <f>SUM(I1349:T1349)</f>
        <v/>
      </c>
    </row>
    <row r="1350">
      <c r="A1350" s="2" t="inlineStr">
        <is>
          <t>SN-3000-3300-3330-3330TA0033</t>
        </is>
      </c>
      <c r="B1350" s="2" t="inlineStr">
        <is>
          <t>3330TA0033</t>
        </is>
      </c>
      <c r="C1350" s="2" t="inlineStr">
        <is>
          <t>Estanque colección derrames</t>
        </is>
      </c>
      <c r="D1350" s="2" t="n">
        <v>450</v>
      </c>
      <c r="E1350" s="2" t="inlineStr">
        <is>
          <t>CC-3000</t>
        </is>
      </c>
      <c r="F1350" s="2" t="inlineStr">
        <is>
          <t>P01</t>
        </is>
      </c>
      <c r="G1350" s="2" t="n">
        <v>620000</v>
      </c>
      <c r="H1350" s="2" t="inlineStr">
        <is>
          <t>Materiales</t>
        </is>
      </c>
      <c r="I1350" s="9" t="n">
        <v>704.67</v>
      </c>
      <c r="J1350" s="9" t="n">
        <v>755.84</v>
      </c>
      <c r="K1350" s="9" t="n">
        <v>813.52</v>
      </c>
      <c r="L1350" s="9" t="n">
        <v>746.02</v>
      </c>
      <c r="M1350" s="9" t="n">
        <v>685.86</v>
      </c>
      <c r="N1350" s="9" t="n">
        <v>770.12</v>
      </c>
      <c r="O1350" s="9" t="n">
        <v>719.38</v>
      </c>
      <c r="P1350" s="9" t="n">
        <v>702.14</v>
      </c>
      <c r="Q1350" s="9" t="n">
        <v>681.16</v>
      </c>
      <c r="R1350" s="9" t="n">
        <v>836.6799999999999</v>
      </c>
      <c r="S1350" s="9" t="n">
        <v>699.59</v>
      </c>
      <c r="T1350" s="9" t="n">
        <v>767.47</v>
      </c>
      <c r="U1350" s="10">
        <f>SUM(I1350:T1350)</f>
        <v/>
      </c>
    </row>
    <row r="1351">
      <c r="A1351" s="2" t="inlineStr">
        <is>
          <t>SN-3000-3300-3330-3330TA0033</t>
        </is>
      </c>
      <c r="B1351" s="2" t="inlineStr">
        <is>
          <t>3330TA0033</t>
        </is>
      </c>
      <c r="C1351" s="2" t="inlineStr">
        <is>
          <t>Estanque colección derrames</t>
        </is>
      </c>
      <c r="D1351" s="2" t="n">
        <v>450</v>
      </c>
      <c r="E1351" s="2" t="inlineStr">
        <is>
          <t>CC-3000</t>
        </is>
      </c>
      <c r="F1351" s="2" t="inlineStr">
        <is>
          <t>P01</t>
        </is>
      </c>
      <c r="G1351" s="2" t="n">
        <v>630000</v>
      </c>
      <c r="H1351" s="2" t="inlineStr">
        <is>
          <t>Servicios externos</t>
        </is>
      </c>
      <c r="I1351" s="9" t="n">
        <v>720.25</v>
      </c>
      <c r="J1351" s="9" t="n">
        <v>720.02</v>
      </c>
      <c r="K1351" s="9" t="n">
        <v>803.17</v>
      </c>
      <c r="L1351" s="9" t="n">
        <v>781.83</v>
      </c>
      <c r="M1351" s="9" t="n">
        <v>698.48</v>
      </c>
      <c r="N1351" s="9" t="n">
        <v>679.78</v>
      </c>
      <c r="O1351" s="9" t="n">
        <v>768.77</v>
      </c>
      <c r="P1351" s="9" t="n">
        <v>788.6</v>
      </c>
      <c r="Q1351" s="9" t="n">
        <v>682.71</v>
      </c>
      <c r="R1351" s="9" t="n">
        <v>822.8</v>
      </c>
      <c r="S1351" s="9" t="n">
        <v>689.16</v>
      </c>
      <c r="T1351" s="9" t="n">
        <v>739.64</v>
      </c>
      <c r="U1351" s="10">
        <f>SUM(I1351:T1351)</f>
        <v/>
      </c>
    </row>
    <row r="1352">
      <c r="A1352" s="2" t="inlineStr">
        <is>
          <t>SN-3000-3300-3330-3330TH0004</t>
        </is>
      </c>
      <c r="B1352" s="2" t="inlineStr">
        <is>
          <t>3330TH0004</t>
        </is>
      </c>
      <c r="C1352" s="2" t="inlineStr">
        <is>
          <t>Clarificador MC</t>
        </is>
      </c>
      <c r="D1352" s="2" t="n">
        <v>451</v>
      </c>
      <c r="E1352" s="2" t="inlineStr">
        <is>
          <t>CC-3000</t>
        </is>
      </c>
      <c r="F1352" s="2" t="inlineStr">
        <is>
          <t>P01</t>
        </is>
      </c>
      <c r="G1352" s="2" t="n">
        <v>610000</v>
      </c>
      <c r="H1352" s="2" t="inlineStr">
        <is>
          <t>Mano obra interna</t>
        </is>
      </c>
      <c r="I1352" s="9" t="n">
        <v>2016.27</v>
      </c>
      <c r="J1352" s="9" t="n">
        <v>1835.6</v>
      </c>
      <c r="K1352" s="9" t="n">
        <v>2052.56</v>
      </c>
      <c r="L1352" s="9" t="n">
        <v>2000.09</v>
      </c>
      <c r="M1352" s="9" t="n">
        <v>1972.81</v>
      </c>
      <c r="N1352" s="9" t="n">
        <v>1748.52</v>
      </c>
      <c r="O1352" s="9" t="n">
        <v>1799.21</v>
      </c>
      <c r="P1352" s="9" t="n">
        <v>2035.28</v>
      </c>
      <c r="Q1352" s="9" t="n">
        <v>1824.21</v>
      </c>
      <c r="R1352" s="9" t="n">
        <v>2151.49</v>
      </c>
      <c r="S1352" s="9" t="n">
        <v>1690.52</v>
      </c>
      <c r="T1352" s="9" t="n">
        <v>1877.18</v>
      </c>
      <c r="U1352" s="10">
        <f>SUM(I1352:T1352)</f>
        <v/>
      </c>
    </row>
    <row r="1353">
      <c r="A1353" s="2" t="inlineStr">
        <is>
          <t>SN-3000-3300-3330-3330TH0004</t>
        </is>
      </c>
      <c r="B1353" s="2" t="inlineStr">
        <is>
          <t>3330TH0004</t>
        </is>
      </c>
      <c r="C1353" s="2" t="inlineStr">
        <is>
          <t>Clarificador MC</t>
        </is>
      </c>
      <c r="D1353" s="2" t="n">
        <v>451</v>
      </c>
      <c r="E1353" s="2" t="inlineStr">
        <is>
          <t>CC-3000</t>
        </is>
      </c>
      <c r="F1353" s="2" t="inlineStr">
        <is>
          <t>P01</t>
        </is>
      </c>
      <c r="G1353" s="2" t="n">
        <v>620000</v>
      </c>
      <c r="H1353" s="2" t="inlineStr">
        <is>
          <t>Materiales</t>
        </is>
      </c>
      <c r="I1353" s="9" t="n">
        <v>2274.19</v>
      </c>
      <c r="J1353" s="9" t="n">
        <v>2378.24</v>
      </c>
      <c r="K1353" s="9" t="n">
        <v>2436.69</v>
      </c>
      <c r="L1353" s="9" t="n">
        <v>2253.28</v>
      </c>
      <c r="M1353" s="9" t="n">
        <v>2264.47</v>
      </c>
      <c r="N1353" s="9" t="n">
        <v>2205.46</v>
      </c>
      <c r="O1353" s="9" t="n">
        <v>2241.71</v>
      </c>
      <c r="P1353" s="9" t="n">
        <v>2437.52</v>
      </c>
      <c r="Q1353" s="9" t="n">
        <v>2132.26</v>
      </c>
      <c r="R1353" s="9" t="n">
        <v>2484.76</v>
      </c>
      <c r="S1353" s="9" t="n">
        <v>2460.13</v>
      </c>
      <c r="T1353" s="9" t="n">
        <v>2411.78</v>
      </c>
      <c r="U1353" s="10">
        <f>SUM(I1353:T1353)</f>
        <v/>
      </c>
    </row>
    <row r="1354">
      <c r="A1354" s="2" t="inlineStr">
        <is>
          <t>SN-3000-3300-3330-3330TH0004</t>
        </is>
      </c>
      <c r="B1354" s="2" t="inlineStr">
        <is>
          <t>3330TH0004</t>
        </is>
      </c>
      <c r="C1354" s="2" t="inlineStr">
        <is>
          <t>Clarificador MC</t>
        </is>
      </c>
      <c r="D1354" s="2" t="n">
        <v>451</v>
      </c>
      <c r="E1354" s="2" t="inlineStr">
        <is>
          <t>CC-3000</t>
        </is>
      </c>
      <c r="F1354" s="2" t="inlineStr">
        <is>
          <t>P01</t>
        </is>
      </c>
      <c r="G1354" s="2" t="n">
        <v>630000</v>
      </c>
      <c r="H1354" s="2" t="inlineStr">
        <is>
          <t>Servicios externos</t>
        </is>
      </c>
      <c r="I1354" s="9" t="n">
        <v>2191.36</v>
      </c>
      <c r="J1354" s="9" t="n">
        <v>2174.76</v>
      </c>
      <c r="K1354" s="9" t="n">
        <v>1975.48</v>
      </c>
      <c r="L1354" s="9" t="n">
        <v>2100.52</v>
      </c>
      <c r="M1354" s="9" t="n">
        <v>2087.3</v>
      </c>
      <c r="N1354" s="9" t="n">
        <v>1923.82</v>
      </c>
      <c r="O1354" s="9" t="n">
        <v>2163.68</v>
      </c>
      <c r="P1354" s="9" t="n">
        <v>2227.05</v>
      </c>
      <c r="Q1354" s="9" t="n">
        <v>2066</v>
      </c>
      <c r="R1354" s="9" t="n">
        <v>2151.23</v>
      </c>
      <c r="S1354" s="9" t="n">
        <v>1918.35</v>
      </c>
      <c r="T1354" s="9" t="n">
        <v>2257.1</v>
      </c>
      <c r="U1354" s="10">
        <f>SUM(I1354:T1354)</f>
        <v/>
      </c>
    </row>
    <row r="1355">
      <c r="A1355" s="2" t="inlineStr">
        <is>
          <t>SN-3000-3300-3330-3330TK0011</t>
        </is>
      </c>
      <c r="B1355" s="2" t="inlineStr">
        <is>
          <t>3330TK0011</t>
        </is>
      </c>
      <c r="C1355" s="2" t="inlineStr">
        <is>
          <t>Estanque solución rica</t>
        </is>
      </c>
      <c r="D1355" s="2" t="n">
        <v>452</v>
      </c>
      <c r="E1355" s="2" t="inlineStr">
        <is>
          <t>CC-3000</t>
        </is>
      </c>
      <c r="F1355" s="2" t="inlineStr">
        <is>
          <t>P01</t>
        </is>
      </c>
      <c r="G1355" s="2" t="n">
        <v>610000</v>
      </c>
      <c r="H1355" s="2" t="inlineStr">
        <is>
          <t>Mano obra interna</t>
        </is>
      </c>
      <c r="I1355" s="9" t="n">
        <v>2422.18</v>
      </c>
      <c r="J1355" s="9" t="n">
        <v>2532.38</v>
      </c>
      <c r="K1355" s="9" t="n">
        <v>2479.07</v>
      </c>
      <c r="L1355" s="9" t="n">
        <v>2449.02</v>
      </c>
      <c r="M1355" s="9" t="n">
        <v>2612.6</v>
      </c>
      <c r="N1355" s="9" t="n">
        <v>2251.04</v>
      </c>
      <c r="O1355" s="9" t="n">
        <v>2316.46</v>
      </c>
      <c r="P1355" s="9" t="n">
        <v>2395.18</v>
      </c>
      <c r="Q1355" s="9" t="n">
        <v>2356.49</v>
      </c>
      <c r="R1355" s="9" t="n">
        <v>2522.21</v>
      </c>
      <c r="S1355" s="9" t="n">
        <v>2398.45</v>
      </c>
      <c r="T1355" s="9" t="n">
        <v>2577.3</v>
      </c>
      <c r="U1355" s="10">
        <f>SUM(I1355:T1355)</f>
        <v/>
      </c>
    </row>
    <row r="1356">
      <c r="A1356" s="2" t="inlineStr">
        <is>
          <t>SN-3000-3300-3330-3330TK0011</t>
        </is>
      </c>
      <c r="B1356" s="2" t="inlineStr">
        <is>
          <t>3330TK0011</t>
        </is>
      </c>
      <c r="C1356" s="2" t="inlineStr">
        <is>
          <t>Estanque solución rica</t>
        </is>
      </c>
      <c r="D1356" s="2" t="n">
        <v>452</v>
      </c>
      <c r="E1356" s="2" t="inlineStr">
        <is>
          <t>CC-3000</t>
        </is>
      </c>
      <c r="F1356" s="2" t="inlineStr">
        <is>
          <t>P01</t>
        </is>
      </c>
      <c r="G1356" s="2" t="n">
        <v>620000</v>
      </c>
      <c r="H1356" s="2" t="inlineStr">
        <is>
          <t>Materiales</t>
        </is>
      </c>
      <c r="I1356" s="9" t="n">
        <v>2630.58</v>
      </c>
      <c r="J1356" s="9" t="n">
        <v>2787.17</v>
      </c>
      <c r="K1356" s="9" t="n">
        <v>2660.64</v>
      </c>
      <c r="L1356" s="9" t="n">
        <v>2830.49</v>
      </c>
      <c r="M1356" s="9" t="n">
        <v>2635.85</v>
      </c>
      <c r="N1356" s="9" t="n">
        <v>2416.2</v>
      </c>
      <c r="O1356" s="9" t="n">
        <v>2786.86</v>
      </c>
      <c r="P1356" s="9" t="n">
        <v>2569.73</v>
      </c>
      <c r="Q1356" s="9" t="n">
        <v>2377.38</v>
      </c>
      <c r="R1356" s="9" t="n">
        <v>2838.65</v>
      </c>
      <c r="S1356" s="9" t="n">
        <v>2671.2</v>
      </c>
      <c r="T1356" s="9" t="n">
        <v>2616.93</v>
      </c>
      <c r="U1356" s="10">
        <f>SUM(I1356:T1356)</f>
        <v/>
      </c>
    </row>
    <row r="1357">
      <c r="A1357" s="2" t="inlineStr">
        <is>
          <t>SN-3000-3300-3330-3330TK0011</t>
        </is>
      </c>
      <c r="B1357" s="2" t="inlineStr">
        <is>
          <t>3330TK0011</t>
        </is>
      </c>
      <c r="C1357" s="2" t="inlineStr">
        <is>
          <t>Estanque solución rica</t>
        </is>
      </c>
      <c r="D1357" s="2" t="n">
        <v>452</v>
      </c>
      <c r="E1357" s="2" t="inlineStr">
        <is>
          <t>CC-3000</t>
        </is>
      </c>
      <c r="F1357" s="2" t="inlineStr">
        <is>
          <t>P01</t>
        </is>
      </c>
      <c r="G1357" s="2" t="n">
        <v>630000</v>
      </c>
      <c r="H1357" s="2" t="inlineStr">
        <is>
          <t>Servicios externos</t>
        </is>
      </c>
      <c r="I1357" s="9" t="n">
        <v>2066.26</v>
      </c>
      <c r="J1357" s="9" t="n">
        <v>2153.2</v>
      </c>
      <c r="K1357" s="9" t="n">
        <v>2239.9</v>
      </c>
      <c r="L1357" s="9" t="n">
        <v>2149.11</v>
      </c>
      <c r="M1357" s="9" t="n">
        <v>2018.33</v>
      </c>
      <c r="N1357" s="9" t="n">
        <v>2076.02</v>
      </c>
      <c r="O1357" s="9" t="n">
        <v>2298.59</v>
      </c>
      <c r="P1357" s="9" t="n">
        <v>2270.22</v>
      </c>
      <c r="Q1357" s="9" t="n">
        <v>2162.48</v>
      </c>
      <c r="R1357" s="9" t="n">
        <v>2182.66</v>
      </c>
      <c r="S1357" s="9" t="n">
        <v>2284.8</v>
      </c>
      <c r="T1357" s="9" t="n">
        <v>2172.32</v>
      </c>
      <c r="U1357" s="10">
        <f>SUM(I1357:T1357)</f>
        <v/>
      </c>
    </row>
    <row r="1358">
      <c r="A1358" s="2" t="inlineStr">
        <is>
          <t>SN-3000-3300-3330-3330TK0013</t>
        </is>
      </c>
      <c r="B1358" s="2" t="inlineStr">
        <is>
          <t>3330TK0013</t>
        </is>
      </c>
      <c r="C1358" s="2" t="inlineStr">
        <is>
          <t>Estanque solución barren</t>
        </is>
      </c>
      <c r="D1358" s="2" t="n">
        <v>453</v>
      </c>
      <c r="E1358" s="2" t="inlineStr">
        <is>
          <t>CC-3000</t>
        </is>
      </c>
      <c r="F1358" s="2" t="inlineStr">
        <is>
          <t>P01</t>
        </is>
      </c>
      <c r="G1358" s="2" t="n">
        <v>610000</v>
      </c>
      <c r="H1358" s="2" t="inlineStr">
        <is>
          <t>Mano obra interna</t>
        </is>
      </c>
      <c r="I1358" s="9" t="n">
        <v>1680.36</v>
      </c>
      <c r="J1358" s="9" t="n">
        <v>1680.24</v>
      </c>
      <c r="K1358" s="9" t="n">
        <v>1726.79</v>
      </c>
      <c r="L1358" s="9" t="n">
        <v>1711.24</v>
      </c>
      <c r="M1358" s="9" t="n">
        <v>1789.04</v>
      </c>
      <c r="N1358" s="9" t="n">
        <v>1703.19</v>
      </c>
      <c r="O1358" s="9" t="n">
        <v>1849.68</v>
      </c>
      <c r="P1358" s="9" t="n">
        <v>1743.71</v>
      </c>
      <c r="Q1358" s="9" t="n">
        <v>1586.03</v>
      </c>
      <c r="R1358" s="9" t="n">
        <v>1727.07</v>
      </c>
      <c r="S1358" s="9" t="n">
        <v>1790.97</v>
      </c>
      <c r="T1358" s="9" t="n">
        <v>1753.67</v>
      </c>
      <c r="U1358" s="10">
        <f>SUM(I1358:T1358)</f>
        <v/>
      </c>
    </row>
    <row r="1359">
      <c r="A1359" s="2" t="inlineStr">
        <is>
          <t>SN-3000-3300-3330-3330TK0013</t>
        </is>
      </c>
      <c r="B1359" s="2" t="inlineStr">
        <is>
          <t>3330TK0013</t>
        </is>
      </c>
      <c r="C1359" s="2" t="inlineStr">
        <is>
          <t>Estanque solución barren</t>
        </is>
      </c>
      <c r="D1359" s="2" t="n">
        <v>453</v>
      </c>
      <c r="E1359" s="2" t="inlineStr">
        <is>
          <t>CC-3000</t>
        </is>
      </c>
      <c r="F1359" s="2" t="inlineStr">
        <is>
          <t>P01</t>
        </is>
      </c>
      <c r="G1359" s="2" t="n">
        <v>620000</v>
      </c>
      <c r="H1359" s="2" t="inlineStr">
        <is>
          <t>Materiales</t>
        </is>
      </c>
      <c r="I1359" s="9" t="n">
        <v>1587.15</v>
      </c>
      <c r="J1359" s="9" t="n">
        <v>1566.26</v>
      </c>
      <c r="K1359" s="9" t="n">
        <v>1743.53</v>
      </c>
      <c r="L1359" s="9" t="n">
        <v>1526.99</v>
      </c>
      <c r="M1359" s="9" t="n">
        <v>1510.08</v>
      </c>
      <c r="N1359" s="9" t="n">
        <v>1424.95</v>
      </c>
      <c r="O1359" s="9" t="n">
        <v>1652.83</v>
      </c>
      <c r="P1359" s="9" t="n">
        <v>1466.6</v>
      </c>
      <c r="Q1359" s="9" t="n">
        <v>1370.85</v>
      </c>
      <c r="R1359" s="9" t="n">
        <v>1647.19</v>
      </c>
      <c r="S1359" s="9" t="n">
        <v>1531.36</v>
      </c>
      <c r="T1359" s="9" t="n">
        <v>1577.71</v>
      </c>
      <c r="U1359" s="10">
        <f>SUM(I1359:T1359)</f>
        <v/>
      </c>
    </row>
    <row r="1360">
      <c r="A1360" s="2" t="inlineStr">
        <is>
          <t>SN-3000-3300-3330-3330TK0013</t>
        </is>
      </c>
      <c r="B1360" s="2" t="inlineStr">
        <is>
          <t>3330TK0013</t>
        </is>
      </c>
      <c r="C1360" s="2" t="inlineStr">
        <is>
          <t>Estanque solución barren</t>
        </is>
      </c>
      <c r="D1360" s="2" t="n">
        <v>453</v>
      </c>
      <c r="E1360" s="2" t="inlineStr">
        <is>
          <t>CC-3000</t>
        </is>
      </c>
      <c r="F1360" s="2" t="inlineStr">
        <is>
          <t>P01</t>
        </is>
      </c>
      <c r="G1360" s="2" t="n">
        <v>630000</v>
      </c>
      <c r="H1360" s="2" t="inlineStr">
        <is>
          <t>Servicios externos</t>
        </is>
      </c>
      <c r="I1360" s="9" t="n">
        <v>1375</v>
      </c>
      <c r="J1360" s="9" t="n">
        <v>1325.61</v>
      </c>
      <c r="K1360" s="9" t="n">
        <v>1249.06</v>
      </c>
      <c r="L1360" s="9" t="n">
        <v>1330.24</v>
      </c>
      <c r="M1360" s="9" t="n">
        <v>1257.69</v>
      </c>
      <c r="N1360" s="9" t="n">
        <v>1149.52</v>
      </c>
      <c r="O1360" s="9" t="n">
        <v>1207.84</v>
      </c>
      <c r="P1360" s="9" t="n">
        <v>1252.34</v>
      </c>
      <c r="Q1360" s="9" t="n">
        <v>1153.2</v>
      </c>
      <c r="R1360" s="9" t="n">
        <v>1308.27</v>
      </c>
      <c r="S1360" s="9" t="n">
        <v>1274.75</v>
      </c>
      <c r="T1360" s="9" t="n">
        <v>1269.91</v>
      </c>
      <c r="U1360" s="10">
        <f>SUM(I1360:T1360)</f>
        <v/>
      </c>
    </row>
    <row r="1361">
      <c r="A1361" s="2" t="inlineStr">
        <is>
          <t>SN-3000-3300-3330-3330TK0014</t>
        </is>
      </c>
      <c r="B1361" s="2" t="inlineStr">
        <is>
          <t>3330TK0014</t>
        </is>
      </c>
      <c r="C1361" s="2" t="inlineStr">
        <is>
          <t>Estanque lavado de tela</t>
        </is>
      </c>
      <c r="D1361" s="2" t="n">
        <v>454</v>
      </c>
      <c r="E1361" s="2" t="inlineStr">
        <is>
          <t>CC-3000</t>
        </is>
      </c>
      <c r="F1361" s="2" t="inlineStr">
        <is>
          <t>P01</t>
        </is>
      </c>
      <c r="G1361" s="2" t="n">
        <v>610000</v>
      </c>
      <c r="H1361" s="2" t="inlineStr">
        <is>
          <t>Mano obra interna</t>
        </is>
      </c>
      <c r="I1361" s="9" t="n">
        <v>685.87</v>
      </c>
      <c r="J1361" s="9" t="n">
        <v>700.05</v>
      </c>
      <c r="K1361" s="9" t="n">
        <v>708.15</v>
      </c>
      <c r="L1361" s="9" t="n">
        <v>725.66</v>
      </c>
      <c r="M1361" s="9" t="n">
        <v>731.15</v>
      </c>
      <c r="N1361" s="9" t="n">
        <v>705.04</v>
      </c>
      <c r="O1361" s="9" t="n">
        <v>690.84</v>
      </c>
      <c r="P1361" s="9" t="n">
        <v>728.45</v>
      </c>
      <c r="Q1361" s="9" t="n">
        <v>704.62</v>
      </c>
      <c r="R1361" s="9" t="n">
        <v>777.8</v>
      </c>
      <c r="S1361" s="9" t="n">
        <v>645.9400000000001</v>
      </c>
      <c r="T1361" s="9" t="n">
        <v>738.15</v>
      </c>
      <c r="U1361" s="10">
        <f>SUM(I1361:T1361)</f>
        <v/>
      </c>
    </row>
    <row r="1362">
      <c r="A1362" s="2" t="inlineStr">
        <is>
          <t>SN-3000-3300-3330-3330TK0014</t>
        </is>
      </c>
      <c r="B1362" s="2" t="inlineStr">
        <is>
          <t>3330TK0014</t>
        </is>
      </c>
      <c r="C1362" s="2" t="inlineStr">
        <is>
          <t>Estanque lavado de tela</t>
        </is>
      </c>
      <c r="D1362" s="2" t="n">
        <v>454</v>
      </c>
      <c r="E1362" s="2" t="inlineStr">
        <is>
          <t>CC-3000</t>
        </is>
      </c>
      <c r="F1362" s="2" t="inlineStr">
        <is>
          <t>P01</t>
        </is>
      </c>
      <c r="G1362" s="2" t="n">
        <v>620000</v>
      </c>
      <c r="H1362" s="2" t="inlineStr">
        <is>
          <t>Materiales</t>
        </is>
      </c>
      <c r="I1362" s="9" t="n">
        <v>630.5700000000001</v>
      </c>
      <c r="J1362" s="9" t="n">
        <v>575.6799999999999</v>
      </c>
      <c r="K1362" s="9" t="n">
        <v>590.37</v>
      </c>
      <c r="L1362" s="9" t="n">
        <v>553.6</v>
      </c>
      <c r="M1362" s="9" t="n">
        <v>565.95</v>
      </c>
      <c r="N1362" s="9" t="n">
        <v>593.33</v>
      </c>
      <c r="O1362" s="9" t="n">
        <v>538.54</v>
      </c>
      <c r="P1362" s="9" t="n">
        <v>580.1799999999999</v>
      </c>
      <c r="Q1362" s="9" t="n">
        <v>580.12</v>
      </c>
      <c r="R1362" s="9" t="n">
        <v>618.12</v>
      </c>
      <c r="S1362" s="9" t="n">
        <v>557.88</v>
      </c>
      <c r="T1362" s="9" t="n">
        <v>599.0700000000001</v>
      </c>
      <c r="U1362" s="10">
        <f>SUM(I1362:T1362)</f>
        <v/>
      </c>
    </row>
    <row r="1363">
      <c r="A1363" s="2" t="inlineStr">
        <is>
          <t>SN-3000-3300-3330-3330TK0014</t>
        </is>
      </c>
      <c r="B1363" s="2" t="inlineStr">
        <is>
          <t>3330TK0014</t>
        </is>
      </c>
      <c r="C1363" s="2" t="inlineStr">
        <is>
          <t>Estanque lavado de tela</t>
        </is>
      </c>
      <c r="D1363" s="2" t="n">
        <v>454</v>
      </c>
      <c r="E1363" s="2" t="inlineStr">
        <is>
          <t>CC-3000</t>
        </is>
      </c>
      <c r="F1363" s="2" t="inlineStr">
        <is>
          <t>P01</t>
        </is>
      </c>
      <c r="G1363" s="2" t="n">
        <v>630000</v>
      </c>
      <c r="H1363" s="2" t="inlineStr">
        <is>
          <t>Servicios externos</t>
        </is>
      </c>
      <c r="I1363" s="9" t="n">
        <v>635.89</v>
      </c>
      <c r="J1363" s="9" t="n">
        <v>597.92</v>
      </c>
      <c r="K1363" s="9" t="n">
        <v>690.52</v>
      </c>
      <c r="L1363" s="9" t="n">
        <v>717.55</v>
      </c>
      <c r="M1363" s="9" t="n">
        <v>609.98</v>
      </c>
      <c r="N1363" s="9" t="n">
        <v>599.8</v>
      </c>
      <c r="O1363" s="9" t="n">
        <v>644.42</v>
      </c>
      <c r="P1363" s="9" t="n">
        <v>689.76</v>
      </c>
      <c r="Q1363" s="9" t="n">
        <v>589.71</v>
      </c>
      <c r="R1363" s="9" t="n">
        <v>752.73</v>
      </c>
      <c r="S1363" s="9" t="n">
        <v>591.4299999999999</v>
      </c>
      <c r="T1363" s="9" t="n">
        <v>714.65</v>
      </c>
      <c r="U1363" s="10">
        <f>SUM(I1363:T1363)</f>
        <v/>
      </c>
    </row>
    <row r="1364">
      <c r="A1364" s="2" t="inlineStr">
        <is>
          <t>SN-3000-3300-3330-3330TK0016</t>
        </is>
      </c>
      <c r="B1364" s="2" t="inlineStr">
        <is>
          <t>3330TK0016</t>
        </is>
      </c>
      <c r="C1364" s="2" t="inlineStr">
        <is>
          <t>Estanque almacenamiento nitrato plomo</t>
        </is>
      </c>
      <c r="D1364" s="2" t="n">
        <v>455</v>
      </c>
      <c r="E1364" s="2" t="inlineStr">
        <is>
          <t>CC-3000</t>
        </is>
      </c>
      <c r="F1364" s="2" t="inlineStr">
        <is>
          <t>P01</t>
        </is>
      </c>
      <c r="G1364" s="2" t="n">
        <v>610000</v>
      </c>
      <c r="H1364" s="2" t="inlineStr">
        <is>
          <t>Mano obra interna</t>
        </is>
      </c>
      <c r="I1364" s="9" t="n">
        <v>2111.62</v>
      </c>
      <c r="J1364" s="9" t="n">
        <v>1944.65</v>
      </c>
      <c r="K1364" s="9" t="n">
        <v>2174.98</v>
      </c>
      <c r="L1364" s="9" t="n">
        <v>1951.73</v>
      </c>
      <c r="M1364" s="9" t="n">
        <v>1852.3</v>
      </c>
      <c r="N1364" s="9" t="n">
        <v>1896.39</v>
      </c>
      <c r="O1364" s="9" t="n">
        <v>2132.37</v>
      </c>
      <c r="P1364" s="9" t="n">
        <v>2097.96</v>
      </c>
      <c r="Q1364" s="9" t="n">
        <v>1882.97</v>
      </c>
      <c r="R1364" s="9" t="n">
        <v>2200.56</v>
      </c>
      <c r="S1364" s="9" t="n">
        <v>1837.19</v>
      </c>
      <c r="T1364" s="9" t="n">
        <v>2158.79</v>
      </c>
      <c r="U1364" s="10">
        <f>SUM(I1364:T1364)</f>
        <v/>
      </c>
    </row>
    <row r="1365">
      <c r="A1365" s="2" t="inlineStr">
        <is>
          <t>SN-3000-3300-3330-3330TK0016</t>
        </is>
      </c>
      <c r="B1365" s="2" t="inlineStr">
        <is>
          <t>3330TK0016</t>
        </is>
      </c>
      <c r="C1365" s="2" t="inlineStr">
        <is>
          <t>Estanque almacenamiento nitrato plomo</t>
        </is>
      </c>
      <c r="D1365" s="2" t="n">
        <v>455</v>
      </c>
      <c r="E1365" s="2" t="inlineStr">
        <is>
          <t>CC-3000</t>
        </is>
      </c>
      <c r="F1365" s="2" t="inlineStr">
        <is>
          <t>P01</t>
        </is>
      </c>
      <c r="G1365" s="2" t="n">
        <v>620000</v>
      </c>
      <c r="H1365" s="2" t="inlineStr">
        <is>
          <t>Materiales</t>
        </is>
      </c>
      <c r="I1365" s="9" t="n">
        <v>2163.45</v>
      </c>
      <c r="J1365" s="9" t="n">
        <v>2025.19</v>
      </c>
      <c r="K1365" s="9" t="n">
        <v>2291.43</v>
      </c>
      <c r="L1365" s="9" t="n">
        <v>2241.23</v>
      </c>
      <c r="M1365" s="9" t="n">
        <v>2093.41</v>
      </c>
      <c r="N1365" s="9" t="n">
        <v>1936.13</v>
      </c>
      <c r="O1365" s="9" t="n">
        <v>2107.5</v>
      </c>
      <c r="P1365" s="9" t="n">
        <v>2090.9</v>
      </c>
      <c r="Q1365" s="9" t="n">
        <v>1892.03</v>
      </c>
      <c r="R1365" s="9" t="n">
        <v>2160.68</v>
      </c>
      <c r="S1365" s="9" t="n">
        <v>1971.7</v>
      </c>
      <c r="T1365" s="9" t="n">
        <v>2123.02</v>
      </c>
      <c r="U1365" s="10">
        <f>SUM(I1365:T1365)</f>
        <v/>
      </c>
    </row>
    <row r="1366">
      <c r="A1366" s="2" t="inlineStr">
        <is>
          <t>SN-3000-3300-3330-3330TK0016</t>
        </is>
      </c>
      <c r="B1366" s="2" t="inlineStr">
        <is>
          <t>3330TK0016</t>
        </is>
      </c>
      <c r="C1366" s="2" t="inlineStr">
        <is>
          <t>Estanque almacenamiento nitrato plomo</t>
        </is>
      </c>
      <c r="D1366" s="2" t="n">
        <v>455</v>
      </c>
      <c r="E1366" s="2" t="inlineStr">
        <is>
          <t>CC-3000</t>
        </is>
      </c>
      <c r="F1366" s="2" t="inlineStr">
        <is>
          <t>P01</t>
        </is>
      </c>
      <c r="G1366" s="2" t="n">
        <v>630000</v>
      </c>
      <c r="H1366" s="2" t="inlineStr">
        <is>
          <t>Servicios externos</t>
        </is>
      </c>
      <c r="I1366" s="9" t="n">
        <v>1849.54</v>
      </c>
      <c r="J1366" s="9" t="n">
        <v>1931.92</v>
      </c>
      <c r="K1366" s="9" t="n">
        <v>1952.36</v>
      </c>
      <c r="L1366" s="9" t="n">
        <v>1791.39</v>
      </c>
      <c r="M1366" s="9" t="n">
        <v>1824.26</v>
      </c>
      <c r="N1366" s="9" t="n">
        <v>1911.15</v>
      </c>
      <c r="O1366" s="9" t="n">
        <v>1960.78</v>
      </c>
      <c r="P1366" s="9" t="n">
        <v>1828.38</v>
      </c>
      <c r="Q1366" s="9" t="n">
        <v>1875.73</v>
      </c>
      <c r="R1366" s="9" t="n">
        <v>1893.11</v>
      </c>
      <c r="S1366" s="9" t="n">
        <v>1957.39</v>
      </c>
      <c r="T1366" s="9" t="n">
        <v>1833.21</v>
      </c>
      <c r="U1366" s="10">
        <f>SUM(I1366:T1366)</f>
        <v/>
      </c>
    </row>
    <row r="1367">
      <c r="A1367" s="2" t="inlineStr">
        <is>
          <t>SN-3000-3300-3330-3330TK0056</t>
        </is>
      </c>
      <c r="B1367" s="2" t="inlineStr">
        <is>
          <t>3330TK0056</t>
        </is>
      </c>
      <c r="C1367" s="2" t="inlineStr">
        <is>
          <t>Estanque recuperación derrames</t>
        </is>
      </c>
      <c r="D1367" s="2" t="n">
        <v>456</v>
      </c>
      <c r="E1367" s="2" t="inlineStr">
        <is>
          <t>CC-3000</t>
        </is>
      </c>
      <c r="F1367" s="2" t="inlineStr">
        <is>
          <t>P01</t>
        </is>
      </c>
      <c r="G1367" s="2" t="n">
        <v>610000</v>
      </c>
      <c r="H1367" s="2" t="inlineStr">
        <is>
          <t>Mano obra interna</t>
        </is>
      </c>
      <c r="I1367" s="9" t="n">
        <v>624.8200000000001</v>
      </c>
      <c r="J1367" s="9" t="n">
        <v>595.5</v>
      </c>
      <c r="K1367" s="9" t="n">
        <v>642.1799999999999</v>
      </c>
      <c r="L1367" s="9" t="n">
        <v>662.27</v>
      </c>
      <c r="M1367" s="9" t="n">
        <v>645.75</v>
      </c>
      <c r="N1367" s="9" t="n">
        <v>582.09</v>
      </c>
      <c r="O1367" s="9" t="n">
        <v>611.9400000000001</v>
      </c>
      <c r="P1367" s="9" t="n">
        <v>583.35</v>
      </c>
      <c r="Q1367" s="9" t="n">
        <v>534.16</v>
      </c>
      <c r="R1367" s="9" t="n">
        <v>682.2</v>
      </c>
      <c r="S1367" s="9" t="n">
        <v>557.12</v>
      </c>
      <c r="T1367" s="9" t="n">
        <v>651.28</v>
      </c>
      <c r="U1367" s="10">
        <f>SUM(I1367:T1367)</f>
        <v/>
      </c>
    </row>
    <row r="1368">
      <c r="A1368" s="2" t="inlineStr">
        <is>
          <t>SN-3000-3300-3330-3330TK0056</t>
        </is>
      </c>
      <c r="B1368" s="2" t="inlineStr">
        <is>
          <t>3330TK0056</t>
        </is>
      </c>
      <c r="C1368" s="2" t="inlineStr">
        <is>
          <t>Estanque recuperación derrames</t>
        </is>
      </c>
      <c r="D1368" s="2" t="n">
        <v>456</v>
      </c>
      <c r="E1368" s="2" t="inlineStr">
        <is>
          <t>CC-3000</t>
        </is>
      </c>
      <c r="F1368" s="2" t="inlineStr">
        <is>
          <t>P01</t>
        </is>
      </c>
      <c r="G1368" s="2" t="n">
        <v>620000</v>
      </c>
      <c r="H1368" s="2" t="inlineStr">
        <is>
          <t>Materiales</t>
        </is>
      </c>
      <c r="I1368" s="9" t="n">
        <v>693.4</v>
      </c>
      <c r="J1368" s="9" t="n">
        <v>707.29</v>
      </c>
      <c r="K1368" s="9" t="n">
        <v>698.89</v>
      </c>
      <c r="L1368" s="9" t="n">
        <v>722.24</v>
      </c>
      <c r="M1368" s="9" t="n">
        <v>740.12</v>
      </c>
      <c r="N1368" s="9" t="n">
        <v>678.14</v>
      </c>
      <c r="O1368" s="9" t="n">
        <v>673.85</v>
      </c>
      <c r="P1368" s="9" t="n">
        <v>738.66</v>
      </c>
      <c r="Q1368" s="9" t="n">
        <v>631.03</v>
      </c>
      <c r="R1368" s="9" t="n">
        <v>799</v>
      </c>
      <c r="S1368" s="9" t="n">
        <v>688.58</v>
      </c>
      <c r="T1368" s="9" t="n">
        <v>718.89</v>
      </c>
      <c r="U1368" s="10">
        <f>SUM(I1368:T1368)</f>
        <v/>
      </c>
    </row>
    <row r="1369">
      <c r="A1369" s="2" t="inlineStr">
        <is>
          <t>SN-3000-3300-3330-3330TK0056</t>
        </is>
      </c>
      <c r="B1369" s="2" t="inlineStr">
        <is>
          <t>3330TK0056</t>
        </is>
      </c>
      <c r="C1369" s="2" t="inlineStr">
        <is>
          <t>Estanque recuperación derrames</t>
        </is>
      </c>
      <c r="D1369" s="2" t="n">
        <v>456</v>
      </c>
      <c r="E1369" s="2" t="inlineStr">
        <is>
          <t>CC-3000</t>
        </is>
      </c>
      <c r="F1369" s="2" t="inlineStr">
        <is>
          <t>P01</t>
        </is>
      </c>
      <c r="G1369" s="2" t="n">
        <v>630000</v>
      </c>
      <c r="H1369" s="2" t="inlineStr">
        <is>
          <t>Servicios externos</t>
        </is>
      </c>
      <c r="I1369" s="9" t="n">
        <v>806.6900000000001</v>
      </c>
      <c r="J1369" s="9" t="n">
        <v>696.84</v>
      </c>
      <c r="K1369" s="9" t="n">
        <v>763.17</v>
      </c>
      <c r="L1369" s="9" t="n">
        <v>827.9400000000001</v>
      </c>
      <c r="M1369" s="9" t="n">
        <v>698.46</v>
      </c>
      <c r="N1369" s="9" t="n">
        <v>736.4</v>
      </c>
      <c r="O1369" s="9" t="n">
        <v>792.9299999999999</v>
      </c>
      <c r="P1369" s="9" t="n">
        <v>779.02</v>
      </c>
      <c r="Q1369" s="9" t="n">
        <v>741.51</v>
      </c>
      <c r="R1369" s="9" t="n">
        <v>854.45</v>
      </c>
      <c r="S1369" s="9" t="n">
        <v>763.02</v>
      </c>
      <c r="T1369" s="9" t="n">
        <v>815.98</v>
      </c>
      <c r="U1369" s="10">
        <f>SUM(I1369:T1369)</f>
        <v/>
      </c>
    </row>
    <row r="1370">
      <c r="A1370" s="2" t="inlineStr">
        <is>
          <t>SN-3000-3300-3330-3330TK0074</t>
        </is>
      </c>
      <c r="B1370" s="2" t="inlineStr">
        <is>
          <t>3330TK0074</t>
        </is>
      </c>
      <c r="C1370" s="2" t="inlineStr">
        <is>
          <t>Estanque rebose clarificador MC</t>
        </is>
      </c>
      <c r="D1370" s="2" t="n">
        <v>457</v>
      </c>
      <c r="E1370" s="2" t="inlineStr">
        <is>
          <t>CC-3000</t>
        </is>
      </c>
      <c r="F1370" s="2" t="inlineStr">
        <is>
          <t>P01</t>
        </is>
      </c>
      <c r="G1370" s="2" t="n">
        <v>610000</v>
      </c>
      <c r="H1370" s="2" t="inlineStr">
        <is>
          <t>Mano obra interna</t>
        </is>
      </c>
      <c r="I1370" s="9" t="n">
        <v>2742.48</v>
      </c>
      <c r="J1370" s="9" t="n">
        <v>2675.68</v>
      </c>
      <c r="K1370" s="9" t="n">
        <v>2913.07</v>
      </c>
      <c r="L1370" s="9" t="n">
        <v>2957.19</v>
      </c>
      <c r="M1370" s="9" t="n">
        <v>2602.43</v>
      </c>
      <c r="N1370" s="9" t="n">
        <v>2543.26</v>
      </c>
      <c r="O1370" s="9" t="n">
        <v>2918.49</v>
      </c>
      <c r="P1370" s="9" t="n">
        <v>2761.3</v>
      </c>
      <c r="Q1370" s="9" t="n">
        <v>2409.95</v>
      </c>
      <c r="R1370" s="9" t="n">
        <v>3020.2</v>
      </c>
      <c r="S1370" s="9" t="n">
        <v>2849.38</v>
      </c>
      <c r="T1370" s="9" t="n">
        <v>2912.94</v>
      </c>
      <c r="U1370" s="10">
        <f>SUM(I1370:T1370)</f>
        <v/>
      </c>
    </row>
    <row r="1371">
      <c r="A1371" s="2" t="inlineStr">
        <is>
          <t>SN-3000-3300-3330-3330TK0074</t>
        </is>
      </c>
      <c r="B1371" s="2" t="inlineStr">
        <is>
          <t>3330TK0074</t>
        </is>
      </c>
      <c r="C1371" s="2" t="inlineStr">
        <is>
          <t>Estanque rebose clarificador MC</t>
        </is>
      </c>
      <c r="D1371" s="2" t="n">
        <v>457</v>
      </c>
      <c r="E1371" s="2" t="inlineStr">
        <is>
          <t>CC-3000</t>
        </is>
      </c>
      <c r="F1371" s="2" t="inlineStr">
        <is>
          <t>P01</t>
        </is>
      </c>
      <c r="G1371" s="2" t="n">
        <v>620000</v>
      </c>
      <c r="H1371" s="2" t="inlineStr">
        <is>
          <t>Materiales</t>
        </is>
      </c>
      <c r="I1371" s="9" t="n">
        <v>2664.72</v>
      </c>
      <c r="J1371" s="9" t="n">
        <v>2859.05</v>
      </c>
      <c r="K1371" s="9" t="n">
        <v>2836.51</v>
      </c>
      <c r="L1371" s="9" t="n">
        <v>2972.89</v>
      </c>
      <c r="M1371" s="9" t="n">
        <v>2636.11</v>
      </c>
      <c r="N1371" s="9" t="n">
        <v>2434.48</v>
      </c>
      <c r="O1371" s="9" t="n">
        <v>2728.93</v>
      </c>
      <c r="P1371" s="9" t="n">
        <v>2635.41</v>
      </c>
      <c r="Q1371" s="9" t="n">
        <v>2636.72</v>
      </c>
      <c r="R1371" s="9" t="n">
        <v>3168.93</v>
      </c>
      <c r="S1371" s="9" t="n">
        <v>2731.76</v>
      </c>
      <c r="T1371" s="9" t="n">
        <v>2950.91</v>
      </c>
      <c r="U1371" s="10">
        <f>SUM(I1371:T1371)</f>
        <v/>
      </c>
    </row>
    <row r="1372">
      <c r="A1372" s="2" t="inlineStr">
        <is>
          <t>SN-3000-3300-3330-3330TK0074</t>
        </is>
      </c>
      <c r="B1372" s="2" t="inlineStr">
        <is>
          <t>3330TK0074</t>
        </is>
      </c>
      <c r="C1372" s="2" t="inlineStr">
        <is>
          <t>Estanque rebose clarificador MC</t>
        </is>
      </c>
      <c r="D1372" s="2" t="n">
        <v>457</v>
      </c>
      <c r="E1372" s="2" t="inlineStr">
        <is>
          <t>CC-3000</t>
        </is>
      </c>
      <c r="F1372" s="2" t="inlineStr">
        <is>
          <t>P01</t>
        </is>
      </c>
      <c r="G1372" s="2" t="n">
        <v>630000</v>
      </c>
      <c r="H1372" s="2" t="inlineStr">
        <is>
          <t>Servicios externos</t>
        </is>
      </c>
      <c r="I1372" s="9" t="n">
        <v>2639.65</v>
      </c>
      <c r="J1372" s="9" t="n">
        <v>2574.48</v>
      </c>
      <c r="K1372" s="9" t="n">
        <v>2642.71</v>
      </c>
      <c r="L1372" s="9" t="n">
        <v>2535.83</v>
      </c>
      <c r="M1372" s="9" t="n">
        <v>2501.8</v>
      </c>
      <c r="N1372" s="9" t="n">
        <v>2445.19</v>
      </c>
      <c r="O1372" s="9" t="n">
        <v>2381.23</v>
      </c>
      <c r="P1372" s="9" t="n">
        <v>2598.85</v>
      </c>
      <c r="Q1372" s="9" t="n">
        <v>2472.96</v>
      </c>
      <c r="R1372" s="9" t="n">
        <v>2657.53</v>
      </c>
      <c r="S1372" s="9" t="n">
        <v>2476.08</v>
      </c>
      <c r="T1372" s="9" t="n">
        <v>2610.21</v>
      </c>
      <c r="U1372" s="10">
        <f>SUM(I1372:T1372)</f>
        <v/>
      </c>
    </row>
    <row r="1373">
      <c r="A1373" s="2" t="inlineStr">
        <is>
          <t>SN-3000-3300-3330-3330TK0101</t>
        </is>
      </c>
      <c r="B1373" s="2" t="inlineStr">
        <is>
          <t>3330TK0101</t>
        </is>
      </c>
      <c r="C1373" s="2" t="inlineStr">
        <is>
          <t>Estanque transferencia solución barren</t>
        </is>
      </c>
      <c r="D1373" s="2" t="n">
        <v>458</v>
      </c>
      <c r="E1373" s="2" t="inlineStr">
        <is>
          <t>CC-3000</t>
        </is>
      </c>
      <c r="F1373" s="2" t="inlineStr">
        <is>
          <t>P01</t>
        </is>
      </c>
      <c r="G1373" s="2" t="n">
        <v>610000</v>
      </c>
      <c r="H1373" s="2" t="inlineStr">
        <is>
          <t>Mano obra interna</t>
        </is>
      </c>
      <c r="I1373" s="9" t="n">
        <v>2408.4</v>
      </c>
      <c r="J1373" s="9" t="n">
        <v>2446.93</v>
      </c>
      <c r="K1373" s="9" t="n">
        <v>2395.92</v>
      </c>
      <c r="L1373" s="9" t="n">
        <v>2225.13</v>
      </c>
      <c r="M1373" s="9" t="n">
        <v>2445.1</v>
      </c>
      <c r="N1373" s="9" t="n">
        <v>2301.02</v>
      </c>
      <c r="O1373" s="9" t="n">
        <v>2473.54</v>
      </c>
      <c r="P1373" s="9" t="n">
        <v>2204.5</v>
      </c>
      <c r="Q1373" s="9" t="n">
        <v>2016.06</v>
      </c>
      <c r="R1373" s="9" t="n">
        <v>2700.71</v>
      </c>
      <c r="S1373" s="9" t="n">
        <v>2139.02</v>
      </c>
      <c r="T1373" s="9" t="n">
        <v>2494.07</v>
      </c>
      <c r="U1373" s="10">
        <f>SUM(I1373:T1373)</f>
        <v/>
      </c>
    </row>
    <row r="1374">
      <c r="A1374" s="2" t="inlineStr">
        <is>
          <t>SN-3000-3300-3330-3330TK0101</t>
        </is>
      </c>
      <c r="B1374" s="2" t="inlineStr">
        <is>
          <t>3330TK0101</t>
        </is>
      </c>
      <c r="C1374" s="2" t="inlineStr">
        <is>
          <t>Estanque transferencia solución barren</t>
        </is>
      </c>
      <c r="D1374" s="2" t="n">
        <v>458</v>
      </c>
      <c r="E1374" s="2" t="inlineStr">
        <is>
          <t>CC-3000</t>
        </is>
      </c>
      <c r="F1374" s="2" t="inlineStr">
        <is>
          <t>P01</t>
        </is>
      </c>
      <c r="G1374" s="2" t="n">
        <v>620000</v>
      </c>
      <c r="H1374" s="2" t="inlineStr">
        <is>
          <t>Materiales</t>
        </is>
      </c>
      <c r="I1374" s="9" t="n">
        <v>2484.96</v>
      </c>
      <c r="J1374" s="9" t="n">
        <v>2183.02</v>
      </c>
      <c r="K1374" s="9" t="n">
        <v>2495.18</v>
      </c>
      <c r="L1374" s="9" t="n">
        <v>2557.36</v>
      </c>
      <c r="M1374" s="9" t="n">
        <v>2303.41</v>
      </c>
      <c r="N1374" s="9" t="n">
        <v>2220.91</v>
      </c>
      <c r="O1374" s="9" t="n">
        <v>2335.08</v>
      </c>
      <c r="P1374" s="9" t="n">
        <v>2196.48</v>
      </c>
      <c r="Q1374" s="9" t="n">
        <v>2330.27</v>
      </c>
      <c r="R1374" s="9" t="n">
        <v>2690.34</v>
      </c>
      <c r="S1374" s="9" t="n">
        <v>2461.99</v>
      </c>
      <c r="T1374" s="9" t="n">
        <v>2423.11</v>
      </c>
      <c r="U1374" s="10">
        <f>SUM(I1374:T1374)</f>
        <v/>
      </c>
    </row>
    <row r="1375">
      <c r="A1375" s="2" t="inlineStr">
        <is>
          <t>SN-3000-3300-3330-3330TK0101</t>
        </is>
      </c>
      <c r="B1375" s="2" t="inlineStr">
        <is>
          <t>3330TK0101</t>
        </is>
      </c>
      <c r="C1375" s="2" t="inlineStr">
        <is>
          <t>Estanque transferencia solución barren</t>
        </is>
      </c>
      <c r="D1375" s="2" t="n">
        <v>458</v>
      </c>
      <c r="E1375" s="2" t="inlineStr">
        <is>
          <t>CC-3000</t>
        </is>
      </c>
      <c r="F1375" s="2" t="inlineStr">
        <is>
          <t>P01</t>
        </is>
      </c>
      <c r="G1375" s="2" t="n">
        <v>630000</v>
      </c>
      <c r="H1375" s="2" t="inlineStr">
        <is>
          <t>Servicios externos</t>
        </is>
      </c>
      <c r="I1375" s="9" t="n">
        <v>2223.57</v>
      </c>
      <c r="J1375" s="9" t="n">
        <v>2312.7</v>
      </c>
      <c r="K1375" s="9" t="n">
        <v>2415.84</v>
      </c>
      <c r="L1375" s="9" t="n">
        <v>2487.42</v>
      </c>
      <c r="M1375" s="9" t="n">
        <v>2383.09</v>
      </c>
      <c r="N1375" s="9" t="n">
        <v>2339.88</v>
      </c>
      <c r="O1375" s="9" t="n">
        <v>2423.01</v>
      </c>
      <c r="P1375" s="9" t="n">
        <v>2420.06</v>
      </c>
      <c r="Q1375" s="9" t="n">
        <v>1980.27</v>
      </c>
      <c r="R1375" s="9" t="n">
        <v>2602.83</v>
      </c>
      <c r="S1375" s="9" t="n">
        <v>2251.99</v>
      </c>
      <c r="T1375" s="9" t="n">
        <v>2276.52</v>
      </c>
      <c r="U1375" s="10">
        <f>SUM(I1375:T1375)</f>
        <v/>
      </c>
    </row>
    <row r="1376">
      <c r="A1376" s="2" t="inlineStr">
        <is>
          <t>SN-3000-3300-3330-3330VE0001</t>
        </is>
      </c>
      <c r="B1376" s="2" t="inlineStr">
        <is>
          <t>3330VE0001</t>
        </is>
      </c>
      <c r="C1376" s="2" t="inlineStr">
        <is>
          <t>Columna desaireadora</t>
        </is>
      </c>
      <c r="D1376" s="2" t="n">
        <v>459</v>
      </c>
      <c r="E1376" s="2" t="inlineStr">
        <is>
          <t>CC-3000</t>
        </is>
      </c>
      <c r="F1376" s="2" t="inlineStr">
        <is>
          <t>P01</t>
        </is>
      </c>
      <c r="G1376" s="2" t="n">
        <v>610000</v>
      </c>
      <c r="H1376" s="2" t="inlineStr">
        <is>
          <t>Mano obra interna</t>
        </is>
      </c>
      <c r="I1376" s="9" t="n">
        <v>413.42</v>
      </c>
      <c r="J1376" s="9" t="n">
        <v>377.16</v>
      </c>
      <c r="K1376" s="9" t="n">
        <v>404.14</v>
      </c>
      <c r="L1376" s="9" t="n">
        <v>414.16</v>
      </c>
      <c r="M1376" s="9" t="n">
        <v>415.38</v>
      </c>
      <c r="N1376" s="9" t="n">
        <v>396.08</v>
      </c>
      <c r="O1376" s="9" t="n">
        <v>390.84</v>
      </c>
      <c r="P1376" s="9" t="n">
        <v>386.42</v>
      </c>
      <c r="Q1376" s="9" t="n">
        <v>351.3</v>
      </c>
      <c r="R1376" s="9" t="n">
        <v>415.99</v>
      </c>
      <c r="S1376" s="9" t="n">
        <v>357.48</v>
      </c>
      <c r="T1376" s="9" t="n">
        <v>429.75</v>
      </c>
      <c r="U1376" s="10">
        <f>SUM(I1376:T1376)</f>
        <v/>
      </c>
    </row>
    <row r="1377">
      <c r="A1377" s="2" t="inlineStr">
        <is>
          <t>SN-3000-3300-3330-3330VE0001</t>
        </is>
      </c>
      <c r="B1377" s="2" t="inlineStr">
        <is>
          <t>3330VE0001</t>
        </is>
      </c>
      <c r="C1377" s="2" t="inlineStr">
        <is>
          <t>Columna desaireadora</t>
        </is>
      </c>
      <c r="D1377" s="2" t="n">
        <v>459</v>
      </c>
      <c r="E1377" s="2" t="inlineStr">
        <is>
          <t>CC-3000</t>
        </is>
      </c>
      <c r="F1377" s="2" t="inlineStr">
        <is>
          <t>P01</t>
        </is>
      </c>
      <c r="G1377" s="2" t="n">
        <v>620000</v>
      </c>
      <c r="H1377" s="2" t="inlineStr">
        <is>
          <t>Materiales</t>
        </is>
      </c>
      <c r="I1377" s="9" t="n">
        <v>448.98</v>
      </c>
      <c r="J1377" s="9" t="n">
        <v>449.73</v>
      </c>
      <c r="K1377" s="9" t="n">
        <v>486.09</v>
      </c>
      <c r="L1377" s="9" t="n">
        <v>480.48</v>
      </c>
      <c r="M1377" s="9" t="n">
        <v>428.42</v>
      </c>
      <c r="N1377" s="9" t="n">
        <v>479.36</v>
      </c>
      <c r="O1377" s="9" t="n">
        <v>451.05</v>
      </c>
      <c r="P1377" s="9" t="n">
        <v>431.13</v>
      </c>
      <c r="Q1377" s="9" t="n">
        <v>405.83</v>
      </c>
      <c r="R1377" s="9" t="n">
        <v>510.8</v>
      </c>
      <c r="S1377" s="9" t="n">
        <v>426.48</v>
      </c>
      <c r="T1377" s="9" t="n">
        <v>439.8</v>
      </c>
      <c r="U1377" s="10">
        <f>SUM(I1377:T1377)</f>
        <v/>
      </c>
    </row>
    <row r="1378">
      <c r="A1378" s="2" t="inlineStr">
        <is>
          <t>SN-3000-3300-3330-3330VE0001</t>
        </is>
      </c>
      <c r="B1378" s="2" t="inlineStr">
        <is>
          <t>3330VE0001</t>
        </is>
      </c>
      <c r="C1378" s="2" t="inlineStr">
        <is>
          <t>Columna desaireadora</t>
        </is>
      </c>
      <c r="D1378" s="2" t="n">
        <v>459</v>
      </c>
      <c r="E1378" s="2" t="inlineStr">
        <is>
          <t>CC-3000</t>
        </is>
      </c>
      <c r="F1378" s="2" t="inlineStr">
        <is>
          <t>P01</t>
        </is>
      </c>
      <c r="G1378" s="2" t="n">
        <v>630000</v>
      </c>
      <c r="H1378" s="2" t="inlineStr">
        <is>
          <t>Servicios externos</t>
        </is>
      </c>
      <c r="I1378" s="9" t="n">
        <v>459.99</v>
      </c>
      <c r="J1378" s="9" t="n">
        <v>408.19</v>
      </c>
      <c r="K1378" s="9" t="n">
        <v>442.28</v>
      </c>
      <c r="L1378" s="9" t="n">
        <v>445.71</v>
      </c>
      <c r="M1378" s="9" t="n">
        <v>413.51</v>
      </c>
      <c r="N1378" s="9" t="n">
        <v>422.91</v>
      </c>
      <c r="O1378" s="9" t="n">
        <v>412.77</v>
      </c>
      <c r="P1378" s="9" t="n">
        <v>409.54</v>
      </c>
      <c r="Q1378" s="9" t="n">
        <v>412.67</v>
      </c>
      <c r="R1378" s="9" t="n">
        <v>457.35</v>
      </c>
      <c r="S1378" s="9" t="n">
        <v>400.11</v>
      </c>
      <c r="T1378" s="9" t="n">
        <v>443.02</v>
      </c>
      <c r="U1378" s="10">
        <f>SUM(I1378:T1378)</f>
        <v/>
      </c>
    </row>
    <row r="1379">
      <c r="A1379" s="2" t="inlineStr">
        <is>
          <t>SN-3000-3300-3330-3330XM0110</t>
        </is>
      </c>
      <c r="B1379" s="2" t="inlineStr">
        <is>
          <t>3330XM0110</t>
        </is>
      </c>
      <c r="C1379" s="2" t="inlineStr">
        <is>
          <t>Celosía merrill crowe</t>
        </is>
      </c>
      <c r="D1379" s="2" t="n">
        <v>460</v>
      </c>
      <c r="E1379" s="2" t="inlineStr">
        <is>
          <t>CC-3000</t>
        </is>
      </c>
      <c r="F1379" s="2" t="inlineStr">
        <is>
          <t>P01</t>
        </is>
      </c>
      <c r="G1379" s="2" t="n">
        <v>610000</v>
      </c>
      <c r="H1379" s="2" t="inlineStr">
        <is>
          <t>Mano obra interna</t>
        </is>
      </c>
      <c r="I1379" s="9" t="n">
        <v>1163.49</v>
      </c>
      <c r="J1379" s="9" t="n">
        <v>1138.33</v>
      </c>
      <c r="K1379" s="9" t="n">
        <v>1202.63</v>
      </c>
      <c r="L1379" s="9" t="n">
        <v>1209.56</v>
      </c>
      <c r="M1379" s="9" t="n">
        <v>1134.75</v>
      </c>
      <c r="N1379" s="9" t="n">
        <v>1070.18</v>
      </c>
      <c r="O1379" s="9" t="n">
        <v>1077.06</v>
      </c>
      <c r="P1379" s="9" t="n">
        <v>1043.44</v>
      </c>
      <c r="Q1379" s="9" t="n">
        <v>1054.8</v>
      </c>
      <c r="R1379" s="9" t="n">
        <v>1280.52</v>
      </c>
      <c r="S1379" s="9" t="n">
        <v>1059.57</v>
      </c>
      <c r="T1379" s="9" t="n">
        <v>1156.56</v>
      </c>
      <c r="U1379" s="10">
        <f>SUM(I1379:T1379)</f>
        <v/>
      </c>
    </row>
    <row r="1380">
      <c r="A1380" s="2" t="inlineStr">
        <is>
          <t>SN-3000-3300-3330-3330XM0110</t>
        </is>
      </c>
      <c r="B1380" s="2" t="inlineStr">
        <is>
          <t>3330XM0110</t>
        </is>
      </c>
      <c r="C1380" s="2" t="inlineStr">
        <is>
          <t>Celosía merrill crowe</t>
        </is>
      </c>
      <c r="D1380" s="2" t="n">
        <v>460</v>
      </c>
      <c r="E1380" s="2" t="inlineStr">
        <is>
          <t>CC-3000</t>
        </is>
      </c>
      <c r="F1380" s="2" t="inlineStr">
        <is>
          <t>P01</t>
        </is>
      </c>
      <c r="G1380" s="2" t="n">
        <v>620000</v>
      </c>
      <c r="H1380" s="2" t="inlineStr">
        <is>
          <t>Materiales</t>
        </is>
      </c>
      <c r="I1380" s="9" t="n">
        <v>977.1</v>
      </c>
      <c r="J1380" s="9" t="n">
        <v>939.36</v>
      </c>
      <c r="K1380" s="9" t="n">
        <v>999.05</v>
      </c>
      <c r="L1380" s="9" t="n">
        <v>967.96</v>
      </c>
      <c r="M1380" s="9" t="n">
        <v>995.8</v>
      </c>
      <c r="N1380" s="9" t="n">
        <v>980.58</v>
      </c>
      <c r="O1380" s="9" t="n">
        <v>1027.43</v>
      </c>
      <c r="P1380" s="9" t="n">
        <v>924.84</v>
      </c>
      <c r="Q1380" s="9" t="n">
        <v>957.86</v>
      </c>
      <c r="R1380" s="9" t="n">
        <v>1017.12</v>
      </c>
      <c r="S1380" s="9" t="n">
        <v>908.2</v>
      </c>
      <c r="T1380" s="9" t="n">
        <v>1017.69</v>
      </c>
      <c r="U1380" s="10">
        <f>SUM(I1380:T1380)</f>
        <v/>
      </c>
    </row>
    <row r="1381">
      <c r="A1381" s="2" t="inlineStr">
        <is>
          <t>SN-3000-3300-3330-3330XM0110</t>
        </is>
      </c>
      <c r="B1381" s="2" t="inlineStr">
        <is>
          <t>3330XM0110</t>
        </is>
      </c>
      <c r="C1381" s="2" t="inlineStr">
        <is>
          <t>Celosía merrill crowe</t>
        </is>
      </c>
      <c r="D1381" s="2" t="n">
        <v>460</v>
      </c>
      <c r="E1381" s="2" t="inlineStr">
        <is>
          <t>CC-3000</t>
        </is>
      </c>
      <c r="F1381" s="2" t="inlineStr">
        <is>
          <t>P01</t>
        </is>
      </c>
      <c r="G1381" s="2" t="n">
        <v>630000</v>
      </c>
      <c r="H1381" s="2" t="inlineStr">
        <is>
          <t>Servicios externos</t>
        </is>
      </c>
      <c r="I1381" s="9" t="n">
        <v>875.77</v>
      </c>
      <c r="J1381" s="9" t="n">
        <v>891.58</v>
      </c>
      <c r="K1381" s="9" t="n">
        <v>986.98</v>
      </c>
      <c r="L1381" s="9" t="n">
        <v>918.2</v>
      </c>
      <c r="M1381" s="9" t="n">
        <v>933.37</v>
      </c>
      <c r="N1381" s="9" t="n">
        <v>906.01</v>
      </c>
      <c r="O1381" s="9" t="n">
        <v>958.96</v>
      </c>
      <c r="P1381" s="9" t="n">
        <v>981.95</v>
      </c>
      <c r="Q1381" s="9" t="n">
        <v>850.8200000000001</v>
      </c>
      <c r="R1381" s="9" t="n">
        <v>943.25</v>
      </c>
      <c r="S1381" s="9" t="n">
        <v>868.55</v>
      </c>
      <c r="T1381" s="9" t="n">
        <v>927.51</v>
      </c>
      <c r="U1381" s="10">
        <f>SUM(I1381:T1381)</f>
        <v/>
      </c>
    </row>
    <row r="1382">
      <c r="A1382" s="2" t="inlineStr">
        <is>
          <t>SN-3000-3300-3330-3330XM0111</t>
        </is>
      </c>
      <c r="B1382" s="2" t="inlineStr">
        <is>
          <t>3330XM0111</t>
        </is>
      </c>
      <c r="C1382" s="2" t="inlineStr">
        <is>
          <t>Celosía merrill crowe</t>
        </is>
      </c>
      <c r="D1382" s="2" t="n">
        <v>461</v>
      </c>
      <c r="E1382" s="2" t="inlineStr">
        <is>
          <t>CC-3000</t>
        </is>
      </c>
      <c r="F1382" s="2" t="inlineStr">
        <is>
          <t>P01</t>
        </is>
      </c>
      <c r="G1382" s="2" t="n">
        <v>610000</v>
      </c>
      <c r="H1382" s="2" t="inlineStr">
        <is>
          <t>Mano obra interna</t>
        </is>
      </c>
      <c r="I1382" s="9" t="n">
        <v>345.51</v>
      </c>
      <c r="J1382" s="9" t="n">
        <v>350.83</v>
      </c>
      <c r="K1382" s="9" t="n">
        <v>395.61</v>
      </c>
      <c r="L1382" s="9" t="n">
        <v>385.39</v>
      </c>
      <c r="M1382" s="9" t="n">
        <v>376.72</v>
      </c>
      <c r="N1382" s="9" t="n">
        <v>368.43</v>
      </c>
      <c r="O1382" s="9" t="n">
        <v>383.85</v>
      </c>
      <c r="P1382" s="9" t="n">
        <v>377.46</v>
      </c>
      <c r="Q1382" s="9" t="n">
        <v>338.38</v>
      </c>
      <c r="R1382" s="9" t="n">
        <v>426.46</v>
      </c>
      <c r="S1382" s="9" t="n">
        <v>359.25</v>
      </c>
      <c r="T1382" s="9" t="n">
        <v>354.78</v>
      </c>
      <c r="U1382" s="10">
        <f>SUM(I1382:T1382)</f>
        <v/>
      </c>
    </row>
    <row r="1383">
      <c r="A1383" s="2" t="inlineStr">
        <is>
          <t>SN-3000-3300-3330-3330XM0111</t>
        </is>
      </c>
      <c r="B1383" s="2" t="inlineStr">
        <is>
          <t>3330XM0111</t>
        </is>
      </c>
      <c r="C1383" s="2" t="inlineStr">
        <is>
          <t>Celosía merrill crowe</t>
        </is>
      </c>
      <c r="D1383" s="2" t="n">
        <v>461</v>
      </c>
      <c r="E1383" s="2" t="inlineStr">
        <is>
          <t>CC-3000</t>
        </is>
      </c>
      <c r="F1383" s="2" t="inlineStr">
        <is>
          <t>P01</t>
        </is>
      </c>
      <c r="G1383" s="2" t="n">
        <v>620000</v>
      </c>
      <c r="H1383" s="2" t="inlineStr">
        <is>
          <t>Materiales</t>
        </is>
      </c>
      <c r="I1383" s="9" t="n">
        <v>333.9</v>
      </c>
      <c r="J1383" s="9" t="n">
        <v>333.69</v>
      </c>
      <c r="K1383" s="9" t="n">
        <v>310.47</v>
      </c>
      <c r="L1383" s="9" t="n">
        <v>302.58</v>
      </c>
      <c r="M1383" s="9" t="n">
        <v>333.14</v>
      </c>
      <c r="N1383" s="9" t="n">
        <v>323.47</v>
      </c>
      <c r="O1383" s="9" t="n">
        <v>306.05</v>
      </c>
      <c r="P1383" s="9" t="n">
        <v>310.8</v>
      </c>
      <c r="Q1383" s="9" t="n">
        <v>302.9</v>
      </c>
      <c r="R1383" s="9" t="n">
        <v>332.83</v>
      </c>
      <c r="S1383" s="9" t="n">
        <v>325.66</v>
      </c>
      <c r="T1383" s="9" t="n">
        <v>301.75</v>
      </c>
      <c r="U1383" s="10">
        <f>SUM(I1383:T1383)</f>
        <v/>
      </c>
    </row>
    <row r="1384">
      <c r="A1384" s="2" t="inlineStr">
        <is>
          <t>SN-3000-3300-3330-3330XM0111</t>
        </is>
      </c>
      <c r="B1384" s="2" t="inlineStr">
        <is>
          <t>3330XM0111</t>
        </is>
      </c>
      <c r="C1384" s="2" t="inlineStr">
        <is>
          <t>Celosía merrill crowe</t>
        </is>
      </c>
      <c r="D1384" s="2" t="n">
        <v>461</v>
      </c>
      <c r="E1384" s="2" t="inlineStr">
        <is>
          <t>CC-3000</t>
        </is>
      </c>
      <c r="F1384" s="2" t="inlineStr">
        <is>
          <t>P01</t>
        </is>
      </c>
      <c r="G1384" s="2" t="n">
        <v>630000</v>
      </c>
      <c r="H1384" s="2" t="inlineStr">
        <is>
          <t>Servicios externos</t>
        </is>
      </c>
      <c r="I1384" s="9" t="n">
        <v>290.03</v>
      </c>
      <c r="J1384" s="9" t="n">
        <v>283.45</v>
      </c>
      <c r="K1384" s="9" t="n">
        <v>288.4</v>
      </c>
      <c r="L1384" s="9" t="n">
        <v>283.41</v>
      </c>
      <c r="M1384" s="9" t="n">
        <v>306.99</v>
      </c>
      <c r="N1384" s="9" t="n">
        <v>269.61</v>
      </c>
      <c r="O1384" s="9" t="n">
        <v>317.89</v>
      </c>
      <c r="P1384" s="9" t="n">
        <v>291.5</v>
      </c>
      <c r="Q1384" s="9" t="n">
        <v>284.98</v>
      </c>
      <c r="R1384" s="9" t="n">
        <v>307.26</v>
      </c>
      <c r="S1384" s="9" t="n">
        <v>276.51</v>
      </c>
      <c r="T1384" s="9" t="n">
        <v>306.05</v>
      </c>
      <c r="U1384" s="10">
        <f>SUM(I1384:T1384)</f>
        <v/>
      </c>
    </row>
    <row r="1385">
      <c r="A1385" s="2" t="inlineStr">
        <is>
          <t>SN-3000-3300-33ER-3300AC0001</t>
        </is>
      </c>
      <c r="B1385" s="2" t="inlineStr">
        <is>
          <t>3300AC0001</t>
        </is>
      </c>
      <c r="C1385" s="2" t="inlineStr">
        <is>
          <t>Unidad aire acondicionado</t>
        </is>
      </c>
      <c r="D1385" s="2" t="n">
        <v>462</v>
      </c>
      <c r="E1385" s="2" t="inlineStr">
        <is>
          <t>CC-3000</t>
        </is>
      </c>
      <c r="F1385" s="2" t="inlineStr">
        <is>
          <t>P01</t>
        </is>
      </c>
      <c r="G1385" s="2" t="n">
        <v>610000</v>
      </c>
      <c r="H1385" s="2" t="inlineStr">
        <is>
          <t>Mano obra interna</t>
        </is>
      </c>
      <c r="I1385" s="9" t="n">
        <v>2812.27</v>
      </c>
      <c r="J1385" s="9" t="n">
        <v>2708.58</v>
      </c>
      <c r="K1385" s="9" t="n">
        <v>2799.27</v>
      </c>
      <c r="L1385" s="9" t="n">
        <v>2677.53</v>
      </c>
      <c r="M1385" s="9" t="n">
        <v>2777.33</v>
      </c>
      <c r="N1385" s="9" t="n">
        <v>2574.76</v>
      </c>
      <c r="O1385" s="9" t="n">
        <v>2849.72</v>
      </c>
      <c r="P1385" s="9" t="n">
        <v>2774.17</v>
      </c>
      <c r="Q1385" s="9" t="n">
        <v>2279.44</v>
      </c>
      <c r="R1385" s="9" t="n">
        <v>2766.65</v>
      </c>
      <c r="S1385" s="9" t="n">
        <v>2586.33</v>
      </c>
      <c r="T1385" s="9" t="n">
        <v>2775.47</v>
      </c>
      <c r="U1385" s="10">
        <f>SUM(I1385:T1385)</f>
        <v/>
      </c>
    </row>
    <row r="1386">
      <c r="A1386" s="2" t="inlineStr">
        <is>
          <t>SN-3000-3300-33ER-3300AC0001</t>
        </is>
      </c>
      <c r="B1386" s="2" t="inlineStr">
        <is>
          <t>3300AC0001</t>
        </is>
      </c>
      <c r="C1386" s="2" t="inlineStr">
        <is>
          <t>Unidad aire acondicionado</t>
        </is>
      </c>
      <c r="D1386" s="2" t="n">
        <v>462</v>
      </c>
      <c r="E1386" s="2" t="inlineStr">
        <is>
          <t>CC-3000</t>
        </is>
      </c>
      <c r="F1386" s="2" t="inlineStr">
        <is>
          <t>P01</t>
        </is>
      </c>
      <c r="G1386" s="2" t="n">
        <v>620000</v>
      </c>
      <c r="H1386" s="2" t="inlineStr">
        <is>
          <t>Materiales</t>
        </is>
      </c>
      <c r="I1386" s="9" t="n">
        <v>2837.45</v>
      </c>
      <c r="J1386" s="9" t="n">
        <v>2526.56</v>
      </c>
      <c r="K1386" s="9" t="n">
        <v>2603.26</v>
      </c>
      <c r="L1386" s="9" t="n">
        <v>2522.55</v>
      </c>
      <c r="M1386" s="9" t="n">
        <v>2661.2</v>
      </c>
      <c r="N1386" s="9" t="n">
        <v>2617.75</v>
      </c>
      <c r="O1386" s="9" t="n">
        <v>2585.07</v>
      </c>
      <c r="P1386" s="9" t="n">
        <v>2704.12</v>
      </c>
      <c r="Q1386" s="9" t="n">
        <v>2296.83</v>
      </c>
      <c r="R1386" s="9" t="n">
        <v>2682.51</v>
      </c>
      <c r="S1386" s="9" t="n">
        <v>2656.01</v>
      </c>
      <c r="T1386" s="9" t="n">
        <v>2640.36</v>
      </c>
      <c r="U1386" s="10">
        <f>SUM(I1386:T1386)</f>
        <v/>
      </c>
    </row>
    <row r="1387">
      <c r="A1387" s="2" t="inlineStr">
        <is>
          <t>SN-3000-3300-33ER-3300AC0001</t>
        </is>
      </c>
      <c r="B1387" s="2" t="inlineStr">
        <is>
          <t>3300AC0001</t>
        </is>
      </c>
      <c r="C1387" s="2" t="inlineStr">
        <is>
          <t>Unidad aire acondicionado</t>
        </is>
      </c>
      <c r="D1387" s="2" t="n">
        <v>462</v>
      </c>
      <c r="E1387" s="2" t="inlineStr">
        <is>
          <t>CC-3000</t>
        </is>
      </c>
      <c r="F1387" s="2" t="inlineStr">
        <is>
          <t>P01</t>
        </is>
      </c>
      <c r="G1387" s="2" t="n">
        <v>630000</v>
      </c>
      <c r="H1387" s="2" t="inlineStr">
        <is>
          <t>Servicios externos</t>
        </is>
      </c>
      <c r="I1387" s="9" t="n">
        <v>2881.21</v>
      </c>
      <c r="J1387" s="9" t="n">
        <v>2788.46</v>
      </c>
      <c r="K1387" s="9" t="n">
        <v>2619.9</v>
      </c>
      <c r="L1387" s="9" t="n">
        <v>2733.2</v>
      </c>
      <c r="M1387" s="9" t="n">
        <v>2751.68</v>
      </c>
      <c r="N1387" s="9" t="n">
        <v>2674.71</v>
      </c>
      <c r="O1387" s="9" t="n">
        <v>2803.47</v>
      </c>
      <c r="P1387" s="9" t="n">
        <v>2561.64</v>
      </c>
      <c r="Q1387" s="9" t="n">
        <v>2372.13</v>
      </c>
      <c r="R1387" s="9" t="n">
        <v>2931.94</v>
      </c>
      <c r="S1387" s="9" t="n">
        <v>2694.61</v>
      </c>
      <c r="T1387" s="9" t="n">
        <v>2641.21</v>
      </c>
      <c r="U1387" s="10">
        <f>SUM(I1387:T1387)</f>
        <v/>
      </c>
    </row>
    <row r="1388">
      <c r="A1388" s="2" t="inlineStr">
        <is>
          <t>SN-3000-3300-33ER-3300BA0001</t>
        </is>
      </c>
      <c r="B1388" s="2" t="inlineStr">
        <is>
          <t>3300BA0001</t>
        </is>
      </c>
      <c r="C1388" s="2" t="inlineStr">
        <is>
          <t>Banco baterías UPS</t>
        </is>
      </c>
      <c r="D1388" s="2" t="n">
        <v>463</v>
      </c>
      <c r="E1388" s="2" t="inlineStr">
        <is>
          <t>CC-3000</t>
        </is>
      </c>
      <c r="F1388" s="2" t="inlineStr">
        <is>
          <t>P01</t>
        </is>
      </c>
      <c r="G1388" s="2" t="n">
        <v>610000</v>
      </c>
      <c r="H1388" s="2" t="inlineStr">
        <is>
          <t>Mano obra interna</t>
        </is>
      </c>
      <c r="I1388" s="9" t="n">
        <v>1359.88</v>
      </c>
      <c r="J1388" s="9" t="n">
        <v>1227.33</v>
      </c>
      <c r="K1388" s="9" t="n">
        <v>1257.3</v>
      </c>
      <c r="L1388" s="9" t="n">
        <v>1241.68</v>
      </c>
      <c r="M1388" s="9" t="n">
        <v>1236.41</v>
      </c>
      <c r="N1388" s="9" t="n">
        <v>1249.15</v>
      </c>
      <c r="O1388" s="9" t="n">
        <v>1258.86</v>
      </c>
      <c r="P1388" s="9" t="n">
        <v>1187.83</v>
      </c>
      <c r="Q1388" s="9" t="n">
        <v>1121.17</v>
      </c>
      <c r="R1388" s="9" t="n">
        <v>1341.89</v>
      </c>
      <c r="S1388" s="9" t="n">
        <v>1278.19</v>
      </c>
      <c r="T1388" s="9" t="n">
        <v>1222.65</v>
      </c>
      <c r="U1388" s="10">
        <f>SUM(I1388:T1388)</f>
        <v/>
      </c>
    </row>
    <row r="1389">
      <c r="A1389" s="2" t="inlineStr">
        <is>
          <t>SN-3000-3300-33ER-3300BA0001</t>
        </is>
      </c>
      <c r="B1389" s="2" t="inlineStr">
        <is>
          <t>3300BA0001</t>
        </is>
      </c>
      <c r="C1389" s="2" t="inlineStr">
        <is>
          <t>Banco baterías UPS</t>
        </is>
      </c>
      <c r="D1389" s="2" t="n">
        <v>463</v>
      </c>
      <c r="E1389" s="2" t="inlineStr">
        <is>
          <t>CC-3000</t>
        </is>
      </c>
      <c r="F1389" s="2" t="inlineStr">
        <is>
          <t>P01</t>
        </is>
      </c>
      <c r="G1389" s="2" t="n">
        <v>620000</v>
      </c>
      <c r="H1389" s="2" t="inlineStr">
        <is>
          <t>Materiales</t>
        </is>
      </c>
      <c r="I1389" s="9" t="n">
        <v>1376.74</v>
      </c>
      <c r="J1389" s="9" t="n">
        <v>1348.97</v>
      </c>
      <c r="K1389" s="9" t="n">
        <v>1403.7</v>
      </c>
      <c r="L1389" s="9" t="n">
        <v>1366</v>
      </c>
      <c r="M1389" s="9" t="n">
        <v>1460.07</v>
      </c>
      <c r="N1389" s="9" t="n">
        <v>1364.84</v>
      </c>
      <c r="O1389" s="9" t="n">
        <v>1512.71</v>
      </c>
      <c r="P1389" s="9" t="n">
        <v>1342.8</v>
      </c>
      <c r="Q1389" s="9" t="n">
        <v>1260.72</v>
      </c>
      <c r="R1389" s="9" t="n">
        <v>1500.62</v>
      </c>
      <c r="S1389" s="9" t="n">
        <v>1449.24</v>
      </c>
      <c r="T1389" s="9" t="n">
        <v>1411.99</v>
      </c>
      <c r="U1389" s="10">
        <f>SUM(I1389:T1389)</f>
        <v/>
      </c>
    </row>
    <row r="1390">
      <c r="A1390" s="2" t="inlineStr">
        <is>
          <t>SN-3000-3300-33ER-3300BA0001</t>
        </is>
      </c>
      <c r="B1390" s="2" t="inlineStr">
        <is>
          <t>3300BA0001</t>
        </is>
      </c>
      <c r="C1390" s="2" t="inlineStr">
        <is>
          <t>Banco baterías UPS</t>
        </is>
      </c>
      <c r="D1390" s="2" t="n">
        <v>463</v>
      </c>
      <c r="E1390" s="2" t="inlineStr">
        <is>
          <t>CC-3000</t>
        </is>
      </c>
      <c r="F1390" s="2" t="inlineStr">
        <is>
          <t>P01</t>
        </is>
      </c>
      <c r="G1390" s="2" t="n">
        <v>630000</v>
      </c>
      <c r="H1390" s="2" t="inlineStr">
        <is>
          <t>Servicios externos</t>
        </is>
      </c>
      <c r="I1390" s="9" t="n">
        <v>1326.6</v>
      </c>
      <c r="J1390" s="9" t="n">
        <v>1233.02</v>
      </c>
      <c r="K1390" s="9" t="n">
        <v>1481.93</v>
      </c>
      <c r="L1390" s="9" t="n">
        <v>1382.36</v>
      </c>
      <c r="M1390" s="9" t="n">
        <v>1389.4</v>
      </c>
      <c r="N1390" s="9" t="n">
        <v>1315.67</v>
      </c>
      <c r="O1390" s="9" t="n">
        <v>1345.79</v>
      </c>
      <c r="P1390" s="9" t="n">
        <v>1253.07</v>
      </c>
      <c r="Q1390" s="9" t="n">
        <v>1277.88</v>
      </c>
      <c r="R1390" s="9" t="n">
        <v>1367.56</v>
      </c>
      <c r="S1390" s="9" t="n">
        <v>1281.46</v>
      </c>
      <c r="T1390" s="9" t="n">
        <v>1390.18</v>
      </c>
      <c r="U1390" s="10">
        <f>SUM(I1390:T1390)</f>
        <v/>
      </c>
    </row>
    <row r="1391">
      <c r="A1391" s="2" t="inlineStr">
        <is>
          <t>SN-3000-3300-33ER-3300CC0001</t>
        </is>
      </c>
      <c r="B1391" s="2" t="inlineStr">
        <is>
          <t>3300CC0001</t>
        </is>
      </c>
      <c r="C1391" s="2" t="inlineStr">
        <is>
          <t>Tablero de comunicación</t>
        </is>
      </c>
      <c r="D1391" s="2" t="n">
        <v>464</v>
      </c>
      <c r="E1391" s="2" t="inlineStr">
        <is>
          <t>CC-3000</t>
        </is>
      </c>
      <c r="F1391" s="2" t="inlineStr">
        <is>
          <t>P01</t>
        </is>
      </c>
      <c r="G1391" s="2" t="n">
        <v>610000</v>
      </c>
      <c r="H1391" s="2" t="inlineStr">
        <is>
          <t>Mano obra interna</t>
        </is>
      </c>
      <c r="I1391" s="9" t="n">
        <v>2865.72</v>
      </c>
      <c r="J1391" s="9" t="n">
        <v>2758.89</v>
      </c>
      <c r="K1391" s="9" t="n">
        <v>2654.8</v>
      </c>
      <c r="L1391" s="9" t="n">
        <v>2717.98</v>
      </c>
      <c r="M1391" s="9" t="n">
        <v>2500.94</v>
      </c>
      <c r="N1391" s="9" t="n">
        <v>2698.23</v>
      </c>
      <c r="O1391" s="9" t="n">
        <v>2925.23</v>
      </c>
      <c r="P1391" s="9" t="n">
        <v>2621.61</v>
      </c>
      <c r="Q1391" s="9" t="n">
        <v>2370.58</v>
      </c>
      <c r="R1391" s="9" t="n">
        <v>2928.81</v>
      </c>
      <c r="S1391" s="9" t="n">
        <v>2790.04</v>
      </c>
      <c r="T1391" s="9" t="n">
        <v>2789.97</v>
      </c>
      <c r="U1391" s="10">
        <f>SUM(I1391:T1391)</f>
        <v/>
      </c>
    </row>
    <row r="1392">
      <c r="A1392" s="2" t="inlineStr">
        <is>
          <t>SN-3000-3300-33ER-3300CC0001</t>
        </is>
      </c>
      <c r="B1392" s="2" t="inlineStr">
        <is>
          <t>3300CC0001</t>
        </is>
      </c>
      <c r="C1392" s="2" t="inlineStr">
        <is>
          <t>Tablero de comunicación</t>
        </is>
      </c>
      <c r="D1392" s="2" t="n">
        <v>464</v>
      </c>
      <c r="E1392" s="2" t="inlineStr">
        <is>
          <t>CC-3000</t>
        </is>
      </c>
      <c r="F1392" s="2" t="inlineStr">
        <is>
          <t>P01</t>
        </is>
      </c>
      <c r="G1392" s="2" t="n">
        <v>620000</v>
      </c>
      <c r="H1392" s="2" t="inlineStr">
        <is>
          <t>Materiales</t>
        </is>
      </c>
      <c r="I1392" s="9" t="n">
        <v>2286.48</v>
      </c>
      <c r="J1392" s="9" t="n">
        <v>2158.1</v>
      </c>
      <c r="K1392" s="9" t="n">
        <v>2021.09</v>
      </c>
      <c r="L1392" s="9" t="n">
        <v>2271.3</v>
      </c>
      <c r="M1392" s="9" t="n">
        <v>2044.02</v>
      </c>
      <c r="N1392" s="9" t="n">
        <v>1949.56</v>
      </c>
      <c r="O1392" s="9" t="n">
        <v>2069.77</v>
      </c>
      <c r="P1392" s="9" t="n">
        <v>2191.61</v>
      </c>
      <c r="Q1392" s="9" t="n">
        <v>1987.36</v>
      </c>
      <c r="R1392" s="9" t="n">
        <v>2086.75</v>
      </c>
      <c r="S1392" s="9" t="n">
        <v>2162.88</v>
      </c>
      <c r="T1392" s="9" t="n">
        <v>1993.66</v>
      </c>
      <c r="U1392" s="10">
        <f>SUM(I1392:T1392)</f>
        <v/>
      </c>
    </row>
    <row r="1393">
      <c r="A1393" s="2" t="inlineStr">
        <is>
          <t>SN-3000-3300-33ER-3300CC0001</t>
        </is>
      </c>
      <c r="B1393" s="2" t="inlineStr">
        <is>
          <t>3300CC0001</t>
        </is>
      </c>
      <c r="C1393" s="2" t="inlineStr">
        <is>
          <t>Tablero de comunicación</t>
        </is>
      </c>
      <c r="D1393" s="2" t="n">
        <v>464</v>
      </c>
      <c r="E1393" s="2" t="inlineStr">
        <is>
          <t>CC-3000</t>
        </is>
      </c>
      <c r="F1393" s="2" t="inlineStr">
        <is>
          <t>P01</t>
        </is>
      </c>
      <c r="G1393" s="2" t="n">
        <v>630000</v>
      </c>
      <c r="H1393" s="2" t="inlineStr">
        <is>
          <t>Servicios externos</t>
        </is>
      </c>
      <c r="I1393" s="9" t="n">
        <v>2719.5</v>
      </c>
      <c r="J1393" s="9" t="n">
        <v>2439.32</v>
      </c>
      <c r="K1393" s="9" t="n">
        <v>2547.97</v>
      </c>
      <c r="L1393" s="9" t="n">
        <v>2822.54</v>
      </c>
      <c r="M1393" s="9" t="n">
        <v>2547.05</v>
      </c>
      <c r="N1393" s="9" t="n">
        <v>2554.28</v>
      </c>
      <c r="O1393" s="9" t="n">
        <v>2610.05</v>
      </c>
      <c r="P1393" s="9" t="n">
        <v>2700</v>
      </c>
      <c r="Q1393" s="9" t="n">
        <v>2418.9</v>
      </c>
      <c r="R1393" s="9" t="n">
        <v>2715.99</v>
      </c>
      <c r="S1393" s="9" t="n">
        <v>2468.74</v>
      </c>
      <c r="T1393" s="9" t="n">
        <v>2797.9</v>
      </c>
      <c r="U1393" s="10">
        <f>SUM(I1393:T1393)</f>
        <v/>
      </c>
    </row>
    <row r="1394">
      <c r="A1394" s="2" t="inlineStr">
        <is>
          <t>SN-3000-3300-33ER-3300CC0002</t>
        </is>
      </c>
      <c r="B1394" s="2" t="inlineStr">
        <is>
          <t>3300CC0002</t>
        </is>
      </c>
      <c r="C1394" s="2" t="inlineStr">
        <is>
          <t>Tablero de comunicación</t>
        </is>
      </c>
      <c r="D1394" s="2" t="n">
        <v>465</v>
      </c>
      <c r="E1394" s="2" t="inlineStr">
        <is>
          <t>CC-3000</t>
        </is>
      </c>
      <c r="F1394" s="2" t="inlineStr">
        <is>
          <t>P01</t>
        </is>
      </c>
      <c r="G1394" s="2" t="n">
        <v>610000</v>
      </c>
      <c r="H1394" s="2" t="inlineStr">
        <is>
          <t>Mano obra interna</t>
        </is>
      </c>
      <c r="I1394" s="9" t="n">
        <v>2394.15</v>
      </c>
      <c r="J1394" s="9" t="n">
        <v>2589.07</v>
      </c>
      <c r="K1394" s="9" t="n">
        <v>2656.07</v>
      </c>
      <c r="L1394" s="9" t="n">
        <v>2333.55</v>
      </c>
      <c r="M1394" s="9" t="n">
        <v>2626.72</v>
      </c>
      <c r="N1394" s="9" t="n">
        <v>2423.27</v>
      </c>
      <c r="O1394" s="9" t="n">
        <v>2325.4</v>
      </c>
      <c r="P1394" s="9" t="n">
        <v>2352.83</v>
      </c>
      <c r="Q1394" s="9" t="n">
        <v>2358.51</v>
      </c>
      <c r="R1394" s="9" t="n">
        <v>2769.38</v>
      </c>
      <c r="S1394" s="9" t="n">
        <v>2280.11</v>
      </c>
      <c r="T1394" s="9" t="n">
        <v>2397.46</v>
      </c>
      <c r="U1394" s="10">
        <f>SUM(I1394:T1394)</f>
        <v/>
      </c>
    </row>
    <row r="1395">
      <c r="A1395" s="2" t="inlineStr">
        <is>
          <t>SN-3000-3300-33ER-3300CC0002</t>
        </is>
      </c>
      <c r="B1395" s="2" t="inlineStr">
        <is>
          <t>3300CC0002</t>
        </is>
      </c>
      <c r="C1395" s="2" t="inlineStr">
        <is>
          <t>Tablero de comunicación</t>
        </is>
      </c>
      <c r="D1395" s="2" t="n">
        <v>465</v>
      </c>
      <c r="E1395" s="2" t="inlineStr">
        <is>
          <t>CC-3000</t>
        </is>
      </c>
      <c r="F1395" s="2" t="inlineStr">
        <is>
          <t>P01</t>
        </is>
      </c>
      <c r="G1395" s="2" t="n">
        <v>620000</v>
      </c>
      <c r="H1395" s="2" t="inlineStr">
        <is>
          <t>Materiales</t>
        </is>
      </c>
      <c r="I1395" s="9" t="n">
        <v>2355.12</v>
      </c>
      <c r="J1395" s="9" t="n">
        <v>2119.55</v>
      </c>
      <c r="K1395" s="9" t="n">
        <v>2194.9</v>
      </c>
      <c r="L1395" s="9" t="n">
        <v>2387.91</v>
      </c>
      <c r="M1395" s="9" t="n">
        <v>2348.29</v>
      </c>
      <c r="N1395" s="9" t="n">
        <v>2171.94</v>
      </c>
      <c r="O1395" s="9" t="n">
        <v>2222.92</v>
      </c>
      <c r="P1395" s="9" t="n">
        <v>2245.03</v>
      </c>
      <c r="Q1395" s="9" t="n">
        <v>2076.65</v>
      </c>
      <c r="R1395" s="9" t="n">
        <v>2629.82</v>
      </c>
      <c r="S1395" s="9" t="n">
        <v>2293.18</v>
      </c>
      <c r="T1395" s="9" t="n">
        <v>2197.47</v>
      </c>
      <c r="U1395" s="10">
        <f>SUM(I1395:T1395)</f>
        <v/>
      </c>
    </row>
    <row r="1396">
      <c r="A1396" s="2" t="inlineStr">
        <is>
          <t>SN-3000-3300-33ER-3300CC0002</t>
        </is>
      </c>
      <c r="B1396" s="2" t="inlineStr">
        <is>
          <t>3300CC0002</t>
        </is>
      </c>
      <c r="C1396" s="2" t="inlineStr">
        <is>
          <t>Tablero de comunicación</t>
        </is>
      </c>
      <c r="D1396" s="2" t="n">
        <v>465</v>
      </c>
      <c r="E1396" s="2" t="inlineStr">
        <is>
          <t>CC-3000</t>
        </is>
      </c>
      <c r="F1396" s="2" t="inlineStr">
        <is>
          <t>P01</t>
        </is>
      </c>
      <c r="G1396" s="2" t="n">
        <v>630000</v>
      </c>
      <c r="H1396" s="2" t="inlineStr">
        <is>
          <t>Servicios externos</t>
        </is>
      </c>
      <c r="I1396" s="9" t="n">
        <v>2341.61</v>
      </c>
      <c r="J1396" s="9" t="n">
        <v>2283.82</v>
      </c>
      <c r="K1396" s="9" t="n">
        <v>2337.87</v>
      </c>
      <c r="L1396" s="9" t="n">
        <v>2443.48</v>
      </c>
      <c r="M1396" s="9" t="n">
        <v>2350.71</v>
      </c>
      <c r="N1396" s="9" t="n">
        <v>2179.49</v>
      </c>
      <c r="O1396" s="9" t="n">
        <v>2408.01</v>
      </c>
      <c r="P1396" s="9" t="n">
        <v>2367.49</v>
      </c>
      <c r="Q1396" s="9" t="n">
        <v>2214.82</v>
      </c>
      <c r="R1396" s="9" t="n">
        <v>2635.77</v>
      </c>
      <c r="S1396" s="9" t="n">
        <v>2122.62</v>
      </c>
      <c r="T1396" s="9" t="n">
        <v>2225.64</v>
      </c>
      <c r="U1396" s="10">
        <f>SUM(I1396:T1396)</f>
        <v/>
      </c>
    </row>
    <row r="1397">
      <c r="A1397" s="2" t="inlineStr">
        <is>
          <t>SN-3000-3300-33ER-3300CS0001</t>
        </is>
      </c>
      <c r="B1397" s="2" t="inlineStr">
        <is>
          <t>3300CS0001</t>
        </is>
      </c>
      <c r="C1397" s="2" t="inlineStr">
        <is>
          <t>Gabinete control Merril Crowe &amp; Refinación</t>
        </is>
      </c>
      <c r="D1397" s="2" t="n">
        <v>466</v>
      </c>
      <c r="E1397" s="2" t="inlineStr">
        <is>
          <t>CC-3000</t>
        </is>
      </c>
      <c r="F1397" s="2" t="inlineStr">
        <is>
          <t>P01</t>
        </is>
      </c>
      <c r="G1397" s="2" t="n">
        <v>610000</v>
      </c>
      <c r="H1397" s="2" t="inlineStr">
        <is>
          <t>Mano obra interna</t>
        </is>
      </c>
      <c r="I1397" s="9" t="n">
        <v>2827.75</v>
      </c>
      <c r="J1397" s="9" t="n">
        <v>2792.61</v>
      </c>
      <c r="K1397" s="9" t="n">
        <v>2546.97</v>
      </c>
      <c r="L1397" s="9" t="n">
        <v>2768.36</v>
      </c>
      <c r="M1397" s="9" t="n">
        <v>2477.57</v>
      </c>
      <c r="N1397" s="9" t="n">
        <v>2539.36</v>
      </c>
      <c r="O1397" s="9" t="n">
        <v>2509.32</v>
      </c>
      <c r="P1397" s="9" t="n">
        <v>2494.57</v>
      </c>
      <c r="Q1397" s="9" t="n">
        <v>2278.05</v>
      </c>
      <c r="R1397" s="9" t="n">
        <v>2922.21</v>
      </c>
      <c r="S1397" s="9" t="n">
        <v>2511.66</v>
      </c>
      <c r="T1397" s="9" t="n">
        <v>2523.63</v>
      </c>
      <c r="U1397" s="10">
        <f>SUM(I1397:T1397)</f>
        <v/>
      </c>
    </row>
    <row r="1398">
      <c r="A1398" s="2" t="inlineStr">
        <is>
          <t>SN-3000-3300-33ER-3300CS0001</t>
        </is>
      </c>
      <c r="B1398" s="2" t="inlineStr">
        <is>
          <t>3300CS0001</t>
        </is>
      </c>
      <c r="C1398" s="2" t="inlineStr">
        <is>
          <t>Gabinete control Merril Crowe &amp; Refinación</t>
        </is>
      </c>
      <c r="D1398" s="2" t="n">
        <v>466</v>
      </c>
      <c r="E1398" s="2" t="inlineStr">
        <is>
          <t>CC-3000</t>
        </is>
      </c>
      <c r="F1398" s="2" t="inlineStr">
        <is>
          <t>P01</t>
        </is>
      </c>
      <c r="G1398" s="2" t="n">
        <v>620000</v>
      </c>
      <c r="H1398" s="2" t="inlineStr">
        <is>
          <t>Materiales</t>
        </is>
      </c>
      <c r="I1398" s="9" t="n">
        <v>2028.73</v>
      </c>
      <c r="J1398" s="9" t="n">
        <v>2212.74</v>
      </c>
      <c r="K1398" s="9" t="n">
        <v>2102.51</v>
      </c>
      <c r="L1398" s="9" t="n">
        <v>2087.74</v>
      </c>
      <c r="M1398" s="9" t="n">
        <v>2189.68</v>
      </c>
      <c r="N1398" s="9" t="n">
        <v>2053.7</v>
      </c>
      <c r="O1398" s="9" t="n">
        <v>2170.01</v>
      </c>
      <c r="P1398" s="9" t="n">
        <v>2142.52</v>
      </c>
      <c r="Q1398" s="9" t="n">
        <v>2092.86</v>
      </c>
      <c r="R1398" s="9" t="n">
        <v>2156.94</v>
      </c>
      <c r="S1398" s="9" t="n">
        <v>2190.4</v>
      </c>
      <c r="T1398" s="9" t="n">
        <v>2242.39</v>
      </c>
      <c r="U1398" s="10">
        <f>SUM(I1398:T1398)</f>
        <v/>
      </c>
    </row>
    <row r="1399">
      <c r="A1399" s="2" t="inlineStr">
        <is>
          <t>SN-3000-3300-33ER-3300CS0001</t>
        </is>
      </c>
      <c r="B1399" s="2" t="inlineStr">
        <is>
          <t>3300CS0001</t>
        </is>
      </c>
      <c r="C1399" s="2" t="inlineStr">
        <is>
          <t>Gabinete control Merril Crowe &amp; Refinación</t>
        </is>
      </c>
      <c r="D1399" s="2" t="n">
        <v>466</v>
      </c>
      <c r="E1399" s="2" t="inlineStr">
        <is>
          <t>CC-3000</t>
        </is>
      </c>
      <c r="F1399" s="2" t="inlineStr">
        <is>
          <t>P01</t>
        </is>
      </c>
      <c r="G1399" s="2" t="n">
        <v>630000</v>
      </c>
      <c r="H1399" s="2" t="inlineStr">
        <is>
          <t>Servicios externos</t>
        </is>
      </c>
      <c r="I1399" s="9" t="n">
        <v>2424.85</v>
      </c>
      <c r="J1399" s="9" t="n">
        <v>2334.43</v>
      </c>
      <c r="K1399" s="9" t="n">
        <v>2219.68</v>
      </c>
      <c r="L1399" s="9" t="n">
        <v>2259.47</v>
      </c>
      <c r="M1399" s="9" t="n">
        <v>2460.41</v>
      </c>
      <c r="N1399" s="9" t="n">
        <v>2225.65</v>
      </c>
      <c r="O1399" s="9" t="n">
        <v>2271.15</v>
      </c>
      <c r="P1399" s="9" t="n">
        <v>2410.45</v>
      </c>
      <c r="Q1399" s="9" t="n">
        <v>2163.61</v>
      </c>
      <c r="R1399" s="9" t="n">
        <v>2302.28</v>
      </c>
      <c r="S1399" s="9" t="n">
        <v>2325.96</v>
      </c>
      <c r="T1399" s="9" t="n">
        <v>2436.86</v>
      </c>
      <c r="U1399" s="10">
        <f>SUM(I1399:T1399)</f>
        <v/>
      </c>
    </row>
    <row r="1400">
      <c r="A1400" s="2" t="inlineStr">
        <is>
          <t>SN-3000-3300-33ER-3300CS0002</t>
        </is>
      </c>
      <c r="B1400" s="2" t="inlineStr">
        <is>
          <t>3300CS0002</t>
        </is>
      </c>
      <c r="C1400" s="2" t="inlineStr">
        <is>
          <t>Gabinete control Reactivos</t>
        </is>
      </c>
      <c r="D1400" s="2" t="n">
        <v>467</v>
      </c>
      <c r="E1400" s="2" t="inlineStr">
        <is>
          <t>CC-3000</t>
        </is>
      </c>
      <c r="F1400" s="2" t="inlineStr">
        <is>
          <t>P01</t>
        </is>
      </c>
      <c r="G1400" s="2" t="n">
        <v>610000</v>
      </c>
      <c r="H1400" s="2" t="inlineStr">
        <is>
          <t>Mano obra interna</t>
        </is>
      </c>
      <c r="I1400" s="9" t="n">
        <v>1790.73</v>
      </c>
      <c r="J1400" s="9" t="n">
        <v>1538.85</v>
      </c>
      <c r="K1400" s="9" t="n">
        <v>1675.05</v>
      </c>
      <c r="L1400" s="9" t="n">
        <v>1567.77</v>
      </c>
      <c r="M1400" s="9" t="n">
        <v>1644.55</v>
      </c>
      <c r="N1400" s="9" t="n">
        <v>1531.76</v>
      </c>
      <c r="O1400" s="9" t="n">
        <v>1597.04</v>
      </c>
      <c r="P1400" s="9" t="n">
        <v>1718.96</v>
      </c>
      <c r="Q1400" s="9" t="n">
        <v>1402.32</v>
      </c>
      <c r="R1400" s="9" t="n">
        <v>1846.97</v>
      </c>
      <c r="S1400" s="9" t="n">
        <v>1600.61</v>
      </c>
      <c r="T1400" s="9" t="n">
        <v>1788.03</v>
      </c>
      <c r="U1400" s="10">
        <f>SUM(I1400:T1400)</f>
        <v/>
      </c>
    </row>
    <row r="1401">
      <c r="A1401" s="2" t="inlineStr">
        <is>
          <t>SN-3000-3300-33ER-3300CS0002</t>
        </is>
      </c>
      <c r="B1401" s="2" t="inlineStr">
        <is>
          <t>3300CS0002</t>
        </is>
      </c>
      <c r="C1401" s="2" t="inlineStr">
        <is>
          <t>Gabinete control Reactivos</t>
        </is>
      </c>
      <c r="D1401" s="2" t="n">
        <v>467</v>
      </c>
      <c r="E1401" s="2" t="inlineStr">
        <is>
          <t>CC-3000</t>
        </is>
      </c>
      <c r="F1401" s="2" t="inlineStr">
        <is>
          <t>P01</t>
        </is>
      </c>
      <c r="G1401" s="2" t="n">
        <v>620000</v>
      </c>
      <c r="H1401" s="2" t="inlineStr">
        <is>
          <t>Materiales</t>
        </is>
      </c>
      <c r="I1401" s="9" t="n">
        <v>1681.05</v>
      </c>
      <c r="J1401" s="9" t="n">
        <v>1620.47</v>
      </c>
      <c r="K1401" s="9" t="n">
        <v>1941.06</v>
      </c>
      <c r="L1401" s="9" t="n">
        <v>1910.85</v>
      </c>
      <c r="M1401" s="9" t="n">
        <v>1711.24</v>
      </c>
      <c r="N1401" s="9" t="n">
        <v>1726.97</v>
      </c>
      <c r="O1401" s="9" t="n">
        <v>1770.69</v>
      </c>
      <c r="P1401" s="9" t="n">
        <v>1903.93</v>
      </c>
      <c r="Q1401" s="9" t="n">
        <v>1769.11</v>
      </c>
      <c r="R1401" s="9" t="n">
        <v>2059.88</v>
      </c>
      <c r="S1401" s="9" t="n">
        <v>1816.85</v>
      </c>
      <c r="T1401" s="9" t="n">
        <v>1917.06</v>
      </c>
      <c r="U1401" s="10">
        <f>SUM(I1401:T1401)</f>
        <v/>
      </c>
    </row>
    <row r="1402">
      <c r="A1402" s="2" t="inlineStr">
        <is>
          <t>SN-3000-3300-33ER-3300CS0002</t>
        </is>
      </c>
      <c r="B1402" s="2" t="inlineStr">
        <is>
          <t>3300CS0002</t>
        </is>
      </c>
      <c r="C1402" s="2" t="inlineStr">
        <is>
          <t>Gabinete control Reactivos</t>
        </is>
      </c>
      <c r="D1402" s="2" t="n">
        <v>467</v>
      </c>
      <c r="E1402" s="2" t="inlineStr">
        <is>
          <t>CC-3000</t>
        </is>
      </c>
      <c r="F1402" s="2" t="inlineStr">
        <is>
          <t>P01</t>
        </is>
      </c>
      <c r="G1402" s="2" t="n">
        <v>630000</v>
      </c>
      <c r="H1402" s="2" t="inlineStr">
        <is>
          <t>Servicios externos</t>
        </is>
      </c>
      <c r="I1402" s="9" t="n">
        <v>1732.96</v>
      </c>
      <c r="J1402" s="9" t="n">
        <v>1640.84</v>
      </c>
      <c r="K1402" s="9" t="n">
        <v>1786.36</v>
      </c>
      <c r="L1402" s="9" t="n">
        <v>1666.52</v>
      </c>
      <c r="M1402" s="9" t="n">
        <v>1489.61</v>
      </c>
      <c r="N1402" s="9" t="n">
        <v>1565.38</v>
      </c>
      <c r="O1402" s="9" t="n">
        <v>1661.07</v>
      </c>
      <c r="P1402" s="9" t="n">
        <v>1538.9</v>
      </c>
      <c r="Q1402" s="9" t="n">
        <v>1475.32</v>
      </c>
      <c r="R1402" s="9" t="n">
        <v>1766.03</v>
      </c>
      <c r="S1402" s="9" t="n">
        <v>1529.26</v>
      </c>
      <c r="T1402" s="9" t="n">
        <v>1603.39</v>
      </c>
      <c r="U1402" s="10">
        <f>SUM(I1402:T1402)</f>
        <v/>
      </c>
    </row>
    <row r="1403">
      <c r="A1403" s="2" t="inlineStr">
        <is>
          <t>SN-3000-3300-33ER-3300DP0001</t>
        </is>
      </c>
      <c r="B1403" s="2" t="inlineStr">
        <is>
          <t>3300DP0001</t>
        </is>
      </c>
      <c r="C1403" s="2" t="inlineStr">
        <is>
          <t>Tablero distribución potencia</t>
        </is>
      </c>
      <c r="D1403" s="2" t="n">
        <v>468</v>
      </c>
      <c r="E1403" s="2" t="inlineStr">
        <is>
          <t>CC-3000</t>
        </is>
      </c>
      <c r="F1403" s="2" t="inlineStr">
        <is>
          <t>P01</t>
        </is>
      </c>
      <c r="G1403" s="2" t="n">
        <v>610000</v>
      </c>
      <c r="H1403" s="2" t="inlineStr">
        <is>
          <t>Mano obra interna</t>
        </is>
      </c>
      <c r="I1403" s="9" t="n">
        <v>1892.26</v>
      </c>
      <c r="J1403" s="9" t="n">
        <v>1773.64</v>
      </c>
      <c r="K1403" s="9" t="n">
        <v>1643.75</v>
      </c>
      <c r="L1403" s="9" t="n">
        <v>1844.89</v>
      </c>
      <c r="M1403" s="9" t="n">
        <v>1779.35</v>
      </c>
      <c r="N1403" s="9" t="n">
        <v>1525.59</v>
      </c>
      <c r="O1403" s="9" t="n">
        <v>1696.15</v>
      </c>
      <c r="P1403" s="9" t="n">
        <v>1759.77</v>
      </c>
      <c r="Q1403" s="9" t="n">
        <v>1599.64</v>
      </c>
      <c r="R1403" s="9" t="n">
        <v>1950.36</v>
      </c>
      <c r="S1403" s="9" t="n">
        <v>1656.22</v>
      </c>
      <c r="T1403" s="9" t="n">
        <v>1659.9</v>
      </c>
      <c r="U1403" s="10">
        <f>SUM(I1403:T1403)</f>
        <v/>
      </c>
    </row>
    <row r="1404">
      <c r="A1404" s="2" t="inlineStr">
        <is>
          <t>SN-3000-3300-33ER-3300DP0001</t>
        </is>
      </c>
      <c r="B1404" s="2" t="inlineStr">
        <is>
          <t>3300DP0001</t>
        </is>
      </c>
      <c r="C1404" s="2" t="inlineStr">
        <is>
          <t>Tablero distribución potencia</t>
        </is>
      </c>
      <c r="D1404" s="2" t="n">
        <v>468</v>
      </c>
      <c r="E1404" s="2" t="inlineStr">
        <is>
          <t>CC-3000</t>
        </is>
      </c>
      <c r="F1404" s="2" t="inlineStr">
        <is>
          <t>P01</t>
        </is>
      </c>
      <c r="G1404" s="2" t="n">
        <v>620000</v>
      </c>
      <c r="H1404" s="2" t="inlineStr">
        <is>
          <t>Materiales</t>
        </is>
      </c>
      <c r="I1404" s="9" t="n">
        <v>2146.24</v>
      </c>
      <c r="J1404" s="9" t="n">
        <v>2234.95</v>
      </c>
      <c r="K1404" s="9" t="n">
        <v>2133.15</v>
      </c>
      <c r="L1404" s="9" t="n">
        <v>2179.95</v>
      </c>
      <c r="M1404" s="9" t="n">
        <v>2150.11</v>
      </c>
      <c r="N1404" s="9" t="n">
        <v>1993.34</v>
      </c>
      <c r="O1404" s="9" t="n">
        <v>2176.35</v>
      </c>
      <c r="P1404" s="9" t="n">
        <v>2071.09</v>
      </c>
      <c r="Q1404" s="9" t="n">
        <v>2060.62</v>
      </c>
      <c r="R1404" s="9" t="n">
        <v>2426.85</v>
      </c>
      <c r="S1404" s="9" t="n">
        <v>1974.27</v>
      </c>
      <c r="T1404" s="9" t="n">
        <v>2357.64</v>
      </c>
      <c r="U1404" s="10">
        <f>SUM(I1404:T1404)</f>
        <v/>
      </c>
    </row>
    <row r="1405">
      <c r="A1405" s="2" t="inlineStr">
        <is>
          <t>SN-3000-3300-33ER-3300DP0001</t>
        </is>
      </c>
      <c r="B1405" s="2" t="inlineStr">
        <is>
          <t>3300DP0001</t>
        </is>
      </c>
      <c r="C1405" s="2" t="inlineStr">
        <is>
          <t>Tablero distribución potencia</t>
        </is>
      </c>
      <c r="D1405" s="2" t="n">
        <v>468</v>
      </c>
      <c r="E1405" s="2" t="inlineStr">
        <is>
          <t>CC-3000</t>
        </is>
      </c>
      <c r="F1405" s="2" t="inlineStr">
        <is>
          <t>P01</t>
        </is>
      </c>
      <c r="G1405" s="2" t="n">
        <v>630000</v>
      </c>
      <c r="H1405" s="2" t="inlineStr">
        <is>
          <t>Servicios externos</t>
        </is>
      </c>
      <c r="I1405" s="9" t="n">
        <v>1682.96</v>
      </c>
      <c r="J1405" s="9" t="n">
        <v>1742.09</v>
      </c>
      <c r="K1405" s="9" t="n">
        <v>1770.03</v>
      </c>
      <c r="L1405" s="9" t="n">
        <v>1762.21</v>
      </c>
      <c r="M1405" s="9" t="n">
        <v>1605</v>
      </c>
      <c r="N1405" s="9" t="n">
        <v>1729.25</v>
      </c>
      <c r="O1405" s="9" t="n">
        <v>1757.45</v>
      </c>
      <c r="P1405" s="9" t="n">
        <v>1622.55</v>
      </c>
      <c r="Q1405" s="9" t="n">
        <v>1572.81</v>
      </c>
      <c r="R1405" s="9" t="n">
        <v>1951.96</v>
      </c>
      <c r="S1405" s="9" t="n">
        <v>1687.55</v>
      </c>
      <c r="T1405" s="9" t="n">
        <v>1640.39</v>
      </c>
      <c r="U1405" s="10">
        <f>SUM(I1405:T1405)</f>
        <v/>
      </c>
    </row>
    <row r="1406">
      <c r="A1406" s="2" t="inlineStr">
        <is>
          <t>SN-3000-3300-33ER-3300DP0010</t>
        </is>
      </c>
      <c r="B1406" s="2" t="inlineStr">
        <is>
          <t>3300DP0010</t>
        </is>
      </c>
      <c r="C1406" s="2" t="inlineStr">
        <is>
          <t xml:space="preserve">Tablero distribución potencia SS/AA </t>
        </is>
      </c>
      <c r="D1406" s="2" t="n">
        <v>469</v>
      </c>
      <c r="E1406" s="2" t="inlineStr">
        <is>
          <t>CC-3000</t>
        </is>
      </c>
      <c r="F1406" s="2" t="inlineStr">
        <is>
          <t>P01</t>
        </is>
      </c>
      <c r="G1406" s="2" t="n">
        <v>610000</v>
      </c>
      <c r="H1406" s="2" t="inlineStr">
        <is>
          <t>Mano obra interna</t>
        </is>
      </c>
      <c r="I1406" s="9" t="n">
        <v>2099</v>
      </c>
      <c r="J1406" s="9" t="n">
        <v>2117.85</v>
      </c>
      <c r="K1406" s="9" t="n">
        <v>2333.81</v>
      </c>
      <c r="L1406" s="9" t="n">
        <v>2169.35</v>
      </c>
      <c r="M1406" s="9" t="n">
        <v>2099.61</v>
      </c>
      <c r="N1406" s="9" t="n">
        <v>2183.18</v>
      </c>
      <c r="O1406" s="9" t="n">
        <v>2171.55</v>
      </c>
      <c r="P1406" s="9" t="n">
        <v>2165.52</v>
      </c>
      <c r="Q1406" s="9" t="n">
        <v>1920.15</v>
      </c>
      <c r="R1406" s="9" t="n">
        <v>2352.46</v>
      </c>
      <c r="S1406" s="9" t="n">
        <v>2101.15</v>
      </c>
      <c r="T1406" s="9" t="n">
        <v>2140.35</v>
      </c>
      <c r="U1406" s="10">
        <f>SUM(I1406:T1406)</f>
        <v/>
      </c>
    </row>
    <row r="1407">
      <c r="A1407" s="2" t="inlineStr">
        <is>
          <t>SN-3000-3300-33ER-3300DP0010</t>
        </is>
      </c>
      <c r="B1407" s="2" t="inlineStr">
        <is>
          <t>3300DP0010</t>
        </is>
      </c>
      <c r="C1407" s="2" t="inlineStr">
        <is>
          <t xml:space="preserve">Tablero distribución potencia SS/AA </t>
        </is>
      </c>
      <c r="D1407" s="2" t="n">
        <v>469</v>
      </c>
      <c r="E1407" s="2" t="inlineStr">
        <is>
          <t>CC-3000</t>
        </is>
      </c>
      <c r="F1407" s="2" t="inlineStr">
        <is>
          <t>P01</t>
        </is>
      </c>
      <c r="G1407" s="2" t="n">
        <v>620000</v>
      </c>
      <c r="H1407" s="2" t="inlineStr">
        <is>
          <t>Materiales</t>
        </is>
      </c>
      <c r="I1407" s="9" t="n">
        <v>2684.53</v>
      </c>
      <c r="J1407" s="9" t="n">
        <v>2538.22</v>
      </c>
      <c r="K1407" s="9" t="n">
        <v>2571.97</v>
      </c>
      <c r="L1407" s="9" t="n">
        <v>2517.54</v>
      </c>
      <c r="M1407" s="9" t="n">
        <v>2328.99</v>
      </c>
      <c r="N1407" s="9" t="n">
        <v>2295.76</v>
      </c>
      <c r="O1407" s="9" t="n">
        <v>2588.08</v>
      </c>
      <c r="P1407" s="9" t="n">
        <v>2458.1</v>
      </c>
      <c r="Q1407" s="9" t="n">
        <v>2448.07</v>
      </c>
      <c r="R1407" s="9" t="n">
        <v>2522.08</v>
      </c>
      <c r="S1407" s="9" t="n">
        <v>2402.34</v>
      </c>
      <c r="T1407" s="9" t="n">
        <v>2574.22</v>
      </c>
      <c r="U1407" s="10">
        <f>SUM(I1407:T1407)</f>
        <v/>
      </c>
    </row>
    <row r="1408">
      <c r="A1408" s="2" t="inlineStr">
        <is>
          <t>SN-3000-3300-33ER-3300DP0010</t>
        </is>
      </c>
      <c r="B1408" s="2" t="inlineStr">
        <is>
          <t>3300DP0010</t>
        </is>
      </c>
      <c r="C1408" s="2" t="inlineStr">
        <is>
          <t xml:space="preserve">Tablero distribución potencia SS/AA </t>
        </is>
      </c>
      <c r="D1408" s="2" t="n">
        <v>469</v>
      </c>
      <c r="E1408" s="2" t="inlineStr">
        <is>
          <t>CC-3000</t>
        </is>
      </c>
      <c r="F1408" s="2" t="inlineStr">
        <is>
          <t>P01</t>
        </is>
      </c>
      <c r="G1408" s="2" t="n">
        <v>630000</v>
      </c>
      <c r="H1408" s="2" t="inlineStr">
        <is>
          <t>Servicios externos</t>
        </is>
      </c>
      <c r="I1408" s="9" t="n">
        <v>2358.27</v>
      </c>
      <c r="J1408" s="9" t="n">
        <v>2309.51</v>
      </c>
      <c r="K1408" s="9" t="n">
        <v>2105.59</v>
      </c>
      <c r="L1408" s="9" t="n">
        <v>2091.03</v>
      </c>
      <c r="M1408" s="9" t="n">
        <v>2024.89</v>
      </c>
      <c r="N1408" s="9" t="n">
        <v>2139.41</v>
      </c>
      <c r="O1408" s="9" t="n">
        <v>2131.34</v>
      </c>
      <c r="P1408" s="9" t="n">
        <v>2254.18</v>
      </c>
      <c r="Q1408" s="9" t="n">
        <v>1993.74</v>
      </c>
      <c r="R1408" s="9" t="n">
        <v>2393.11</v>
      </c>
      <c r="S1408" s="9" t="n">
        <v>2196.13</v>
      </c>
      <c r="T1408" s="9" t="n">
        <v>2223.99</v>
      </c>
      <c r="U1408" s="10">
        <f>SUM(I1408:T1408)</f>
        <v/>
      </c>
    </row>
    <row r="1409">
      <c r="A1409" s="2" t="inlineStr">
        <is>
          <t>SN-3000-3300-33ER-3300DX0001</t>
        </is>
      </c>
      <c r="B1409" s="2" t="inlineStr">
        <is>
          <t>3300DX0001</t>
        </is>
      </c>
      <c r="C1409" s="2" t="inlineStr">
        <is>
          <t>Transformador distribución potencia</t>
        </is>
      </c>
      <c r="D1409" s="2" t="n">
        <v>470</v>
      </c>
      <c r="E1409" s="2" t="inlineStr">
        <is>
          <t>CC-3000</t>
        </is>
      </c>
      <c r="F1409" s="2" t="inlineStr">
        <is>
          <t>P01</t>
        </is>
      </c>
      <c r="G1409" s="2" t="n">
        <v>610000</v>
      </c>
      <c r="H1409" s="2" t="inlineStr">
        <is>
          <t>Mano obra interna</t>
        </is>
      </c>
      <c r="I1409" s="9" t="n">
        <v>2526.1</v>
      </c>
      <c r="J1409" s="9" t="n">
        <v>2571.69</v>
      </c>
      <c r="K1409" s="9" t="n">
        <v>2752.88</v>
      </c>
      <c r="L1409" s="9" t="n">
        <v>2690.97</v>
      </c>
      <c r="M1409" s="9" t="n">
        <v>2789.76</v>
      </c>
      <c r="N1409" s="9" t="n">
        <v>2697.4</v>
      </c>
      <c r="O1409" s="9" t="n">
        <v>2786.75</v>
      </c>
      <c r="P1409" s="9" t="n">
        <v>2594.25</v>
      </c>
      <c r="Q1409" s="9" t="n">
        <v>2551.67</v>
      </c>
      <c r="R1409" s="9" t="n">
        <v>2808.93</v>
      </c>
      <c r="S1409" s="9" t="n">
        <v>2454.72</v>
      </c>
      <c r="T1409" s="9" t="n">
        <v>2620.8</v>
      </c>
      <c r="U1409" s="10">
        <f>SUM(I1409:T1409)</f>
        <v/>
      </c>
    </row>
    <row r="1410">
      <c r="A1410" s="2" t="inlineStr">
        <is>
          <t>SN-3000-3300-33ER-3300DX0001</t>
        </is>
      </c>
      <c r="B1410" s="2" t="inlineStr">
        <is>
          <t>3300DX0001</t>
        </is>
      </c>
      <c r="C1410" s="2" t="inlineStr">
        <is>
          <t>Transformador distribución potencia</t>
        </is>
      </c>
      <c r="D1410" s="2" t="n">
        <v>470</v>
      </c>
      <c r="E1410" s="2" t="inlineStr">
        <is>
          <t>CC-3000</t>
        </is>
      </c>
      <c r="F1410" s="2" t="inlineStr">
        <is>
          <t>P01</t>
        </is>
      </c>
      <c r="G1410" s="2" t="n">
        <v>620000</v>
      </c>
      <c r="H1410" s="2" t="inlineStr">
        <is>
          <t>Materiales</t>
        </is>
      </c>
      <c r="I1410" s="9" t="n">
        <v>2225.41</v>
      </c>
      <c r="J1410" s="9" t="n">
        <v>2192.48</v>
      </c>
      <c r="K1410" s="9" t="n">
        <v>2479.58</v>
      </c>
      <c r="L1410" s="9" t="n">
        <v>2221.29</v>
      </c>
      <c r="M1410" s="9" t="n">
        <v>2359.85</v>
      </c>
      <c r="N1410" s="9" t="n">
        <v>2048.92</v>
      </c>
      <c r="O1410" s="9" t="n">
        <v>2130.46</v>
      </c>
      <c r="P1410" s="9" t="n">
        <v>2245.39</v>
      </c>
      <c r="Q1410" s="9" t="n">
        <v>2142.97</v>
      </c>
      <c r="R1410" s="9" t="n">
        <v>2239.82</v>
      </c>
      <c r="S1410" s="9" t="n">
        <v>2071.93</v>
      </c>
      <c r="T1410" s="9" t="n">
        <v>2257.4</v>
      </c>
      <c r="U1410" s="10">
        <f>SUM(I1410:T1410)</f>
        <v/>
      </c>
    </row>
    <row r="1411">
      <c r="A1411" s="2" t="inlineStr">
        <is>
          <t>SN-3000-3300-33ER-3300DX0001</t>
        </is>
      </c>
      <c r="B1411" s="2" t="inlineStr">
        <is>
          <t>3300DX0001</t>
        </is>
      </c>
      <c r="C1411" s="2" t="inlineStr">
        <is>
          <t>Transformador distribución potencia</t>
        </is>
      </c>
      <c r="D1411" s="2" t="n">
        <v>470</v>
      </c>
      <c r="E1411" s="2" t="inlineStr">
        <is>
          <t>CC-3000</t>
        </is>
      </c>
      <c r="F1411" s="2" t="inlineStr">
        <is>
          <t>P01</t>
        </is>
      </c>
      <c r="G1411" s="2" t="n">
        <v>630000</v>
      </c>
      <c r="H1411" s="2" t="inlineStr">
        <is>
          <t>Servicios externos</t>
        </is>
      </c>
      <c r="I1411" s="9" t="n">
        <v>2511.8</v>
      </c>
      <c r="J1411" s="9" t="n">
        <v>2347.72</v>
      </c>
      <c r="K1411" s="9" t="n">
        <v>2321.45</v>
      </c>
      <c r="L1411" s="9" t="n">
        <v>2585.52</v>
      </c>
      <c r="M1411" s="9" t="n">
        <v>2276.92</v>
      </c>
      <c r="N1411" s="9" t="n">
        <v>2359.16</v>
      </c>
      <c r="O1411" s="9" t="n">
        <v>2487.26</v>
      </c>
      <c r="P1411" s="9" t="n">
        <v>2553.99</v>
      </c>
      <c r="Q1411" s="9" t="n">
        <v>2214.55</v>
      </c>
      <c r="R1411" s="9" t="n">
        <v>2613.74</v>
      </c>
      <c r="S1411" s="9" t="n">
        <v>2242.71</v>
      </c>
      <c r="T1411" s="9" t="n">
        <v>2483.74</v>
      </c>
      <c r="U1411" s="10">
        <f>SUM(I1411:T1411)</f>
        <v/>
      </c>
    </row>
    <row r="1412">
      <c r="A1412" s="2" t="inlineStr">
        <is>
          <t>SN-3000-3300-33ER-3300FD0001</t>
        </is>
      </c>
      <c r="B1412" s="2" t="inlineStr">
        <is>
          <t>3300FD0001</t>
        </is>
      </c>
      <c r="C1412" s="2" t="inlineStr">
        <is>
          <t>Sistema detección fuego y humo</t>
        </is>
      </c>
      <c r="D1412" s="2" t="n">
        <v>471</v>
      </c>
      <c r="E1412" s="2" t="inlineStr">
        <is>
          <t>CC-3000</t>
        </is>
      </c>
      <c r="F1412" s="2" t="inlineStr">
        <is>
          <t>P01</t>
        </is>
      </c>
      <c r="G1412" s="2" t="n">
        <v>610000</v>
      </c>
      <c r="H1412" s="2" t="inlineStr">
        <is>
          <t>Mano obra interna</t>
        </is>
      </c>
      <c r="I1412" s="9" t="n">
        <v>1018.69</v>
      </c>
      <c r="J1412" s="9" t="n">
        <v>1049.14</v>
      </c>
      <c r="K1412" s="9" t="n">
        <v>965</v>
      </c>
      <c r="L1412" s="9" t="n">
        <v>1093.12</v>
      </c>
      <c r="M1412" s="9" t="n">
        <v>1053.71</v>
      </c>
      <c r="N1412" s="9" t="n">
        <v>964.64</v>
      </c>
      <c r="O1412" s="9" t="n">
        <v>1006.82</v>
      </c>
      <c r="P1412" s="9" t="n">
        <v>984.92</v>
      </c>
      <c r="Q1412" s="9" t="n">
        <v>1012.46</v>
      </c>
      <c r="R1412" s="9" t="n">
        <v>1019.37</v>
      </c>
      <c r="S1412" s="9" t="n">
        <v>989.84</v>
      </c>
      <c r="T1412" s="9" t="n">
        <v>1052.64</v>
      </c>
      <c r="U1412" s="10">
        <f>SUM(I1412:T1412)</f>
        <v/>
      </c>
    </row>
    <row r="1413">
      <c r="A1413" s="2" t="inlineStr">
        <is>
          <t>SN-3000-3300-33ER-3300FD0001</t>
        </is>
      </c>
      <c r="B1413" s="2" t="inlineStr">
        <is>
          <t>3300FD0001</t>
        </is>
      </c>
      <c r="C1413" s="2" t="inlineStr">
        <is>
          <t>Sistema detección fuego y humo</t>
        </is>
      </c>
      <c r="D1413" s="2" t="n">
        <v>471</v>
      </c>
      <c r="E1413" s="2" t="inlineStr">
        <is>
          <t>CC-3000</t>
        </is>
      </c>
      <c r="F1413" s="2" t="inlineStr">
        <is>
          <t>P01</t>
        </is>
      </c>
      <c r="G1413" s="2" t="n">
        <v>620000</v>
      </c>
      <c r="H1413" s="2" t="inlineStr">
        <is>
          <t>Materiales</t>
        </is>
      </c>
      <c r="I1413" s="9" t="n">
        <v>1203.28</v>
      </c>
      <c r="J1413" s="9" t="n">
        <v>1136.62</v>
      </c>
      <c r="K1413" s="9" t="n">
        <v>1092.48</v>
      </c>
      <c r="L1413" s="9" t="n">
        <v>1129.71</v>
      </c>
      <c r="M1413" s="9" t="n">
        <v>1051.95</v>
      </c>
      <c r="N1413" s="9" t="n">
        <v>1144.36</v>
      </c>
      <c r="O1413" s="9" t="n">
        <v>1173.72</v>
      </c>
      <c r="P1413" s="9" t="n">
        <v>1173.74</v>
      </c>
      <c r="Q1413" s="9" t="n">
        <v>1075.74</v>
      </c>
      <c r="R1413" s="9" t="n">
        <v>1217.98</v>
      </c>
      <c r="S1413" s="9" t="n">
        <v>1030.94</v>
      </c>
      <c r="T1413" s="9" t="n">
        <v>1113.69</v>
      </c>
      <c r="U1413" s="10">
        <f>SUM(I1413:T1413)</f>
        <v/>
      </c>
    </row>
    <row r="1414">
      <c r="A1414" s="2" t="inlineStr">
        <is>
          <t>SN-3000-3300-33ER-3300FD0001</t>
        </is>
      </c>
      <c r="B1414" s="2" t="inlineStr">
        <is>
          <t>3300FD0001</t>
        </is>
      </c>
      <c r="C1414" s="2" t="inlineStr">
        <is>
          <t>Sistema detección fuego y humo</t>
        </is>
      </c>
      <c r="D1414" s="2" t="n">
        <v>471</v>
      </c>
      <c r="E1414" s="2" t="inlineStr">
        <is>
          <t>CC-3000</t>
        </is>
      </c>
      <c r="F1414" s="2" t="inlineStr">
        <is>
          <t>P01</t>
        </is>
      </c>
      <c r="G1414" s="2" t="n">
        <v>630000</v>
      </c>
      <c r="H1414" s="2" t="inlineStr">
        <is>
          <t>Servicios externos</t>
        </is>
      </c>
      <c r="I1414" s="9" t="n">
        <v>942.54</v>
      </c>
      <c r="J1414" s="9" t="n">
        <v>830.01</v>
      </c>
      <c r="K1414" s="9" t="n">
        <v>949.15</v>
      </c>
      <c r="L1414" s="9" t="n">
        <v>938.88</v>
      </c>
      <c r="M1414" s="9" t="n">
        <v>876.26</v>
      </c>
      <c r="N1414" s="9" t="n">
        <v>802.34</v>
      </c>
      <c r="O1414" s="9" t="n">
        <v>865.2</v>
      </c>
      <c r="P1414" s="9" t="n">
        <v>864.92</v>
      </c>
      <c r="Q1414" s="9" t="n">
        <v>856.21</v>
      </c>
      <c r="R1414" s="9" t="n">
        <v>901.72</v>
      </c>
      <c r="S1414" s="9" t="n">
        <v>908.1799999999999</v>
      </c>
      <c r="T1414" s="9" t="n">
        <v>942.22</v>
      </c>
      <c r="U1414" s="10">
        <f>SUM(I1414:T1414)</f>
        <v/>
      </c>
    </row>
    <row r="1415">
      <c r="A1415" s="2" t="inlineStr">
        <is>
          <t>SN-3000-3300-33ER-3300FS0001</t>
        </is>
      </c>
      <c r="B1415" s="2" t="inlineStr">
        <is>
          <t>3300FS0001</t>
        </is>
      </c>
      <c r="C1415" s="2" t="inlineStr">
        <is>
          <t>Sistema supresión fuego</t>
        </is>
      </c>
      <c r="D1415" s="2" t="n">
        <v>472</v>
      </c>
      <c r="E1415" s="2" t="inlineStr">
        <is>
          <t>CC-3000</t>
        </is>
      </c>
      <c r="F1415" s="2" t="inlineStr">
        <is>
          <t>P01</t>
        </is>
      </c>
      <c r="G1415" s="2" t="n">
        <v>610000</v>
      </c>
      <c r="H1415" s="2" t="inlineStr">
        <is>
          <t>Mano obra interna</t>
        </is>
      </c>
      <c r="I1415" s="9" t="n">
        <v>2447.92</v>
      </c>
      <c r="J1415" s="9" t="n">
        <v>2343.13</v>
      </c>
      <c r="K1415" s="9" t="n">
        <v>2484.88</v>
      </c>
      <c r="L1415" s="9" t="n">
        <v>2249.92</v>
      </c>
      <c r="M1415" s="9" t="n">
        <v>2167.12</v>
      </c>
      <c r="N1415" s="9" t="n">
        <v>2121.53</v>
      </c>
      <c r="O1415" s="9" t="n">
        <v>2268</v>
      </c>
      <c r="P1415" s="9" t="n">
        <v>2423.74</v>
      </c>
      <c r="Q1415" s="9" t="n">
        <v>2238.65</v>
      </c>
      <c r="R1415" s="9" t="n">
        <v>2668.45</v>
      </c>
      <c r="S1415" s="9" t="n">
        <v>2084.33</v>
      </c>
      <c r="T1415" s="9" t="n">
        <v>2167.35</v>
      </c>
      <c r="U1415" s="10">
        <f>SUM(I1415:T1415)</f>
        <v/>
      </c>
    </row>
    <row r="1416">
      <c r="A1416" s="2" t="inlineStr">
        <is>
          <t>SN-3000-3300-33ER-3300FS0001</t>
        </is>
      </c>
      <c r="B1416" s="2" t="inlineStr">
        <is>
          <t>3300FS0001</t>
        </is>
      </c>
      <c r="C1416" s="2" t="inlineStr">
        <is>
          <t>Sistema supresión fuego</t>
        </is>
      </c>
      <c r="D1416" s="2" t="n">
        <v>472</v>
      </c>
      <c r="E1416" s="2" t="inlineStr">
        <is>
          <t>CC-3000</t>
        </is>
      </c>
      <c r="F1416" s="2" t="inlineStr">
        <is>
          <t>P01</t>
        </is>
      </c>
      <c r="G1416" s="2" t="n">
        <v>620000</v>
      </c>
      <c r="H1416" s="2" t="inlineStr">
        <is>
          <t>Materiales</t>
        </is>
      </c>
      <c r="I1416" s="9" t="n">
        <v>2567.81</v>
      </c>
      <c r="J1416" s="9" t="n">
        <v>2499.8</v>
      </c>
      <c r="K1416" s="9" t="n">
        <v>2710.1</v>
      </c>
      <c r="L1416" s="9" t="n">
        <v>2495.41</v>
      </c>
      <c r="M1416" s="9" t="n">
        <v>2639.4</v>
      </c>
      <c r="N1416" s="9" t="n">
        <v>2423.16</v>
      </c>
      <c r="O1416" s="9" t="n">
        <v>2664.03</v>
      </c>
      <c r="P1416" s="9" t="n">
        <v>2744.75</v>
      </c>
      <c r="Q1416" s="9" t="n">
        <v>2299.5</v>
      </c>
      <c r="R1416" s="9" t="n">
        <v>3005.8</v>
      </c>
      <c r="S1416" s="9" t="n">
        <v>2536.58</v>
      </c>
      <c r="T1416" s="9" t="n">
        <v>2825.23</v>
      </c>
      <c r="U1416" s="10">
        <f>SUM(I1416:T1416)</f>
        <v/>
      </c>
    </row>
    <row r="1417">
      <c r="A1417" s="2" t="inlineStr">
        <is>
          <t>SN-3000-3300-33ER-3300FS0001</t>
        </is>
      </c>
      <c r="B1417" s="2" t="inlineStr">
        <is>
          <t>3300FS0001</t>
        </is>
      </c>
      <c r="C1417" s="2" t="inlineStr">
        <is>
          <t>Sistema supresión fuego</t>
        </is>
      </c>
      <c r="D1417" s="2" t="n">
        <v>472</v>
      </c>
      <c r="E1417" s="2" t="inlineStr">
        <is>
          <t>CC-3000</t>
        </is>
      </c>
      <c r="F1417" s="2" t="inlineStr">
        <is>
          <t>P01</t>
        </is>
      </c>
      <c r="G1417" s="2" t="n">
        <v>630000</v>
      </c>
      <c r="H1417" s="2" t="inlineStr">
        <is>
          <t>Servicios externos</t>
        </is>
      </c>
      <c r="I1417" s="9" t="n">
        <v>2322.44</v>
      </c>
      <c r="J1417" s="9" t="n">
        <v>2169.81</v>
      </c>
      <c r="K1417" s="9" t="n">
        <v>2409.66</v>
      </c>
      <c r="L1417" s="9" t="n">
        <v>2325.66</v>
      </c>
      <c r="M1417" s="9" t="n">
        <v>2212.49</v>
      </c>
      <c r="N1417" s="9" t="n">
        <v>2280.64</v>
      </c>
      <c r="O1417" s="9" t="n">
        <v>2194.58</v>
      </c>
      <c r="P1417" s="9" t="n">
        <v>2135.73</v>
      </c>
      <c r="Q1417" s="9" t="n">
        <v>2118.94</v>
      </c>
      <c r="R1417" s="9" t="n">
        <v>2460.95</v>
      </c>
      <c r="S1417" s="9" t="n">
        <v>2145.01</v>
      </c>
      <c r="T1417" s="9" t="n">
        <v>2265.94</v>
      </c>
      <c r="U1417" s="10">
        <f>SUM(I1417:T1417)</f>
        <v/>
      </c>
    </row>
    <row r="1418">
      <c r="A1418" s="2" t="inlineStr">
        <is>
          <t>SN-3000-3300-33ER-3300JP0001</t>
        </is>
      </c>
      <c r="B1418" s="2" t="inlineStr">
        <is>
          <t>3300JP0001</t>
        </is>
      </c>
      <c r="C1418" s="2" t="inlineStr">
        <is>
          <t>Tablero distribución instrumentación</t>
        </is>
      </c>
      <c r="D1418" s="2" t="n">
        <v>473</v>
      </c>
      <c r="E1418" s="2" t="inlineStr">
        <is>
          <t>CC-3000</t>
        </is>
      </c>
      <c r="F1418" s="2" t="inlineStr">
        <is>
          <t>P01</t>
        </is>
      </c>
      <c r="G1418" s="2" t="n">
        <v>610000</v>
      </c>
      <c r="H1418" s="2" t="inlineStr">
        <is>
          <t>Mano obra interna</t>
        </is>
      </c>
      <c r="I1418" s="9" t="n">
        <v>1669.63</v>
      </c>
      <c r="J1418" s="9" t="n">
        <v>1456.2</v>
      </c>
      <c r="K1418" s="9" t="n">
        <v>1551.8</v>
      </c>
      <c r="L1418" s="9" t="n">
        <v>1734.22</v>
      </c>
      <c r="M1418" s="9" t="n">
        <v>1617.06</v>
      </c>
      <c r="N1418" s="9" t="n">
        <v>1607.67</v>
      </c>
      <c r="O1418" s="9" t="n">
        <v>1528.04</v>
      </c>
      <c r="P1418" s="9" t="n">
        <v>1636.63</v>
      </c>
      <c r="Q1418" s="9" t="n">
        <v>1518.09</v>
      </c>
      <c r="R1418" s="9" t="n">
        <v>1644.63</v>
      </c>
      <c r="S1418" s="9" t="n">
        <v>1538.88</v>
      </c>
      <c r="T1418" s="9" t="n">
        <v>1632.86</v>
      </c>
      <c r="U1418" s="10">
        <f>SUM(I1418:T1418)</f>
        <v/>
      </c>
    </row>
    <row r="1419">
      <c r="A1419" s="2" t="inlineStr">
        <is>
          <t>SN-3000-3300-33ER-3300JP0001</t>
        </is>
      </c>
      <c r="B1419" s="2" t="inlineStr">
        <is>
          <t>3300JP0001</t>
        </is>
      </c>
      <c r="C1419" s="2" t="inlineStr">
        <is>
          <t>Tablero distribución instrumentación</t>
        </is>
      </c>
      <c r="D1419" s="2" t="n">
        <v>473</v>
      </c>
      <c r="E1419" s="2" t="inlineStr">
        <is>
          <t>CC-3000</t>
        </is>
      </c>
      <c r="F1419" s="2" t="inlineStr">
        <is>
          <t>P01</t>
        </is>
      </c>
      <c r="G1419" s="2" t="n">
        <v>620000</v>
      </c>
      <c r="H1419" s="2" t="inlineStr">
        <is>
          <t>Materiales</t>
        </is>
      </c>
      <c r="I1419" s="9" t="n">
        <v>1431.4</v>
      </c>
      <c r="J1419" s="9" t="n">
        <v>1382.13</v>
      </c>
      <c r="K1419" s="9" t="n">
        <v>1451.69</v>
      </c>
      <c r="L1419" s="9" t="n">
        <v>1427.9</v>
      </c>
      <c r="M1419" s="9" t="n">
        <v>1316.12</v>
      </c>
      <c r="N1419" s="9" t="n">
        <v>1249.72</v>
      </c>
      <c r="O1419" s="9" t="n">
        <v>1403.7</v>
      </c>
      <c r="P1419" s="9" t="n">
        <v>1329.33</v>
      </c>
      <c r="Q1419" s="9" t="n">
        <v>1189.98</v>
      </c>
      <c r="R1419" s="9" t="n">
        <v>1438.6</v>
      </c>
      <c r="S1419" s="9" t="n">
        <v>1215.95</v>
      </c>
      <c r="T1419" s="9" t="n">
        <v>1393.66</v>
      </c>
      <c r="U1419" s="10">
        <f>SUM(I1419:T1419)</f>
        <v/>
      </c>
    </row>
    <row r="1420">
      <c r="A1420" s="2" t="inlineStr">
        <is>
          <t>SN-3000-3300-33ER-3300JP0001</t>
        </is>
      </c>
      <c r="B1420" s="2" t="inlineStr">
        <is>
          <t>3300JP0001</t>
        </is>
      </c>
      <c r="C1420" s="2" t="inlineStr">
        <is>
          <t>Tablero distribución instrumentación</t>
        </is>
      </c>
      <c r="D1420" s="2" t="n">
        <v>473</v>
      </c>
      <c r="E1420" s="2" t="inlineStr">
        <is>
          <t>CC-3000</t>
        </is>
      </c>
      <c r="F1420" s="2" t="inlineStr">
        <is>
          <t>P01</t>
        </is>
      </c>
      <c r="G1420" s="2" t="n">
        <v>630000</v>
      </c>
      <c r="H1420" s="2" t="inlineStr">
        <is>
          <t>Servicios externos</t>
        </is>
      </c>
      <c r="I1420" s="9" t="n">
        <v>1236.74</v>
      </c>
      <c r="J1420" s="9" t="n">
        <v>1331.27</v>
      </c>
      <c r="K1420" s="9" t="n">
        <v>1357.16</v>
      </c>
      <c r="L1420" s="9" t="n">
        <v>1346.64</v>
      </c>
      <c r="M1420" s="9" t="n">
        <v>1271.38</v>
      </c>
      <c r="N1420" s="9" t="n">
        <v>1269.75</v>
      </c>
      <c r="O1420" s="9" t="n">
        <v>1312.56</v>
      </c>
      <c r="P1420" s="9" t="n">
        <v>1278.68</v>
      </c>
      <c r="Q1420" s="9" t="n">
        <v>1259.17</v>
      </c>
      <c r="R1420" s="9" t="n">
        <v>1291.49</v>
      </c>
      <c r="S1420" s="9" t="n">
        <v>1306.01</v>
      </c>
      <c r="T1420" s="9" t="n">
        <v>1258.27</v>
      </c>
      <c r="U1420" s="10">
        <f>SUM(I1420:T1420)</f>
        <v/>
      </c>
    </row>
    <row r="1421">
      <c r="A1421" s="2" t="inlineStr">
        <is>
          <t>SN-3000-3300-33ER-3300JP0002</t>
        </is>
      </c>
      <c r="B1421" s="2" t="inlineStr">
        <is>
          <t>3300JP0002</t>
        </is>
      </c>
      <c r="C1421" s="2" t="inlineStr">
        <is>
          <t>Tablero distribución instrumentación</t>
        </is>
      </c>
      <c r="D1421" s="2" t="n">
        <v>474</v>
      </c>
      <c r="E1421" s="2" t="inlineStr">
        <is>
          <t>CC-3000</t>
        </is>
      </c>
      <c r="F1421" s="2" t="inlineStr">
        <is>
          <t>P01</t>
        </is>
      </c>
      <c r="G1421" s="2" t="n">
        <v>610000</v>
      </c>
      <c r="H1421" s="2" t="inlineStr">
        <is>
          <t>Mano obra interna</t>
        </is>
      </c>
      <c r="I1421" s="9" t="n">
        <v>2458.38</v>
      </c>
      <c r="J1421" s="9" t="n">
        <v>2540.27</v>
      </c>
      <c r="K1421" s="9" t="n">
        <v>2691.02</v>
      </c>
      <c r="L1421" s="9" t="n">
        <v>2827.96</v>
      </c>
      <c r="M1421" s="9" t="n">
        <v>2729.21</v>
      </c>
      <c r="N1421" s="9" t="n">
        <v>2633.14</v>
      </c>
      <c r="O1421" s="9" t="n">
        <v>2501.84</v>
      </c>
      <c r="P1421" s="9" t="n">
        <v>2762.26</v>
      </c>
      <c r="Q1421" s="9" t="n">
        <v>2368.73</v>
      </c>
      <c r="R1421" s="9" t="n">
        <v>2919.46</v>
      </c>
      <c r="S1421" s="9" t="n">
        <v>2368.42</v>
      </c>
      <c r="T1421" s="9" t="n">
        <v>2603.36</v>
      </c>
      <c r="U1421" s="10">
        <f>SUM(I1421:T1421)</f>
        <v/>
      </c>
    </row>
    <row r="1422">
      <c r="A1422" s="2" t="inlineStr">
        <is>
          <t>SN-3000-3300-33ER-3300JP0002</t>
        </is>
      </c>
      <c r="B1422" s="2" t="inlineStr">
        <is>
          <t>3300JP0002</t>
        </is>
      </c>
      <c r="C1422" s="2" t="inlineStr">
        <is>
          <t>Tablero distribución instrumentación</t>
        </is>
      </c>
      <c r="D1422" s="2" t="n">
        <v>474</v>
      </c>
      <c r="E1422" s="2" t="inlineStr">
        <is>
          <t>CC-3000</t>
        </is>
      </c>
      <c r="F1422" s="2" t="inlineStr">
        <is>
          <t>P01</t>
        </is>
      </c>
      <c r="G1422" s="2" t="n">
        <v>620000</v>
      </c>
      <c r="H1422" s="2" t="inlineStr">
        <is>
          <t>Materiales</t>
        </is>
      </c>
      <c r="I1422" s="9" t="n">
        <v>3155.69</v>
      </c>
      <c r="J1422" s="9" t="n">
        <v>2924.75</v>
      </c>
      <c r="K1422" s="9" t="n">
        <v>3118.01</v>
      </c>
      <c r="L1422" s="9" t="n">
        <v>2795.85</v>
      </c>
      <c r="M1422" s="9" t="n">
        <v>2956.32</v>
      </c>
      <c r="N1422" s="9" t="n">
        <v>2810.26</v>
      </c>
      <c r="O1422" s="9" t="n">
        <v>2697.59</v>
      </c>
      <c r="P1422" s="9" t="n">
        <v>2704.32</v>
      </c>
      <c r="Q1422" s="9" t="n">
        <v>2517.25</v>
      </c>
      <c r="R1422" s="9" t="n">
        <v>3222.84</v>
      </c>
      <c r="S1422" s="9" t="n">
        <v>2632.68</v>
      </c>
      <c r="T1422" s="9" t="n">
        <v>2912.62</v>
      </c>
      <c r="U1422" s="10">
        <f>SUM(I1422:T1422)</f>
        <v/>
      </c>
    </row>
    <row r="1423">
      <c r="A1423" s="2" t="inlineStr">
        <is>
          <t>SN-3000-3300-33ER-3300JP0002</t>
        </is>
      </c>
      <c r="B1423" s="2" t="inlineStr">
        <is>
          <t>3300JP0002</t>
        </is>
      </c>
      <c r="C1423" s="2" t="inlineStr">
        <is>
          <t>Tablero distribución instrumentación</t>
        </is>
      </c>
      <c r="D1423" s="2" t="n">
        <v>474</v>
      </c>
      <c r="E1423" s="2" t="inlineStr">
        <is>
          <t>CC-3000</t>
        </is>
      </c>
      <c r="F1423" s="2" t="inlineStr">
        <is>
          <t>P01</t>
        </is>
      </c>
      <c r="G1423" s="2" t="n">
        <v>630000</v>
      </c>
      <c r="H1423" s="2" t="inlineStr">
        <is>
          <t>Servicios externos</t>
        </is>
      </c>
      <c r="I1423" s="9" t="n">
        <v>2455.84</v>
      </c>
      <c r="J1423" s="9" t="n">
        <v>2427.92</v>
      </c>
      <c r="K1423" s="9" t="n">
        <v>2534.68</v>
      </c>
      <c r="L1423" s="9" t="n">
        <v>2445.07</v>
      </c>
      <c r="M1423" s="9" t="n">
        <v>2348.25</v>
      </c>
      <c r="N1423" s="9" t="n">
        <v>2244.27</v>
      </c>
      <c r="O1423" s="9" t="n">
        <v>2525.74</v>
      </c>
      <c r="P1423" s="9" t="n">
        <v>2320.09</v>
      </c>
      <c r="Q1423" s="9" t="n">
        <v>2135.92</v>
      </c>
      <c r="R1423" s="9" t="n">
        <v>2673.75</v>
      </c>
      <c r="S1423" s="9" t="n">
        <v>2258.36</v>
      </c>
      <c r="T1423" s="9" t="n">
        <v>2556.3</v>
      </c>
      <c r="U1423" s="10">
        <f>SUM(I1423:T1423)</f>
        <v/>
      </c>
    </row>
    <row r="1424">
      <c r="A1424" s="2" t="inlineStr">
        <is>
          <t>SN-3000-3300-33ER-3300JP0003</t>
        </is>
      </c>
      <c r="B1424" s="2" t="inlineStr">
        <is>
          <t>3300JP0003</t>
        </is>
      </c>
      <c r="C1424" s="2" t="inlineStr">
        <is>
          <t>Tablero distribución instrumentación</t>
        </is>
      </c>
      <c r="D1424" s="2" t="n">
        <v>475</v>
      </c>
      <c r="E1424" s="2" t="inlineStr">
        <is>
          <t>CC-3000</t>
        </is>
      </c>
      <c r="F1424" s="2" t="inlineStr">
        <is>
          <t>P01</t>
        </is>
      </c>
      <c r="G1424" s="2" t="n">
        <v>610000</v>
      </c>
      <c r="H1424" s="2" t="inlineStr">
        <is>
          <t>Mano obra interna</t>
        </is>
      </c>
      <c r="I1424" s="9" t="n">
        <v>162.76</v>
      </c>
      <c r="J1424" s="9" t="n">
        <v>141.04</v>
      </c>
      <c r="K1424" s="9" t="n">
        <v>156.42</v>
      </c>
      <c r="L1424" s="9" t="n">
        <v>153.89</v>
      </c>
      <c r="M1424" s="9" t="n">
        <v>160.6</v>
      </c>
      <c r="N1424" s="9" t="n">
        <v>158.7</v>
      </c>
      <c r="O1424" s="9" t="n">
        <v>153.55</v>
      </c>
      <c r="P1424" s="9" t="n">
        <v>162.36</v>
      </c>
      <c r="Q1424" s="9" t="n">
        <v>148.37</v>
      </c>
      <c r="R1424" s="9" t="n">
        <v>179.02</v>
      </c>
      <c r="S1424" s="9" t="n">
        <v>156.96</v>
      </c>
      <c r="T1424" s="9" t="n">
        <v>146.15</v>
      </c>
      <c r="U1424" s="10">
        <f>SUM(I1424:T1424)</f>
        <v/>
      </c>
    </row>
    <row r="1425">
      <c r="A1425" s="2" t="inlineStr">
        <is>
          <t>SN-3000-3300-33ER-3300JP0003</t>
        </is>
      </c>
      <c r="B1425" s="2" t="inlineStr">
        <is>
          <t>3300JP0003</t>
        </is>
      </c>
      <c r="C1425" s="2" t="inlineStr">
        <is>
          <t>Tablero distribución instrumentación</t>
        </is>
      </c>
      <c r="D1425" s="2" t="n">
        <v>475</v>
      </c>
      <c r="E1425" s="2" t="inlineStr">
        <is>
          <t>CC-3000</t>
        </is>
      </c>
      <c r="F1425" s="2" t="inlineStr">
        <is>
          <t>P01</t>
        </is>
      </c>
      <c r="G1425" s="2" t="n">
        <v>620000</v>
      </c>
      <c r="H1425" s="2" t="inlineStr">
        <is>
          <t>Materiales</t>
        </is>
      </c>
      <c r="I1425" s="9" t="n">
        <v>175.92</v>
      </c>
      <c r="J1425" s="9" t="n">
        <v>155.7</v>
      </c>
      <c r="K1425" s="9" t="n">
        <v>169.74</v>
      </c>
      <c r="L1425" s="9" t="n">
        <v>186.95</v>
      </c>
      <c r="M1425" s="9" t="n">
        <v>181.14</v>
      </c>
      <c r="N1425" s="9" t="n">
        <v>171.66</v>
      </c>
      <c r="O1425" s="9" t="n">
        <v>184.65</v>
      </c>
      <c r="P1425" s="9" t="n">
        <v>179.62</v>
      </c>
      <c r="Q1425" s="9" t="n">
        <v>147.01</v>
      </c>
      <c r="R1425" s="9" t="n">
        <v>178.52</v>
      </c>
      <c r="S1425" s="9" t="n">
        <v>153.42</v>
      </c>
      <c r="T1425" s="9" t="n">
        <v>162.61</v>
      </c>
      <c r="U1425" s="10">
        <f>SUM(I1425:T1425)</f>
        <v/>
      </c>
    </row>
    <row r="1426">
      <c r="A1426" s="2" t="inlineStr">
        <is>
          <t>SN-3000-3300-33ER-3300JP0003</t>
        </is>
      </c>
      <c r="B1426" s="2" t="inlineStr">
        <is>
          <t>3300JP0003</t>
        </is>
      </c>
      <c r="C1426" s="2" t="inlineStr">
        <is>
          <t>Tablero distribución instrumentación</t>
        </is>
      </c>
      <c r="D1426" s="2" t="n">
        <v>475</v>
      </c>
      <c r="E1426" s="2" t="inlineStr">
        <is>
          <t>CC-3000</t>
        </is>
      </c>
      <c r="F1426" s="2" t="inlineStr">
        <is>
          <t>P01</t>
        </is>
      </c>
      <c r="G1426" s="2" t="n">
        <v>630000</v>
      </c>
      <c r="H1426" s="2" t="inlineStr">
        <is>
          <t>Servicios externos</t>
        </is>
      </c>
      <c r="I1426" s="9" t="n">
        <v>146.58</v>
      </c>
      <c r="J1426" s="9" t="n">
        <v>149.19</v>
      </c>
      <c r="K1426" s="9" t="n">
        <v>156.62</v>
      </c>
      <c r="L1426" s="9" t="n">
        <v>149.39</v>
      </c>
      <c r="M1426" s="9" t="n">
        <v>151.75</v>
      </c>
      <c r="N1426" s="9" t="n">
        <v>137.2</v>
      </c>
      <c r="O1426" s="9" t="n">
        <v>152.5</v>
      </c>
      <c r="P1426" s="9" t="n">
        <v>142.34</v>
      </c>
      <c r="Q1426" s="9" t="n">
        <v>128.82</v>
      </c>
      <c r="R1426" s="9" t="n">
        <v>165.07</v>
      </c>
      <c r="S1426" s="9" t="n">
        <v>136.43</v>
      </c>
      <c r="T1426" s="9" t="n">
        <v>145.71</v>
      </c>
      <c r="U1426" s="10">
        <f>SUM(I1426:T1426)</f>
        <v/>
      </c>
    </row>
    <row r="1427">
      <c r="A1427" s="2" t="inlineStr">
        <is>
          <t>SN-3000-3300-33ER-3300JX0001</t>
        </is>
      </c>
      <c r="B1427" s="2" t="inlineStr">
        <is>
          <t>3300JX0001</t>
        </is>
      </c>
      <c r="C1427" s="2" t="inlineStr">
        <is>
          <t>Transformador distribución instrumentos</t>
        </is>
      </c>
      <c r="D1427" s="2" t="n">
        <v>476</v>
      </c>
      <c r="E1427" s="2" t="inlineStr">
        <is>
          <t>CC-3000</t>
        </is>
      </c>
      <c r="F1427" s="2" t="inlineStr">
        <is>
          <t>P01</t>
        </is>
      </c>
      <c r="G1427" s="2" t="n">
        <v>610000</v>
      </c>
      <c r="H1427" s="2" t="inlineStr">
        <is>
          <t>Mano obra interna</t>
        </is>
      </c>
      <c r="I1427" s="9" t="n">
        <v>980.67</v>
      </c>
      <c r="J1427" s="9" t="n">
        <v>995.11</v>
      </c>
      <c r="K1427" s="9" t="n">
        <v>892.55</v>
      </c>
      <c r="L1427" s="9" t="n">
        <v>1018.11</v>
      </c>
      <c r="M1427" s="9" t="n">
        <v>853.02</v>
      </c>
      <c r="N1427" s="9" t="n">
        <v>875.67</v>
      </c>
      <c r="O1427" s="9" t="n">
        <v>887.01</v>
      </c>
      <c r="P1427" s="9" t="n">
        <v>974.0700000000001</v>
      </c>
      <c r="Q1427" s="9" t="n">
        <v>808.87</v>
      </c>
      <c r="R1427" s="9" t="n">
        <v>1018.32</v>
      </c>
      <c r="S1427" s="9" t="n">
        <v>876.61</v>
      </c>
      <c r="T1427" s="9" t="n">
        <v>894.46</v>
      </c>
      <c r="U1427" s="10">
        <f>SUM(I1427:T1427)</f>
        <v/>
      </c>
    </row>
    <row r="1428">
      <c r="A1428" s="2" t="inlineStr">
        <is>
          <t>SN-3000-3300-33ER-3300JX0001</t>
        </is>
      </c>
      <c r="B1428" s="2" t="inlineStr">
        <is>
          <t>3300JX0001</t>
        </is>
      </c>
      <c r="C1428" s="2" t="inlineStr">
        <is>
          <t>Transformador distribución instrumentos</t>
        </is>
      </c>
      <c r="D1428" s="2" t="n">
        <v>476</v>
      </c>
      <c r="E1428" s="2" t="inlineStr">
        <is>
          <t>CC-3000</t>
        </is>
      </c>
      <c r="F1428" s="2" t="inlineStr">
        <is>
          <t>P01</t>
        </is>
      </c>
      <c r="G1428" s="2" t="n">
        <v>620000</v>
      </c>
      <c r="H1428" s="2" t="inlineStr">
        <is>
          <t>Materiales</t>
        </is>
      </c>
      <c r="I1428" s="9" t="n">
        <v>1004.58</v>
      </c>
      <c r="J1428" s="9" t="n">
        <v>970.1799999999999</v>
      </c>
      <c r="K1428" s="9" t="n">
        <v>1025.01</v>
      </c>
      <c r="L1428" s="9" t="n">
        <v>1068.01</v>
      </c>
      <c r="M1428" s="9" t="n">
        <v>1046.06</v>
      </c>
      <c r="N1428" s="9" t="n">
        <v>909.33</v>
      </c>
      <c r="O1428" s="9" t="n">
        <v>988.55</v>
      </c>
      <c r="P1428" s="9" t="n">
        <v>1018.52</v>
      </c>
      <c r="Q1428" s="9" t="n">
        <v>933.63</v>
      </c>
      <c r="R1428" s="9" t="n">
        <v>1179.82</v>
      </c>
      <c r="S1428" s="9" t="n">
        <v>1043.68</v>
      </c>
      <c r="T1428" s="9" t="n">
        <v>1067.04</v>
      </c>
      <c r="U1428" s="10">
        <f>SUM(I1428:T1428)</f>
        <v/>
      </c>
    </row>
    <row r="1429">
      <c r="A1429" s="2" t="inlineStr">
        <is>
          <t>SN-3000-3300-33ER-3300JX0001</t>
        </is>
      </c>
      <c r="B1429" s="2" t="inlineStr">
        <is>
          <t>3300JX0001</t>
        </is>
      </c>
      <c r="C1429" s="2" t="inlineStr">
        <is>
          <t>Transformador distribución instrumentos</t>
        </is>
      </c>
      <c r="D1429" s="2" t="n">
        <v>476</v>
      </c>
      <c r="E1429" s="2" t="inlineStr">
        <is>
          <t>CC-3000</t>
        </is>
      </c>
      <c r="F1429" s="2" t="inlineStr">
        <is>
          <t>P01</t>
        </is>
      </c>
      <c r="G1429" s="2" t="n">
        <v>630000</v>
      </c>
      <c r="H1429" s="2" t="inlineStr">
        <is>
          <t>Servicios externos</t>
        </is>
      </c>
      <c r="I1429" s="9" t="n">
        <v>922.6799999999999</v>
      </c>
      <c r="J1429" s="9" t="n">
        <v>909.88</v>
      </c>
      <c r="K1429" s="9" t="n">
        <v>917.14</v>
      </c>
      <c r="L1429" s="9" t="n">
        <v>935.76</v>
      </c>
      <c r="M1429" s="9" t="n">
        <v>901.2</v>
      </c>
      <c r="N1429" s="9" t="n">
        <v>846.86</v>
      </c>
      <c r="O1429" s="9" t="n">
        <v>849.79</v>
      </c>
      <c r="P1429" s="9" t="n">
        <v>909.48</v>
      </c>
      <c r="Q1429" s="9" t="n">
        <v>776.9400000000001</v>
      </c>
      <c r="R1429" s="9" t="n">
        <v>986.63</v>
      </c>
      <c r="S1429" s="9" t="n">
        <v>889.0599999999999</v>
      </c>
      <c r="T1429" s="9" t="n">
        <v>934.53</v>
      </c>
      <c r="U1429" s="10">
        <f>SUM(I1429:T1429)</f>
        <v/>
      </c>
    </row>
    <row r="1430">
      <c r="A1430" s="2" t="inlineStr">
        <is>
          <t>SN-3000-3300-33ER-3300LP0001</t>
        </is>
      </c>
      <c r="B1430" s="2" t="inlineStr">
        <is>
          <t>3300LP0001</t>
        </is>
      </c>
      <c r="C1430" s="2" t="inlineStr">
        <is>
          <t>Tablero distribución alumbrado</t>
        </is>
      </c>
      <c r="D1430" s="2" t="n">
        <v>477</v>
      </c>
      <c r="E1430" s="2" t="inlineStr">
        <is>
          <t>CC-3000</t>
        </is>
      </c>
      <c r="F1430" s="2" t="inlineStr">
        <is>
          <t>P01</t>
        </is>
      </c>
      <c r="G1430" s="2" t="n">
        <v>610000</v>
      </c>
      <c r="H1430" s="2" t="inlineStr">
        <is>
          <t>Mano obra interna</t>
        </is>
      </c>
      <c r="I1430" s="9" t="n">
        <v>2079.26</v>
      </c>
      <c r="J1430" s="9" t="n">
        <v>1974.65</v>
      </c>
      <c r="K1430" s="9" t="n">
        <v>2296.04</v>
      </c>
      <c r="L1430" s="9" t="n">
        <v>2324.74</v>
      </c>
      <c r="M1430" s="9" t="n">
        <v>2171.21</v>
      </c>
      <c r="N1430" s="9" t="n">
        <v>1931.49</v>
      </c>
      <c r="O1430" s="9" t="n">
        <v>2292.3</v>
      </c>
      <c r="P1430" s="9" t="n">
        <v>2308.12</v>
      </c>
      <c r="Q1430" s="9" t="n">
        <v>1972.87</v>
      </c>
      <c r="R1430" s="9" t="n">
        <v>2345.26</v>
      </c>
      <c r="S1430" s="9" t="n">
        <v>2165.78</v>
      </c>
      <c r="T1430" s="9" t="n">
        <v>2256.24</v>
      </c>
      <c r="U1430" s="10">
        <f>SUM(I1430:T1430)</f>
        <v/>
      </c>
    </row>
    <row r="1431">
      <c r="A1431" s="2" t="inlineStr">
        <is>
          <t>SN-3000-3300-33ER-3300LP0001</t>
        </is>
      </c>
      <c r="B1431" s="2" t="inlineStr">
        <is>
          <t>3300LP0001</t>
        </is>
      </c>
      <c r="C1431" s="2" t="inlineStr">
        <is>
          <t>Tablero distribución alumbrado</t>
        </is>
      </c>
      <c r="D1431" s="2" t="n">
        <v>477</v>
      </c>
      <c r="E1431" s="2" t="inlineStr">
        <is>
          <t>CC-3000</t>
        </is>
      </c>
      <c r="F1431" s="2" t="inlineStr">
        <is>
          <t>P01</t>
        </is>
      </c>
      <c r="G1431" s="2" t="n">
        <v>620000</v>
      </c>
      <c r="H1431" s="2" t="inlineStr">
        <is>
          <t>Materiales</t>
        </is>
      </c>
      <c r="I1431" s="9" t="n">
        <v>2284.88</v>
      </c>
      <c r="J1431" s="9" t="n">
        <v>2379.42</v>
      </c>
      <c r="K1431" s="9" t="n">
        <v>2536.23</v>
      </c>
      <c r="L1431" s="9" t="n">
        <v>2589.93</v>
      </c>
      <c r="M1431" s="9" t="n">
        <v>2501.82</v>
      </c>
      <c r="N1431" s="9" t="n">
        <v>2454.82</v>
      </c>
      <c r="O1431" s="9" t="n">
        <v>2390.89</v>
      </c>
      <c r="P1431" s="9" t="n">
        <v>2509.55</v>
      </c>
      <c r="Q1431" s="9" t="n">
        <v>2194.49</v>
      </c>
      <c r="R1431" s="9" t="n">
        <v>2540.28</v>
      </c>
      <c r="S1431" s="9" t="n">
        <v>2217.9</v>
      </c>
      <c r="T1431" s="9" t="n">
        <v>2543.86</v>
      </c>
      <c r="U1431" s="10">
        <f>SUM(I1431:T1431)</f>
        <v/>
      </c>
    </row>
    <row r="1432">
      <c r="A1432" s="2" t="inlineStr">
        <is>
          <t>SN-3000-3300-33ER-3300LP0001</t>
        </is>
      </c>
      <c r="B1432" s="2" t="inlineStr">
        <is>
          <t>3300LP0001</t>
        </is>
      </c>
      <c r="C1432" s="2" t="inlineStr">
        <is>
          <t>Tablero distribución alumbrado</t>
        </is>
      </c>
      <c r="D1432" s="2" t="n">
        <v>477</v>
      </c>
      <c r="E1432" s="2" t="inlineStr">
        <is>
          <t>CC-3000</t>
        </is>
      </c>
      <c r="F1432" s="2" t="inlineStr">
        <is>
          <t>P01</t>
        </is>
      </c>
      <c r="G1432" s="2" t="n">
        <v>630000</v>
      </c>
      <c r="H1432" s="2" t="inlineStr">
        <is>
          <t>Servicios externos</t>
        </is>
      </c>
      <c r="I1432" s="9" t="n">
        <v>2451.45</v>
      </c>
      <c r="J1432" s="9" t="n">
        <v>2286.2</v>
      </c>
      <c r="K1432" s="9" t="n">
        <v>2708.03</v>
      </c>
      <c r="L1432" s="9" t="n">
        <v>2603.03</v>
      </c>
      <c r="M1432" s="9" t="n">
        <v>2654.86</v>
      </c>
      <c r="N1432" s="9" t="n">
        <v>2294.33</v>
      </c>
      <c r="O1432" s="9" t="n">
        <v>2328.36</v>
      </c>
      <c r="P1432" s="9" t="n">
        <v>2493.93</v>
      </c>
      <c r="Q1432" s="9" t="n">
        <v>2171.81</v>
      </c>
      <c r="R1432" s="9" t="n">
        <v>2592.08</v>
      </c>
      <c r="S1432" s="9" t="n">
        <v>2274.25</v>
      </c>
      <c r="T1432" s="9" t="n">
        <v>2423.98</v>
      </c>
      <c r="U1432" s="10">
        <f>SUM(I1432:T1432)</f>
        <v/>
      </c>
    </row>
    <row r="1433">
      <c r="A1433" s="2" t="inlineStr">
        <is>
          <t>SN-3000-3300-33ER-3300LX0001</t>
        </is>
      </c>
      <c r="B1433" s="2" t="inlineStr">
        <is>
          <t>3300LX0001</t>
        </is>
      </c>
      <c r="C1433" s="2" t="inlineStr">
        <is>
          <t>Transformador distribución alumbrado</t>
        </is>
      </c>
      <c r="D1433" s="2" t="n">
        <v>478</v>
      </c>
      <c r="E1433" s="2" t="inlineStr">
        <is>
          <t>CC-3000</t>
        </is>
      </c>
      <c r="F1433" s="2" t="inlineStr">
        <is>
          <t>P01</t>
        </is>
      </c>
      <c r="G1433" s="2" t="n">
        <v>610000</v>
      </c>
      <c r="H1433" s="2" t="inlineStr">
        <is>
          <t>Mano obra interna</t>
        </is>
      </c>
      <c r="I1433" s="9" t="n">
        <v>201.04</v>
      </c>
      <c r="J1433" s="9" t="n">
        <v>174.41</v>
      </c>
      <c r="K1433" s="9" t="n">
        <v>187.71</v>
      </c>
      <c r="L1433" s="9" t="n">
        <v>199.61</v>
      </c>
      <c r="M1433" s="9" t="n">
        <v>186.85</v>
      </c>
      <c r="N1433" s="9" t="n">
        <v>178.85</v>
      </c>
      <c r="O1433" s="9" t="n">
        <v>189.72</v>
      </c>
      <c r="P1433" s="9" t="n">
        <v>193.11</v>
      </c>
      <c r="Q1433" s="9" t="n">
        <v>181.23</v>
      </c>
      <c r="R1433" s="9" t="n">
        <v>202.51</v>
      </c>
      <c r="S1433" s="9" t="n">
        <v>188.82</v>
      </c>
      <c r="T1433" s="9" t="n">
        <v>187.38</v>
      </c>
      <c r="U1433" s="10">
        <f>SUM(I1433:T1433)</f>
        <v/>
      </c>
    </row>
    <row r="1434">
      <c r="A1434" s="2" t="inlineStr">
        <is>
          <t>SN-3000-3300-33ER-3300LX0001</t>
        </is>
      </c>
      <c r="B1434" s="2" t="inlineStr">
        <is>
          <t>3300LX0001</t>
        </is>
      </c>
      <c r="C1434" s="2" t="inlineStr">
        <is>
          <t>Transformador distribución alumbrado</t>
        </is>
      </c>
      <c r="D1434" s="2" t="n">
        <v>478</v>
      </c>
      <c r="E1434" s="2" t="inlineStr">
        <is>
          <t>CC-3000</t>
        </is>
      </c>
      <c r="F1434" s="2" t="inlineStr">
        <is>
          <t>P01</t>
        </is>
      </c>
      <c r="G1434" s="2" t="n">
        <v>620000</v>
      </c>
      <c r="H1434" s="2" t="inlineStr">
        <is>
          <t>Materiales</t>
        </is>
      </c>
      <c r="I1434" s="9" t="n">
        <v>205.26</v>
      </c>
      <c r="J1434" s="9" t="n">
        <v>187.91</v>
      </c>
      <c r="K1434" s="9" t="n">
        <v>208.25</v>
      </c>
      <c r="L1434" s="9" t="n">
        <v>179.47</v>
      </c>
      <c r="M1434" s="9" t="n">
        <v>184.5</v>
      </c>
      <c r="N1434" s="9" t="n">
        <v>194.2</v>
      </c>
      <c r="O1434" s="9" t="n">
        <v>182.03</v>
      </c>
      <c r="P1434" s="9" t="n">
        <v>202.78</v>
      </c>
      <c r="Q1434" s="9" t="n">
        <v>189.25</v>
      </c>
      <c r="R1434" s="9" t="n">
        <v>216.9</v>
      </c>
      <c r="S1434" s="9" t="n">
        <v>185.36</v>
      </c>
      <c r="T1434" s="9" t="n">
        <v>196.88</v>
      </c>
      <c r="U1434" s="10">
        <f>SUM(I1434:T1434)</f>
        <v/>
      </c>
    </row>
    <row r="1435">
      <c r="A1435" s="2" t="inlineStr">
        <is>
          <t>SN-3000-3300-33ER-3300LX0001</t>
        </is>
      </c>
      <c r="B1435" s="2" t="inlineStr">
        <is>
          <t>3300LX0001</t>
        </is>
      </c>
      <c r="C1435" s="2" t="inlineStr">
        <is>
          <t>Transformador distribución alumbrado</t>
        </is>
      </c>
      <c r="D1435" s="2" t="n">
        <v>478</v>
      </c>
      <c r="E1435" s="2" t="inlineStr">
        <is>
          <t>CC-3000</t>
        </is>
      </c>
      <c r="F1435" s="2" t="inlineStr">
        <is>
          <t>P01</t>
        </is>
      </c>
      <c r="G1435" s="2" t="n">
        <v>630000</v>
      </c>
      <c r="H1435" s="2" t="inlineStr">
        <is>
          <t>Servicios externos</t>
        </is>
      </c>
      <c r="I1435" s="9" t="n">
        <v>243.2</v>
      </c>
      <c r="J1435" s="9" t="n">
        <v>229.39</v>
      </c>
      <c r="K1435" s="9" t="n">
        <v>253.55</v>
      </c>
      <c r="L1435" s="9" t="n">
        <v>240.12</v>
      </c>
      <c r="M1435" s="9" t="n">
        <v>242.98</v>
      </c>
      <c r="N1435" s="9" t="n">
        <v>202.69</v>
      </c>
      <c r="O1435" s="9" t="n">
        <v>215.08</v>
      </c>
      <c r="P1435" s="9" t="n">
        <v>226.22</v>
      </c>
      <c r="Q1435" s="9" t="n">
        <v>208.48</v>
      </c>
      <c r="R1435" s="9" t="n">
        <v>257.19</v>
      </c>
      <c r="S1435" s="9" t="n">
        <v>208.88</v>
      </c>
      <c r="T1435" s="9" t="n">
        <v>249.19</v>
      </c>
      <c r="U1435" s="10">
        <f>SUM(I1435:T1435)</f>
        <v/>
      </c>
    </row>
    <row r="1436">
      <c r="A1436" s="2" t="inlineStr">
        <is>
          <t>SN-3000-3300-33ER-3300MC0013</t>
        </is>
      </c>
      <c r="B1436" s="2" t="inlineStr">
        <is>
          <t>3300MC0013</t>
        </is>
      </c>
      <c r="C1436" s="2" t="inlineStr">
        <is>
          <t>Centro control motores 400V/1200A/65kA</t>
        </is>
      </c>
      <c r="D1436" s="2" t="n">
        <v>479</v>
      </c>
      <c r="E1436" s="2" t="inlineStr">
        <is>
          <t>CC-3000</t>
        </is>
      </c>
      <c r="F1436" s="2" t="inlineStr">
        <is>
          <t>P01</t>
        </is>
      </c>
      <c r="G1436" s="2" t="n">
        <v>610000</v>
      </c>
      <c r="H1436" s="2" t="inlineStr">
        <is>
          <t>Mano obra interna</t>
        </is>
      </c>
      <c r="I1436" s="9" t="n">
        <v>2156.74</v>
      </c>
      <c r="J1436" s="9" t="n">
        <v>2028.79</v>
      </c>
      <c r="K1436" s="9" t="n">
        <v>2232.62</v>
      </c>
      <c r="L1436" s="9" t="n">
        <v>2029.88</v>
      </c>
      <c r="M1436" s="9" t="n">
        <v>1996.36</v>
      </c>
      <c r="N1436" s="9" t="n">
        <v>2123.47</v>
      </c>
      <c r="O1436" s="9" t="n">
        <v>2030.73</v>
      </c>
      <c r="P1436" s="9" t="n">
        <v>2045.04</v>
      </c>
      <c r="Q1436" s="9" t="n">
        <v>2082.54</v>
      </c>
      <c r="R1436" s="9" t="n">
        <v>2154.64</v>
      </c>
      <c r="S1436" s="9" t="n">
        <v>2048.06</v>
      </c>
      <c r="T1436" s="9" t="n">
        <v>2003.24</v>
      </c>
      <c r="U1436" s="10">
        <f>SUM(I1436:T1436)</f>
        <v/>
      </c>
    </row>
    <row r="1437">
      <c r="A1437" s="2" t="inlineStr">
        <is>
          <t>SN-3000-3300-33ER-3300MC0013</t>
        </is>
      </c>
      <c r="B1437" s="2" t="inlineStr">
        <is>
          <t>3300MC0013</t>
        </is>
      </c>
      <c r="C1437" s="2" t="inlineStr">
        <is>
          <t>Centro control motores 400V/1200A/65kA</t>
        </is>
      </c>
      <c r="D1437" s="2" t="n">
        <v>479</v>
      </c>
      <c r="E1437" s="2" t="inlineStr">
        <is>
          <t>CC-3000</t>
        </is>
      </c>
      <c r="F1437" s="2" t="inlineStr">
        <is>
          <t>P01</t>
        </is>
      </c>
      <c r="G1437" s="2" t="n">
        <v>620000</v>
      </c>
      <c r="H1437" s="2" t="inlineStr">
        <is>
          <t>Materiales</t>
        </is>
      </c>
      <c r="I1437" s="9" t="n">
        <v>2161.23</v>
      </c>
      <c r="J1437" s="9" t="n">
        <v>1888.18</v>
      </c>
      <c r="K1437" s="9" t="n">
        <v>2248.22</v>
      </c>
      <c r="L1437" s="9" t="n">
        <v>2234.4</v>
      </c>
      <c r="M1437" s="9" t="n">
        <v>1902.22</v>
      </c>
      <c r="N1437" s="9" t="n">
        <v>2115.66</v>
      </c>
      <c r="O1437" s="9" t="n">
        <v>1986.21</v>
      </c>
      <c r="P1437" s="9" t="n">
        <v>1913.81</v>
      </c>
      <c r="Q1437" s="9" t="n">
        <v>1758.7</v>
      </c>
      <c r="R1437" s="9" t="n">
        <v>2180.3</v>
      </c>
      <c r="S1437" s="9" t="n">
        <v>2027.51</v>
      </c>
      <c r="T1437" s="9" t="n">
        <v>2026.33</v>
      </c>
      <c r="U1437" s="10">
        <f>SUM(I1437:T1437)</f>
        <v/>
      </c>
    </row>
    <row r="1438">
      <c r="A1438" s="2" t="inlineStr">
        <is>
          <t>SN-3000-3300-33ER-3300MC0013</t>
        </is>
      </c>
      <c r="B1438" s="2" t="inlineStr">
        <is>
          <t>3300MC0013</t>
        </is>
      </c>
      <c r="C1438" s="2" t="inlineStr">
        <is>
          <t>Centro control motores 400V/1200A/65kA</t>
        </is>
      </c>
      <c r="D1438" s="2" t="n">
        <v>479</v>
      </c>
      <c r="E1438" s="2" t="inlineStr">
        <is>
          <t>CC-3000</t>
        </is>
      </c>
      <c r="F1438" s="2" t="inlineStr">
        <is>
          <t>P01</t>
        </is>
      </c>
      <c r="G1438" s="2" t="n">
        <v>630000</v>
      </c>
      <c r="H1438" s="2" t="inlineStr">
        <is>
          <t>Servicios externos</t>
        </is>
      </c>
      <c r="I1438" s="9" t="n">
        <v>2474.49</v>
      </c>
      <c r="J1438" s="9" t="n">
        <v>2251.98</v>
      </c>
      <c r="K1438" s="9" t="n">
        <v>2507.51</v>
      </c>
      <c r="L1438" s="9" t="n">
        <v>2563.17</v>
      </c>
      <c r="M1438" s="9" t="n">
        <v>2167.59</v>
      </c>
      <c r="N1438" s="9" t="n">
        <v>2170.36</v>
      </c>
      <c r="O1438" s="9" t="n">
        <v>2330.07</v>
      </c>
      <c r="P1438" s="9" t="n">
        <v>2340.26</v>
      </c>
      <c r="Q1438" s="9" t="n">
        <v>2195.55</v>
      </c>
      <c r="R1438" s="9" t="n">
        <v>2445.91</v>
      </c>
      <c r="S1438" s="9" t="n">
        <v>2328.64</v>
      </c>
      <c r="T1438" s="9" t="n">
        <v>2432.74</v>
      </c>
      <c r="U1438" s="10">
        <f>SUM(I1438:T1438)</f>
        <v/>
      </c>
    </row>
    <row r="1439">
      <c r="A1439" s="2" t="inlineStr">
        <is>
          <t>SN-3000-3300-33ER-3300MC0014</t>
        </is>
      </c>
      <c r="B1439" s="2" t="inlineStr">
        <is>
          <t>3300MC0014</t>
        </is>
      </c>
      <c r="C1439" s="2" t="inlineStr">
        <is>
          <t>Centro control motores 400V/1200A/65kA</t>
        </is>
      </c>
      <c r="D1439" s="2" t="n">
        <v>480</v>
      </c>
      <c r="E1439" s="2" t="inlineStr">
        <is>
          <t>CC-3000</t>
        </is>
      </c>
      <c r="F1439" s="2" t="inlineStr">
        <is>
          <t>P01</t>
        </is>
      </c>
      <c r="G1439" s="2" t="n">
        <v>610000</v>
      </c>
      <c r="H1439" s="2" t="inlineStr">
        <is>
          <t>Mano obra interna</t>
        </is>
      </c>
      <c r="I1439" s="9" t="n">
        <v>1745.27</v>
      </c>
      <c r="J1439" s="9" t="n">
        <v>1788.04</v>
      </c>
      <c r="K1439" s="9" t="n">
        <v>1836.66</v>
      </c>
      <c r="L1439" s="9" t="n">
        <v>1859.75</v>
      </c>
      <c r="M1439" s="9" t="n">
        <v>1925.13</v>
      </c>
      <c r="N1439" s="9" t="n">
        <v>1736.77</v>
      </c>
      <c r="O1439" s="9" t="n">
        <v>1681.31</v>
      </c>
      <c r="P1439" s="9" t="n">
        <v>1803.07</v>
      </c>
      <c r="Q1439" s="9" t="n">
        <v>1783.31</v>
      </c>
      <c r="R1439" s="9" t="n">
        <v>2053.22</v>
      </c>
      <c r="S1439" s="9" t="n">
        <v>1767.83</v>
      </c>
      <c r="T1439" s="9" t="n">
        <v>1775.26</v>
      </c>
      <c r="U1439" s="10">
        <f>SUM(I1439:T1439)</f>
        <v/>
      </c>
    </row>
    <row r="1440">
      <c r="A1440" s="2" t="inlineStr">
        <is>
          <t>SN-3000-3300-33ER-3300MC0014</t>
        </is>
      </c>
      <c r="B1440" s="2" t="inlineStr">
        <is>
          <t>3300MC0014</t>
        </is>
      </c>
      <c r="C1440" s="2" t="inlineStr">
        <is>
          <t>Centro control motores 400V/1200A/65kA</t>
        </is>
      </c>
      <c r="D1440" s="2" t="n">
        <v>480</v>
      </c>
      <c r="E1440" s="2" t="inlineStr">
        <is>
          <t>CC-3000</t>
        </is>
      </c>
      <c r="F1440" s="2" t="inlineStr">
        <is>
          <t>P01</t>
        </is>
      </c>
      <c r="G1440" s="2" t="n">
        <v>620000</v>
      </c>
      <c r="H1440" s="2" t="inlineStr">
        <is>
          <t>Materiales</t>
        </is>
      </c>
      <c r="I1440" s="9" t="n">
        <v>1726.4</v>
      </c>
      <c r="J1440" s="9" t="n">
        <v>1780.6</v>
      </c>
      <c r="K1440" s="9" t="n">
        <v>1766.9</v>
      </c>
      <c r="L1440" s="9" t="n">
        <v>1764.17</v>
      </c>
      <c r="M1440" s="9" t="n">
        <v>1654.5</v>
      </c>
      <c r="N1440" s="9" t="n">
        <v>1563.28</v>
      </c>
      <c r="O1440" s="9" t="n">
        <v>1758.71</v>
      </c>
      <c r="P1440" s="9" t="n">
        <v>1671.48</v>
      </c>
      <c r="Q1440" s="9" t="n">
        <v>1681.71</v>
      </c>
      <c r="R1440" s="9" t="n">
        <v>1792.99</v>
      </c>
      <c r="S1440" s="9" t="n">
        <v>1508.6</v>
      </c>
      <c r="T1440" s="9" t="n">
        <v>1748.57</v>
      </c>
      <c r="U1440" s="10">
        <f>SUM(I1440:T1440)</f>
        <v/>
      </c>
    </row>
    <row r="1441">
      <c r="A1441" s="2" t="inlineStr">
        <is>
          <t>SN-3000-3300-33ER-3300MC0014</t>
        </is>
      </c>
      <c r="B1441" s="2" t="inlineStr">
        <is>
          <t>3300MC0014</t>
        </is>
      </c>
      <c r="C1441" s="2" t="inlineStr">
        <is>
          <t>Centro control motores 400V/1200A/65kA</t>
        </is>
      </c>
      <c r="D1441" s="2" t="n">
        <v>480</v>
      </c>
      <c r="E1441" s="2" t="inlineStr">
        <is>
          <t>CC-3000</t>
        </is>
      </c>
      <c r="F1441" s="2" t="inlineStr">
        <is>
          <t>P01</t>
        </is>
      </c>
      <c r="G1441" s="2" t="n">
        <v>630000</v>
      </c>
      <c r="H1441" s="2" t="inlineStr">
        <is>
          <t>Servicios externos</t>
        </is>
      </c>
      <c r="I1441" s="9" t="n">
        <v>1455.68</v>
      </c>
      <c r="J1441" s="9" t="n">
        <v>1428.53</v>
      </c>
      <c r="K1441" s="9" t="n">
        <v>1590.95</v>
      </c>
      <c r="L1441" s="9" t="n">
        <v>1516.59</v>
      </c>
      <c r="M1441" s="9" t="n">
        <v>1359.03</v>
      </c>
      <c r="N1441" s="9" t="n">
        <v>1446.54</v>
      </c>
      <c r="O1441" s="9" t="n">
        <v>1464.86</v>
      </c>
      <c r="P1441" s="9" t="n">
        <v>1584.31</v>
      </c>
      <c r="Q1441" s="9" t="n">
        <v>1382.48</v>
      </c>
      <c r="R1441" s="9" t="n">
        <v>1655.28</v>
      </c>
      <c r="S1441" s="9" t="n">
        <v>1373.14</v>
      </c>
      <c r="T1441" s="9" t="n">
        <v>1570.24</v>
      </c>
      <c r="U1441" s="10">
        <f>SUM(I1441:T1441)</f>
        <v/>
      </c>
    </row>
    <row r="1442">
      <c r="A1442" s="2" t="inlineStr">
        <is>
          <t>SN-3000-3300-33ER-3300SC0001</t>
        </is>
      </c>
      <c r="B1442" s="2" t="inlineStr">
        <is>
          <t>3300SC0001</t>
        </is>
      </c>
      <c r="C1442" s="2" t="inlineStr">
        <is>
          <t>Panel sistema Scada</t>
        </is>
      </c>
      <c r="D1442" s="2" t="n">
        <v>481</v>
      </c>
      <c r="E1442" s="2" t="inlineStr">
        <is>
          <t>CC-3000</t>
        </is>
      </c>
      <c r="F1442" s="2" t="inlineStr">
        <is>
          <t>P01</t>
        </is>
      </c>
      <c r="G1442" s="2" t="n">
        <v>610000</v>
      </c>
      <c r="H1442" s="2" t="inlineStr">
        <is>
          <t>Mano obra interna</t>
        </is>
      </c>
      <c r="I1442" s="9" t="n">
        <v>484.28</v>
      </c>
      <c r="J1442" s="9" t="n">
        <v>406.1</v>
      </c>
      <c r="K1442" s="9" t="n">
        <v>455.82</v>
      </c>
      <c r="L1442" s="9" t="n">
        <v>468.46</v>
      </c>
      <c r="M1442" s="9" t="n">
        <v>412.41</v>
      </c>
      <c r="N1442" s="9" t="n">
        <v>419.91</v>
      </c>
      <c r="O1442" s="9" t="n">
        <v>477.32</v>
      </c>
      <c r="P1442" s="9" t="n">
        <v>440.69</v>
      </c>
      <c r="Q1442" s="9" t="n">
        <v>447</v>
      </c>
      <c r="R1442" s="9" t="n">
        <v>446.46</v>
      </c>
      <c r="S1442" s="9" t="n">
        <v>446.39</v>
      </c>
      <c r="T1442" s="9" t="n">
        <v>458.06</v>
      </c>
      <c r="U1442" s="10">
        <f>SUM(I1442:T1442)</f>
        <v/>
      </c>
    </row>
    <row r="1443">
      <c r="A1443" s="2" t="inlineStr">
        <is>
          <t>SN-3000-3300-33ER-3300SC0001</t>
        </is>
      </c>
      <c r="B1443" s="2" t="inlineStr">
        <is>
          <t>3300SC0001</t>
        </is>
      </c>
      <c r="C1443" s="2" t="inlineStr">
        <is>
          <t>Panel sistema Scada</t>
        </is>
      </c>
      <c r="D1443" s="2" t="n">
        <v>481</v>
      </c>
      <c r="E1443" s="2" t="inlineStr">
        <is>
          <t>CC-3000</t>
        </is>
      </c>
      <c r="F1443" s="2" t="inlineStr">
        <is>
          <t>P01</t>
        </is>
      </c>
      <c r="G1443" s="2" t="n">
        <v>620000</v>
      </c>
      <c r="H1443" s="2" t="inlineStr">
        <is>
          <t>Materiales</t>
        </is>
      </c>
      <c r="I1443" s="9" t="n">
        <v>439.99</v>
      </c>
      <c r="J1443" s="9" t="n">
        <v>371.35</v>
      </c>
      <c r="K1443" s="9" t="n">
        <v>439.69</v>
      </c>
      <c r="L1443" s="9" t="n">
        <v>422.18</v>
      </c>
      <c r="M1443" s="9" t="n">
        <v>381.37</v>
      </c>
      <c r="N1443" s="9" t="n">
        <v>407.83</v>
      </c>
      <c r="O1443" s="9" t="n">
        <v>396.45</v>
      </c>
      <c r="P1443" s="9" t="n">
        <v>420.65</v>
      </c>
      <c r="Q1443" s="9" t="n">
        <v>366.47</v>
      </c>
      <c r="R1443" s="9" t="n">
        <v>456.51</v>
      </c>
      <c r="S1443" s="9" t="n">
        <v>396.49</v>
      </c>
      <c r="T1443" s="9" t="n">
        <v>383.4</v>
      </c>
      <c r="U1443" s="10">
        <f>SUM(I1443:T1443)</f>
        <v/>
      </c>
    </row>
    <row r="1444">
      <c r="A1444" s="2" t="inlineStr">
        <is>
          <t>SN-3000-3300-33ER-3300SC0001</t>
        </is>
      </c>
      <c r="B1444" s="2" t="inlineStr">
        <is>
          <t>3300SC0001</t>
        </is>
      </c>
      <c r="C1444" s="2" t="inlineStr">
        <is>
          <t>Panel sistema Scada</t>
        </is>
      </c>
      <c r="D1444" s="2" t="n">
        <v>481</v>
      </c>
      <c r="E1444" s="2" t="inlineStr">
        <is>
          <t>CC-3000</t>
        </is>
      </c>
      <c r="F1444" s="2" t="inlineStr">
        <is>
          <t>P01</t>
        </is>
      </c>
      <c r="G1444" s="2" t="n">
        <v>630000</v>
      </c>
      <c r="H1444" s="2" t="inlineStr">
        <is>
          <t>Servicios externos</t>
        </is>
      </c>
      <c r="I1444" s="9" t="n">
        <v>420.9</v>
      </c>
      <c r="J1444" s="9" t="n">
        <v>421.14</v>
      </c>
      <c r="K1444" s="9" t="n">
        <v>423.85</v>
      </c>
      <c r="L1444" s="9" t="n">
        <v>409.39</v>
      </c>
      <c r="M1444" s="9" t="n">
        <v>409.45</v>
      </c>
      <c r="N1444" s="9" t="n">
        <v>417.08</v>
      </c>
      <c r="O1444" s="9" t="n">
        <v>432.64</v>
      </c>
      <c r="P1444" s="9" t="n">
        <v>433.51</v>
      </c>
      <c r="Q1444" s="9" t="n">
        <v>387.45</v>
      </c>
      <c r="R1444" s="9" t="n">
        <v>481.6</v>
      </c>
      <c r="S1444" s="9" t="n">
        <v>433.6</v>
      </c>
      <c r="T1444" s="9" t="n">
        <v>430.16</v>
      </c>
      <c r="U1444" s="10">
        <f>SUM(I1444:T1444)</f>
        <v/>
      </c>
    </row>
    <row r="1445">
      <c r="A1445" s="2" t="inlineStr">
        <is>
          <t>SN-3000-3300-33ER-3300SG0011</t>
        </is>
      </c>
      <c r="B1445" s="2" t="inlineStr">
        <is>
          <t>3300SG0011</t>
        </is>
      </c>
      <c r="C1445" s="2" t="inlineStr">
        <is>
          <t>Switch gear 400 V, 3200 A, 65 kA</t>
        </is>
      </c>
      <c r="D1445" s="2" t="n">
        <v>482</v>
      </c>
      <c r="E1445" s="2" t="inlineStr">
        <is>
          <t>CC-3000</t>
        </is>
      </c>
      <c r="F1445" s="2" t="inlineStr">
        <is>
          <t>P01</t>
        </is>
      </c>
      <c r="G1445" s="2" t="n">
        <v>610000</v>
      </c>
      <c r="H1445" s="2" t="inlineStr">
        <is>
          <t>Mano obra interna</t>
        </is>
      </c>
      <c r="I1445" s="9" t="n">
        <v>752.76</v>
      </c>
      <c r="J1445" s="9" t="n">
        <v>734.0599999999999</v>
      </c>
      <c r="K1445" s="9" t="n">
        <v>717.1</v>
      </c>
      <c r="L1445" s="9" t="n">
        <v>677.8099999999999</v>
      </c>
      <c r="M1445" s="9" t="n">
        <v>755.03</v>
      </c>
      <c r="N1445" s="9" t="n">
        <v>724.67</v>
      </c>
      <c r="O1445" s="9" t="n">
        <v>677.63</v>
      </c>
      <c r="P1445" s="9" t="n">
        <v>705.74</v>
      </c>
      <c r="Q1445" s="9" t="n">
        <v>688.28</v>
      </c>
      <c r="R1445" s="9" t="n">
        <v>796.23</v>
      </c>
      <c r="S1445" s="9" t="n">
        <v>737.99</v>
      </c>
      <c r="T1445" s="9" t="n">
        <v>689.38</v>
      </c>
      <c r="U1445" s="10">
        <f>SUM(I1445:T1445)</f>
        <v/>
      </c>
    </row>
    <row r="1446">
      <c r="A1446" s="2" t="inlineStr">
        <is>
          <t>SN-3000-3300-33ER-3300SG0011</t>
        </is>
      </c>
      <c r="B1446" s="2" t="inlineStr">
        <is>
          <t>3300SG0011</t>
        </is>
      </c>
      <c r="C1446" s="2" t="inlineStr">
        <is>
          <t>Switch gear 400 V, 3200 A, 65 kA</t>
        </is>
      </c>
      <c r="D1446" s="2" t="n">
        <v>482</v>
      </c>
      <c r="E1446" s="2" t="inlineStr">
        <is>
          <t>CC-3000</t>
        </is>
      </c>
      <c r="F1446" s="2" t="inlineStr">
        <is>
          <t>P01</t>
        </is>
      </c>
      <c r="G1446" s="2" t="n">
        <v>620000</v>
      </c>
      <c r="H1446" s="2" t="inlineStr">
        <is>
          <t>Materiales</t>
        </is>
      </c>
      <c r="I1446" s="9" t="n">
        <v>596.63</v>
      </c>
      <c r="J1446" s="9" t="n">
        <v>604.38</v>
      </c>
      <c r="K1446" s="9" t="n">
        <v>594.47</v>
      </c>
      <c r="L1446" s="9" t="n">
        <v>679.16</v>
      </c>
      <c r="M1446" s="9" t="n">
        <v>620.92</v>
      </c>
      <c r="N1446" s="9" t="n">
        <v>630.6900000000001</v>
      </c>
      <c r="O1446" s="9" t="n">
        <v>580.98</v>
      </c>
      <c r="P1446" s="9" t="n">
        <v>597.02</v>
      </c>
      <c r="Q1446" s="9" t="n">
        <v>559.14</v>
      </c>
      <c r="R1446" s="9" t="n">
        <v>661.48</v>
      </c>
      <c r="S1446" s="9" t="n">
        <v>634.0599999999999</v>
      </c>
      <c r="T1446" s="9" t="n">
        <v>622.47</v>
      </c>
      <c r="U1446" s="10">
        <f>SUM(I1446:T1446)</f>
        <v/>
      </c>
    </row>
    <row r="1447">
      <c r="A1447" s="2" t="inlineStr">
        <is>
          <t>SN-3000-3300-33ER-3300SG0011</t>
        </is>
      </c>
      <c r="B1447" s="2" t="inlineStr">
        <is>
          <t>3300SG0011</t>
        </is>
      </c>
      <c r="C1447" s="2" t="inlineStr">
        <is>
          <t>Switch gear 400 V, 3200 A, 65 kA</t>
        </is>
      </c>
      <c r="D1447" s="2" t="n">
        <v>482</v>
      </c>
      <c r="E1447" s="2" t="inlineStr">
        <is>
          <t>CC-3000</t>
        </is>
      </c>
      <c r="F1447" s="2" t="inlineStr">
        <is>
          <t>P01</t>
        </is>
      </c>
      <c r="G1447" s="2" t="n">
        <v>630000</v>
      </c>
      <c r="H1447" s="2" t="inlineStr">
        <is>
          <t>Servicios externos</t>
        </is>
      </c>
      <c r="I1447" s="9" t="n">
        <v>551.6900000000001</v>
      </c>
      <c r="J1447" s="9" t="n">
        <v>533.5700000000001</v>
      </c>
      <c r="K1447" s="9" t="n">
        <v>624.17</v>
      </c>
      <c r="L1447" s="9" t="n">
        <v>588.42</v>
      </c>
      <c r="M1447" s="9" t="n">
        <v>595.65</v>
      </c>
      <c r="N1447" s="9" t="n">
        <v>571.53</v>
      </c>
      <c r="O1447" s="9" t="n">
        <v>547.21</v>
      </c>
      <c r="P1447" s="9" t="n">
        <v>547.26</v>
      </c>
      <c r="Q1447" s="9" t="n">
        <v>562.79</v>
      </c>
      <c r="R1447" s="9" t="n">
        <v>648.58</v>
      </c>
      <c r="S1447" s="9" t="n">
        <v>551.33</v>
      </c>
      <c r="T1447" s="9" t="n">
        <v>549.62</v>
      </c>
      <c r="U1447" s="10">
        <f>SUM(I1447:T1447)</f>
        <v/>
      </c>
    </row>
    <row r="1448">
      <c r="A1448" s="2" t="inlineStr">
        <is>
          <t>SN-3000-3300-33ER-3300TU0001</t>
        </is>
      </c>
      <c r="B1448" s="2" t="inlineStr">
        <is>
          <t>3300TU0001</t>
        </is>
      </c>
      <c r="C1448" s="2" t="inlineStr">
        <is>
          <t>Tablero distribución UPS</t>
        </is>
      </c>
      <c r="D1448" s="2" t="n">
        <v>483</v>
      </c>
      <c r="E1448" s="2" t="inlineStr">
        <is>
          <t>CC-3000</t>
        </is>
      </c>
      <c r="F1448" s="2" t="inlineStr">
        <is>
          <t>P01</t>
        </is>
      </c>
      <c r="G1448" s="2" t="n">
        <v>610000</v>
      </c>
      <c r="H1448" s="2" t="inlineStr">
        <is>
          <t>Mano obra interna</t>
        </is>
      </c>
      <c r="I1448" s="9" t="n">
        <v>420.86</v>
      </c>
      <c r="J1448" s="9" t="n">
        <v>387.27</v>
      </c>
      <c r="K1448" s="9" t="n">
        <v>421.22</v>
      </c>
      <c r="L1448" s="9" t="n">
        <v>430.52</v>
      </c>
      <c r="M1448" s="9" t="n">
        <v>396.74</v>
      </c>
      <c r="N1448" s="9" t="n">
        <v>382.15</v>
      </c>
      <c r="O1448" s="9" t="n">
        <v>454.01</v>
      </c>
      <c r="P1448" s="9" t="n">
        <v>432.25</v>
      </c>
      <c r="Q1448" s="9" t="n">
        <v>424.85</v>
      </c>
      <c r="R1448" s="9" t="n">
        <v>448.85</v>
      </c>
      <c r="S1448" s="9" t="n">
        <v>424.81</v>
      </c>
      <c r="T1448" s="9" t="n">
        <v>412.61</v>
      </c>
      <c r="U1448" s="10">
        <f>SUM(I1448:T1448)</f>
        <v/>
      </c>
    </row>
    <row r="1449">
      <c r="A1449" s="2" t="inlineStr">
        <is>
          <t>SN-3000-3300-33ER-3300TU0001</t>
        </is>
      </c>
      <c r="B1449" s="2" t="inlineStr">
        <is>
          <t>3300TU0001</t>
        </is>
      </c>
      <c r="C1449" s="2" t="inlineStr">
        <is>
          <t>Tablero distribución UPS</t>
        </is>
      </c>
      <c r="D1449" s="2" t="n">
        <v>483</v>
      </c>
      <c r="E1449" s="2" t="inlineStr">
        <is>
          <t>CC-3000</t>
        </is>
      </c>
      <c r="F1449" s="2" t="inlineStr">
        <is>
          <t>P01</t>
        </is>
      </c>
      <c r="G1449" s="2" t="n">
        <v>620000</v>
      </c>
      <c r="H1449" s="2" t="inlineStr">
        <is>
          <t>Materiales</t>
        </is>
      </c>
      <c r="I1449" s="9" t="n">
        <v>475.8</v>
      </c>
      <c r="J1449" s="9" t="n">
        <v>449.07</v>
      </c>
      <c r="K1449" s="9" t="n">
        <v>546.41</v>
      </c>
      <c r="L1449" s="9" t="n">
        <v>510.82</v>
      </c>
      <c r="M1449" s="9" t="n">
        <v>523.8200000000001</v>
      </c>
      <c r="N1449" s="9" t="n">
        <v>461.09</v>
      </c>
      <c r="O1449" s="9" t="n">
        <v>482.01</v>
      </c>
      <c r="P1449" s="9" t="n">
        <v>487.21</v>
      </c>
      <c r="Q1449" s="9" t="n">
        <v>476.4</v>
      </c>
      <c r="R1449" s="9" t="n">
        <v>539.9299999999999</v>
      </c>
      <c r="S1449" s="9" t="n">
        <v>512.27</v>
      </c>
      <c r="T1449" s="9" t="n">
        <v>464.63</v>
      </c>
      <c r="U1449" s="10">
        <f>SUM(I1449:T1449)</f>
        <v/>
      </c>
    </row>
    <row r="1450">
      <c r="A1450" s="2" t="inlineStr">
        <is>
          <t>SN-3000-3300-33ER-3300TU0001</t>
        </is>
      </c>
      <c r="B1450" s="2" t="inlineStr">
        <is>
          <t>3300TU0001</t>
        </is>
      </c>
      <c r="C1450" s="2" t="inlineStr">
        <is>
          <t>Tablero distribución UPS</t>
        </is>
      </c>
      <c r="D1450" s="2" t="n">
        <v>483</v>
      </c>
      <c r="E1450" s="2" t="inlineStr">
        <is>
          <t>CC-3000</t>
        </is>
      </c>
      <c r="F1450" s="2" t="inlineStr">
        <is>
          <t>P01</t>
        </is>
      </c>
      <c r="G1450" s="2" t="n">
        <v>630000</v>
      </c>
      <c r="H1450" s="2" t="inlineStr">
        <is>
          <t>Servicios externos</t>
        </is>
      </c>
      <c r="I1450" s="9" t="n">
        <v>516.37</v>
      </c>
      <c r="J1450" s="9" t="n">
        <v>485.87</v>
      </c>
      <c r="K1450" s="9" t="n">
        <v>537.29</v>
      </c>
      <c r="L1450" s="9" t="n">
        <v>531.84</v>
      </c>
      <c r="M1450" s="9" t="n">
        <v>484.68</v>
      </c>
      <c r="N1450" s="9" t="n">
        <v>473.39</v>
      </c>
      <c r="O1450" s="9" t="n">
        <v>512.54</v>
      </c>
      <c r="P1450" s="9" t="n">
        <v>511.98</v>
      </c>
      <c r="Q1450" s="9" t="n">
        <v>469.88</v>
      </c>
      <c r="R1450" s="9" t="n">
        <v>529.1900000000001</v>
      </c>
      <c r="S1450" s="9" t="n">
        <v>463.42</v>
      </c>
      <c r="T1450" s="9" t="n">
        <v>567.36</v>
      </c>
      <c r="U1450" s="10">
        <f>SUM(I1450:T1450)</f>
        <v/>
      </c>
    </row>
    <row r="1451">
      <c r="A1451" s="2" t="inlineStr">
        <is>
          <t>SN-3000-3300-33ER-3300UP0001</t>
        </is>
      </c>
      <c r="B1451" s="2" t="inlineStr">
        <is>
          <t>3300UP0001</t>
        </is>
      </c>
      <c r="C1451" s="2" t="inlineStr">
        <is>
          <t>UPS</t>
        </is>
      </c>
      <c r="D1451" s="2" t="n">
        <v>484</v>
      </c>
      <c r="E1451" s="2" t="inlineStr">
        <is>
          <t>CC-3000</t>
        </is>
      </c>
      <c r="F1451" s="2" t="inlineStr">
        <is>
          <t>P01</t>
        </is>
      </c>
      <c r="G1451" s="2" t="n">
        <v>610000</v>
      </c>
      <c r="H1451" s="2" t="inlineStr">
        <is>
          <t>Mano obra interna</t>
        </is>
      </c>
      <c r="I1451" s="9" t="n">
        <v>2356.56</v>
      </c>
      <c r="J1451" s="9" t="n">
        <v>2460</v>
      </c>
      <c r="K1451" s="9" t="n">
        <v>2454.07</v>
      </c>
      <c r="L1451" s="9" t="n">
        <v>2202.34</v>
      </c>
      <c r="M1451" s="9" t="n">
        <v>2150.45</v>
      </c>
      <c r="N1451" s="9" t="n">
        <v>2360.14</v>
      </c>
      <c r="O1451" s="9" t="n">
        <v>2363.73</v>
      </c>
      <c r="P1451" s="9" t="n">
        <v>2439.76</v>
      </c>
      <c r="Q1451" s="9" t="n">
        <v>2291.8</v>
      </c>
      <c r="R1451" s="9" t="n">
        <v>2475.22</v>
      </c>
      <c r="S1451" s="9" t="n">
        <v>2078.73</v>
      </c>
      <c r="T1451" s="9" t="n">
        <v>2231.71</v>
      </c>
      <c r="U1451" s="10">
        <f>SUM(I1451:T1451)</f>
        <v/>
      </c>
    </row>
    <row r="1452">
      <c r="A1452" s="2" t="inlineStr">
        <is>
          <t>SN-3000-3300-33ER-3300UP0001</t>
        </is>
      </c>
      <c r="B1452" s="2" t="inlineStr">
        <is>
          <t>3300UP0001</t>
        </is>
      </c>
      <c r="C1452" s="2" t="inlineStr">
        <is>
          <t>UPS</t>
        </is>
      </c>
      <c r="D1452" s="2" t="n">
        <v>484</v>
      </c>
      <c r="E1452" s="2" t="inlineStr">
        <is>
          <t>CC-3000</t>
        </is>
      </c>
      <c r="F1452" s="2" t="inlineStr">
        <is>
          <t>P01</t>
        </is>
      </c>
      <c r="G1452" s="2" t="n">
        <v>620000</v>
      </c>
      <c r="H1452" s="2" t="inlineStr">
        <is>
          <t>Materiales</t>
        </is>
      </c>
      <c r="I1452" s="9" t="n">
        <v>1716.29</v>
      </c>
      <c r="J1452" s="9" t="n">
        <v>1717.62</v>
      </c>
      <c r="K1452" s="9" t="n">
        <v>1713.83</v>
      </c>
      <c r="L1452" s="9" t="n">
        <v>1711.94</v>
      </c>
      <c r="M1452" s="9" t="n">
        <v>1735.88</v>
      </c>
      <c r="N1452" s="9" t="n">
        <v>1648.37</v>
      </c>
      <c r="O1452" s="9" t="n">
        <v>1761</v>
      </c>
      <c r="P1452" s="9" t="n">
        <v>1748</v>
      </c>
      <c r="Q1452" s="9" t="n">
        <v>1685.13</v>
      </c>
      <c r="R1452" s="9" t="n">
        <v>2041.59</v>
      </c>
      <c r="S1452" s="9" t="n">
        <v>1605.38</v>
      </c>
      <c r="T1452" s="9" t="n">
        <v>1680.49</v>
      </c>
      <c r="U1452" s="10">
        <f>SUM(I1452:T1452)</f>
        <v/>
      </c>
    </row>
    <row r="1453">
      <c r="A1453" s="2" t="inlineStr">
        <is>
          <t>SN-3000-3300-33ER-3300UP0001</t>
        </is>
      </c>
      <c r="B1453" s="2" t="inlineStr">
        <is>
          <t>3300UP0001</t>
        </is>
      </c>
      <c r="C1453" s="2" t="inlineStr">
        <is>
          <t>UPS</t>
        </is>
      </c>
      <c r="D1453" s="2" t="n">
        <v>484</v>
      </c>
      <c r="E1453" s="2" t="inlineStr">
        <is>
          <t>CC-3000</t>
        </is>
      </c>
      <c r="F1453" s="2" t="inlineStr">
        <is>
          <t>P01</t>
        </is>
      </c>
      <c r="G1453" s="2" t="n">
        <v>630000</v>
      </c>
      <c r="H1453" s="2" t="inlineStr">
        <is>
          <t>Servicios externos</t>
        </is>
      </c>
      <c r="I1453" s="9" t="n">
        <v>2211.21</v>
      </c>
      <c r="J1453" s="9" t="n">
        <v>2221.91</v>
      </c>
      <c r="K1453" s="9" t="n">
        <v>2130.67</v>
      </c>
      <c r="L1453" s="9" t="n">
        <v>2327.91</v>
      </c>
      <c r="M1453" s="9" t="n">
        <v>2286.69</v>
      </c>
      <c r="N1453" s="9" t="n">
        <v>2113.63</v>
      </c>
      <c r="O1453" s="9" t="n">
        <v>2028.31</v>
      </c>
      <c r="P1453" s="9" t="n">
        <v>2298.98</v>
      </c>
      <c r="Q1453" s="9" t="n">
        <v>2108.54</v>
      </c>
      <c r="R1453" s="9" t="n">
        <v>2427.21</v>
      </c>
      <c r="S1453" s="9" t="n">
        <v>1939.47</v>
      </c>
      <c r="T1453" s="9" t="n">
        <v>2301.01</v>
      </c>
      <c r="U1453" s="10">
        <f>SUM(I1453:T1453)</f>
        <v/>
      </c>
    </row>
    <row r="1454">
      <c r="A1454" s="2" t="inlineStr">
        <is>
          <t>SN-3000-3300-33ER-3300ZM0001</t>
        </is>
      </c>
      <c r="B1454" s="2" t="inlineStr">
        <is>
          <t>3300ZM0001</t>
        </is>
      </c>
      <c r="C1454" s="2" t="inlineStr">
        <is>
          <t>Unidad presurización</t>
        </is>
      </c>
      <c r="D1454" s="2" t="n">
        <v>485</v>
      </c>
      <c r="E1454" s="2" t="inlineStr">
        <is>
          <t>CC-3000</t>
        </is>
      </c>
      <c r="F1454" s="2" t="inlineStr">
        <is>
          <t>P01</t>
        </is>
      </c>
      <c r="G1454" s="2" t="n">
        <v>610000</v>
      </c>
      <c r="H1454" s="2" t="inlineStr">
        <is>
          <t>Mano obra interna</t>
        </is>
      </c>
      <c r="I1454" s="9" t="n">
        <v>277.9</v>
      </c>
      <c r="J1454" s="9" t="n">
        <v>284.03</v>
      </c>
      <c r="K1454" s="9" t="n">
        <v>282.85</v>
      </c>
      <c r="L1454" s="9" t="n">
        <v>298.68</v>
      </c>
      <c r="M1454" s="9" t="n">
        <v>286.81</v>
      </c>
      <c r="N1454" s="9" t="n">
        <v>255.29</v>
      </c>
      <c r="O1454" s="9" t="n">
        <v>292.13</v>
      </c>
      <c r="P1454" s="9" t="n">
        <v>303.98</v>
      </c>
      <c r="Q1454" s="9" t="n">
        <v>250.81</v>
      </c>
      <c r="R1454" s="9" t="n">
        <v>312</v>
      </c>
      <c r="S1454" s="9" t="n">
        <v>268.81</v>
      </c>
      <c r="T1454" s="9" t="n">
        <v>287.25</v>
      </c>
      <c r="U1454" s="10">
        <f>SUM(I1454:T1454)</f>
        <v/>
      </c>
    </row>
    <row r="1455">
      <c r="A1455" s="2" t="inlineStr">
        <is>
          <t>SN-3000-3300-33ER-3300ZM0001</t>
        </is>
      </c>
      <c r="B1455" s="2" t="inlineStr">
        <is>
          <t>3300ZM0001</t>
        </is>
      </c>
      <c r="C1455" s="2" t="inlineStr">
        <is>
          <t>Unidad presurización</t>
        </is>
      </c>
      <c r="D1455" s="2" t="n">
        <v>485</v>
      </c>
      <c r="E1455" s="2" t="inlineStr">
        <is>
          <t>CC-3000</t>
        </is>
      </c>
      <c r="F1455" s="2" t="inlineStr">
        <is>
          <t>P01</t>
        </is>
      </c>
      <c r="G1455" s="2" t="n">
        <v>620000</v>
      </c>
      <c r="H1455" s="2" t="inlineStr">
        <is>
          <t>Materiales</t>
        </is>
      </c>
      <c r="I1455" s="9" t="n">
        <v>291.51</v>
      </c>
      <c r="J1455" s="9" t="n">
        <v>266.25</v>
      </c>
      <c r="K1455" s="9" t="n">
        <v>324.88</v>
      </c>
      <c r="L1455" s="9" t="n">
        <v>304.8</v>
      </c>
      <c r="M1455" s="9" t="n">
        <v>289.39</v>
      </c>
      <c r="N1455" s="9" t="n">
        <v>274.34</v>
      </c>
      <c r="O1455" s="9" t="n">
        <v>294.36</v>
      </c>
      <c r="P1455" s="9" t="n">
        <v>286.56</v>
      </c>
      <c r="Q1455" s="9" t="n">
        <v>266.07</v>
      </c>
      <c r="R1455" s="9" t="n">
        <v>313.49</v>
      </c>
      <c r="S1455" s="9" t="n">
        <v>272.9</v>
      </c>
      <c r="T1455" s="9" t="n">
        <v>281.53</v>
      </c>
      <c r="U1455" s="10">
        <f>SUM(I1455:T1455)</f>
        <v/>
      </c>
    </row>
    <row r="1456">
      <c r="A1456" s="2" t="inlineStr">
        <is>
          <t>SN-3000-3300-33ER-3300ZM0001</t>
        </is>
      </c>
      <c r="B1456" s="2" t="inlineStr">
        <is>
          <t>3300ZM0001</t>
        </is>
      </c>
      <c r="C1456" s="2" t="inlineStr">
        <is>
          <t>Unidad presurización</t>
        </is>
      </c>
      <c r="D1456" s="2" t="n">
        <v>485</v>
      </c>
      <c r="E1456" s="2" t="inlineStr">
        <is>
          <t>CC-3000</t>
        </is>
      </c>
      <c r="F1456" s="2" t="inlineStr">
        <is>
          <t>P01</t>
        </is>
      </c>
      <c r="G1456" s="2" t="n">
        <v>630000</v>
      </c>
      <c r="H1456" s="2" t="inlineStr">
        <is>
          <t>Servicios externos</t>
        </is>
      </c>
      <c r="I1456" s="9" t="n">
        <v>335.35</v>
      </c>
      <c r="J1456" s="9" t="n">
        <v>289.67</v>
      </c>
      <c r="K1456" s="9" t="n">
        <v>297.26</v>
      </c>
      <c r="L1456" s="9" t="n">
        <v>305.39</v>
      </c>
      <c r="M1456" s="9" t="n">
        <v>331.86</v>
      </c>
      <c r="N1456" s="9" t="n">
        <v>313.4</v>
      </c>
      <c r="O1456" s="9" t="n">
        <v>316.34</v>
      </c>
      <c r="P1456" s="9" t="n">
        <v>332.56</v>
      </c>
      <c r="Q1456" s="9" t="n">
        <v>287.36</v>
      </c>
      <c r="R1456" s="9" t="n">
        <v>361.81</v>
      </c>
      <c r="S1456" s="9" t="n">
        <v>291.65</v>
      </c>
      <c r="T1456" s="9" t="n">
        <v>302.91</v>
      </c>
      <c r="U1456" s="10">
        <f>SUM(I1456:T1456)</f>
        <v/>
      </c>
    </row>
    <row r="1457">
      <c r="A1457" s="2" t="inlineStr">
        <is>
          <t>SN-3000-3300-33ER-3330VF0121</t>
        </is>
      </c>
      <c r="B1457" s="2" t="inlineStr">
        <is>
          <t>3330VF0121</t>
        </is>
      </c>
      <c r="C1457" s="2" t="inlineStr">
        <is>
          <t>Variador frecuencia 3330PU0121M1VF</t>
        </is>
      </c>
      <c r="D1457" s="2" t="n">
        <v>486</v>
      </c>
      <c r="E1457" s="2" t="inlineStr">
        <is>
          <t>CC-3000</t>
        </is>
      </c>
      <c r="F1457" s="2" t="inlineStr">
        <is>
          <t>P01</t>
        </is>
      </c>
      <c r="G1457" s="2" t="n">
        <v>610000</v>
      </c>
      <c r="H1457" s="2" t="inlineStr">
        <is>
          <t>Mano obra interna</t>
        </is>
      </c>
      <c r="I1457" s="9" t="n">
        <v>2085.89</v>
      </c>
      <c r="J1457" s="9" t="n">
        <v>2093.86</v>
      </c>
      <c r="K1457" s="9" t="n">
        <v>2082.78</v>
      </c>
      <c r="L1457" s="9" t="n">
        <v>2170.04</v>
      </c>
      <c r="M1457" s="9" t="n">
        <v>1988.37</v>
      </c>
      <c r="N1457" s="9" t="n">
        <v>1849.23</v>
      </c>
      <c r="O1457" s="9" t="n">
        <v>2222.34</v>
      </c>
      <c r="P1457" s="9" t="n">
        <v>2210.04</v>
      </c>
      <c r="Q1457" s="9" t="n">
        <v>2086</v>
      </c>
      <c r="R1457" s="9" t="n">
        <v>2325.21</v>
      </c>
      <c r="S1457" s="9" t="n">
        <v>2076.35</v>
      </c>
      <c r="T1457" s="9" t="n">
        <v>2134.83</v>
      </c>
      <c r="U1457" s="10">
        <f>SUM(I1457:T1457)</f>
        <v/>
      </c>
    </row>
    <row r="1458">
      <c r="A1458" s="2" t="inlineStr">
        <is>
          <t>SN-3000-3300-33ER-3330VF0121</t>
        </is>
      </c>
      <c r="B1458" s="2" t="inlineStr">
        <is>
          <t>3330VF0121</t>
        </is>
      </c>
      <c r="C1458" s="2" t="inlineStr">
        <is>
          <t>Variador frecuencia 3330PU0121M1VF</t>
        </is>
      </c>
      <c r="D1458" s="2" t="n">
        <v>486</v>
      </c>
      <c r="E1458" s="2" t="inlineStr">
        <is>
          <t>CC-3000</t>
        </is>
      </c>
      <c r="F1458" s="2" t="inlineStr">
        <is>
          <t>P01</t>
        </is>
      </c>
      <c r="G1458" s="2" t="n">
        <v>620000</v>
      </c>
      <c r="H1458" s="2" t="inlineStr">
        <is>
          <t>Materiales</t>
        </is>
      </c>
      <c r="I1458" s="9" t="n">
        <v>1702.14</v>
      </c>
      <c r="J1458" s="9" t="n">
        <v>1669.85</v>
      </c>
      <c r="K1458" s="9" t="n">
        <v>1923.15</v>
      </c>
      <c r="L1458" s="9" t="n">
        <v>1699.47</v>
      </c>
      <c r="M1458" s="9" t="n">
        <v>1853.97</v>
      </c>
      <c r="N1458" s="9" t="n">
        <v>1683.66</v>
      </c>
      <c r="O1458" s="9" t="n">
        <v>1815.97</v>
      </c>
      <c r="P1458" s="9" t="n">
        <v>1643.98</v>
      </c>
      <c r="Q1458" s="9" t="n">
        <v>1572.98</v>
      </c>
      <c r="R1458" s="9" t="n">
        <v>2031.06</v>
      </c>
      <c r="S1458" s="9" t="n">
        <v>1635.04</v>
      </c>
      <c r="T1458" s="9" t="n">
        <v>1722.71</v>
      </c>
      <c r="U1458" s="10">
        <f>SUM(I1458:T1458)</f>
        <v/>
      </c>
    </row>
    <row r="1459">
      <c r="A1459" s="2" t="inlineStr">
        <is>
          <t>SN-3000-3300-33ER-3330VF0121</t>
        </is>
      </c>
      <c r="B1459" s="2" t="inlineStr">
        <is>
          <t>3330VF0121</t>
        </is>
      </c>
      <c r="C1459" s="2" t="inlineStr">
        <is>
          <t>Variador frecuencia 3330PU0121M1VF</t>
        </is>
      </c>
      <c r="D1459" s="2" t="n">
        <v>486</v>
      </c>
      <c r="E1459" s="2" t="inlineStr">
        <is>
          <t>CC-3000</t>
        </is>
      </c>
      <c r="F1459" s="2" t="inlineStr">
        <is>
          <t>P01</t>
        </is>
      </c>
      <c r="G1459" s="2" t="n">
        <v>630000</v>
      </c>
      <c r="H1459" s="2" t="inlineStr">
        <is>
          <t>Servicios externos</t>
        </is>
      </c>
      <c r="I1459" s="9" t="n">
        <v>1739.93</v>
      </c>
      <c r="J1459" s="9" t="n">
        <v>1708.34</v>
      </c>
      <c r="K1459" s="9" t="n">
        <v>1911.84</v>
      </c>
      <c r="L1459" s="9" t="n">
        <v>1838.66</v>
      </c>
      <c r="M1459" s="9" t="n">
        <v>1808.62</v>
      </c>
      <c r="N1459" s="9" t="n">
        <v>1627.66</v>
      </c>
      <c r="O1459" s="9" t="n">
        <v>1900.38</v>
      </c>
      <c r="P1459" s="9" t="n">
        <v>1892.88</v>
      </c>
      <c r="Q1459" s="9" t="n">
        <v>1557.58</v>
      </c>
      <c r="R1459" s="9" t="n">
        <v>1917.62</v>
      </c>
      <c r="S1459" s="9" t="n">
        <v>1633.05</v>
      </c>
      <c r="T1459" s="9" t="n">
        <v>1924.78</v>
      </c>
      <c r="U1459" s="10">
        <f>SUM(I1459:T1459)</f>
        <v/>
      </c>
    </row>
    <row r="1460">
      <c r="A1460" s="2" t="inlineStr">
        <is>
          <t>SN-3000-3300-33ER-3330VF0122</t>
        </is>
      </c>
      <c r="B1460" s="2" t="inlineStr">
        <is>
          <t>3330VF0122</t>
        </is>
      </c>
      <c r="C1460" s="2" t="inlineStr">
        <is>
          <t>Variador frecuencia 3330PU0122M1VF</t>
        </is>
      </c>
      <c r="D1460" s="2" t="n">
        <v>487</v>
      </c>
      <c r="E1460" s="2" t="inlineStr">
        <is>
          <t>CC-3000</t>
        </is>
      </c>
      <c r="F1460" s="2" t="inlineStr">
        <is>
          <t>P01</t>
        </is>
      </c>
      <c r="G1460" s="2" t="n">
        <v>610000</v>
      </c>
      <c r="H1460" s="2" t="inlineStr">
        <is>
          <t>Mano obra interna</t>
        </is>
      </c>
      <c r="I1460" s="9" t="n">
        <v>821.9299999999999</v>
      </c>
      <c r="J1460" s="9" t="n">
        <v>713.62</v>
      </c>
      <c r="K1460" s="9" t="n">
        <v>774.97</v>
      </c>
      <c r="L1460" s="9" t="n">
        <v>734.14</v>
      </c>
      <c r="M1460" s="9" t="n">
        <v>733.24</v>
      </c>
      <c r="N1460" s="9" t="n">
        <v>725.83</v>
      </c>
      <c r="O1460" s="9" t="n">
        <v>702.75</v>
      </c>
      <c r="P1460" s="9" t="n">
        <v>781.92</v>
      </c>
      <c r="Q1460" s="9" t="n">
        <v>709.08</v>
      </c>
      <c r="R1460" s="9" t="n">
        <v>858.76</v>
      </c>
      <c r="S1460" s="9" t="n">
        <v>705.59</v>
      </c>
      <c r="T1460" s="9" t="n">
        <v>817.27</v>
      </c>
      <c r="U1460" s="10">
        <f>SUM(I1460:T1460)</f>
        <v/>
      </c>
    </row>
    <row r="1461">
      <c r="A1461" s="2" t="inlineStr">
        <is>
          <t>SN-3000-3300-33ER-3330VF0122</t>
        </is>
      </c>
      <c r="B1461" s="2" t="inlineStr">
        <is>
          <t>3330VF0122</t>
        </is>
      </c>
      <c r="C1461" s="2" t="inlineStr">
        <is>
          <t>Variador frecuencia 3330PU0122M1VF</t>
        </is>
      </c>
      <c r="D1461" s="2" t="n">
        <v>487</v>
      </c>
      <c r="E1461" s="2" t="inlineStr">
        <is>
          <t>CC-3000</t>
        </is>
      </c>
      <c r="F1461" s="2" t="inlineStr">
        <is>
          <t>P01</t>
        </is>
      </c>
      <c r="G1461" s="2" t="n">
        <v>620000</v>
      </c>
      <c r="H1461" s="2" t="inlineStr">
        <is>
          <t>Materiales</t>
        </is>
      </c>
      <c r="I1461" s="9" t="n">
        <v>835.15</v>
      </c>
      <c r="J1461" s="9" t="n">
        <v>788.63</v>
      </c>
      <c r="K1461" s="9" t="n">
        <v>830.45</v>
      </c>
      <c r="L1461" s="9" t="n">
        <v>792.8099999999999</v>
      </c>
      <c r="M1461" s="9" t="n">
        <v>721.12</v>
      </c>
      <c r="N1461" s="9" t="n">
        <v>753.75</v>
      </c>
      <c r="O1461" s="9" t="n">
        <v>793.12</v>
      </c>
      <c r="P1461" s="9" t="n">
        <v>825.59</v>
      </c>
      <c r="Q1461" s="9" t="n">
        <v>718.39</v>
      </c>
      <c r="R1461" s="9" t="n">
        <v>796.54</v>
      </c>
      <c r="S1461" s="9" t="n">
        <v>763.99</v>
      </c>
      <c r="T1461" s="9" t="n">
        <v>837.72</v>
      </c>
      <c r="U1461" s="10">
        <f>SUM(I1461:T1461)</f>
        <v/>
      </c>
    </row>
    <row r="1462">
      <c r="A1462" s="2" t="inlineStr">
        <is>
          <t>SN-3000-3300-33ER-3330VF0122</t>
        </is>
      </c>
      <c r="B1462" s="2" t="inlineStr">
        <is>
          <t>3330VF0122</t>
        </is>
      </c>
      <c r="C1462" s="2" t="inlineStr">
        <is>
          <t>Variador frecuencia 3330PU0122M1VF</t>
        </is>
      </c>
      <c r="D1462" s="2" t="n">
        <v>487</v>
      </c>
      <c r="E1462" s="2" t="inlineStr">
        <is>
          <t>CC-3000</t>
        </is>
      </c>
      <c r="F1462" s="2" t="inlineStr">
        <is>
          <t>P01</t>
        </is>
      </c>
      <c r="G1462" s="2" t="n">
        <v>630000</v>
      </c>
      <c r="H1462" s="2" t="inlineStr">
        <is>
          <t>Servicios externos</t>
        </is>
      </c>
      <c r="I1462" s="9" t="n">
        <v>616.11</v>
      </c>
      <c r="J1462" s="9" t="n">
        <v>615.51</v>
      </c>
      <c r="K1462" s="9" t="n">
        <v>606.66</v>
      </c>
      <c r="L1462" s="9" t="n">
        <v>585.99</v>
      </c>
      <c r="M1462" s="9" t="n">
        <v>598.36</v>
      </c>
      <c r="N1462" s="9" t="n">
        <v>628.23</v>
      </c>
      <c r="O1462" s="9" t="n">
        <v>575.72</v>
      </c>
      <c r="P1462" s="9" t="n">
        <v>613.29</v>
      </c>
      <c r="Q1462" s="9" t="n">
        <v>602.14</v>
      </c>
      <c r="R1462" s="9" t="n">
        <v>718.04</v>
      </c>
      <c r="S1462" s="9" t="n">
        <v>647.66</v>
      </c>
      <c r="T1462" s="9" t="n">
        <v>622.16</v>
      </c>
      <c r="U1462" s="10">
        <f>SUM(I1462:T1462)</f>
        <v/>
      </c>
    </row>
    <row r="1463">
      <c r="A1463" s="2" t="inlineStr">
        <is>
          <t>SN-3000-3300-33ER-3330VF0123</t>
        </is>
      </c>
      <c r="B1463" s="2" t="inlineStr">
        <is>
          <t>3330VF0123</t>
        </is>
      </c>
      <c r="C1463" s="2" t="inlineStr">
        <is>
          <t>Variador frecuencia 3330PU0123M1VF</t>
        </is>
      </c>
      <c r="D1463" s="2" t="n">
        <v>488</v>
      </c>
      <c r="E1463" s="2" t="inlineStr">
        <is>
          <t>CC-3000</t>
        </is>
      </c>
      <c r="F1463" s="2" t="inlineStr">
        <is>
          <t>P01</t>
        </is>
      </c>
      <c r="G1463" s="2" t="n">
        <v>610000</v>
      </c>
      <c r="H1463" s="2" t="inlineStr">
        <is>
          <t>Mano obra interna</t>
        </is>
      </c>
      <c r="I1463" s="9" t="n">
        <v>2629.79</v>
      </c>
      <c r="J1463" s="9" t="n">
        <v>2848.66</v>
      </c>
      <c r="K1463" s="9" t="n">
        <v>2936.59</v>
      </c>
      <c r="L1463" s="9" t="n">
        <v>2730.32</v>
      </c>
      <c r="M1463" s="9" t="n">
        <v>2757.4</v>
      </c>
      <c r="N1463" s="9" t="n">
        <v>2503</v>
      </c>
      <c r="O1463" s="9" t="n">
        <v>2949.76</v>
      </c>
      <c r="P1463" s="9" t="n">
        <v>2717.65</v>
      </c>
      <c r="Q1463" s="9" t="n">
        <v>2642.84</v>
      </c>
      <c r="R1463" s="9" t="n">
        <v>2837.36</v>
      </c>
      <c r="S1463" s="9" t="n">
        <v>2567.42</v>
      </c>
      <c r="T1463" s="9" t="n">
        <v>3046.59</v>
      </c>
      <c r="U1463" s="10">
        <f>SUM(I1463:T1463)</f>
        <v/>
      </c>
    </row>
    <row r="1464">
      <c r="A1464" s="2" t="inlineStr">
        <is>
          <t>SN-3000-3300-33ER-3330VF0123</t>
        </is>
      </c>
      <c r="B1464" s="2" t="inlineStr">
        <is>
          <t>3330VF0123</t>
        </is>
      </c>
      <c r="C1464" s="2" t="inlineStr">
        <is>
          <t>Variador frecuencia 3330PU0123M1VF</t>
        </is>
      </c>
      <c r="D1464" s="2" t="n">
        <v>488</v>
      </c>
      <c r="E1464" s="2" t="inlineStr">
        <is>
          <t>CC-3000</t>
        </is>
      </c>
      <c r="F1464" s="2" t="inlineStr">
        <is>
          <t>P01</t>
        </is>
      </c>
      <c r="G1464" s="2" t="n">
        <v>620000</v>
      </c>
      <c r="H1464" s="2" t="inlineStr">
        <is>
          <t>Materiales</t>
        </is>
      </c>
      <c r="I1464" s="9" t="n">
        <v>2806.11</v>
      </c>
      <c r="J1464" s="9" t="n">
        <v>2438.51</v>
      </c>
      <c r="K1464" s="9" t="n">
        <v>2498.88</v>
      </c>
      <c r="L1464" s="9" t="n">
        <v>2617.32</v>
      </c>
      <c r="M1464" s="9" t="n">
        <v>2530.98</v>
      </c>
      <c r="N1464" s="9" t="n">
        <v>2319.89</v>
      </c>
      <c r="O1464" s="9" t="n">
        <v>2656.33</v>
      </c>
      <c r="P1464" s="9" t="n">
        <v>2501.13</v>
      </c>
      <c r="Q1464" s="9" t="n">
        <v>2263.12</v>
      </c>
      <c r="R1464" s="9" t="n">
        <v>2686.15</v>
      </c>
      <c r="S1464" s="9" t="n">
        <v>2503.11</v>
      </c>
      <c r="T1464" s="9" t="n">
        <v>2691.74</v>
      </c>
      <c r="U1464" s="10">
        <f>SUM(I1464:T1464)</f>
        <v/>
      </c>
    </row>
    <row r="1465">
      <c r="A1465" s="2" t="inlineStr">
        <is>
          <t>SN-3000-3300-33ER-3330VF0123</t>
        </is>
      </c>
      <c r="B1465" s="2" t="inlineStr">
        <is>
          <t>3330VF0123</t>
        </is>
      </c>
      <c r="C1465" s="2" t="inlineStr">
        <is>
          <t>Variador frecuencia 3330PU0123M1VF</t>
        </is>
      </c>
      <c r="D1465" s="2" t="n">
        <v>488</v>
      </c>
      <c r="E1465" s="2" t="inlineStr">
        <is>
          <t>CC-3000</t>
        </is>
      </c>
      <c r="F1465" s="2" t="inlineStr">
        <is>
          <t>P01</t>
        </is>
      </c>
      <c r="G1465" s="2" t="n">
        <v>630000</v>
      </c>
      <c r="H1465" s="2" t="inlineStr">
        <is>
          <t>Servicios externos</t>
        </is>
      </c>
      <c r="I1465" s="9" t="n">
        <v>2368.16</v>
      </c>
      <c r="J1465" s="9" t="n">
        <v>2143.91</v>
      </c>
      <c r="K1465" s="9" t="n">
        <v>2541.59</v>
      </c>
      <c r="L1465" s="9" t="n">
        <v>2523.24</v>
      </c>
      <c r="M1465" s="9" t="n">
        <v>2353.55</v>
      </c>
      <c r="N1465" s="9" t="n">
        <v>2038.37</v>
      </c>
      <c r="O1465" s="9" t="n">
        <v>2325.1</v>
      </c>
      <c r="P1465" s="9" t="n">
        <v>2356.34</v>
      </c>
      <c r="Q1465" s="9" t="n">
        <v>2320.85</v>
      </c>
      <c r="R1465" s="9" t="n">
        <v>2689.28</v>
      </c>
      <c r="S1465" s="9" t="n">
        <v>2364.53</v>
      </c>
      <c r="T1465" s="9" t="n">
        <v>2181.02</v>
      </c>
      <c r="U1465" s="10">
        <f>SUM(I1465:T1465)</f>
        <v/>
      </c>
    </row>
    <row r="1466">
      <c r="A1466" s="2" t="inlineStr">
        <is>
          <t>SN-3000-3300-33ER-3330VF0127</t>
        </is>
      </c>
      <c r="B1466" s="2" t="inlineStr">
        <is>
          <t>3330VF0127</t>
        </is>
      </c>
      <c r="C1466" s="2" t="inlineStr">
        <is>
          <t>Variador frecuencia 3330PU0127M1VF</t>
        </is>
      </c>
      <c r="D1466" s="2" t="n">
        <v>489</v>
      </c>
      <c r="E1466" s="2" t="inlineStr">
        <is>
          <t>CC-3000</t>
        </is>
      </c>
      <c r="F1466" s="2" t="inlineStr">
        <is>
          <t>P01</t>
        </is>
      </c>
      <c r="G1466" s="2" t="n">
        <v>610000</v>
      </c>
      <c r="H1466" s="2" t="inlineStr">
        <is>
          <t>Mano obra interna</t>
        </is>
      </c>
      <c r="I1466" s="9" t="n">
        <v>1470.21</v>
      </c>
      <c r="J1466" s="9" t="n">
        <v>1460.34</v>
      </c>
      <c r="K1466" s="9" t="n">
        <v>1437.78</v>
      </c>
      <c r="L1466" s="9" t="n">
        <v>1404.15</v>
      </c>
      <c r="M1466" s="9" t="n">
        <v>1391.82</v>
      </c>
      <c r="N1466" s="9" t="n">
        <v>1276.12</v>
      </c>
      <c r="O1466" s="9" t="n">
        <v>1382.96</v>
      </c>
      <c r="P1466" s="9" t="n">
        <v>1494.51</v>
      </c>
      <c r="Q1466" s="9" t="n">
        <v>1219.54</v>
      </c>
      <c r="R1466" s="9" t="n">
        <v>1440.41</v>
      </c>
      <c r="S1466" s="9" t="n">
        <v>1287.36</v>
      </c>
      <c r="T1466" s="9" t="n">
        <v>1413.42</v>
      </c>
      <c r="U1466" s="10">
        <f>SUM(I1466:T1466)</f>
        <v/>
      </c>
    </row>
    <row r="1467">
      <c r="A1467" s="2" t="inlineStr">
        <is>
          <t>SN-3000-3300-33ER-3330VF0127</t>
        </is>
      </c>
      <c r="B1467" s="2" t="inlineStr">
        <is>
          <t>3330VF0127</t>
        </is>
      </c>
      <c r="C1467" s="2" t="inlineStr">
        <is>
          <t>Variador frecuencia 3330PU0127M1VF</t>
        </is>
      </c>
      <c r="D1467" s="2" t="n">
        <v>489</v>
      </c>
      <c r="E1467" s="2" t="inlineStr">
        <is>
          <t>CC-3000</t>
        </is>
      </c>
      <c r="F1467" s="2" t="inlineStr">
        <is>
          <t>P01</t>
        </is>
      </c>
      <c r="G1467" s="2" t="n">
        <v>620000</v>
      </c>
      <c r="H1467" s="2" t="inlineStr">
        <is>
          <t>Materiales</t>
        </is>
      </c>
      <c r="I1467" s="9" t="n">
        <v>1317.9</v>
      </c>
      <c r="J1467" s="9" t="n">
        <v>1265.46</v>
      </c>
      <c r="K1467" s="9" t="n">
        <v>1498.61</v>
      </c>
      <c r="L1467" s="9" t="n">
        <v>1477.31</v>
      </c>
      <c r="M1467" s="9" t="n">
        <v>1247.2</v>
      </c>
      <c r="N1467" s="9" t="n">
        <v>1354.79</v>
      </c>
      <c r="O1467" s="9" t="n">
        <v>1396.7</v>
      </c>
      <c r="P1467" s="9" t="n">
        <v>1419.47</v>
      </c>
      <c r="Q1467" s="9" t="n">
        <v>1266.91</v>
      </c>
      <c r="R1467" s="9" t="n">
        <v>1584.5</v>
      </c>
      <c r="S1467" s="9" t="n">
        <v>1222.43</v>
      </c>
      <c r="T1467" s="9" t="n">
        <v>1323.65</v>
      </c>
      <c r="U1467" s="10">
        <f>SUM(I1467:T1467)</f>
        <v/>
      </c>
    </row>
    <row r="1468">
      <c r="A1468" s="2" t="inlineStr">
        <is>
          <t>SN-3000-3300-33ER-3330VF0127</t>
        </is>
      </c>
      <c r="B1468" s="2" t="inlineStr">
        <is>
          <t>3330VF0127</t>
        </is>
      </c>
      <c r="C1468" s="2" t="inlineStr">
        <is>
          <t>Variador frecuencia 3330PU0127M1VF</t>
        </is>
      </c>
      <c r="D1468" s="2" t="n">
        <v>489</v>
      </c>
      <c r="E1468" s="2" t="inlineStr">
        <is>
          <t>CC-3000</t>
        </is>
      </c>
      <c r="F1468" s="2" t="inlineStr">
        <is>
          <t>P01</t>
        </is>
      </c>
      <c r="G1468" s="2" t="n">
        <v>630000</v>
      </c>
      <c r="H1468" s="2" t="inlineStr">
        <is>
          <t>Servicios externos</t>
        </is>
      </c>
      <c r="I1468" s="9" t="n">
        <v>1148.51</v>
      </c>
      <c r="J1468" s="9" t="n">
        <v>1192.31</v>
      </c>
      <c r="K1468" s="9" t="n">
        <v>1181.29</v>
      </c>
      <c r="L1468" s="9" t="n">
        <v>1074.81</v>
      </c>
      <c r="M1468" s="9" t="n">
        <v>1105.89</v>
      </c>
      <c r="N1468" s="9" t="n">
        <v>1069.86</v>
      </c>
      <c r="O1468" s="9" t="n">
        <v>1219.2</v>
      </c>
      <c r="P1468" s="9" t="n">
        <v>1151.31</v>
      </c>
      <c r="Q1468" s="9" t="n">
        <v>1078.69</v>
      </c>
      <c r="R1468" s="9" t="n">
        <v>1264.85</v>
      </c>
      <c r="S1468" s="9" t="n">
        <v>1145.39</v>
      </c>
      <c r="T1468" s="9" t="n">
        <v>1175.88</v>
      </c>
      <c r="U1468" s="10">
        <f>SUM(I1468:T1468)</f>
        <v/>
      </c>
    </row>
    <row r="1469">
      <c r="A1469" s="2" t="inlineStr">
        <is>
          <t>SN-3000-3300-33ER-3330VF0128</t>
        </is>
      </c>
      <c r="B1469" s="2" t="inlineStr">
        <is>
          <t>3330VF0128</t>
        </is>
      </c>
      <c r="C1469" s="2" t="inlineStr">
        <is>
          <t>Variador frecuencia 3330PU0128M1VF</t>
        </is>
      </c>
      <c r="D1469" s="2" t="n">
        <v>490</v>
      </c>
      <c r="E1469" s="2" t="inlineStr">
        <is>
          <t>CC-3000</t>
        </is>
      </c>
      <c r="F1469" s="2" t="inlineStr">
        <is>
          <t>P01</t>
        </is>
      </c>
      <c r="G1469" s="2" t="n">
        <v>610000</v>
      </c>
      <c r="H1469" s="2" t="inlineStr">
        <is>
          <t>Mano obra interna</t>
        </is>
      </c>
      <c r="I1469" s="9" t="n">
        <v>1914.91</v>
      </c>
      <c r="J1469" s="9" t="n">
        <v>1807.82</v>
      </c>
      <c r="K1469" s="9" t="n">
        <v>1896.55</v>
      </c>
      <c r="L1469" s="9" t="n">
        <v>1952.62</v>
      </c>
      <c r="M1469" s="9" t="n">
        <v>1836.36</v>
      </c>
      <c r="N1469" s="9" t="n">
        <v>1781.25</v>
      </c>
      <c r="O1469" s="9" t="n">
        <v>1898.57</v>
      </c>
      <c r="P1469" s="9" t="n">
        <v>1669.84</v>
      </c>
      <c r="Q1469" s="9" t="n">
        <v>1646.95</v>
      </c>
      <c r="R1469" s="9" t="n">
        <v>1933.29</v>
      </c>
      <c r="S1469" s="9" t="n">
        <v>1666.56</v>
      </c>
      <c r="T1469" s="9" t="n">
        <v>1893.7</v>
      </c>
      <c r="U1469" s="10">
        <f>SUM(I1469:T1469)</f>
        <v/>
      </c>
    </row>
    <row r="1470">
      <c r="A1470" s="2" t="inlineStr">
        <is>
          <t>SN-3000-3300-33ER-3330VF0128</t>
        </is>
      </c>
      <c r="B1470" s="2" t="inlineStr">
        <is>
          <t>3330VF0128</t>
        </is>
      </c>
      <c r="C1470" s="2" t="inlineStr">
        <is>
          <t>Variador frecuencia 3330PU0128M1VF</t>
        </is>
      </c>
      <c r="D1470" s="2" t="n">
        <v>490</v>
      </c>
      <c r="E1470" s="2" t="inlineStr">
        <is>
          <t>CC-3000</t>
        </is>
      </c>
      <c r="F1470" s="2" t="inlineStr">
        <is>
          <t>P01</t>
        </is>
      </c>
      <c r="G1470" s="2" t="n">
        <v>620000</v>
      </c>
      <c r="H1470" s="2" t="inlineStr">
        <is>
          <t>Materiales</t>
        </is>
      </c>
      <c r="I1470" s="9" t="n">
        <v>2168.64</v>
      </c>
      <c r="J1470" s="9" t="n">
        <v>2181.51</v>
      </c>
      <c r="K1470" s="9" t="n">
        <v>2035.27</v>
      </c>
      <c r="L1470" s="9" t="n">
        <v>2176.08</v>
      </c>
      <c r="M1470" s="9" t="n">
        <v>2047.32</v>
      </c>
      <c r="N1470" s="9" t="n">
        <v>1903</v>
      </c>
      <c r="O1470" s="9" t="n">
        <v>1941.29</v>
      </c>
      <c r="P1470" s="9" t="n">
        <v>2180.18</v>
      </c>
      <c r="Q1470" s="9" t="n">
        <v>1939.18</v>
      </c>
      <c r="R1470" s="9" t="n">
        <v>2327.8</v>
      </c>
      <c r="S1470" s="9" t="n">
        <v>2000.72</v>
      </c>
      <c r="T1470" s="9" t="n">
        <v>1989.01</v>
      </c>
      <c r="U1470" s="10">
        <f>SUM(I1470:T1470)</f>
        <v/>
      </c>
    </row>
    <row r="1471">
      <c r="A1471" s="2" t="inlineStr">
        <is>
          <t>SN-3000-3300-33ER-3330VF0128</t>
        </is>
      </c>
      <c r="B1471" s="2" t="inlineStr">
        <is>
          <t>3330VF0128</t>
        </is>
      </c>
      <c r="C1471" s="2" t="inlineStr">
        <is>
          <t>Variador frecuencia 3330PU0128M1VF</t>
        </is>
      </c>
      <c r="D1471" s="2" t="n">
        <v>490</v>
      </c>
      <c r="E1471" s="2" t="inlineStr">
        <is>
          <t>CC-3000</t>
        </is>
      </c>
      <c r="F1471" s="2" t="inlineStr">
        <is>
          <t>P01</t>
        </is>
      </c>
      <c r="G1471" s="2" t="n">
        <v>630000</v>
      </c>
      <c r="H1471" s="2" t="inlineStr">
        <is>
          <t>Servicios externos</t>
        </is>
      </c>
      <c r="I1471" s="9" t="n">
        <v>1801.09</v>
      </c>
      <c r="J1471" s="9" t="n">
        <v>1905.19</v>
      </c>
      <c r="K1471" s="9" t="n">
        <v>1708.55</v>
      </c>
      <c r="L1471" s="9" t="n">
        <v>1980.88</v>
      </c>
      <c r="M1471" s="9" t="n">
        <v>1916.62</v>
      </c>
      <c r="N1471" s="9" t="n">
        <v>1855.89</v>
      </c>
      <c r="O1471" s="9" t="n">
        <v>1792.48</v>
      </c>
      <c r="P1471" s="9" t="n">
        <v>1930.42</v>
      </c>
      <c r="Q1471" s="9" t="n">
        <v>1646.13</v>
      </c>
      <c r="R1471" s="9" t="n">
        <v>1792.45</v>
      </c>
      <c r="S1471" s="9" t="n">
        <v>1664.18</v>
      </c>
      <c r="T1471" s="9" t="n">
        <v>1955.14</v>
      </c>
      <c r="U1471" s="10">
        <f>SUM(I1471:T1471)</f>
        <v/>
      </c>
    </row>
    <row r="1472">
      <c r="A1472" s="2" t="inlineStr">
        <is>
          <t>SN-3000-3300-33ER-3400MC0011</t>
        </is>
      </c>
      <c r="B1472" s="2" t="inlineStr">
        <is>
          <t>3400MC0011</t>
        </is>
      </c>
      <c r="C1472" s="2" t="inlineStr">
        <is>
          <t>Centro control motores 400V/1200A/65kA</t>
        </is>
      </c>
      <c r="D1472" s="2" t="n">
        <v>491</v>
      </c>
      <c r="E1472" s="2" t="inlineStr">
        <is>
          <t>CC-3000</t>
        </is>
      </c>
      <c r="F1472" s="2" t="inlineStr">
        <is>
          <t>P01</t>
        </is>
      </c>
      <c r="G1472" s="2" t="n">
        <v>610000</v>
      </c>
      <c r="H1472" s="2" t="inlineStr">
        <is>
          <t>Mano obra interna</t>
        </is>
      </c>
      <c r="I1472" s="9" t="n">
        <v>2035.69</v>
      </c>
      <c r="J1472" s="9" t="n">
        <v>1817.2</v>
      </c>
      <c r="K1472" s="9" t="n">
        <v>1972.4</v>
      </c>
      <c r="L1472" s="9" t="n">
        <v>1889.86</v>
      </c>
      <c r="M1472" s="9" t="n">
        <v>2071.78</v>
      </c>
      <c r="N1472" s="9" t="n">
        <v>1920.17</v>
      </c>
      <c r="O1472" s="9" t="n">
        <v>2107.87</v>
      </c>
      <c r="P1472" s="9" t="n">
        <v>2037.69</v>
      </c>
      <c r="Q1472" s="9" t="n">
        <v>1981.6</v>
      </c>
      <c r="R1472" s="9" t="n">
        <v>2138.18</v>
      </c>
      <c r="S1472" s="9" t="n">
        <v>1958.87</v>
      </c>
      <c r="T1472" s="9" t="n">
        <v>2033.48</v>
      </c>
      <c r="U1472" s="10">
        <f>SUM(I1472:T1472)</f>
        <v/>
      </c>
    </row>
    <row r="1473">
      <c r="A1473" s="2" t="inlineStr">
        <is>
          <t>SN-3000-3300-33ER-3400MC0011</t>
        </is>
      </c>
      <c r="B1473" s="2" t="inlineStr">
        <is>
          <t>3400MC0011</t>
        </is>
      </c>
      <c r="C1473" s="2" t="inlineStr">
        <is>
          <t>Centro control motores 400V/1200A/65kA</t>
        </is>
      </c>
      <c r="D1473" s="2" t="n">
        <v>491</v>
      </c>
      <c r="E1473" s="2" t="inlineStr">
        <is>
          <t>CC-3000</t>
        </is>
      </c>
      <c r="F1473" s="2" t="inlineStr">
        <is>
          <t>P01</t>
        </is>
      </c>
      <c r="G1473" s="2" t="n">
        <v>620000</v>
      </c>
      <c r="H1473" s="2" t="inlineStr">
        <is>
          <t>Materiales</t>
        </is>
      </c>
      <c r="I1473" s="9" t="n">
        <v>2416.18</v>
      </c>
      <c r="J1473" s="9" t="n">
        <v>2259.82</v>
      </c>
      <c r="K1473" s="9" t="n">
        <v>2425.21</v>
      </c>
      <c r="L1473" s="9" t="n">
        <v>2397.16</v>
      </c>
      <c r="M1473" s="9" t="n">
        <v>2109.79</v>
      </c>
      <c r="N1473" s="9" t="n">
        <v>2195.69</v>
      </c>
      <c r="O1473" s="9" t="n">
        <v>2135.89</v>
      </c>
      <c r="P1473" s="9" t="n">
        <v>2270.9</v>
      </c>
      <c r="Q1473" s="9" t="n">
        <v>2146.95</v>
      </c>
      <c r="R1473" s="9" t="n">
        <v>2611</v>
      </c>
      <c r="S1473" s="9" t="n">
        <v>2008</v>
      </c>
      <c r="T1473" s="9" t="n">
        <v>2127.15</v>
      </c>
      <c r="U1473" s="10">
        <f>SUM(I1473:T1473)</f>
        <v/>
      </c>
    </row>
    <row r="1474">
      <c r="A1474" s="2" t="inlineStr">
        <is>
          <t>SN-3000-3300-33ER-3400MC0011</t>
        </is>
      </c>
      <c r="B1474" s="2" t="inlineStr">
        <is>
          <t>3400MC0011</t>
        </is>
      </c>
      <c r="C1474" s="2" t="inlineStr">
        <is>
          <t>Centro control motores 400V/1200A/65kA</t>
        </is>
      </c>
      <c r="D1474" s="2" t="n">
        <v>491</v>
      </c>
      <c r="E1474" s="2" t="inlineStr">
        <is>
          <t>CC-3000</t>
        </is>
      </c>
      <c r="F1474" s="2" t="inlineStr">
        <is>
          <t>P01</t>
        </is>
      </c>
      <c r="G1474" s="2" t="n">
        <v>630000</v>
      </c>
      <c r="H1474" s="2" t="inlineStr">
        <is>
          <t>Servicios externos</t>
        </is>
      </c>
      <c r="I1474" s="9" t="n">
        <v>1969.65</v>
      </c>
      <c r="J1474" s="9" t="n">
        <v>2031.02</v>
      </c>
      <c r="K1474" s="9" t="n">
        <v>2134.78</v>
      </c>
      <c r="L1474" s="9" t="n">
        <v>2080.57</v>
      </c>
      <c r="M1474" s="9" t="n">
        <v>2064.3</v>
      </c>
      <c r="N1474" s="9" t="n">
        <v>1822.02</v>
      </c>
      <c r="O1474" s="9" t="n">
        <v>1832.92</v>
      </c>
      <c r="P1474" s="9" t="n">
        <v>1821.31</v>
      </c>
      <c r="Q1474" s="9" t="n">
        <v>1928.62</v>
      </c>
      <c r="R1474" s="9" t="n">
        <v>2193.13</v>
      </c>
      <c r="S1474" s="9" t="n">
        <v>1959.03</v>
      </c>
      <c r="T1474" s="9" t="n">
        <v>1939.39</v>
      </c>
      <c r="U1474" s="10">
        <f>SUM(I1474:T1474)</f>
        <v/>
      </c>
    </row>
    <row r="1475">
      <c r="A1475" s="2" t="inlineStr">
        <is>
          <t>SN-3000-3300-33ER-3500MC0011</t>
        </is>
      </c>
      <c r="B1475" s="2" t="inlineStr">
        <is>
          <t>3500MC0011</t>
        </is>
      </c>
      <c r="C1475" s="2" t="inlineStr">
        <is>
          <t>Centro control motores 400V/1200A</t>
        </is>
      </c>
      <c r="D1475" s="2" t="n">
        <v>492</v>
      </c>
      <c r="E1475" s="2" t="inlineStr">
        <is>
          <t>CC-3000</t>
        </is>
      </c>
      <c r="F1475" s="2" t="inlineStr">
        <is>
          <t>P01</t>
        </is>
      </c>
      <c r="G1475" s="2" t="n">
        <v>610000</v>
      </c>
      <c r="H1475" s="2" t="inlineStr">
        <is>
          <t>Mano obra interna</t>
        </is>
      </c>
      <c r="I1475" s="9" t="n">
        <v>2385.19</v>
      </c>
      <c r="J1475" s="9" t="n">
        <v>1994.33</v>
      </c>
      <c r="K1475" s="9" t="n">
        <v>2344.17</v>
      </c>
      <c r="L1475" s="9" t="n">
        <v>2157.15</v>
      </c>
      <c r="M1475" s="9" t="n">
        <v>1995.52</v>
      </c>
      <c r="N1475" s="9" t="n">
        <v>2162.07</v>
      </c>
      <c r="O1475" s="9" t="n">
        <v>2118.99</v>
      </c>
      <c r="P1475" s="9" t="n">
        <v>2252.62</v>
      </c>
      <c r="Q1475" s="9" t="n">
        <v>2093.78</v>
      </c>
      <c r="R1475" s="9" t="n">
        <v>2360.72</v>
      </c>
      <c r="S1475" s="9" t="n">
        <v>2200.93</v>
      </c>
      <c r="T1475" s="9" t="n">
        <v>2237.89</v>
      </c>
      <c r="U1475" s="10">
        <f>SUM(I1475:T1475)</f>
        <v/>
      </c>
    </row>
    <row r="1476">
      <c r="A1476" s="2" t="inlineStr">
        <is>
          <t>SN-3000-3300-33ER-3500MC0011</t>
        </is>
      </c>
      <c r="B1476" s="2" t="inlineStr">
        <is>
          <t>3500MC0011</t>
        </is>
      </c>
      <c r="C1476" s="2" t="inlineStr">
        <is>
          <t>Centro control motores 400V/1200A</t>
        </is>
      </c>
      <c r="D1476" s="2" t="n">
        <v>492</v>
      </c>
      <c r="E1476" s="2" t="inlineStr">
        <is>
          <t>CC-3000</t>
        </is>
      </c>
      <c r="F1476" s="2" t="inlineStr">
        <is>
          <t>P01</t>
        </is>
      </c>
      <c r="G1476" s="2" t="n">
        <v>620000</v>
      </c>
      <c r="H1476" s="2" t="inlineStr">
        <is>
          <t>Materiales</t>
        </is>
      </c>
      <c r="I1476" s="9" t="n">
        <v>2153.04</v>
      </c>
      <c r="J1476" s="9" t="n">
        <v>2030.7</v>
      </c>
      <c r="K1476" s="9" t="n">
        <v>1933.74</v>
      </c>
      <c r="L1476" s="9" t="n">
        <v>2211.27</v>
      </c>
      <c r="M1476" s="9" t="n">
        <v>2026.59</v>
      </c>
      <c r="N1476" s="9" t="n">
        <v>2058.25</v>
      </c>
      <c r="O1476" s="9" t="n">
        <v>2158.4</v>
      </c>
      <c r="P1476" s="9" t="n">
        <v>2013.52</v>
      </c>
      <c r="Q1476" s="9" t="n">
        <v>1894.72</v>
      </c>
      <c r="R1476" s="9" t="n">
        <v>2162.81</v>
      </c>
      <c r="S1476" s="9" t="n">
        <v>1952.08</v>
      </c>
      <c r="T1476" s="9" t="n">
        <v>2193.55</v>
      </c>
      <c r="U1476" s="10">
        <f>SUM(I1476:T1476)</f>
        <v/>
      </c>
    </row>
    <row r="1477">
      <c r="A1477" s="2" t="inlineStr">
        <is>
          <t>SN-3000-3300-33ER-3500MC0011</t>
        </is>
      </c>
      <c r="B1477" s="2" t="inlineStr">
        <is>
          <t>3500MC0011</t>
        </is>
      </c>
      <c r="C1477" s="2" t="inlineStr">
        <is>
          <t>Centro control motores 400V/1200A</t>
        </is>
      </c>
      <c r="D1477" s="2" t="n">
        <v>492</v>
      </c>
      <c r="E1477" s="2" t="inlineStr">
        <is>
          <t>CC-3000</t>
        </is>
      </c>
      <c r="F1477" s="2" t="inlineStr">
        <is>
          <t>P01</t>
        </is>
      </c>
      <c r="G1477" s="2" t="n">
        <v>630000</v>
      </c>
      <c r="H1477" s="2" t="inlineStr">
        <is>
          <t>Servicios externos</t>
        </is>
      </c>
      <c r="I1477" s="9" t="n">
        <v>2269.01</v>
      </c>
      <c r="J1477" s="9" t="n">
        <v>2369.23</v>
      </c>
      <c r="K1477" s="9" t="n">
        <v>2632.24</v>
      </c>
      <c r="L1477" s="9" t="n">
        <v>2452.99</v>
      </c>
      <c r="M1477" s="9" t="n">
        <v>2446.49</v>
      </c>
      <c r="N1477" s="9" t="n">
        <v>2357.38</v>
      </c>
      <c r="O1477" s="9" t="n">
        <v>2308.37</v>
      </c>
      <c r="P1477" s="9" t="n">
        <v>2313.74</v>
      </c>
      <c r="Q1477" s="9" t="n">
        <v>2279.43</v>
      </c>
      <c r="R1477" s="9" t="n">
        <v>2549.32</v>
      </c>
      <c r="S1477" s="9" t="n">
        <v>2314.28</v>
      </c>
      <c r="T1477" s="9" t="n">
        <v>2480.76</v>
      </c>
      <c r="U1477" s="10">
        <f>SUM(I1477:T1477)</f>
        <v/>
      </c>
    </row>
    <row r="1478">
      <c r="A1478" s="2" t="inlineStr">
        <is>
          <t>SN-3000-3300-33ER-3600MC0011</t>
        </is>
      </c>
      <c r="B1478" s="2" t="inlineStr">
        <is>
          <t>3600MC0011</t>
        </is>
      </c>
      <c r="C1478" s="2" t="inlineStr">
        <is>
          <t>Centro control motores 400V/1200A/65kA</t>
        </is>
      </c>
      <c r="D1478" s="2" t="n">
        <v>493</v>
      </c>
      <c r="E1478" s="2" t="inlineStr">
        <is>
          <t>CC-3000</t>
        </is>
      </c>
      <c r="F1478" s="2" t="inlineStr">
        <is>
          <t>P01</t>
        </is>
      </c>
      <c r="G1478" s="2" t="n">
        <v>610000</v>
      </c>
      <c r="H1478" s="2" t="inlineStr">
        <is>
          <t>Mano obra interna</t>
        </is>
      </c>
      <c r="I1478" s="9" t="n">
        <v>1620.7</v>
      </c>
      <c r="J1478" s="9" t="n">
        <v>1531.18</v>
      </c>
      <c r="K1478" s="9" t="n">
        <v>1643.35</v>
      </c>
      <c r="L1478" s="9" t="n">
        <v>1686.2</v>
      </c>
      <c r="M1478" s="9" t="n">
        <v>1589.61</v>
      </c>
      <c r="N1478" s="9" t="n">
        <v>1592.68</v>
      </c>
      <c r="O1478" s="9" t="n">
        <v>1530.81</v>
      </c>
      <c r="P1478" s="9" t="n">
        <v>1649.18</v>
      </c>
      <c r="Q1478" s="9" t="n">
        <v>1501.54</v>
      </c>
      <c r="R1478" s="9" t="n">
        <v>1786.93</v>
      </c>
      <c r="S1478" s="9" t="n">
        <v>1575.45</v>
      </c>
      <c r="T1478" s="9" t="n">
        <v>1614.58</v>
      </c>
      <c r="U1478" s="10">
        <f>SUM(I1478:T1478)</f>
        <v/>
      </c>
    </row>
    <row r="1479">
      <c r="A1479" s="2" t="inlineStr">
        <is>
          <t>SN-3000-3300-33ER-3600MC0011</t>
        </is>
      </c>
      <c r="B1479" s="2" t="inlineStr">
        <is>
          <t>3600MC0011</t>
        </is>
      </c>
      <c r="C1479" s="2" t="inlineStr">
        <is>
          <t>Centro control motores 400V/1200A/65kA</t>
        </is>
      </c>
      <c r="D1479" s="2" t="n">
        <v>493</v>
      </c>
      <c r="E1479" s="2" t="inlineStr">
        <is>
          <t>CC-3000</t>
        </is>
      </c>
      <c r="F1479" s="2" t="inlineStr">
        <is>
          <t>P01</t>
        </is>
      </c>
      <c r="G1479" s="2" t="n">
        <v>620000</v>
      </c>
      <c r="H1479" s="2" t="inlineStr">
        <is>
          <t>Materiales</t>
        </is>
      </c>
      <c r="I1479" s="9" t="n">
        <v>1572.07</v>
      </c>
      <c r="J1479" s="9" t="n">
        <v>1643.56</v>
      </c>
      <c r="K1479" s="9" t="n">
        <v>1786.75</v>
      </c>
      <c r="L1479" s="9" t="n">
        <v>1667.77</v>
      </c>
      <c r="M1479" s="9" t="n">
        <v>1701.65</v>
      </c>
      <c r="N1479" s="9" t="n">
        <v>1457.45</v>
      </c>
      <c r="O1479" s="9" t="n">
        <v>1620.88</v>
      </c>
      <c r="P1479" s="9" t="n">
        <v>1609.41</v>
      </c>
      <c r="Q1479" s="9" t="n">
        <v>1390.85</v>
      </c>
      <c r="R1479" s="9" t="n">
        <v>1733.07</v>
      </c>
      <c r="S1479" s="9" t="n">
        <v>1537.07</v>
      </c>
      <c r="T1479" s="9" t="n">
        <v>1690.56</v>
      </c>
      <c r="U1479" s="10">
        <f>SUM(I1479:T1479)</f>
        <v/>
      </c>
    </row>
    <row r="1480">
      <c r="A1480" s="2" t="inlineStr">
        <is>
          <t>SN-3000-3300-33ER-3600MC0011</t>
        </is>
      </c>
      <c r="B1480" s="2" t="inlineStr">
        <is>
          <t>3600MC0011</t>
        </is>
      </c>
      <c r="C1480" s="2" t="inlineStr">
        <is>
          <t>Centro control motores 400V/1200A/65kA</t>
        </is>
      </c>
      <c r="D1480" s="2" t="n">
        <v>493</v>
      </c>
      <c r="E1480" s="2" t="inlineStr">
        <is>
          <t>CC-3000</t>
        </is>
      </c>
      <c r="F1480" s="2" t="inlineStr">
        <is>
          <t>P01</t>
        </is>
      </c>
      <c r="G1480" s="2" t="n">
        <v>630000</v>
      </c>
      <c r="H1480" s="2" t="inlineStr">
        <is>
          <t>Servicios externos</t>
        </is>
      </c>
      <c r="I1480" s="9" t="n">
        <v>1569.6</v>
      </c>
      <c r="J1480" s="9" t="n">
        <v>1576.98</v>
      </c>
      <c r="K1480" s="9" t="n">
        <v>1683.58</v>
      </c>
      <c r="L1480" s="9" t="n">
        <v>1670.92</v>
      </c>
      <c r="M1480" s="9" t="n">
        <v>1701.3</v>
      </c>
      <c r="N1480" s="9" t="n">
        <v>1560.08</v>
      </c>
      <c r="O1480" s="9" t="n">
        <v>1522.79</v>
      </c>
      <c r="P1480" s="9" t="n">
        <v>1700.77</v>
      </c>
      <c r="Q1480" s="9" t="n">
        <v>1627.24</v>
      </c>
      <c r="R1480" s="9" t="n">
        <v>1779.77</v>
      </c>
      <c r="S1480" s="9" t="n">
        <v>1614.78</v>
      </c>
      <c r="T1480" s="9" t="n">
        <v>1581.01</v>
      </c>
      <c r="U1480" s="10">
        <f>SUM(I1480:T1480)</f>
        <v/>
      </c>
    </row>
    <row r="1481">
      <c r="A1481" s="2" t="inlineStr">
        <is>
          <t>SN-3000-3300-33ER-3600MC0012</t>
        </is>
      </c>
      <c r="B1481" s="2" t="inlineStr">
        <is>
          <t>3600MC0012</t>
        </is>
      </c>
      <c r="C1481" s="2" t="inlineStr">
        <is>
          <t>Centro control motores 400V/1200A/65kA</t>
        </is>
      </c>
      <c r="D1481" s="2" t="n">
        <v>494</v>
      </c>
      <c r="E1481" s="2" t="inlineStr">
        <is>
          <t>CC-3000</t>
        </is>
      </c>
      <c r="F1481" s="2" t="inlineStr">
        <is>
          <t>P01</t>
        </is>
      </c>
      <c r="G1481" s="2" t="n">
        <v>610000</v>
      </c>
      <c r="H1481" s="2" t="inlineStr">
        <is>
          <t>Mano obra interna</t>
        </is>
      </c>
      <c r="I1481" s="9" t="n">
        <v>1794.22</v>
      </c>
      <c r="J1481" s="9" t="n">
        <v>1787.53</v>
      </c>
      <c r="K1481" s="9" t="n">
        <v>2023.13</v>
      </c>
      <c r="L1481" s="9" t="n">
        <v>1882.35</v>
      </c>
      <c r="M1481" s="9" t="n">
        <v>1726.88</v>
      </c>
      <c r="N1481" s="9" t="n">
        <v>1689.04</v>
      </c>
      <c r="O1481" s="9" t="n">
        <v>1802.1</v>
      </c>
      <c r="P1481" s="9" t="n">
        <v>1870.14</v>
      </c>
      <c r="Q1481" s="9" t="n">
        <v>1692.09</v>
      </c>
      <c r="R1481" s="9" t="n">
        <v>1945.22</v>
      </c>
      <c r="S1481" s="9" t="n">
        <v>1795.13</v>
      </c>
      <c r="T1481" s="9" t="n">
        <v>1785.66</v>
      </c>
      <c r="U1481" s="10">
        <f>SUM(I1481:T1481)</f>
        <v/>
      </c>
    </row>
    <row r="1482">
      <c r="A1482" s="2" t="inlineStr">
        <is>
          <t>SN-3000-3300-33ER-3600MC0012</t>
        </is>
      </c>
      <c r="B1482" s="2" t="inlineStr">
        <is>
          <t>3600MC0012</t>
        </is>
      </c>
      <c r="C1482" s="2" t="inlineStr">
        <is>
          <t>Centro control motores 400V/1200A/65kA</t>
        </is>
      </c>
      <c r="D1482" s="2" t="n">
        <v>494</v>
      </c>
      <c r="E1482" s="2" t="inlineStr">
        <is>
          <t>CC-3000</t>
        </is>
      </c>
      <c r="F1482" s="2" t="inlineStr">
        <is>
          <t>P01</t>
        </is>
      </c>
      <c r="G1482" s="2" t="n">
        <v>620000</v>
      </c>
      <c r="H1482" s="2" t="inlineStr">
        <is>
          <t>Materiales</t>
        </is>
      </c>
      <c r="I1482" s="9" t="n">
        <v>1593.51</v>
      </c>
      <c r="J1482" s="9" t="n">
        <v>1597.72</v>
      </c>
      <c r="K1482" s="9" t="n">
        <v>1629.09</v>
      </c>
      <c r="L1482" s="9" t="n">
        <v>1681.56</v>
      </c>
      <c r="M1482" s="9" t="n">
        <v>1745.07</v>
      </c>
      <c r="N1482" s="9" t="n">
        <v>1671.21</v>
      </c>
      <c r="O1482" s="9" t="n">
        <v>1720.29</v>
      </c>
      <c r="P1482" s="9" t="n">
        <v>1783.49</v>
      </c>
      <c r="Q1482" s="9" t="n">
        <v>1517.9</v>
      </c>
      <c r="R1482" s="9" t="n">
        <v>1934.29</v>
      </c>
      <c r="S1482" s="9" t="n">
        <v>1609.2</v>
      </c>
      <c r="T1482" s="9" t="n">
        <v>1687.43</v>
      </c>
      <c r="U1482" s="10">
        <f>SUM(I1482:T1482)</f>
        <v/>
      </c>
    </row>
    <row r="1483">
      <c r="A1483" s="2" t="inlineStr">
        <is>
          <t>SN-3000-3300-33ER-3600MC0012</t>
        </is>
      </c>
      <c r="B1483" s="2" t="inlineStr">
        <is>
          <t>3600MC0012</t>
        </is>
      </c>
      <c r="C1483" s="2" t="inlineStr">
        <is>
          <t>Centro control motores 400V/1200A/65kA</t>
        </is>
      </c>
      <c r="D1483" s="2" t="n">
        <v>494</v>
      </c>
      <c r="E1483" s="2" t="inlineStr">
        <is>
          <t>CC-3000</t>
        </is>
      </c>
      <c r="F1483" s="2" t="inlineStr">
        <is>
          <t>P01</t>
        </is>
      </c>
      <c r="G1483" s="2" t="n">
        <v>630000</v>
      </c>
      <c r="H1483" s="2" t="inlineStr">
        <is>
          <t>Servicios externos</t>
        </is>
      </c>
      <c r="I1483" s="9" t="n">
        <v>1840.02</v>
      </c>
      <c r="J1483" s="9" t="n">
        <v>2041.49</v>
      </c>
      <c r="K1483" s="9" t="n">
        <v>1872.33</v>
      </c>
      <c r="L1483" s="9" t="n">
        <v>1918.67</v>
      </c>
      <c r="M1483" s="9" t="n">
        <v>1851.28</v>
      </c>
      <c r="N1483" s="9" t="n">
        <v>1716.37</v>
      </c>
      <c r="O1483" s="9" t="n">
        <v>1819.97</v>
      </c>
      <c r="P1483" s="9" t="n">
        <v>1784.71</v>
      </c>
      <c r="Q1483" s="9" t="n">
        <v>1733.61</v>
      </c>
      <c r="R1483" s="9" t="n">
        <v>2199.27</v>
      </c>
      <c r="S1483" s="9" t="n">
        <v>1816.9</v>
      </c>
      <c r="T1483" s="9" t="n">
        <v>1837.22</v>
      </c>
      <c r="U1483" s="10">
        <f>SUM(I1483:T1483)</f>
        <v/>
      </c>
    </row>
    <row r="1484">
      <c r="A1484" s="2" t="inlineStr">
        <is>
          <t>SN-3000-3300-33ER-3620VF0238</t>
        </is>
      </c>
      <c r="B1484" s="2" t="inlineStr">
        <is>
          <t>3620VF0238</t>
        </is>
      </c>
      <c r="C1484" s="2" t="inlineStr">
        <is>
          <t>Variador frecuencia 3620PU0238M1VF</t>
        </is>
      </c>
      <c r="D1484" s="2" t="n">
        <v>495</v>
      </c>
      <c r="E1484" s="2" t="inlineStr">
        <is>
          <t>CC-3000</t>
        </is>
      </c>
      <c r="F1484" s="2" t="inlineStr">
        <is>
          <t>P01</t>
        </is>
      </c>
      <c r="G1484" s="2" t="n">
        <v>610000</v>
      </c>
      <c r="H1484" s="2" t="inlineStr">
        <is>
          <t>Mano obra interna</t>
        </is>
      </c>
      <c r="I1484" s="9" t="n">
        <v>850.2</v>
      </c>
      <c r="J1484" s="9" t="n">
        <v>727.3099999999999</v>
      </c>
      <c r="K1484" s="9" t="n">
        <v>767.87</v>
      </c>
      <c r="L1484" s="9" t="n">
        <v>848.0700000000001</v>
      </c>
      <c r="M1484" s="9" t="n">
        <v>724.3099999999999</v>
      </c>
      <c r="N1484" s="9" t="n">
        <v>738.96</v>
      </c>
      <c r="O1484" s="9" t="n">
        <v>739.73</v>
      </c>
      <c r="P1484" s="9" t="n">
        <v>824.29</v>
      </c>
      <c r="Q1484" s="9" t="n">
        <v>773.54</v>
      </c>
      <c r="R1484" s="9" t="n">
        <v>873.9400000000001</v>
      </c>
      <c r="S1484" s="9" t="n">
        <v>724.76</v>
      </c>
      <c r="T1484" s="9" t="n">
        <v>770.9</v>
      </c>
      <c r="U1484" s="10">
        <f>SUM(I1484:T1484)</f>
        <v/>
      </c>
    </row>
    <row r="1485">
      <c r="A1485" s="2" t="inlineStr">
        <is>
          <t>SN-3000-3300-33ER-3620VF0238</t>
        </is>
      </c>
      <c r="B1485" s="2" t="inlineStr">
        <is>
          <t>3620VF0238</t>
        </is>
      </c>
      <c r="C1485" s="2" t="inlineStr">
        <is>
          <t>Variador frecuencia 3620PU0238M1VF</t>
        </is>
      </c>
      <c r="D1485" s="2" t="n">
        <v>495</v>
      </c>
      <c r="E1485" s="2" t="inlineStr">
        <is>
          <t>CC-3000</t>
        </is>
      </c>
      <c r="F1485" s="2" t="inlineStr">
        <is>
          <t>P01</t>
        </is>
      </c>
      <c r="G1485" s="2" t="n">
        <v>620000</v>
      </c>
      <c r="H1485" s="2" t="inlineStr">
        <is>
          <t>Materiales</t>
        </is>
      </c>
      <c r="I1485" s="9" t="n">
        <v>721.36</v>
      </c>
      <c r="J1485" s="9" t="n">
        <v>698.4299999999999</v>
      </c>
      <c r="K1485" s="9" t="n">
        <v>677.1900000000001</v>
      </c>
      <c r="L1485" s="9" t="n">
        <v>696.74</v>
      </c>
      <c r="M1485" s="9" t="n">
        <v>622.95</v>
      </c>
      <c r="N1485" s="9" t="n">
        <v>629.22</v>
      </c>
      <c r="O1485" s="9" t="n">
        <v>679.35</v>
      </c>
      <c r="P1485" s="9" t="n">
        <v>652.37</v>
      </c>
      <c r="Q1485" s="9" t="n">
        <v>604.98</v>
      </c>
      <c r="R1485" s="9" t="n">
        <v>659.95</v>
      </c>
      <c r="S1485" s="9" t="n">
        <v>675.16</v>
      </c>
      <c r="T1485" s="9" t="n">
        <v>716.97</v>
      </c>
      <c r="U1485" s="10">
        <f>SUM(I1485:T1485)</f>
        <v/>
      </c>
    </row>
    <row r="1486">
      <c r="A1486" s="2" t="inlineStr">
        <is>
          <t>SN-3000-3300-33ER-3620VF0238</t>
        </is>
      </c>
      <c r="B1486" s="2" t="inlineStr">
        <is>
          <t>3620VF0238</t>
        </is>
      </c>
      <c r="C1486" s="2" t="inlineStr">
        <is>
          <t>Variador frecuencia 3620PU0238M1VF</t>
        </is>
      </c>
      <c r="D1486" s="2" t="n">
        <v>495</v>
      </c>
      <c r="E1486" s="2" t="inlineStr">
        <is>
          <t>CC-3000</t>
        </is>
      </c>
      <c r="F1486" s="2" t="inlineStr">
        <is>
          <t>P01</t>
        </is>
      </c>
      <c r="G1486" s="2" t="n">
        <v>630000</v>
      </c>
      <c r="H1486" s="2" t="inlineStr">
        <is>
          <t>Servicios externos</t>
        </is>
      </c>
      <c r="I1486" s="9" t="n">
        <v>861.91</v>
      </c>
      <c r="J1486" s="9" t="n">
        <v>809.61</v>
      </c>
      <c r="K1486" s="9" t="n">
        <v>810.4400000000001</v>
      </c>
      <c r="L1486" s="9" t="n">
        <v>900.28</v>
      </c>
      <c r="M1486" s="9" t="n">
        <v>818.85</v>
      </c>
      <c r="N1486" s="9" t="n">
        <v>802.46</v>
      </c>
      <c r="O1486" s="9" t="n">
        <v>839.88</v>
      </c>
      <c r="P1486" s="9" t="n">
        <v>860.11</v>
      </c>
      <c r="Q1486" s="9" t="n">
        <v>699.74</v>
      </c>
      <c r="R1486" s="9" t="n">
        <v>840.29</v>
      </c>
      <c r="S1486" s="9" t="n">
        <v>810.5599999999999</v>
      </c>
      <c r="T1486" s="9" t="n">
        <v>880.14</v>
      </c>
      <c r="U1486" s="10">
        <f>SUM(I1486:T1486)</f>
        <v/>
      </c>
    </row>
    <row r="1487">
      <c r="A1487" s="2" t="inlineStr">
        <is>
          <t>SN-3000-3300-33ER-3620VF0239</t>
        </is>
      </c>
      <c r="B1487" s="2" t="inlineStr">
        <is>
          <t>3620VF0239</t>
        </is>
      </c>
      <c r="C1487" s="2" t="inlineStr">
        <is>
          <t>Variador frecuencia 3620PU0239M1VF</t>
        </is>
      </c>
      <c r="D1487" s="2" t="n">
        <v>496</v>
      </c>
      <c r="E1487" s="2" t="inlineStr">
        <is>
          <t>CC-3000</t>
        </is>
      </c>
      <c r="F1487" s="2" t="inlineStr">
        <is>
          <t>P01</t>
        </is>
      </c>
      <c r="G1487" s="2" t="n">
        <v>610000</v>
      </c>
      <c r="H1487" s="2" t="inlineStr">
        <is>
          <t>Mano obra interna</t>
        </is>
      </c>
      <c r="I1487" s="9" t="n">
        <v>1192.35</v>
      </c>
      <c r="J1487" s="9" t="n">
        <v>1140.62</v>
      </c>
      <c r="K1487" s="9" t="n">
        <v>1268.39</v>
      </c>
      <c r="L1487" s="9" t="n">
        <v>1257.23</v>
      </c>
      <c r="M1487" s="9" t="n">
        <v>1192.22</v>
      </c>
      <c r="N1487" s="9" t="n">
        <v>1094.58</v>
      </c>
      <c r="O1487" s="9" t="n">
        <v>1265.53</v>
      </c>
      <c r="P1487" s="9" t="n">
        <v>1193.33</v>
      </c>
      <c r="Q1487" s="9" t="n">
        <v>1153.77</v>
      </c>
      <c r="R1487" s="9" t="n">
        <v>1218.89</v>
      </c>
      <c r="S1487" s="9" t="n">
        <v>1117.96</v>
      </c>
      <c r="T1487" s="9" t="n">
        <v>1274.02</v>
      </c>
      <c r="U1487" s="10">
        <f>SUM(I1487:T1487)</f>
        <v/>
      </c>
    </row>
    <row r="1488">
      <c r="A1488" s="2" t="inlineStr">
        <is>
          <t>SN-3000-3300-33ER-3620VF0239</t>
        </is>
      </c>
      <c r="B1488" s="2" t="inlineStr">
        <is>
          <t>3620VF0239</t>
        </is>
      </c>
      <c r="C1488" s="2" t="inlineStr">
        <is>
          <t>Variador frecuencia 3620PU0239M1VF</t>
        </is>
      </c>
      <c r="D1488" s="2" t="n">
        <v>496</v>
      </c>
      <c r="E1488" s="2" t="inlineStr">
        <is>
          <t>CC-3000</t>
        </is>
      </c>
      <c r="F1488" s="2" t="inlineStr">
        <is>
          <t>P01</t>
        </is>
      </c>
      <c r="G1488" s="2" t="n">
        <v>620000</v>
      </c>
      <c r="H1488" s="2" t="inlineStr">
        <is>
          <t>Materiales</t>
        </is>
      </c>
      <c r="I1488" s="9" t="n">
        <v>975.6</v>
      </c>
      <c r="J1488" s="9" t="n">
        <v>936.61</v>
      </c>
      <c r="K1488" s="9" t="n">
        <v>1023.53</v>
      </c>
      <c r="L1488" s="9" t="n">
        <v>940.8099999999999</v>
      </c>
      <c r="M1488" s="9" t="n">
        <v>901.51</v>
      </c>
      <c r="N1488" s="9" t="n">
        <v>974.0700000000001</v>
      </c>
      <c r="O1488" s="9" t="n">
        <v>965.1799999999999</v>
      </c>
      <c r="P1488" s="9" t="n">
        <v>892.8099999999999</v>
      </c>
      <c r="Q1488" s="9" t="n">
        <v>844.26</v>
      </c>
      <c r="R1488" s="9" t="n">
        <v>1110.7</v>
      </c>
      <c r="S1488" s="9" t="n">
        <v>878.37</v>
      </c>
      <c r="T1488" s="9" t="n">
        <v>985.0700000000001</v>
      </c>
      <c r="U1488" s="10">
        <f>SUM(I1488:T1488)</f>
        <v/>
      </c>
    </row>
    <row r="1489">
      <c r="A1489" s="2" t="inlineStr">
        <is>
          <t>SN-3000-3300-33ER-3620VF0239</t>
        </is>
      </c>
      <c r="B1489" s="2" t="inlineStr">
        <is>
          <t>3620VF0239</t>
        </is>
      </c>
      <c r="C1489" s="2" t="inlineStr">
        <is>
          <t>Variador frecuencia 3620PU0239M1VF</t>
        </is>
      </c>
      <c r="D1489" s="2" t="n">
        <v>496</v>
      </c>
      <c r="E1489" s="2" t="inlineStr">
        <is>
          <t>CC-3000</t>
        </is>
      </c>
      <c r="F1489" s="2" t="inlineStr">
        <is>
          <t>P01</t>
        </is>
      </c>
      <c r="G1489" s="2" t="n">
        <v>630000</v>
      </c>
      <c r="H1489" s="2" t="inlineStr">
        <is>
          <t>Servicios externos</t>
        </is>
      </c>
      <c r="I1489" s="9" t="n">
        <v>1152.9</v>
      </c>
      <c r="J1489" s="9" t="n">
        <v>1090.39</v>
      </c>
      <c r="K1489" s="9" t="n">
        <v>1114.41</v>
      </c>
      <c r="L1489" s="9" t="n">
        <v>1002.07</v>
      </c>
      <c r="M1489" s="9" t="n">
        <v>1116.7</v>
      </c>
      <c r="N1489" s="9" t="n">
        <v>1007.99</v>
      </c>
      <c r="O1489" s="9" t="n">
        <v>1137.7</v>
      </c>
      <c r="P1489" s="9" t="n">
        <v>1062.18</v>
      </c>
      <c r="Q1489" s="9" t="n">
        <v>1020.97</v>
      </c>
      <c r="R1489" s="9" t="n">
        <v>1068.1</v>
      </c>
      <c r="S1489" s="9" t="n">
        <v>1070.15</v>
      </c>
      <c r="T1489" s="9" t="n">
        <v>1051.54</v>
      </c>
      <c r="U1489" s="10">
        <f>SUM(I1489:T1489)</f>
        <v/>
      </c>
    </row>
    <row r="1490">
      <c r="A1490" s="2" t="inlineStr">
        <is>
          <t>SN-3000-3300-33ER-3620VF0253</t>
        </is>
      </c>
      <c r="B1490" s="2" t="inlineStr">
        <is>
          <t>3620VF0253</t>
        </is>
      </c>
      <c r="C1490" s="2" t="inlineStr">
        <is>
          <t>Variador frecuencia 3620PU0253M1VF</t>
        </is>
      </c>
      <c r="D1490" s="2" t="n">
        <v>497</v>
      </c>
      <c r="E1490" s="2" t="inlineStr">
        <is>
          <t>CC-3000</t>
        </is>
      </c>
      <c r="F1490" s="2" t="inlineStr">
        <is>
          <t>P01</t>
        </is>
      </c>
      <c r="G1490" s="2" t="n">
        <v>610000</v>
      </c>
      <c r="H1490" s="2" t="inlineStr">
        <is>
          <t>Mano obra interna</t>
        </is>
      </c>
      <c r="I1490" s="9" t="n">
        <v>2415.38</v>
      </c>
      <c r="J1490" s="9" t="n">
        <v>2341.43</v>
      </c>
      <c r="K1490" s="9" t="n">
        <v>2468.84</v>
      </c>
      <c r="L1490" s="9" t="n">
        <v>2504.57</v>
      </c>
      <c r="M1490" s="9" t="n">
        <v>2650.14</v>
      </c>
      <c r="N1490" s="9" t="n">
        <v>2358.33</v>
      </c>
      <c r="O1490" s="9" t="n">
        <v>2611.44</v>
      </c>
      <c r="P1490" s="9" t="n">
        <v>2349.83</v>
      </c>
      <c r="Q1490" s="9" t="n">
        <v>2379.82</v>
      </c>
      <c r="R1490" s="9" t="n">
        <v>2709.55</v>
      </c>
      <c r="S1490" s="9" t="n">
        <v>2625.88</v>
      </c>
      <c r="T1490" s="9" t="n">
        <v>2698.87</v>
      </c>
      <c r="U1490" s="10">
        <f>SUM(I1490:T1490)</f>
        <v/>
      </c>
    </row>
    <row r="1491">
      <c r="A1491" s="2" t="inlineStr">
        <is>
          <t>SN-3000-3300-33ER-3620VF0253</t>
        </is>
      </c>
      <c r="B1491" s="2" t="inlineStr">
        <is>
          <t>3620VF0253</t>
        </is>
      </c>
      <c r="C1491" s="2" t="inlineStr">
        <is>
          <t>Variador frecuencia 3620PU0253M1VF</t>
        </is>
      </c>
      <c r="D1491" s="2" t="n">
        <v>497</v>
      </c>
      <c r="E1491" s="2" t="inlineStr">
        <is>
          <t>CC-3000</t>
        </is>
      </c>
      <c r="F1491" s="2" t="inlineStr">
        <is>
          <t>P01</t>
        </is>
      </c>
      <c r="G1491" s="2" t="n">
        <v>620000</v>
      </c>
      <c r="H1491" s="2" t="inlineStr">
        <is>
          <t>Materiales</t>
        </is>
      </c>
      <c r="I1491" s="9" t="n">
        <v>2699.17</v>
      </c>
      <c r="J1491" s="9" t="n">
        <v>2371.71</v>
      </c>
      <c r="K1491" s="9" t="n">
        <v>2638.75</v>
      </c>
      <c r="L1491" s="9" t="n">
        <v>2412.22</v>
      </c>
      <c r="M1491" s="9" t="n">
        <v>2445.44</v>
      </c>
      <c r="N1491" s="9" t="n">
        <v>2315.1</v>
      </c>
      <c r="O1491" s="9" t="n">
        <v>2622.45</v>
      </c>
      <c r="P1491" s="9" t="n">
        <v>2526.65</v>
      </c>
      <c r="Q1491" s="9" t="n">
        <v>2452.2</v>
      </c>
      <c r="R1491" s="9" t="n">
        <v>2737.86</v>
      </c>
      <c r="S1491" s="9" t="n">
        <v>2289.47</v>
      </c>
      <c r="T1491" s="9" t="n">
        <v>2666.95</v>
      </c>
      <c r="U1491" s="10">
        <f>SUM(I1491:T1491)</f>
        <v/>
      </c>
    </row>
    <row r="1492">
      <c r="A1492" s="2" t="inlineStr">
        <is>
          <t>SN-3000-3300-33ER-3620VF0253</t>
        </is>
      </c>
      <c r="B1492" s="2" t="inlineStr">
        <is>
          <t>3620VF0253</t>
        </is>
      </c>
      <c r="C1492" s="2" t="inlineStr">
        <is>
          <t>Variador frecuencia 3620PU0253M1VF</t>
        </is>
      </c>
      <c r="D1492" s="2" t="n">
        <v>497</v>
      </c>
      <c r="E1492" s="2" t="inlineStr">
        <is>
          <t>CC-3000</t>
        </is>
      </c>
      <c r="F1492" s="2" t="inlineStr">
        <is>
          <t>P01</t>
        </is>
      </c>
      <c r="G1492" s="2" t="n">
        <v>630000</v>
      </c>
      <c r="H1492" s="2" t="inlineStr">
        <is>
          <t>Servicios externos</t>
        </is>
      </c>
      <c r="I1492" s="9" t="n">
        <v>3031.85</v>
      </c>
      <c r="J1492" s="9" t="n">
        <v>2779.22</v>
      </c>
      <c r="K1492" s="9" t="n">
        <v>2994.87</v>
      </c>
      <c r="L1492" s="9" t="n">
        <v>2966.31</v>
      </c>
      <c r="M1492" s="9" t="n">
        <v>2608.89</v>
      </c>
      <c r="N1492" s="9" t="n">
        <v>2523.96</v>
      </c>
      <c r="O1492" s="9" t="n">
        <v>2599.45</v>
      </c>
      <c r="P1492" s="9" t="n">
        <v>2707.41</v>
      </c>
      <c r="Q1492" s="9" t="n">
        <v>2585.97</v>
      </c>
      <c r="R1492" s="9" t="n">
        <v>3248.29</v>
      </c>
      <c r="S1492" s="9" t="n">
        <v>2670.9</v>
      </c>
      <c r="T1492" s="9" t="n">
        <v>2933.73</v>
      </c>
      <c r="U1492" s="10">
        <f>SUM(I1492:T1492)</f>
        <v/>
      </c>
    </row>
    <row r="1493">
      <c r="A1493" s="2" t="inlineStr">
        <is>
          <t>SN-3000-3300-33ER-3620VF0254</t>
        </is>
      </c>
      <c r="B1493" s="2" t="inlineStr">
        <is>
          <t>3620VF0254</t>
        </is>
      </c>
      <c r="C1493" s="2" t="inlineStr">
        <is>
          <t>Variador frecuencia 3620PU0254M1VF</t>
        </is>
      </c>
      <c r="D1493" s="2" t="n">
        <v>498</v>
      </c>
      <c r="E1493" s="2" t="inlineStr">
        <is>
          <t>CC-3000</t>
        </is>
      </c>
      <c r="F1493" s="2" t="inlineStr">
        <is>
          <t>P01</t>
        </is>
      </c>
      <c r="G1493" s="2" t="n">
        <v>610000</v>
      </c>
      <c r="H1493" s="2" t="inlineStr">
        <is>
          <t>Mano obra interna</t>
        </is>
      </c>
      <c r="I1493" s="9" t="n">
        <v>570.51</v>
      </c>
      <c r="J1493" s="9" t="n">
        <v>536.9</v>
      </c>
      <c r="K1493" s="9" t="n">
        <v>609.61</v>
      </c>
      <c r="L1493" s="9" t="n">
        <v>618.74</v>
      </c>
      <c r="M1493" s="9" t="n">
        <v>626.8</v>
      </c>
      <c r="N1493" s="9" t="n">
        <v>548.13</v>
      </c>
      <c r="O1493" s="9" t="n">
        <v>624.08</v>
      </c>
      <c r="P1493" s="9" t="n">
        <v>575.08</v>
      </c>
      <c r="Q1493" s="9" t="n">
        <v>562.59</v>
      </c>
      <c r="R1493" s="9" t="n">
        <v>642.54</v>
      </c>
      <c r="S1493" s="9" t="n">
        <v>527.24</v>
      </c>
      <c r="T1493" s="9" t="n">
        <v>555.14</v>
      </c>
      <c r="U1493" s="10">
        <f>SUM(I1493:T1493)</f>
        <v/>
      </c>
    </row>
    <row r="1494">
      <c r="A1494" s="2" t="inlineStr">
        <is>
          <t>SN-3000-3300-33ER-3620VF0254</t>
        </is>
      </c>
      <c r="B1494" s="2" t="inlineStr">
        <is>
          <t>3620VF0254</t>
        </is>
      </c>
      <c r="C1494" s="2" t="inlineStr">
        <is>
          <t>Variador frecuencia 3620PU0254M1VF</t>
        </is>
      </c>
      <c r="D1494" s="2" t="n">
        <v>498</v>
      </c>
      <c r="E1494" s="2" t="inlineStr">
        <is>
          <t>CC-3000</t>
        </is>
      </c>
      <c r="F1494" s="2" t="inlineStr">
        <is>
          <t>P01</t>
        </is>
      </c>
      <c r="G1494" s="2" t="n">
        <v>620000</v>
      </c>
      <c r="H1494" s="2" t="inlineStr">
        <is>
          <t>Materiales</t>
        </is>
      </c>
      <c r="I1494" s="9" t="n">
        <v>456.19</v>
      </c>
      <c r="J1494" s="9" t="n">
        <v>467.06</v>
      </c>
      <c r="K1494" s="9" t="n">
        <v>446.09</v>
      </c>
      <c r="L1494" s="9" t="n">
        <v>474.26</v>
      </c>
      <c r="M1494" s="9" t="n">
        <v>436.32</v>
      </c>
      <c r="N1494" s="9" t="n">
        <v>456.98</v>
      </c>
      <c r="O1494" s="9" t="n">
        <v>478.3</v>
      </c>
      <c r="P1494" s="9" t="n">
        <v>476.05</v>
      </c>
      <c r="Q1494" s="9" t="n">
        <v>426.45</v>
      </c>
      <c r="R1494" s="9" t="n">
        <v>475.12</v>
      </c>
      <c r="S1494" s="9" t="n">
        <v>463.6</v>
      </c>
      <c r="T1494" s="9" t="n">
        <v>439.82</v>
      </c>
      <c r="U1494" s="10">
        <f>SUM(I1494:T1494)</f>
        <v/>
      </c>
    </row>
    <row r="1495">
      <c r="A1495" s="2" t="inlineStr">
        <is>
          <t>SN-3000-3300-33ER-3620VF0254</t>
        </is>
      </c>
      <c r="B1495" s="2" t="inlineStr">
        <is>
          <t>3620VF0254</t>
        </is>
      </c>
      <c r="C1495" s="2" t="inlineStr">
        <is>
          <t>Variador frecuencia 3620PU0254M1VF</t>
        </is>
      </c>
      <c r="D1495" s="2" t="n">
        <v>498</v>
      </c>
      <c r="E1495" s="2" t="inlineStr">
        <is>
          <t>CC-3000</t>
        </is>
      </c>
      <c r="F1495" s="2" t="inlineStr">
        <is>
          <t>P01</t>
        </is>
      </c>
      <c r="G1495" s="2" t="n">
        <v>630000</v>
      </c>
      <c r="H1495" s="2" t="inlineStr">
        <is>
          <t>Servicios externos</t>
        </is>
      </c>
      <c r="I1495" s="9" t="n">
        <v>489.22</v>
      </c>
      <c r="J1495" s="9" t="n">
        <v>510.96</v>
      </c>
      <c r="K1495" s="9" t="n">
        <v>536.24</v>
      </c>
      <c r="L1495" s="9" t="n">
        <v>528.47</v>
      </c>
      <c r="M1495" s="9" t="n">
        <v>492.79</v>
      </c>
      <c r="N1495" s="9" t="n">
        <v>451.71</v>
      </c>
      <c r="O1495" s="9" t="n">
        <v>538.2</v>
      </c>
      <c r="P1495" s="9" t="n">
        <v>505</v>
      </c>
      <c r="Q1495" s="9" t="n">
        <v>462.87</v>
      </c>
      <c r="R1495" s="9" t="n">
        <v>552.0700000000001</v>
      </c>
      <c r="S1495" s="9" t="n">
        <v>464.61</v>
      </c>
      <c r="T1495" s="9" t="n">
        <v>482.13</v>
      </c>
      <c r="U1495" s="10">
        <f>SUM(I1495:T1495)</f>
        <v/>
      </c>
    </row>
    <row r="1496">
      <c r="A1496" s="2" t="inlineStr">
        <is>
          <t>SN-3000-3300-33ER-3800MC0011</t>
        </is>
      </c>
      <c r="B1496" s="2" t="inlineStr">
        <is>
          <t>3800MC0011</t>
        </is>
      </c>
      <c r="C1496" s="2" t="inlineStr">
        <is>
          <t>Centro control motores 400V/1200A/65kA</t>
        </is>
      </c>
      <c r="D1496" s="2" t="n">
        <v>499</v>
      </c>
      <c r="E1496" s="2" t="inlineStr">
        <is>
          <t>CC-3000</t>
        </is>
      </c>
      <c r="F1496" s="2" t="inlineStr">
        <is>
          <t>P01</t>
        </is>
      </c>
      <c r="G1496" s="2" t="n">
        <v>610000</v>
      </c>
      <c r="H1496" s="2" t="inlineStr">
        <is>
          <t>Mano obra interna</t>
        </is>
      </c>
      <c r="I1496" s="9" t="n">
        <v>730.98</v>
      </c>
      <c r="J1496" s="9" t="n">
        <v>707.23</v>
      </c>
      <c r="K1496" s="9" t="n">
        <v>820.9400000000001</v>
      </c>
      <c r="L1496" s="9" t="n">
        <v>769.01</v>
      </c>
      <c r="M1496" s="9" t="n">
        <v>739.03</v>
      </c>
      <c r="N1496" s="9" t="n">
        <v>737.54</v>
      </c>
      <c r="O1496" s="9" t="n">
        <v>803.1900000000001</v>
      </c>
      <c r="P1496" s="9" t="n">
        <v>701.75</v>
      </c>
      <c r="Q1496" s="9" t="n">
        <v>734.17</v>
      </c>
      <c r="R1496" s="9" t="n">
        <v>818.3099999999999</v>
      </c>
      <c r="S1496" s="9" t="n">
        <v>683.79</v>
      </c>
      <c r="T1496" s="9" t="n">
        <v>735.1900000000001</v>
      </c>
      <c r="U1496" s="10">
        <f>SUM(I1496:T1496)</f>
        <v/>
      </c>
    </row>
    <row r="1497">
      <c r="A1497" s="2" t="inlineStr">
        <is>
          <t>SN-3000-3300-33ER-3800MC0011</t>
        </is>
      </c>
      <c r="B1497" s="2" t="inlineStr">
        <is>
          <t>3800MC0011</t>
        </is>
      </c>
      <c r="C1497" s="2" t="inlineStr">
        <is>
          <t>Centro control motores 400V/1200A/65kA</t>
        </is>
      </c>
      <c r="D1497" s="2" t="n">
        <v>499</v>
      </c>
      <c r="E1497" s="2" t="inlineStr">
        <is>
          <t>CC-3000</t>
        </is>
      </c>
      <c r="F1497" s="2" t="inlineStr">
        <is>
          <t>P01</t>
        </is>
      </c>
      <c r="G1497" s="2" t="n">
        <v>620000</v>
      </c>
      <c r="H1497" s="2" t="inlineStr">
        <is>
          <t>Materiales</t>
        </is>
      </c>
      <c r="I1497" s="9" t="n">
        <v>780.65</v>
      </c>
      <c r="J1497" s="9" t="n">
        <v>700.6799999999999</v>
      </c>
      <c r="K1497" s="9" t="n">
        <v>769.76</v>
      </c>
      <c r="L1497" s="9" t="n">
        <v>780.78</v>
      </c>
      <c r="M1497" s="9" t="n">
        <v>728.3200000000001</v>
      </c>
      <c r="N1497" s="9" t="n">
        <v>750.62</v>
      </c>
      <c r="O1497" s="9" t="n">
        <v>786.23</v>
      </c>
      <c r="P1497" s="9" t="n">
        <v>737.98</v>
      </c>
      <c r="Q1497" s="9" t="n">
        <v>742.99</v>
      </c>
      <c r="R1497" s="9" t="n">
        <v>745.87</v>
      </c>
      <c r="S1497" s="9" t="n">
        <v>661.24</v>
      </c>
      <c r="T1497" s="9" t="n">
        <v>738.65</v>
      </c>
      <c r="U1497" s="10">
        <f>SUM(I1497:T1497)</f>
        <v/>
      </c>
    </row>
    <row r="1498">
      <c r="A1498" s="2" t="inlineStr">
        <is>
          <t>SN-3000-3300-33ER-3800MC0011</t>
        </is>
      </c>
      <c r="B1498" s="2" t="inlineStr">
        <is>
          <t>3800MC0011</t>
        </is>
      </c>
      <c r="C1498" s="2" t="inlineStr">
        <is>
          <t>Centro control motores 400V/1200A/65kA</t>
        </is>
      </c>
      <c r="D1498" s="2" t="n">
        <v>499</v>
      </c>
      <c r="E1498" s="2" t="inlineStr">
        <is>
          <t>CC-3000</t>
        </is>
      </c>
      <c r="F1498" s="2" t="inlineStr">
        <is>
          <t>P01</t>
        </is>
      </c>
      <c r="G1498" s="2" t="n">
        <v>630000</v>
      </c>
      <c r="H1498" s="2" t="inlineStr">
        <is>
          <t>Servicios externos</t>
        </is>
      </c>
      <c r="I1498" s="9" t="n">
        <v>799.34</v>
      </c>
      <c r="J1498" s="9" t="n">
        <v>752.7</v>
      </c>
      <c r="K1498" s="9" t="n">
        <v>743.9400000000001</v>
      </c>
      <c r="L1498" s="9" t="n">
        <v>742.74</v>
      </c>
      <c r="M1498" s="9" t="n">
        <v>802</v>
      </c>
      <c r="N1498" s="9" t="n">
        <v>776.63</v>
      </c>
      <c r="O1498" s="9" t="n">
        <v>788.86</v>
      </c>
      <c r="P1498" s="9" t="n">
        <v>786.73</v>
      </c>
      <c r="Q1498" s="9" t="n">
        <v>725.29</v>
      </c>
      <c r="R1498" s="9" t="n">
        <v>788</v>
      </c>
      <c r="S1498" s="9" t="n">
        <v>734.14</v>
      </c>
      <c r="T1498" s="9" t="n">
        <v>802.95</v>
      </c>
      <c r="U1498" s="10">
        <f>SUM(I1498:T1498)</f>
        <v/>
      </c>
    </row>
    <row r="1499">
      <c r="A1499" s="2" t="inlineStr">
        <is>
          <t>SN-3000-3300-33ER-3800MC0012</t>
        </is>
      </c>
      <c r="B1499" s="2" t="inlineStr">
        <is>
          <t>3800MC0012</t>
        </is>
      </c>
      <c r="C1499" s="2" t="inlineStr">
        <is>
          <t>Centro control motores 400V/1200A/65kA</t>
        </is>
      </c>
      <c r="D1499" s="2" t="n">
        <v>500</v>
      </c>
      <c r="E1499" s="2" t="inlineStr">
        <is>
          <t>CC-3000</t>
        </is>
      </c>
      <c r="F1499" s="2" t="inlineStr">
        <is>
          <t>P01</t>
        </is>
      </c>
      <c r="G1499" s="2" t="n">
        <v>610000</v>
      </c>
      <c r="H1499" s="2" t="inlineStr">
        <is>
          <t>Mano obra interna</t>
        </is>
      </c>
      <c r="I1499" s="9" t="n">
        <v>1948.37</v>
      </c>
      <c r="J1499" s="9" t="n">
        <v>2184.35</v>
      </c>
      <c r="K1499" s="9" t="n">
        <v>2251</v>
      </c>
      <c r="L1499" s="9" t="n">
        <v>2032.48</v>
      </c>
      <c r="M1499" s="9" t="n">
        <v>2084.61</v>
      </c>
      <c r="N1499" s="9" t="n">
        <v>2110.9</v>
      </c>
      <c r="O1499" s="9" t="n">
        <v>1935.08</v>
      </c>
      <c r="P1499" s="9" t="n">
        <v>2067.33</v>
      </c>
      <c r="Q1499" s="9" t="n">
        <v>1911.45</v>
      </c>
      <c r="R1499" s="9" t="n">
        <v>2198</v>
      </c>
      <c r="S1499" s="9" t="n">
        <v>2109.32</v>
      </c>
      <c r="T1499" s="9" t="n">
        <v>2058.5</v>
      </c>
      <c r="U1499" s="10">
        <f>SUM(I1499:T1499)</f>
        <v/>
      </c>
    </row>
    <row r="1500">
      <c r="A1500" s="2" t="inlineStr">
        <is>
          <t>SN-3000-3300-33ER-3800MC0012</t>
        </is>
      </c>
      <c r="B1500" s="2" t="inlineStr">
        <is>
          <t>3800MC0012</t>
        </is>
      </c>
      <c r="C1500" s="2" t="inlineStr">
        <is>
          <t>Centro control motores 400V/1200A/65kA</t>
        </is>
      </c>
      <c r="D1500" s="2" t="n">
        <v>500</v>
      </c>
      <c r="E1500" s="2" t="inlineStr">
        <is>
          <t>CC-3000</t>
        </is>
      </c>
      <c r="F1500" s="2" t="inlineStr">
        <is>
          <t>P01</t>
        </is>
      </c>
      <c r="G1500" s="2" t="n">
        <v>620000</v>
      </c>
      <c r="H1500" s="2" t="inlineStr">
        <is>
          <t>Materiales</t>
        </is>
      </c>
      <c r="I1500" s="9" t="n">
        <v>1663.68</v>
      </c>
      <c r="J1500" s="9" t="n">
        <v>1598.66</v>
      </c>
      <c r="K1500" s="9" t="n">
        <v>1780.52</v>
      </c>
      <c r="L1500" s="9" t="n">
        <v>1852.53</v>
      </c>
      <c r="M1500" s="9" t="n">
        <v>1651.09</v>
      </c>
      <c r="N1500" s="9" t="n">
        <v>1713.67</v>
      </c>
      <c r="O1500" s="9" t="n">
        <v>1804.61</v>
      </c>
      <c r="P1500" s="9" t="n">
        <v>1681.52</v>
      </c>
      <c r="Q1500" s="9" t="n">
        <v>1656.54</v>
      </c>
      <c r="R1500" s="9" t="n">
        <v>1944.59</v>
      </c>
      <c r="S1500" s="9" t="n">
        <v>1686.38</v>
      </c>
      <c r="T1500" s="9" t="n">
        <v>1730.94</v>
      </c>
      <c r="U1500" s="10">
        <f>SUM(I1500:T1500)</f>
        <v/>
      </c>
    </row>
    <row r="1501">
      <c r="A1501" s="2" t="inlineStr">
        <is>
          <t>SN-3000-3300-33ER-3800MC0012</t>
        </is>
      </c>
      <c r="B1501" s="2" t="inlineStr">
        <is>
          <t>3800MC0012</t>
        </is>
      </c>
      <c r="C1501" s="2" t="inlineStr">
        <is>
          <t>Centro control motores 400V/1200A/65kA</t>
        </is>
      </c>
      <c r="D1501" s="2" t="n">
        <v>500</v>
      </c>
      <c r="E1501" s="2" t="inlineStr">
        <is>
          <t>CC-3000</t>
        </is>
      </c>
      <c r="F1501" s="2" t="inlineStr">
        <is>
          <t>P01</t>
        </is>
      </c>
      <c r="G1501" s="2" t="n">
        <v>630000</v>
      </c>
      <c r="H1501" s="2" t="inlineStr">
        <is>
          <t>Servicios externos</t>
        </is>
      </c>
      <c r="I1501" s="9" t="n">
        <v>2319.68</v>
      </c>
      <c r="J1501" s="9" t="n">
        <v>2054.63</v>
      </c>
      <c r="K1501" s="9" t="n">
        <v>2140</v>
      </c>
      <c r="L1501" s="9" t="n">
        <v>2145.13</v>
      </c>
      <c r="M1501" s="9" t="n">
        <v>1947.44</v>
      </c>
      <c r="N1501" s="9" t="n">
        <v>2035.36</v>
      </c>
      <c r="O1501" s="9" t="n">
        <v>2054</v>
      </c>
      <c r="P1501" s="9" t="n">
        <v>1981.58</v>
      </c>
      <c r="Q1501" s="9" t="n">
        <v>1954.4</v>
      </c>
      <c r="R1501" s="9" t="n">
        <v>2095.59</v>
      </c>
      <c r="S1501" s="9" t="n">
        <v>2011.4</v>
      </c>
      <c r="T1501" s="9" t="n">
        <v>2007.13</v>
      </c>
      <c r="U1501" s="10">
        <f>SUM(I1501:T1501)</f>
        <v/>
      </c>
    </row>
    <row r="1502">
      <c r="A1502" s="2" t="inlineStr">
        <is>
          <t>SN-3000-3400-3400-3400PR0001</t>
        </is>
      </c>
      <c r="B1502" s="2" t="inlineStr">
        <is>
          <t>3400PR0001</t>
        </is>
      </c>
      <c r="C1502" s="2" t="inlineStr">
        <is>
          <t>Tablero de enchufes</t>
        </is>
      </c>
      <c r="D1502" s="2" t="n">
        <v>501</v>
      </c>
      <c r="E1502" s="2" t="inlineStr">
        <is>
          <t>CC-3000</t>
        </is>
      </c>
      <c r="F1502" s="2" t="inlineStr">
        <is>
          <t>P01</t>
        </is>
      </c>
      <c r="G1502" s="2" t="n">
        <v>610000</v>
      </c>
      <c r="H1502" s="2" t="inlineStr">
        <is>
          <t>Mano obra interna</t>
        </is>
      </c>
      <c r="I1502" s="9" t="n">
        <v>2474.23</v>
      </c>
      <c r="J1502" s="9" t="n">
        <v>2420.33</v>
      </c>
      <c r="K1502" s="9" t="n">
        <v>2265.81</v>
      </c>
      <c r="L1502" s="9" t="n">
        <v>2369.69</v>
      </c>
      <c r="M1502" s="9" t="n">
        <v>2199.24</v>
      </c>
      <c r="N1502" s="9" t="n">
        <v>2200.6</v>
      </c>
      <c r="O1502" s="9" t="n">
        <v>2281.76</v>
      </c>
      <c r="P1502" s="9" t="n">
        <v>2217.29</v>
      </c>
      <c r="Q1502" s="9" t="n">
        <v>2213.59</v>
      </c>
      <c r="R1502" s="9" t="n">
        <v>2336.29</v>
      </c>
      <c r="S1502" s="9" t="n">
        <v>2071</v>
      </c>
      <c r="T1502" s="9" t="n">
        <v>2438.44</v>
      </c>
      <c r="U1502" s="10">
        <f>SUM(I1502:T1502)</f>
        <v/>
      </c>
    </row>
    <row r="1503">
      <c r="A1503" s="2" t="inlineStr">
        <is>
          <t>SN-3000-3400-3400-3400PR0001</t>
        </is>
      </c>
      <c r="B1503" s="2" t="inlineStr">
        <is>
          <t>3400PR0001</t>
        </is>
      </c>
      <c r="C1503" s="2" t="inlineStr">
        <is>
          <t>Tablero de enchufes</t>
        </is>
      </c>
      <c r="D1503" s="2" t="n">
        <v>501</v>
      </c>
      <c r="E1503" s="2" t="inlineStr">
        <is>
          <t>CC-3000</t>
        </is>
      </c>
      <c r="F1503" s="2" t="inlineStr">
        <is>
          <t>P01</t>
        </is>
      </c>
      <c r="G1503" s="2" t="n">
        <v>620000</v>
      </c>
      <c r="H1503" s="2" t="inlineStr">
        <is>
          <t>Materiales</t>
        </is>
      </c>
      <c r="I1503" s="9" t="n">
        <v>2784.27</v>
      </c>
      <c r="J1503" s="9" t="n">
        <v>2672.9</v>
      </c>
      <c r="K1503" s="9" t="n">
        <v>2813.21</v>
      </c>
      <c r="L1503" s="9" t="n">
        <v>2760.1</v>
      </c>
      <c r="M1503" s="9" t="n">
        <v>2653.57</v>
      </c>
      <c r="N1503" s="9" t="n">
        <v>2608.08</v>
      </c>
      <c r="O1503" s="9" t="n">
        <v>2741.75</v>
      </c>
      <c r="P1503" s="9" t="n">
        <v>2809.72</v>
      </c>
      <c r="Q1503" s="9" t="n">
        <v>2625.3</v>
      </c>
      <c r="R1503" s="9" t="n">
        <v>2884.41</v>
      </c>
      <c r="S1503" s="9" t="n">
        <v>2604.4</v>
      </c>
      <c r="T1503" s="9" t="n">
        <v>2712.62</v>
      </c>
      <c r="U1503" s="10">
        <f>SUM(I1503:T1503)</f>
        <v/>
      </c>
    </row>
    <row r="1504">
      <c r="A1504" s="2" t="inlineStr">
        <is>
          <t>SN-3000-3400-3400-3400PR0001</t>
        </is>
      </c>
      <c r="B1504" s="2" t="inlineStr">
        <is>
          <t>3400PR0001</t>
        </is>
      </c>
      <c r="C1504" s="2" t="inlineStr">
        <is>
          <t>Tablero de enchufes</t>
        </is>
      </c>
      <c r="D1504" s="2" t="n">
        <v>501</v>
      </c>
      <c r="E1504" s="2" t="inlineStr">
        <is>
          <t>CC-3000</t>
        </is>
      </c>
      <c r="F1504" s="2" t="inlineStr">
        <is>
          <t>P01</t>
        </is>
      </c>
      <c r="G1504" s="2" t="n">
        <v>630000</v>
      </c>
      <c r="H1504" s="2" t="inlineStr">
        <is>
          <t>Servicios externos</t>
        </is>
      </c>
      <c r="I1504" s="9" t="n">
        <v>2589.2</v>
      </c>
      <c r="J1504" s="9" t="n">
        <v>2673.59</v>
      </c>
      <c r="K1504" s="9" t="n">
        <v>2719.09</v>
      </c>
      <c r="L1504" s="9" t="n">
        <v>2778.33</v>
      </c>
      <c r="M1504" s="9" t="n">
        <v>2613.6</v>
      </c>
      <c r="N1504" s="9" t="n">
        <v>2627.25</v>
      </c>
      <c r="O1504" s="9" t="n">
        <v>2612.09</v>
      </c>
      <c r="P1504" s="9" t="n">
        <v>2742.88</v>
      </c>
      <c r="Q1504" s="9" t="n">
        <v>2248.67</v>
      </c>
      <c r="R1504" s="9" t="n">
        <v>2558.49</v>
      </c>
      <c r="S1504" s="9" t="n">
        <v>2505.11</v>
      </c>
      <c r="T1504" s="9" t="n">
        <v>2793.97</v>
      </c>
      <c r="U1504" s="10">
        <f>SUM(I1504:T1504)</f>
        <v/>
      </c>
    </row>
    <row r="1505">
      <c r="A1505" s="2" t="inlineStr">
        <is>
          <t>SN-3000-3400-3400-3400PR0002</t>
        </is>
      </c>
      <c r="B1505" s="2" t="inlineStr">
        <is>
          <t>3400PR0002</t>
        </is>
      </c>
      <c r="C1505" s="2" t="inlineStr">
        <is>
          <t>Tablero de enchufes</t>
        </is>
      </c>
      <c r="D1505" s="2" t="n">
        <v>502</v>
      </c>
      <c r="E1505" s="2" t="inlineStr">
        <is>
          <t>CC-3000</t>
        </is>
      </c>
      <c r="F1505" s="2" t="inlineStr">
        <is>
          <t>P01</t>
        </is>
      </c>
      <c r="G1505" s="2" t="n">
        <v>610000</v>
      </c>
      <c r="H1505" s="2" t="inlineStr">
        <is>
          <t>Mano obra interna</t>
        </is>
      </c>
      <c r="I1505" s="9" t="n">
        <v>1812.16</v>
      </c>
      <c r="J1505" s="9" t="n">
        <v>1839.03</v>
      </c>
      <c r="K1505" s="9" t="n">
        <v>1965.48</v>
      </c>
      <c r="L1505" s="9" t="n">
        <v>1845.67</v>
      </c>
      <c r="M1505" s="9" t="n">
        <v>1904.93</v>
      </c>
      <c r="N1505" s="9" t="n">
        <v>1914.38</v>
      </c>
      <c r="O1505" s="9" t="n">
        <v>1979.98</v>
      </c>
      <c r="P1505" s="9" t="n">
        <v>1797.49</v>
      </c>
      <c r="Q1505" s="9" t="n">
        <v>1684.23</v>
      </c>
      <c r="R1505" s="9" t="n">
        <v>1965.58</v>
      </c>
      <c r="S1505" s="9" t="n">
        <v>1771.07</v>
      </c>
      <c r="T1505" s="9" t="n">
        <v>1767.75</v>
      </c>
      <c r="U1505" s="10">
        <f>SUM(I1505:T1505)</f>
        <v/>
      </c>
    </row>
    <row r="1506">
      <c r="A1506" s="2" t="inlineStr">
        <is>
          <t>SN-3000-3400-3400-3400PR0002</t>
        </is>
      </c>
      <c r="B1506" s="2" t="inlineStr">
        <is>
          <t>3400PR0002</t>
        </is>
      </c>
      <c r="C1506" s="2" t="inlineStr">
        <is>
          <t>Tablero de enchufes</t>
        </is>
      </c>
      <c r="D1506" s="2" t="n">
        <v>502</v>
      </c>
      <c r="E1506" s="2" t="inlineStr">
        <is>
          <t>CC-3000</t>
        </is>
      </c>
      <c r="F1506" s="2" t="inlineStr">
        <is>
          <t>P01</t>
        </is>
      </c>
      <c r="G1506" s="2" t="n">
        <v>620000</v>
      </c>
      <c r="H1506" s="2" t="inlineStr">
        <is>
          <t>Materiales</t>
        </is>
      </c>
      <c r="I1506" s="9" t="n">
        <v>1979.84</v>
      </c>
      <c r="J1506" s="9" t="n">
        <v>2070.73</v>
      </c>
      <c r="K1506" s="9" t="n">
        <v>2184.52</v>
      </c>
      <c r="L1506" s="9" t="n">
        <v>1871.67</v>
      </c>
      <c r="M1506" s="9" t="n">
        <v>2114.93</v>
      </c>
      <c r="N1506" s="9" t="n">
        <v>1958.72</v>
      </c>
      <c r="O1506" s="9" t="n">
        <v>1989.48</v>
      </c>
      <c r="P1506" s="9" t="n">
        <v>1945.63</v>
      </c>
      <c r="Q1506" s="9" t="n">
        <v>1850.57</v>
      </c>
      <c r="R1506" s="9" t="n">
        <v>2077.58</v>
      </c>
      <c r="S1506" s="9" t="n">
        <v>1956.48</v>
      </c>
      <c r="T1506" s="9" t="n">
        <v>1880.55</v>
      </c>
      <c r="U1506" s="10">
        <f>SUM(I1506:T1506)</f>
        <v/>
      </c>
    </row>
    <row r="1507">
      <c r="A1507" s="2" t="inlineStr">
        <is>
          <t>SN-3000-3400-3400-3400PR0002</t>
        </is>
      </c>
      <c r="B1507" s="2" t="inlineStr">
        <is>
          <t>3400PR0002</t>
        </is>
      </c>
      <c r="C1507" s="2" t="inlineStr">
        <is>
          <t>Tablero de enchufes</t>
        </is>
      </c>
      <c r="D1507" s="2" t="n">
        <v>502</v>
      </c>
      <c r="E1507" s="2" t="inlineStr">
        <is>
          <t>CC-3000</t>
        </is>
      </c>
      <c r="F1507" s="2" t="inlineStr">
        <is>
          <t>P01</t>
        </is>
      </c>
      <c r="G1507" s="2" t="n">
        <v>630000</v>
      </c>
      <c r="H1507" s="2" t="inlineStr">
        <is>
          <t>Servicios externos</t>
        </is>
      </c>
      <c r="I1507" s="9" t="n">
        <v>1916.55</v>
      </c>
      <c r="J1507" s="9" t="n">
        <v>1769.9</v>
      </c>
      <c r="K1507" s="9" t="n">
        <v>2025.97</v>
      </c>
      <c r="L1507" s="9" t="n">
        <v>2015.32</v>
      </c>
      <c r="M1507" s="9" t="n">
        <v>1904.62</v>
      </c>
      <c r="N1507" s="9" t="n">
        <v>1734.44</v>
      </c>
      <c r="O1507" s="9" t="n">
        <v>2070.91</v>
      </c>
      <c r="P1507" s="9" t="n">
        <v>1980.65</v>
      </c>
      <c r="Q1507" s="9" t="n">
        <v>1701.34</v>
      </c>
      <c r="R1507" s="9" t="n">
        <v>2103.81</v>
      </c>
      <c r="S1507" s="9" t="n">
        <v>1884.39</v>
      </c>
      <c r="T1507" s="9" t="n">
        <v>1837.32</v>
      </c>
      <c r="U1507" s="10">
        <f>SUM(I1507:T1507)</f>
        <v/>
      </c>
    </row>
    <row r="1508">
      <c r="A1508" s="2" t="inlineStr">
        <is>
          <t>SN-3000-3400-3410-3410HT0069</t>
        </is>
      </c>
      <c r="B1508" s="2" t="inlineStr">
        <is>
          <t>3410HT0069</t>
        </is>
      </c>
      <c r="C1508" s="2" t="inlineStr">
        <is>
          <t>Tecle lavado ácido</t>
        </is>
      </c>
      <c r="D1508" s="2" t="n">
        <v>503</v>
      </c>
      <c r="E1508" s="2" t="inlineStr">
        <is>
          <t>CC-3000</t>
        </is>
      </c>
      <c r="F1508" s="2" t="inlineStr">
        <is>
          <t>P01</t>
        </is>
      </c>
      <c r="G1508" s="2" t="n">
        <v>610000</v>
      </c>
      <c r="H1508" s="2" t="inlineStr">
        <is>
          <t>Mano obra interna</t>
        </is>
      </c>
      <c r="I1508" s="9" t="n">
        <v>939.5599999999999</v>
      </c>
      <c r="J1508" s="9" t="n">
        <v>898.24</v>
      </c>
      <c r="K1508" s="9" t="n">
        <v>861.85</v>
      </c>
      <c r="L1508" s="9" t="n">
        <v>948.4</v>
      </c>
      <c r="M1508" s="9" t="n">
        <v>846.16</v>
      </c>
      <c r="N1508" s="9" t="n">
        <v>898.48</v>
      </c>
      <c r="O1508" s="9" t="n">
        <v>817.37</v>
      </c>
      <c r="P1508" s="9" t="n">
        <v>874.52</v>
      </c>
      <c r="Q1508" s="9" t="n">
        <v>829.16</v>
      </c>
      <c r="R1508" s="9" t="n">
        <v>907.7</v>
      </c>
      <c r="S1508" s="9" t="n">
        <v>885.96</v>
      </c>
      <c r="T1508" s="9" t="n">
        <v>908.2</v>
      </c>
      <c r="U1508" s="10">
        <f>SUM(I1508:T1508)</f>
        <v/>
      </c>
    </row>
    <row r="1509">
      <c r="A1509" s="2" t="inlineStr">
        <is>
          <t>SN-3000-3400-3410-3410HT0069</t>
        </is>
      </c>
      <c r="B1509" s="2" t="inlineStr">
        <is>
          <t>3410HT0069</t>
        </is>
      </c>
      <c r="C1509" s="2" t="inlineStr">
        <is>
          <t>Tecle lavado ácido</t>
        </is>
      </c>
      <c r="D1509" s="2" t="n">
        <v>503</v>
      </c>
      <c r="E1509" s="2" t="inlineStr">
        <is>
          <t>CC-3000</t>
        </is>
      </c>
      <c r="F1509" s="2" t="inlineStr">
        <is>
          <t>P01</t>
        </is>
      </c>
      <c r="G1509" s="2" t="n">
        <v>620000</v>
      </c>
      <c r="H1509" s="2" t="inlineStr">
        <is>
          <t>Materiales</t>
        </is>
      </c>
      <c r="I1509" s="9" t="n">
        <v>727.24</v>
      </c>
      <c r="J1509" s="9" t="n">
        <v>688.71</v>
      </c>
      <c r="K1509" s="9" t="n">
        <v>687.28</v>
      </c>
      <c r="L1509" s="9" t="n">
        <v>772.46</v>
      </c>
      <c r="M1509" s="9" t="n">
        <v>737.05</v>
      </c>
      <c r="N1509" s="9" t="n">
        <v>647.26</v>
      </c>
      <c r="O1509" s="9" t="n">
        <v>705.17</v>
      </c>
      <c r="P1509" s="9" t="n">
        <v>679.1900000000001</v>
      </c>
      <c r="Q1509" s="9" t="n">
        <v>680.58</v>
      </c>
      <c r="R1509" s="9" t="n">
        <v>807.17</v>
      </c>
      <c r="S1509" s="9" t="n">
        <v>662.58</v>
      </c>
      <c r="T1509" s="9" t="n">
        <v>745.4</v>
      </c>
      <c r="U1509" s="10">
        <f>SUM(I1509:T1509)</f>
        <v/>
      </c>
    </row>
    <row r="1510">
      <c r="A1510" s="2" t="inlineStr">
        <is>
          <t>SN-3000-3400-3410-3410HT0069</t>
        </is>
      </c>
      <c r="B1510" s="2" t="inlineStr">
        <is>
          <t>3410HT0069</t>
        </is>
      </c>
      <c r="C1510" s="2" t="inlineStr">
        <is>
          <t>Tecle lavado ácido</t>
        </is>
      </c>
      <c r="D1510" s="2" t="n">
        <v>503</v>
      </c>
      <c r="E1510" s="2" t="inlineStr">
        <is>
          <t>CC-3000</t>
        </is>
      </c>
      <c r="F1510" s="2" t="inlineStr">
        <is>
          <t>P01</t>
        </is>
      </c>
      <c r="G1510" s="2" t="n">
        <v>630000</v>
      </c>
      <c r="H1510" s="2" t="inlineStr">
        <is>
          <t>Servicios externos</t>
        </is>
      </c>
      <c r="I1510" s="9" t="n">
        <v>825.75</v>
      </c>
      <c r="J1510" s="9" t="n">
        <v>866.87</v>
      </c>
      <c r="K1510" s="9" t="n">
        <v>849.9400000000001</v>
      </c>
      <c r="L1510" s="9" t="n">
        <v>836.25</v>
      </c>
      <c r="M1510" s="9" t="n">
        <v>836.45</v>
      </c>
      <c r="N1510" s="9" t="n">
        <v>756.3200000000001</v>
      </c>
      <c r="O1510" s="9" t="n">
        <v>799.8</v>
      </c>
      <c r="P1510" s="9" t="n">
        <v>878.7</v>
      </c>
      <c r="Q1510" s="9" t="n">
        <v>787.51</v>
      </c>
      <c r="R1510" s="9" t="n">
        <v>933.36</v>
      </c>
      <c r="S1510" s="9" t="n">
        <v>767.0700000000001</v>
      </c>
      <c r="T1510" s="9" t="n">
        <v>840.5599999999999</v>
      </c>
      <c r="U1510" s="10">
        <f>SUM(I1510:T1510)</f>
        <v/>
      </c>
    </row>
    <row r="1511">
      <c r="A1511" s="2" t="inlineStr">
        <is>
          <t>SN-3000-3400-3410-3410HT0070</t>
        </is>
      </c>
      <c r="B1511" s="2" t="inlineStr">
        <is>
          <t>3410HT0070</t>
        </is>
      </c>
      <c r="C1511" s="2" t="inlineStr">
        <is>
          <t>Tecle lavado ácido</t>
        </is>
      </c>
      <c r="D1511" s="2" t="n">
        <v>504</v>
      </c>
      <c r="E1511" s="2" t="inlineStr">
        <is>
          <t>CC-3000</t>
        </is>
      </c>
      <c r="F1511" s="2" t="inlineStr">
        <is>
          <t>P01</t>
        </is>
      </c>
      <c r="G1511" s="2" t="n">
        <v>610000</v>
      </c>
      <c r="H1511" s="2" t="inlineStr">
        <is>
          <t>Mano obra interna</t>
        </is>
      </c>
      <c r="I1511" s="9" t="n">
        <v>1703.6</v>
      </c>
      <c r="J1511" s="9" t="n">
        <v>1600.69</v>
      </c>
      <c r="K1511" s="9" t="n">
        <v>1776.14</v>
      </c>
      <c r="L1511" s="9" t="n">
        <v>1725.03</v>
      </c>
      <c r="M1511" s="9" t="n">
        <v>1608.25</v>
      </c>
      <c r="N1511" s="9" t="n">
        <v>1745.32</v>
      </c>
      <c r="O1511" s="9" t="n">
        <v>1854.45</v>
      </c>
      <c r="P1511" s="9" t="n">
        <v>1736.23</v>
      </c>
      <c r="Q1511" s="9" t="n">
        <v>1670.18</v>
      </c>
      <c r="R1511" s="9" t="n">
        <v>1959.93</v>
      </c>
      <c r="S1511" s="9" t="n">
        <v>1717.28</v>
      </c>
      <c r="T1511" s="9" t="n">
        <v>1616.97</v>
      </c>
      <c r="U1511" s="10">
        <f>SUM(I1511:T1511)</f>
        <v/>
      </c>
    </row>
    <row r="1512">
      <c r="A1512" s="2" t="inlineStr">
        <is>
          <t>SN-3000-3400-3410-3410HT0070</t>
        </is>
      </c>
      <c r="B1512" s="2" t="inlineStr">
        <is>
          <t>3410HT0070</t>
        </is>
      </c>
      <c r="C1512" s="2" t="inlineStr">
        <is>
          <t>Tecle lavado ácido</t>
        </is>
      </c>
      <c r="D1512" s="2" t="n">
        <v>504</v>
      </c>
      <c r="E1512" s="2" t="inlineStr">
        <is>
          <t>CC-3000</t>
        </is>
      </c>
      <c r="F1512" s="2" t="inlineStr">
        <is>
          <t>P01</t>
        </is>
      </c>
      <c r="G1512" s="2" t="n">
        <v>620000</v>
      </c>
      <c r="H1512" s="2" t="inlineStr">
        <is>
          <t>Materiales</t>
        </is>
      </c>
      <c r="I1512" s="9" t="n">
        <v>1279.19</v>
      </c>
      <c r="J1512" s="9" t="n">
        <v>1221.13</v>
      </c>
      <c r="K1512" s="9" t="n">
        <v>1344.9</v>
      </c>
      <c r="L1512" s="9" t="n">
        <v>1351.39</v>
      </c>
      <c r="M1512" s="9" t="n">
        <v>1276.33</v>
      </c>
      <c r="N1512" s="9" t="n">
        <v>1196.7</v>
      </c>
      <c r="O1512" s="9" t="n">
        <v>1352.46</v>
      </c>
      <c r="P1512" s="9" t="n">
        <v>1295.65</v>
      </c>
      <c r="Q1512" s="9" t="n">
        <v>1311.74</v>
      </c>
      <c r="R1512" s="9" t="n">
        <v>1336.73</v>
      </c>
      <c r="S1512" s="9" t="n">
        <v>1373.83</v>
      </c>
      <c r="T1512" s="9" t="n">
        <v>1464.74</v>
      </c>
      <c r="U1512" s="10">
        <f>SUM(I1512:T1512)</f>
        <v/>
      </c>
    </row>
    <row r="1513">
      <c r="A1513" s="2" t="inlineStr">
        <is>
          <t>SN-3000-3400-3410-3410HT0070</t>
        </is>
      </c>
      <c r="B1513" s="2" t="inlineStr">
        <is>
          <t>3410HT0070</t>
        </is>
      </c>
      <c r="C1513" s="2" t="inlineStr">
        <is>
          <t>Tecle lavado ácido</t>
        </is>
      </c>
      <c r="D1513" s="2" t="n">
        <v>504</v>
      </c>
      <c r="E1513" s="2" t="inlineStr">
        <is>
          <t>CC-3000</t>
        </is>
      </c>
      <c r="F1513" s="2" t="inlineStr">
        <is>
          <t>P01</t>
        </is>
      </c>
      <c r="G1513" s="2" t="n">
        <v>630000</v>
      </c>
      <c r="H1513" s="2" t="inlineStr">
        <is>
          <t>Servicios externos</t>
        </is>
      </c>
      <c r="I1513" s="9" t="n">
        <v>1627.15</v>
      </c>
      <c r="J1513" s="9" t="n">
        <v>1618.2</v>
      </c>
      <c r="K1513" s="9" t="n">
        <v>1511.32</v>
      </c>
      <c r="L1513" s="9" t="n">
        <v>1694.63</v>
      </c>
      <c r="M1513" s="9" t="n">
        <v>1587.13</v>
      </c>
      <c r="N1513" s="9" t="n">
        <v>1522.24</v>
      </c>
      <c r="O1513" s="9" t="n">
        <v>1503.02</v>
      </c>
      <c r="P1513" s="9" t="n">
        <v>1546.59</v>
      </c>
      <c r="Q1513" s="9" t="n">
        <v>1465.51</v>
      </c>
      <c r="R1513" s="9" t="n">
        <v>1688.89</v>
      </c>
      <c r="S1513" s="9" t="n">
        <v>1536.2</v>
      </c>
      <c r="T1513" s="9" t="n">
        <v>1455.11</v>
      </c>
      <c r="U1513" s="10">
        <f>SUM(I1513:T1513)</f>
        <v/>
      </c>
    </row>
    <row r="1514">
      <c r="A1514" s="2" t="inlineStr">
        <is>
          <t>SN-3000-3400-3410-3410HT0071</t>
        </is>
      </c>
      <c r="B1514" s="2" t="inlineStr">
        <is>
          <t>3410HT0071</t>
        </is>
      </c>
      <c r="C1514" s="2" t="inlineStr">
        <is>
          <t>Carro mantención hidróxido sodio</t>
        </is>
      </c>
      <c r="D1514" s="2" t="n">
        <v>505</v>
      </c>
      <c r="E1514" s="2" t="inlineStr">
        <is>
          <t>CC-3000</t>
        </is>
      </c>
      <c r="F1514" s="2" t="inlineStr">
        <is>
          <t>P01</t>
        </is>
      </c>
      <c r="G1514" s="2" t="n">
        <v>610000</v>
      </c>
      <c r="H1514" s="2" t="inlineStr">
        <is>
          <t>Mano obra interna</t>
        </is>
      </c>
      <c r="I1514" s="9" t="n">
        <v>2296.11</v>
      </c>
      <c r="J1514" s="9" t="n">
        <v>2153.07</v>
      </c>
      <c r="K1514" s="9" t="n">
        <v>2222.32</v>
      </c>
      <c r="L1514" s="9" t="n">
        <v>2189.12</v>
      </c>
      <c r="M1514" s="9" t="n">
        <v>2201.62</v>
      </c>
      <c r="N1514" s="9" t="n">
        <v>2171.08</v>
      </c>
      <c r="O1514" s="9" t="n">
        <v>2115.24</v>
      </c>
      <c r="P1514" s="9" t="n">
        <v>2433.8</v>
      </c>
      <c r="Q1514" s="9" t="n">
        <v>2205.9</v>
      </c>
      <c r="R1514" s="9" t="n">
        <v>2542.06</v>
      </c>
      <c r="S1514" s="9" t="n">
        <v>2085.45</v>
      </c>
      <c r="T1514" s="9" t="n">
        <v>2345.3</v>
      </c>
      <c r="U1514" s="10">
        <f>SUM(I1514:T1514)</f>
        <v/>
      </c>
    </row>
    <row r="1515">
      <c r="A1515" s="2" t="inlineStr">
        <is>
          <t>SN-3000-3400-3410-3410HT0071</t>
        </is>
      </c>
      <c r="B1515" s="2" t="inlineStr">
        <is>
          <t>3410HT0071</t>
        </is>
      </c>
      <c r="C1515" s="2" t="inlineStr">
        <is>
          <t>Carro mantención hidróxido sodio</t>
        </is>
      </c>
      <c r="D1515" s="2" t="n">
        <v>505</v>
      </c>
      <c r="E1515" s="2" t="inlineStr">
        <is>
          <t>CC-3000</t>
        </is>
      </c>
      <c r="F1515" s="2" t="inlineStr">
        <is>
          <t>P01</t>
        </is>
      </c>
      <c r="G1515" s="2" t="n">
        <v>620000</v>
      </c>
      <c r="H1515" s="2" t="inlineStr">
        <is>
          <t>Materiales</t>
        </is>
      </c>
      <c r="I1515" s="9" t="n">
        <v>2530.46</v>
      </c>
      <c r="J1515" s="9" t="n">
        <v>2356.12</v>
      </c>
      <c r="K1515" s="9" t="n">
        <v>2402.74</v>
      </c>
      <c r="L1515" s="9" t="n">
        <v>2483.89</v>
      </c>
      <c r="M1515" s="9" t="n">
        <v>2151.68</v>
      </c>
      <c r="N1515" s="9" t="n">
        <v>2029.41</v>
      </c>
      <c r="O1515" s="9" t="n">
        <v>2372.27</v>
      </c>
      <c r="P1515" s="9" t="n">
        <v>2151.65</v>
      </c>
      <c r="Q1515" s="9" t="n">
        <v>2010.29</v>
      </c>
      <c r="R1515" s="9" t="n">
        <v>2578.77</v>
      </c>
      <c r="S1515" s="9" t="n">
        <v>2145.88</v>
      </c>
      <c r="T1515" s="9" t="n">
        <v>2383.38</v>
      </c>
      <c r="U1515" s="10">
        <f>SUM(I1515:T1515)</f>
        <v/>
      </c>
    </row>
    <row r="1516">
      <c r="A1516" s="2" t="inlineStr">
        <is>
          <t>SN-3000-3400-3410-3410HT0071</t>
        </is>
      </c>
      <c r="B1516" s="2" t="inlineStr">
        <is>
          <t>3410HT0071</t>
        </is>
      </c>
      <c r="C1516" s="2" t="inlineStr">
        <is>
          <t>Carro mantención hidróxido sodio</t>
        </is>
      </c>
      <c r="D1516" s="2" t="n">
        <v>505</v>
      </c>
      <c r="E1516" s="2" t="inlineStr">
        <is>
          <t>CC-3000</t>
        </is>
      </c>
      <c r="F1516" s="2" t="inlineStr">
        <is>
          <t>P01</t>
        </is>
      </c>
      <c r="G1516" s="2" t="n">
        <v>630000</v>
      </c>
      <c r="H1516" s="2" t="inlineStr">
        <is>
          <t>Servicios externos</t>
        </is>
      </c>
      <c r="I1516" s="9" t="n">
        <v>2591.29</v>
      </c>
      <c r="J1516" s="9" t="n">
        <v>2459.01</v>
      </c>
      <c r="K1516" s="9" t="n">
        <v>2528.09</v>
      </c>
      <c r="L1516" s="9" t="n">
        <v>2514.79</v>
      </c>
      <c r="M1516" s="9" t="n">
        <v>2406.84</v>
      </c>
      <c r="N1516" s="9" t="n">
        <v>2335.32</v>
      </c>
      <c r="O1516" s="9" t="n">
        <v>2587.89</v>
      </c>
      <c r="P1516" s="9" t="n">
        <v>2538.32</v>
      </c>
      <c r="Q1516" s="9" t="n">
        <v>2514.86</v>
      </c>
      <c r="R1516" s="9" t="n">
        <v>2987.34</v>
      </c>
      <c r="S1516" s="9" t="n">
        <v>2647.01</v>
      </c>
      <c r="T1516" s="9" t="n">
        <v>2667.01</v>
      </c>
      <c r="U1516" s="10">
        <f>SUM(I1516:T1516)</f>
        <v/>
      </c>
    </row>
    <row r="1517">
      <c r="A1517" s="2" t="inlineStr">
        <is>
          <t>SN-3000-3400-3410-3410HT0072</t>
        </is>
      </c>
      <c r="B1517" s="2" t="inlineStr">
        <is>
          <t>3410HT0072</t>
        </is>
      </c>
      <c r="C1517" s="2" t="inlineStr">
        <is>
          <t>Carro mantención lavado ácido</t>
        </is>
      </c>
      <c r="D1517" s="2" t="n">
        <v>506</v>
      </c>
      <c r="E1517" s="2" t="inlineStr">
        <is>
          <t>CC-3000</t>
        </is>
      </c>
      <c r="F1517" s="2" t="inlineStr">
        <is>
          <t>P01</t>
        </is>
      </c>
      <c r="G1517" s="2" t="n">
        <v>610000</v>
      </c>
      <c r="H1517" s="2" t="inlineStr">
        <is>
          <t>Mano obra interna</t>
        </is>
      </c>
      <c r="I1517" s="9" t="n">
        <v>443.96</v>
      </c>
      <c r="J1517" s="9" t="n">
        <v>405.31</v>
      </c>
      <c r="K1517" s="9" t="n">
        <v>405.31</v>
      </c>
      <c r="L1517" s="9" t="n">
        <v>453.62</v>
      </c>
      <c r="M1517" s="9" t="n">
        <v>405.64</v>
      </c>
      <c r="N1517" s="9" t="n">
        <v>384.15</v>
      </c>
      <c r="O1517" s="9" t="n">
        <v>445.98</v>
      </c>
      <c r="P1517" s="9" t="n">
        <v>447.51</v>
      </c>
      <c r="Q1517" s="9" t="n">
        <v>381.6</v>
      </c>
      <c r="R1517" s="9" t="n">
        <v>443.23</v>
      </c>
      <c r="S1517" s="9" t="n">
        <v>412.53</v>
      </c>
      <c r="T1517" s="9" t="n">
        <v>442.97</v>
      </c>
      <c r="U1517" s="10">
        <f>SUM(I1517:T1517)</f>
        <v/>
      </c>
    </row>
    <row r="1518">
      <c r="A1518" s="2" t="inlineStr">
        <is>
          <t>SN-3000-3400-3410-3410HT0072</t>
        </is>
      </c>
      <c r="B1518" s="2" t="inlineStr">
        <is>
          <t>3410HT0072</t>
        </is>
      </c>
      <c r="C1518" s="2" t="inlineStr">
        <is>
          <t>Carro mantención lavado ácido</t>
        </is>
      </c>
      <c r="D1518" s="2" t="n">
        <v>506</v>
      </c>
      <c r="E1518" s="2" t="inlineStr">
        <is>
          <t>CC-3000</t>
        </is>
      </c>
      <c r="F1518" s="2" t="inlineStr">
        <is>
          <t>P01</t>
        </is>
      </c>
      <c r="G1518" s="2" t="n">
        <v>620000</v>
      </c>
      <c r="H1518" s="2" t="inlineStr">
        <is>
          <t>Materiales</t>
        </is>
      </c>
      <c r="I1518" s="9" t="n">
        <v>411.5</v>
      </c>
      <c r="J1518" s="9" t="n">
        <v>419.49</v>
      </c>
      <c r="K1518" s="9" t="n">
        <v>394.13</v>
      </c>
      <c r="L1518" s="9" t="n">
        <v>432.47</v>
      </c>
      <c r="M1518" s="9" t="n">
        <v>421.36</v>
      </c>
      <c r="N1518" s="9" t="n">
        <v>365.69</v>
      </c>
      <c r="O1518" s="9" t="n">
        <v>413.5</v>
      </c>
      <c r="P1518" s="9" t="n">
        <v>380.28</v>
      </c>
      <c r="Q1518" s="9" t="n">
        <v>383.76</v>
      </c>
      <c r="R1518" s="9" t="n">
        <v>448.69</v>
      </c>
      <c r="S1518" s="9" t="n">
        <v>368.93</v>
      </c>
      <c r="T1518" s="9" t="n">
        <v>416.98</v>
      </c>
      <c r="U1518" s="10">
        <f>SUM(I1518:T1518)</f>
        <v/>
      </c>
    </row>
    <row r="1519">
      <c r="A1519" s="2" t="inlineStr">
        <is>
          <t>SN-3000-3400-3410-3410HT0072</t>
        </is>
      </c>
      <c r="B1519" s="2" t="inlineStr">
        <is>
          <t>3410HT0072</t>
        </is>
      </c>
      <c r="C1519" s="2" t="inlineStr">
        <is>
          <t>Carro mantención lavado ácido</t>
        </is>
      </c>
      <c r="D1519" s="2" t="n">
        <v>506</v>
      </c>
      <c r="E1519" s="2" t="inlineStr">
        <is>
          <t>CC-3000</t>
        </is>
      </c>
      <c r="F1519" s="2" t="inlineStr">
        <is>
          <t>P01</t>
        </is>
      </c>
      <c r="G1519" s="2" t="n">
        <v>630000</v>
      </c>
      <c r="H1519" s="2" t="inlineStr">
        <is>
          <t>Servicios externos</t>
        </is>
      </c>
      <c r="I1519" s="9" t="n">
        <v>513.04</v>
      </c>
      <c r="J1519" s="9" t="n">
        <v>479.49</v>
      </c>
      <c r="K1519" s="9" t="n">
        <v>495.84</v>
      </c>
      <c r="L1519" s="9" t="n">
        <v>531.88</v>
      </c>
      <c r="M1519" s="9" t="n">
        <v>547.8099999999999</v>
      </c>
      <c r="N1519" s="9" t="n">
        <v>517.01</v>
      </c>
      <c r="O1519" s="9" t="n">
        <v>509.15</v>
      </c>
      <c r="P1519" s="9" t="n">
        <v>516.83</v>
      </c>
      <c r="Q1519" s="9" t="n">
        <v>461.77</v>
      </c>
      <c r="R1519" s="9" t="n">
        <v>524.63</v>
      </c>
      <c r="S1519" s="9" t="n">
        <v>496.35</v>
      </c>
      <c r="T1519" s="9" t="n">
        <v>518.79</v>
      </c>
      <c r="U1519" s="10">
        <f>SUM(I1519:T1519)</f>
        <v/>
      </c>
    </row>
    <row r="1520">
      <c r="A1520" s="2" t="inlineStr">
        <is>
          <t>SN-3000-3400-3410-3410HT0073</t>
        </is>
      </c>
      <c r="B1520" s="2" t="inlineStr">
        <is>
          <t>3410HT0073</t>
        </is>
      </c>
      <c r="C1520" s="2" t="inlineStr">
        <is>
          <t>Carro mantención lavado ácido</t>
        </is>
      </c>
      <c r="D1520" s="2" t="n">
        <v>507</v>
      </c>
      <c r="E1520" s="2" t="inlineStr">
        <is>
          <t>CC-3000</t>
        </is>
      </c>
      <c r="F1520" s="2" t="inlineStr">
        <is>
          <t>P01</t>
        </is>
      </c>
      <c r="G1520" s="2" t="n">
        <v>610000</v>
      </c>
      <c r="H1520" s="2" t="inlineStr">
        <is>
          <t>Mano obra interna</t>
        </is>
      </c>
      <c r="I1520" s="9" t="n">
        <v>2202.88</v>
      </c>
      <c r="J1520" s="9" t="n">
        <v>2014.6</v>
      </c>
      <c r="K1520" s="9" t="n">
        <v>2110.92</v>
      </c>
      <c r="L1520" s="9" t="n">
        <v>1934.09</v>
      </c>
      <c r="M1520" s="9" t="n">
        <v>2149.5</v>
      </c>
      <c r="N1520" s="9" t="n">
        <v>2007.71</v>
      </c>
      <c r="O1520" s="9" t="n">
        <v>2134.53</v>
      </c>
      <c r="P1520" s="9" t="n">
        <v>1983.05</v>
      </c>
      <c r="Q1520" s="9" t="n">
        <v>1873.68</v>
      </c>
      <c r="R1520" s="9" t="n">
        <v>2177.59</v>
      </c>
      <c r="S1520" s="9" t="n">
        <v>1852.53</v>
      </c>
      <c r="T1520" s="9" t="n">
        <v>2103.91</v>
      </c>
      <c r="U1520" s="10">
        <f>SUM(I1520:T1520)</f>
        <v/>
      </c>
    </row>
    <row r="1521">
      <c r="A1521" s="2" t="inlineStr">
        <is>
          <t>SN-3000-3400-3410-3410HT0073</t>
        </is>
      </c>
      <c r="B1521" s="2" t="inlineStr">
        <is>
          <t>3410HT0073</t>
        </is>
      </c>
      <c r="C1521" s="2" t="inlineStr">
        <is>
          <t>Carro mantención lavado ácido</t>
        </is>
      </c>
      <c r="D1521" s="2" t="n">
        <v>507</v>
      </c>
      <c r="E1521" s="2" t="inlineStr">
        <is>
          <t>CC-3000</t>
        </is>
      </c>
      <c r="F1521" s="2" t="inlineStr">
        <is>
          <t>P01</t>
        </is>
      </c>
      <c r="G1521" s="2" t="n">
        <v>620000</v>
      </c>
      <c r="H1521" s="2" t="inlineStr">
        <is>
          <t>Materiales</t>
        </is>
      </c>
      <c r="I1521" s="9" t="n">
        <v>2113.82</v>
      </c>
      <c r="J1521" s="9" t="n">
        <v>2012.61</v>
      </c>
      <c r="K1521" s="9" t="n">
        <v>2343.7</v>
      </c>
      <c r="L1521" s="9" t="n">
        <v>2155.49</v>
      </c>
      <c r="M1521" s="9" t="n">
        <v>2208.69</v>
      </c>
      <c r="N1521" s="9" t="n">
        <v>2157.8</v>
      </c>
      <c r="O1521" s="9" t="n">
        <v>2127.01</v>
      </c>
      <c r="P1521" s="9" t="n">
        <v>2297.03</v>
      </c>
      <c r="Q1521" s="9" t="n">
        <v>2053.43</v>
      </c>
      <c r="R1521" s="9" t="n">
        <v>2499.37</v>
      </c>
      <c r="S1521" s="9" t="n">
        <v>2207.76</v>
      </c>
      <c r="T1521" s="9" t="n">
        <v>2351.87</v>
      </c>
      <c r="U1521" s="10">
        <f>SUM(I1521:T1521)</f>
        <v/>
      </c>
    </row>
    <row r="1522">
      <c r="A1522" s="2" t="inlineStr">
        <is>
          <t>SN-3000-3400-3410-3410HT0073</t>
        </is>
      </c>
      <c r="B1522" s="2" t="inlineStr">
        <is>
          <t>3410HT0073</t>
        </is>
      </c>
      <c r="C1522" s="2" t="inlineStr">
        <is>
          <t>Carro mantención lavado ácido</t>
        </is>
      </c>
      <c r="D1522" s="2" t="n">
        <v>507</v>
      </c>
      <c r="E1522" s="2" t="inlineStr">
        <is>
          <t>CC-3000</t>
        </is>
      </c>
      <c r="F1522" s="2" t="inlineStr">
        <is>
          <t>P01</t>
        </is>
      </c>
      <c r="G1522" s="2" t="n">
        <v>630000</v>
      </c>
      <c r="H1522" s="2" t="inlineStr">
        <is>
          <t>Servicios externos</t>
        </is>
      </c>
      <c r="I1522" s="9" t="n">
        <v>1654.48</v>
      </c>
      <c r="J1522" s="9" t="n">
        <v>1555.28</v>
      </c>
      <c r="K1522" s="9" t="n">
        <v>1727.37</v>
      </c>
      <c r="L1522" s="9" t="n">
        <v>1835.08</v>
      </c>
      <c r="M1522" s="9" t="n">
        <v>1663.89</v>
      </c>
      <c r="N1522" s="9" t="n">
        <v>1706.22</v>
      </c>
      <c r="O1522" s="9" t="n">
        <v>1644.07</v>
      </c>
      <c r="P1522" s="9" t="n">
        <v>1645.44</v>
      </c>
      <c r="Q1522" s="9" t="n">
        <v>1672.8</v>
      </c>
      <c r="R1522" s="9" t="n">
        <v>1800.96</v>
      </c>
      <c r="S1522" s="9" t="n">
        <v>1711.93</v>
      </c>
      <c r="T1522" s="9" t="n">
        <v>1642.88</v>
      </c>
      <c r="U1522" s="10">
        <f>SUM(I1522:T1522)</f>
        <v/>
      </c>
    </row>
    <row r="1523">
      <c r="A1523" s="2" t="inlineStr">
        <is>
          <t>SN-3000-3400-3410-3410HT0084</t>
        </is>
      </c>
      <c r="B1523" s="2" t="inlineStr">
        <is>
          <t>3410HT0084</t>
        </is>
      </c>
      <c r="C1523" s="2" t="inlineStr">
        <is>
          <t>Carro mantención lavado ácido</t>
        </is>
      </c>
      <c r="D1523" s="2" t="n">
        <v>508</v>
      </c>
      <c r="E1523" s="2" t="inlineStr">
        <is>
          <t>CC-3000</t>
        </is>
      </c>
      <c r="F1523" s="2" t="inlineStr">
        <is>
          <t>P01</t>
        </is>
      </c>
      <c r="G1523" s="2" t="n">
        <v>610000</v>
      </c>
      <c r="H1523" s="2" t="inlineStr">
        <is>
          <t>Mano obra interna</t>
        </is>
      </c>
      <c r="I1523" s="9" t="n">
        <v>2193.6</v>
      </c>
      <c r="J1523" s="9" t="n">
        <v>2178.09</v>
      </c>
      <c r="K1523" s="9" t="n">
        <v>2046.79</v>
      </c>
      <c r="L1523" s="9" t="n">
        <v>2167.74</v>
      </c>
      <c r="M1523" s="9" t="n">
        <v>2236.35</v>
      </c>
      <c r="N1523" s="9" t="n">
        <v>2152.66</v>
      </c>
      <c r="O1523" s="9" t="n">
        <v>1970.39</v>
      </c>
      <c r="P1523" s="9" t="n">
        <v>2055.24</v>
      </c>
      <c r="Q1523" s="9" t="n">
        <v>1958.77</v>
      </c>
      <c r="R1523" s="9" t="n">
        <v>2169.92</v>
      </c>
      <c r="S1523" s="9" t="n">
        <v>2131.3</v>
      </c>
      <c r="T1523" s="9" t="n">
        <v>2046.22</v>
      </c>
      <c r="U1523" s="10">
        <f>SUM(I1523:T1523)</f>
        <v/>
      </c>
    </row>
    <row r="1524">
      <c r="A1524" s="2" t="inlineStr">
        <is>
          <t>SN-3000-3400-3410-3410HT0084</t>
        </is>
      </c>
      <c r="B1524" s="2" t="inlineStr">
        <is>
          <t>3410HT0084</t>
        </is>
      </c>
      <c r="C1524" s="2" t="inlineStr">
        <is>
          <t>Carro mantención lavado ácido</t>
        </is>
      </c>
      <c r="D1524" s="2" t="n">
        <v>508</v>
      </c>
      <c r="E1524" s="2" t="inlineStr">
        <is>
          <t>CC-3000</t>
        </is>
      </c>
      <c r="F1524" s="2" t="inlineStr">
        <is>
          <t>P01</t>
        </is>
      </c>
      <c r="G1524" s="2" t="n">
        <v>620000</v>
      </c>
      <c r="H1524" s="2" t="inlineStr">
        <is>
          <t>Materiales</t>
        </is>
      </c>
      <c r="I1524" s="9" t="n">
        <v>1823.41</v>
      </c>
      <c r="J1524" s="9" t="n">
        <v>1709.43</v>
      </c>
      <c r="K1524" s="9" t="n">
        <v>1864.33</v>
      </c>
      <c r="L1524" s="9" t="n">
        <v>1910.36</v>
      </c>
      <c r="M1524" s="9" t="n">
        <v>1617.01</v>
      </c>
      <c r="N1524" s="9" t="n">
        <v>1720.03</v>
      </c>
      <c r="O1524" s="9" t="n">
        <v>1666.35</v>
      </c>
      <c r="P1524" s="9" t="n">
        <v>1715.6</v>
      </c>
      <c r="Q1524" s="9" t="n">
        <v>1499.27</v>
      </c>
      <c r="R1524" s="9" t="n">
        <v>1767.86</v>
      </c>
      <c r="S1524" s="9" t="n">
        <v>1636.52</v>
      </c>
      <c r="T1524" s="9" t="n">
        <v>1721.89</v>
      </c>
      <c r="U1524" s="10">
        <f>SUM(I1524:T1524)</f>
        <v/>
      </c>
    </row>
    <row r="1525">
      <c r="A1525" s="2" t="inlineStr">
        <is>
          <t>SN-3000-3400-3410-3410HT0084</t>
        </is>
      </c>
      <c r="B1525" s="2" t="inlineStr">
        <is>
          <t>3410HT0084</t>
        </is>
      </c>
      <c r="C1525" s="2" t="inlineStr">
        <is>
          <t>Carro mantención lavado ácido</t>
        </is>
      </c>
      <c r="D1525" s="2" t="n">
        <v>508</v>
      </c>
      <c r="E1525" s="2" t="inlineStr">
        <is>
          <t>CC-3000</t>
        </is>
      </c>
      <c r="F1525" s="2" t="inlineStr">
        <is>
          <t>P01</t>
        </is>
      </c>
      <c r="G1525" s="2" t="n">
        <v>630000</v>
      </c>
      <c r="H1525" s="2" t="inlineStr">
        <is>
          <t>Servicios externos</t>
        </is>
      </c>
      <c r="I1525" s="9" t="n">
        <v>2163.27</v>
      </c>
      <c r="J1525" s="9" t="n">
        <v>2161.07</v>
      </c>
      <c r="K1525" s="9" t="n">
        <v>2138.08</v>
      </c>
      <c r="L1525" s="9" t="n">
        <v>1998.97</v>
      </c>
      <c r="M1525" s="9" t="n">
        <v>1963.38</v>
      </c>
      <c r="N1525" s="9" t="n">
        <v>1894.3</v>
      </c>
      <c r="O1525" s="9" t="n">
        <v>1984.42</v>
      </c>
      <c r="P1525" s="9" t="n">
        <v>2095.05</v>
      </c>
      <c r="Q1525" s="9" t="n">
        <v>1908.5</v>
      </c>
      <c r="R1525" s="9" t="n">
        <v>2159.83</v>
      </c>
      <c r="S1525" s="9" t="n">
        <v>1864.12</v>
      </c>
      <c r="T1525" s="9" t="n">
        <v>1912.15</v>
      </c>
      <c r="U1525" s="10">
        <f>SUM(I1525:T1525)</f>
        <v/>
      </c>
    </row>
    <row r="1526">
      <c r="A1526" s="2" t="inlineStr">
        <is>
          <t>SN-3000-3400-3410-3410IO0001</t>
        </is>
      </c>
      <c r="B1526" s="2" t="inlineStr">
        <is>
          <t>3410IO0001</t>
        </is>
      </c>
      <c r="C1526" s="2" t="inlineStr">
        <is>
          <t xml:space="preserve">Gabinete RIO  </t>
        </is>
      </c>
      <c r="D1526" s="2" t="n">
        <v>509</v>
      </c>
      <c r="E1526" s="2" t="inlineStr">
        <is>
          <t>CC-3000</t>
        </is>
      </c>
      <c r="F1526" s="2" t="inlineStr">
        <is>
          <t>P01</t>
        </is>
      </c>
      <c r="G1526" s="2" t="n">
        <v>610000</v>
      </c>
      <c r="H1526" s="2" t="inlineStr">
        <is>
          <t>Mano obra interna</t>
        </is>
      </c>
      <c r="I1526" s="9" t="n">
        <v>1286.34</v>
      </c>
      <c r="J1526" s="9" t="n">
        <v>1384.63</v>
      </c>
      <c r="K1526" s="9" t="n">
        <v>1301.06</v>
      </c>
      <c r="L1526" s="9" t="n">
        <v>1423.46</v>
      </c>
      <c r="M1526" s="9" t="n">
        <v>1306.27</v>
      </c>
      <c r="N1526" s="9" t="n">
        <v>1197.7</v>
      </c>
      <c r="O1526" s="9" t="n">
        <v>1412.43</v>
      </c>
      <c r="P1526" s="9" t="n">
        <v>1360.63</v>
      </c>
      <c r="Q1526" s="9" t="n">
        <v>1198.66</v>
      </c>
      <c r="R1526" s="9" t="n">
        <v>1541.52</v>
      </c>
      <c r="S1526" s="9" t="n">
        <v>1206.88</v>
      </c>
      <c r="T1526" s="9" t="n">
        <v>1299.38</v>
      </c>
      <c r="U1526" s="10">
        <f>SUM(I1526:T1526)</f>
        <v/>
      </c>
    </row>
    <row r="1527">
      <c r="A1527" s="2" t="inlineStr">
        <is>
          <t>SN-3000-3400-3410-3410IO0001</t>
        </is>
      </c>
      <c r="B1527" s="2" t="inlineStr">
        <is>
          <t>3410IO0001</t>
        </is>
      </c>
      <c r="C1527" s="2" t="inlineStr">
        <is>
          <t xml:space="preserve">Gabinete RIO  </t>
        </is>
      </c>
      <c r="D1527" s="2" t="n">
        <v>509</v>
      </c>
      <c r="E1527" s="2" t="inlineStr">
        <is>
          <t>CC-3000</t>
        </is>
      </c>
      <c r="F1527" s="2" t="inlineStr">
        <is>
          <t>P01</t>
        </is>
      </c>
      <c r="G1527" s="2" t="n">
        <v>620000</v>
      </c>
      <c r="H1527" s="2" t="inlineStr">
        <is>
          <t>Materiales</t>
        </is>
      </c>
      <c r="I1527" s="9" t="n">
        <v>1601.98</v>
      </c>
      <c r="J1527" s="9" t="n">
        <v>1444.98</v>
      </c>
      <c r="K1527" s="9" t="n">
        <v>1456.67</v>
      </c>
      <c r="L1527" s="9" t="n">
        <v>1640.78</v>
      </c>
      <c r="M1527" s="9" t="n">
        <v>1457.9</v>
      </c>
      <c r="N1527" s="9" t="n">
        <v>1381.01</v>
      </c>
      <c r="O1527" s="9" t="n">
        <v>1522.99</v>
      </c>
      <c r="P1527" s="9" t="n">
        <v>1616.85</v>
      </c>
      <c r="Q1527" s="9" t="n">
        <v>1310.21</v>
      </c>
      <c r="R1527" s="9" t="n">
        <v>1707.12</v>
      </c>
      <c r="S1527" s="9" t="n">
        <v>1486.95</v>
      </c>
      <c r="T1527" s="9" t="n">
        <v>1522.56</v>
      </c>
      <c r="U1527" s="10">
        <f>SUM(I1527:T1527)</f>
        <v/>
      </c>
    </row>
    <row r="1528">
      <c r="A1528" s="2" t="inlineStr">
        <is>
          <t>SN-3000-3400-3410-3410IO0001</t>
        </is>
      </c>
      <c r="B1528" s="2" t="inlineStr">
        <is>
          <t>3410IO0001</t>
        </is>
      </c>
      <c r="C1528" s="2" t="inlineStr">
        <is>
          <t xml:space="preserve">Gabinete RIO  </t>
        </is>
      </c>
      <c r="D1528" s="2" t="n">
        <v>509</v>
      </c>
      <c r="E1528" s="2" t="inlineStr">
        <is>
          <t>CC-3000</t>
        </is>
      </c>
      <c r="F1528" s="2" t="inlineStr">
        <is>
          <t>P01</t>
        </is>
      </c>
      <c r="G1528" s="2" t="n">
        <v>630000</v>
      </c>
      <c r="H1528" s="2" t="inlineStr">
        <is>
          <t>Servicios externos</t>
        </is>
      </c>
      <c r="I1528" s="9" t="n">
        <v>1631.54</v>
      </c>
      <c r="J1528" s="9" t="n">
        <v>1401.38</v>
      </c>
      <c r="K1528" s="9" t="n">
        <v>1446.94</v>
      </c>
      <c r="L1528" s="9" t="n">
        <v>1620.58</v>
      </c>
      <c r="M1528" s="9" t="n">
        <v>1511.77</v>
      </c>
      <c r="N1528" s="9" t="n">
        <v>1407.92</v>
      </c>
      <c r="O1528" s="9" t="n">
        <v>1505.48</v>
      </c>
      <c r="P1528" s="9" t="n">
        <v>1544.66</v>
      </c>
      <c r="Q1528" s="9" t="n">
        <v>1445.04</v>
      </c>
      <c r="R1528" s="9" t="n">
        <v>1711.78</v>
      </c>
      <c r="S1528" s="9" t="n">
        <v>1423.01</v>
      </c>
      <c r="T1528" s="9" t="n">
        <v>1459.56</v>
      </c>
      <c r="U1528" s="10">
        <f>SUM(I1528:T1528)</f>
        <v/>
      </c>
    </row>
    <row r="1529">
      <c r="A1529" s="2" t="inlineStr">
        <is>
          <t>SN-3000-3400-3410-3410IO0002</t>
        </is>
      </c>
      <c r="B1529" s="2" t="inlineStr">
        <is>
          <t>3410IO0002</t>
        </is>
      </c>
      <c r="C1529" s="2" t="inlineStr">
        <is>
          <t xml:space="preserve">Gabinete RIO  </t>
        </is>
      </c>
      <c r="D1529" s="2" t="n">
        <v>510</v>
      </c>
      <c r="E1529" s="2" t="inlineStr">
        <is>
          <t>CC-3000</t>
        </is>
      </c>
      <c r="F1529" s="2" t="inlineStr">
        <is>
          <t>P01</t>
        </is>
      </c>
      <c r="G1529" s="2" t="n">
        <v>610000</v>
      </c>
      <c r="H1529" s="2" t="inlineStr">
        <is>
          <t>Mano obra interna</t>
        </is>
      </c>
      <c r="I1529" s="9" t="n">
        <v>1535.61</v>
      </c>
      <c r="J1529" s="9" t="n">
        <v>1524.46</v>
      </c>
      <c r="K1529" s="9" t="n">
        <v>1552.93</v>
      </c>
      <c r="L1529" s="9" t="n">
        <v>1471.91</v>
      </c>
      <c r="M1529" s="9" t="n">
        <v>1501.66</v>
      </c>
      <c r="N1529" s="9" t="n">
        <v>1502.36</v>
      </c>
      <c r="O1529" s="9" t="n">
        <v>1598.56</v>
      </c>
      <c r="P1529" s="9" t="n">
        <v>1522.05</v>
      </c>
      <c r="Q1529" s="9" t="n">
        <v>1343.39</v>
      </c>
      <c r="R1529" s="9" t="n">
        <v>1621.96</v>
      </c>
      <c r="S1529" s="9" t="n">
        <v>1543.74</v>
      </c>
      <c r="T1529" s="9" t="n">
        <v>1525.88</v>
      </c>
      <c r="U1529" s="10">
        <f>SUM(I1529:T1529)</f>
        <v/>
      </c>
    </row>
    <row r="1530">
      <c r="A1530" s="2" t="inlineStr">
        <is>
          <t>SN-3000-3400-3410-3410IO0002</t>
        </is>
      </c>
      <c r="B1530" s="2" t="inlineStr">
        <is>
          <t>3410IO0002</t>
        </is>
      </c>
      <c r="C1530" s="2" t="inlineStr">
        <is>
          <t xml:space="preserve">Gabinete RIO  </t>
        </is>
      </c>
      <c r="D1530" s="2" t="n">
        <v>510</v>
      </c>
      <c r="E1530" s="2" t="inlineStr">
        <is>
          <t>CC-3000</t>
        </is>
      </c>
      <c r="F1530" s="2" t="inlineStr">
        <is>
          <t>P01</t>
        </is>
      </c>
      <c r="G1530" s="2" t="n">
        <v>620000</v>
      </c>
      <c r="H1530" s="2" t="inlineStr">
        <is>
          <t>Materiales</t>
        </is>
      </c>
      <c r="I1530" s="9" t="n">
        <v>1540.63</v>
      </c>
      <c r="J1530" s="9" t="n">
        <v>1423.13</v>
      </c>
      <c r="K1530" s="9" t="n">
        <v>1628.82</v>
      </c>
      <c r="L1530" s="9" t="n">
        <v>1438.17</v>
      </c>
      <c r="M1530" s="9" t="n">
        <v>1497.78</v>
      </c>
      <c r="N1530" s="9" t="n">
        <v>1374.08</v>
      </c>
      <c r="O1530" s="9" t="n">
        <v>1403.65</v>
      </c>
      <c r="P1530" s="9" t="n">
        <v>1507.01</v>
      </c>
      <c r="Q1530" s="9" t="n">
        <v>1403.13</v>
      </c>
      <c r="R1530" s="9" t="n">
        <v>1679.47</v>
      </c>
      <c r="S1530" s="9" t="n">
        <v>1516.43</v>
      </c>
      <c r="T1530" s="9" t="n">
        <v>1585.57</v>
      </c>
      <c r="U1530" s="10">
        <f>SUM(I1530:T1530)</f>
        <v/>
      </c>
    </row>
    <row r="1531">
      <c r="A1531" s="2" t="inlineStr">
        <is>
          <t>SN-3000-3400-3410-3410IO0002</t>
        </is>
      </c>
      <c r="B1531" s="2" t="inlineStr">
        <is>
          <t>3410IO0002</t>
        </is>
      </c>
      <c r="C1531" s="2" t="inlineStr">
        <is>
          <t xml:space="preserve">Gabinete RIO  </t>
        </is>
      </c>
      <c r="D1531" s="2" t="n">
        <v>510</v>
      </c>
      <c r="E1531" s="2" t="inlineStr">
        <is>
          <t>CC-3000</t>
        </is>
      </c>
      <c r="F1531" s="2" t="inlineStr">
        <is>
          <t>P01</t>
        </is>
      </c>
      <c r="G1531" s="2" t="n">
        <v>630000</v>
      </c>
      <c r="H1531" s="2" t="inlineStr">
        <is>
          <t>Servicios externos</t>
        </is>
      </c>
      <c r="I1531" s="9" t="n">
        <v>1442.79</v>
      </c>
      <c r="J1531" s="9" t="n">
        <v>1379.98</v>
      </c>
      <c r="K1531" s="9" t="n">
        <v>1410.04</v>
      </c>
      <c r="L1531" s="9" t="n">
        <v>1436.68</v>
      </c>
      <c r="M1531" s="9" t="n">
        <v>1467.87</v>
      </c>
      <c r="N1531" s="9" t="n">
        <v>1258.33</v>
      </c>
      <c r="O1531" s="9" t="n">
        <v>1474.69</v>
      </c>
      <c r="P1531" s="9" t="n">
        <v>1284.31</v>
      </c>
      <c r="Q1531" s="9" t="n">
        <v>1248.98</v>
      </c>
      <c r="R1531" s="9" t="n">
        <v>1442.12</v>
      </c>
      <c r="S1531" s="9" t="n">
        <v>1367.05</v>
      </c>
      <c r="T1531" s="9" t="n">
        <v>1321.83</v>
      </c>
      <c r="U1531" s="10">
        <f>SUM(I1531:T1531)</f>
        <v/>
      </c>
    </row>
    <row r="1532">
      <c r="A1532" s="2" t="inlineStr">
        <is>
          <t>SN-3000-3400-3410-3410PU0171</t>
        </is>
      </c>
      <c r="B1532" s="2" t="inlineStr">
        <is>
          <t>3410PU0171</t>
        </is>
      </c>
      <c r="C1532" s="2" t="inlineStr">
        <is>
          <t>Bomba ácido diluido</t>
        </is>
      </c>
      <c r="D1532" s="2" t="n">
        <v>511</v>
      </c>
      <c r="E1532" s="2" t="inlineStr">
        <is>
          <t>CC-3000</t>
        </is>
      </c>
      <c r="F1532" s="2" t="inlineStr">
        <is>
          <t>P01</t>
        </is>
      </c>
      <c r="G1532" s="2" t="n">
        <v>610000</v>
      </c>
      <c r="H1532" s="2" t="inlineStr">
        <is>
          <t>Mano obra interna</t>
        </is>
      </c>
      <c r="I1532" s="9" t="n">
        <v>1920.3</v>
      </c>
      <c r="J1532" s="9" t="n">
        <v>1802.9</v>
      </c>
      <c r="K1532" s="9" t="n">
        <v>1831.42</v>
      </c>
      <c r="L1532" s="9" t="n">
        <v>1953.07</v>
      </c>
      <c r="M1532" s="9" t="n">
        <v>1862.25</v>
      </c>
      <c r="N1532" s="9" t="n">
        <v>1708.44</v>
      </c>
      <c r="O1532" s="9" t="n">
        <v>1845.7</v>
      </c>
      <c r="P1532" s="9" t="n">
        <v>1804.93</v>
      </c>
      <c r="Q1532" s="9" t="n">
        <v>1687.02</v>
      </c>
      <c r="R1532" s="9" t="n">
        <v>1875.18</v>
      </c>
      <c r="S1532" s="9" t="n">
        <v>1719.57</v>
      </c>
      <c r="T1532" s="9" t="n">
        <v>1691.25</v>
      </c>
      <c r="U1532" s="10">
        <f>SUM(I1532:T1532)</f>
        <v/>
      </c>
    </row>
    <row r="1533">
      <c r="A1533" s="2" t="inlineStr">
        <is>
          <t>SN-3000-3400-3410-3410PU0171</t>
        </is>
      </c>
      <c r="B1533" s="2" t="inlineStr">
        <is>
          <t>3410PU0171</t>
        </is>
      </c>
      <c r="C1533" s="2" t="inlineStr">
        <is>
          <t>Bomba ácido diluido</t>
        </is>
      </c>
      <c r="D1533" s="2" t="n">
        <v>511</v>
      </c>
      <c r="E1533" s="2" t="inlineStr">
        <is>
          <t>CC-3000</t>
        </is>
      </c>
      <c r="F1533" s="2" t="inlineStr">
        <is>
          <t>P01</t>
        </is>
      </c>
      <c r="G1533" s="2" t="n">
        <v>620000</v>
      </c>
      <c r="H1533" s="2" t="inlineStr">
        <is>
          <t>Materiales</t>
        </is>
      </c>
      <c r="I1533" s="9" t="n">
        <v>1585.36</v>
      </c>
      <c r="J1533" s="9" t="n">
        <v>1590.54</v>
      </c>
      <c r="K1533" s="9" t="n">
        <v>1668.55</v>
      </c>
      <c r="L1533" s="9" t="n">
        <v>1552.72</v>
      </c>
      <c r="M1533" s="9" t="n">
        <v>1515.65</v>
      </c>
      <c r="N1533" s="9" t="n">
        <v>1367.26</v>
      </c>
      <c r="O1533" s="9" t="n">
        <v>1553.56</v>
      </c>
      <c r="P1533" s="9" t="n">
        <v>1401.32</v>
      </c>
      <c r="Q1533" s="9" t="n">
        <v>1353.43</v>
      </c>
      <c r="R1533" s="9" t="n">
        <v>1667.64</v>
      </c>
      <c r="S1533" s="9" t="n">
        <v>1413.47</v>
      </c>
      <c r="T1533" s="9" t="n">
        <v>1418.1</v>
      </c>
      <c r="U1533" s="10">
        <f>SUM(I1533:T1533)</f>
        <v/>
      </c>
    </row>
    <row r="1534">
      <c r="A1534" s="2" t="inlineStr">
        <is>
          <t>SN-3000-3400-3410-3410PU0171</t>
        </is>
      </c>
      <c r="B1534" s="2" t="inlineStr">
        <is>
          <t>3410PU0171</t>
        </is>
      </c>
      <c r="C1534" s="2" t="inlineStr">
        <is>
          <t>Bomba ácido diluido</t>
        </is>
      </c>
      <c r="D1534" s="2" t="n">
        <v>511</v>
      </c>
      <c r="E1534" s="2" t="inlineStr">
        <is>
          <t>CC-3000</t>
        </is>
      </c>
      <c r="F1534" s="2" t="inlineStr">
        <is>
          <t>P01</t>
        </is>
      </c>
      <c r="G1534" s="2" t="n">
        <v>630000</v>
      </c>
      <c r="H1534" s="2" t="inlineStr">
        <is>
          <t>Servicios externos</t>
        </is>
      </c>
      <c r="I1534" s="9" t="n">
        <v>1742.74</v>
      </c>
      <c r="J1534" s="9" t="n">
        <v>1612.71</v>
      </c>
      <c r="K1534" s="9" t="n">
        <v>1692.72</v>
      </c>
      <c r="L1534" s="9" t="n">
        <v>1727.92</v>
      </c>
      <c r="M1534" s="9" t="n">
        <v>1652.61</v>
      </c>
      <c r="N1534" s="9" t="n">
        <v>1757.11</v>
      </c>
      <c r="O1534" s="9" t="n">
        <v>1711.12</v>
      </c>
      <c r="P1534" s="9" t="n">
        <v>1845.03</v>
      </c>
      <c r="Q1534" s="9" t="n">
        <v>1553.36</v>
      </c>
      <c r="R1534" s="9" t="n">
        <v>1896.49</v>
      </c>
      <c r="S1534" s="9" t="n">
        <v>1755.63</v>
      </c>
      <c r="T1534" s="9" t="n">
        <v>1830.17</v>
      </c>
      <c r="U1534" s="10">
        <f>SUM(I1534:T1534)</f>
        <v/>
      </c>
    </row>
    <row r="1535">
      <c r="A1535" s="2" t="inlineStr">
        <is>
          <t>SN-3000-3400-3410-3410PU0172</t>
        </is>
      </c>
      <c r="B1535" s="2" t="inlineStr">
        <is>
          <t>3410PU0172</t>
        </is>
      </c>
      <c r="C1535" s="2" t="inlineStr">
        <is>
          <t>Bomba neutralización</t>
        </is>
      </c>
      <c r="D1535" s="2" t="n">
        <v>512</v>
      </c>
      <c r="E1535" s="2" t="inlineStr">
        <is>
          <t>CC-3000</t>
        </is>
      </c>
      <c r="F1535" s="2" t="inlineStr">
        <is>
          <t>P01</t>
        </is>
      </c>
      <c r="G1535" s="2" t="n">
        <v>610000</v>
      </c>
      <c r="H1535" s="2" t="inlineStr">
        <is>
          <t>Mano obra interna</t>
        </is>
      </c>
      <c r="I1535" s="9" t="n">
        <v>990.63</v>
      </c>
      <c r="J1535" s="9" t="n">
        <v>856.01</v>
      </c>
      <c r="K1535" s="9" t="n">
        <v>936.45</v>
      </c>
      <c r="L1535" s="9" t="n">
        <v>985.73</v>
      </c>
      <c r="M1535" s="9" t="n">
        <v>838.51</v>
      </c>
      <c r="N1535" s="9" t="n">
        <v>806.99</v>
      </c>
      <c r="O1535" s="9" t="n">
        <v>870.26</v>
      </c>
      <c r="P1535" s="9" t="n">
        <v>927.28</v>
      </c>
      <c r="Q1535" s="9" t="n">
        <v>813.33</v>
      </c>
      <c r="R1535" s="9" t="n">
        <v>931.33</v>
      </c>
      <c r="S1535" s="9" t="n">
        <v>873.8200000000001</v>
      </c>
      <c r="T1535" s="9" t="n">
        <v>938.89</v>
      </c>
      <c r="U1535" s="10">
        <f>SUM(I1535:T1535)</f>
        <v/>
      </c>
    </row>
    <row r="1536">
      <c r="A1536" s="2" t="inlineStr">
        <is>
          <t>SN-3000-3400-3410-3410PU0172</t>
        </is>
      </c>
      <c r="B1536" s="2" t="inlineStr">
        <is>
          <t>3410PU0172</t>
        </is>
      </c>
      <c r="C1536" s="2" t="inlineStr">
        <is>
          <t>Bomba neutralización</t>
        </is>
      </c>
      <c r="D1536" s="2" t="n">
        <v>512</v>
      </c>
      <c r="E1536" s="2" t="inlineStr">
        <is>
          <t>CC-3000</t>
        </is>
      </c>
      <c r="F1536" s="2" t="inlineStr">
        <is>
          <t>P01</t>
        </is>
      </c>
      <c r="G1536" s="2" t="n">
        <v>620000</v>
      </c>
      <c r="H1536" s="2" t="inlineStr">
        <is>
          <t>Materiales</t>
        </is>
      </c>
      <c r="I1536" s="9" t="n">
        <v>757.54</v>
      </c>
      <c r="J1536" s="9" t="n">
        <v>768.63</v>
      </c>
      <c r="K1536" s="9" t="n">
        <v>847.17</v>
      </c>
      <c r="L1536" s="9" t="n">
        <v>805.3200000000001</v>
      </c>
      <c r="M1536" s="9" t="n">
        <v>792.9299999999999</v>
      </c>
      <c r="N1536" s="9" t="n">
        <v>717.23</v>
      </c>
      <c r="O1536" s="9" t="n">
        <v>738.92</v>
      </c>
      <c r="P1536" s="9" t="n">
        <v>760.34</v>
      </c>
      <c r="Q1536" s="9" t="n">
        <v>748.6</v>
      </c>
      <c r="R1536" s="9" t="n">
        <v>820.85</v>
      </c>
      <c r="S1536" s="9" t="n">
        <v>783.2</v>
      </c>
      <c r="T1536" s="9" t="n">
        <v>838.73</v>
      </c>
      <c r="U1536" s="10">
        <f>SUM(I1536:T1536)</f>
        <v/>
      </c>
    </row>
    <row r="1537">
      <c r="A1537" s="2" t="inlineStr">
        <is>
          <t>SN-3000-3400-3410-3410PU0172</t>
        </is>
      </c>
      <c r="B1537" s="2" t="inlineStr">
        <is>
          <t>3410PU0172</t>
        </is>
      </c>
      <c r="C1537" s="2" t="inlineStr">
        <is>
          <t>Bomba neutralización</t>
        </is>
      </c>
      <c r="D1537" s="2" t="n">
        <v>512</v>
      </c>
      <c r="E1537" s="2" t="inlineStr">
        <is>
          <t>CC-3000</t>
        </is>
      </c>
      <c r="F1537" s="2" t="inlineStr">
        <is>
          <t>P01</t>
        </is>
      </c>
      <c r="G1537" s="2" t="n">
        <v>630000</v>
      </c>
      <c r="H1537" s="2" t="inlineStr">
        <is>
          <t>Servicios externos</t>
        </is>
      </c>
      <c r="I1537" s="9" t="n">
        <v>701.71</v>
      </c>
      <c r="J1537" s="9" t="n">
        <v>689.14</v>
      </c>
      <c r="K1537" s="9" t="n">
        <v>750.6</v>
      </c>
      <c r="L1537" s="9" t="n">
        <v>712.91</v>
      </c>
      <c r="M1537" s="9" t="n">
        <v>777.14</v>
      </c>
      <c r="N1537" s="9" t="n">
        <v>654.66</v>
      </c>
      <c r="O1537" s="9" t="n">
        <v>719.77</v>
      </c>
      <c r="P1537" s="9" t="n">
        <v>703.37</v>
      </c>
      <c r="Q1537" s="9" t="n">
        <v>737.7</v>
      </c>
      <c r="R1537" s="9" t="n">
        <v>821.11</v>
      </c>
      <c r="S1537" s="9" t="n">
        <v>764.9299999999999</v>
      </c>
      <c r="T1537" s="9" t="n">
        <v>809.16</v>
      </c>
      <c r="U1537" s="10">
        <f>SUM(I1537:T1537)</f>
        <v/>
      </c>
    </row>
    <row r="1538">
      <c r="A1538" s="2" t="inlineStr">
        <is>
          <t>SN-3000-3400-3410-3410PU0174</t>
        </is>
      </c>
      <c r="B1538" s="2" t="inlineStr">
        <is>
          <t>3410PU0174</t>
        </is>
      </c>
      <c r="C1538" s="2" t="inlineStr">
        <is>
          <t>Bomba hidróxido de sodio</t>
        </is>
      </c>
      <c r="D1538" s="2" t="n">
        <v>513</v>
      </c>
      <c r="E1538" s="2" t="inlineStr">
        <is>
          <t>CC-3000</t>
        </is>
      </c>
      <c r="F1538" s="2" t="inlineStr">
        <is>
          <t>P01</t>
        </is>
      </c>
      <c r="G1538" s="2" t="n">
        <v>610000</v>
      </c>
      <c r="H1538" s="2" t="inlineStr">
        <is>
          <t>Mano obra interna</t>
        </is>
      </c>
      <c r="I1538" s="9" t="n">
        <v>581.74</v>
      </c>
      <c r="J1538" s="9" t="n">
        <v>557.4299999999999</v>
      </c>
      <c r="K1538" s="9" t="n">
        <v>586.77</v>
      </c>
      <c r="L1538" s="9" t="n">
        <v>628.58</v>
      </c>
      <c r="M1538" s="9" t="n">
        <v>545.7</v>
      </c>
      <c r="N1538" s="9" t="n">
        <v>528.17</v>
      </c>
      <c r="O1538" s="9" t="n">
        <v>605.73</v>
      </c>
      <c r="P1538" s="9" t="n">
        <v>608.23</v>
      </c>
      <c r="Q1538" s="9" t="n">
        <v>568.67</v>
      </c>
      <c r="R1538" s="9" t="n">
        <v>628.6799999999999</v>
      </c>
      <c r="S1538" s="9" t="n">
        <v>604.36</v>
      </c>
      <c r="T1538" s="9" t="n">
        <v>607.25</v>
      </c>
      <c r="U1538" s="10">
        <f>SUM(I1538:T1538)</f>
        <v/>
      </c>
    </row>
    <row r="1539">
      <c r="A1539" s="2" t="inlineStr">
        <is>
          <t>SN-3000-3400-3410-3410PU0174</t>
        </is>
      </c>
      <c r="B1539" s="2" t="inlineStr">
        <is>
          <t>3410PU0174</t>
        </is>
      </c>
      <c r="C1539" s="2" t="inlineStr">
        <is>
          <t>Bomba hidróxido de sodio</t>
        </is>
      </c>
      <c r="D1539" s="2" t="n">
        <v>513</v>
      </c>
      <c r="E1539" s="2" t="inlineStr">
        <is>
          <t>CC-3000</t>
        </is>
      </c>
      <c r="F1539" s="2" t="inlineStr">
        <is>
          <t>P01</t>
        </is>
      </c>
      <c r="G1539" s="2" t="n">
        <v>620000</v>
      </c>
      <c r="H1539" s="2" t="inlineStr">
        <is>
          <t>Materiales</t>
        </is>
      </c>
      <c r="I1539" s="9" t="n">
        <v>536.75</v>
      </c>
      <c r="J1539" s="9" t="n">
        <v>530.17</v>
      </c>
      <c r="K1539" s="9" t="n">
        <v>481.37</v>
      </c>
      <c r="L1539" s="9" t="n">
        <v>504.08</v>
      </c>
      <c r="M1539" s="9" t="n">
        <v>495.75</v>
      </c>
      <c r="N1539" s="9" t="n">
        <v>452.74</v>
      </c>
      <c r="O1539" s="9" t="n">
        <v>531.71</v>
      </c>
      <c r="P1539" s="9" t="n">
        <v>484.24</v>
      </c>
      <c r="Q1539" s="9" t="n">
        <v>488.4</v>
      </c>
      <c r="R1539" s="9" t="n">
        <v>556.11</v>
      </c>
      <c r="S1539" s="9" t="n">
        <v>493.53</v>
      </c>
      <c r="T1539" s="9" t="n">
        <v>484.3</v>
      </c>
      <c r="U1539" s="10">
        <f>SUM(I1539:T1539)</f>
        <v/>
      </c>
    </row>
    <row r="1540">
      <c r="A1540" s="2" t="inlineStr">
        <is>
          <t>SN-3000-3400-3410-3410PU0174</t>
        </is>
      </c>
      <c r="B1540" s="2" t="inlineStr">
        <is>
          <t>3410PU0174</t>
        </is>
      </c>
      <c r="C1540" s="2" t="inlineStr">
        <is>
          <t>Bomba hidróxido de sodio</t>
        </is>
      </c>
      <c r="D1540" s="2" t="n">
        <v>513</v>
      </c>
      <c r="E1540" s="2" t="inlineStr">
        <is>
          <t>CC-3000</t>
        </is>
      </c>
      <c r="F1540" s="2" t="inlineStr">
        <is>
          <t>P01</t>
        </is>
      </c>
      <c r="G1540" s="2" t="n">
        <v>630000</v>
      </c>
      <c r="H1540" s="2" t="inlineStr">
        <is>
          <t>Servicios externos</t>
        </is>
      </c>
      <c r="I1540" s="9" t="n">
        <v>492.49</v>
      </c>
      <c r="J1540" s="9" t="n">
        <v>490.97</v>
      </c>
      <c r="K1540" s="9" t="n">
        <v>523.29</v>
      </c>
      <c r="L1540" s="9" t="n">
        <v>559.9</v>
      </c>
      <c r="M1540" s="9" t="n">
        <v>503.72</v>
      </c>
      <c r="N1540" s="9" t="n">
        <v>517.51</v>
      </c>
      <c r="O1540" s="9" t="n">
        <v>515.29</v>
      </c>
      <c r="P1540" s="9" t="n">
        <v>543.4</v>
      </c>
      <c r="Q1540" s="9" t="n">
        <v>521.04</v>
      </c>
      <c r="R1540" s="9" t="n">
        <v>537.54</v>
      </c>
      <c r="S1540" s="9" t="n">
        <v>532.6799999999999</v>
      </c>
      <c r="T1540" s="9" t="n">
        <v>538.11</v>
      </c>
      <c r="U1540" s="10">
        <f>SUM(I1540:T1540)</f>
        <v/>
      </c>
    </row>
    <row r="1541">
      <c r="A1541" s="2" t="inlineStr">
        <is>
          <t>SN-3000-3400-3410-3410PU0175</t>
        </is>
      </c>
      <c r="B1541" s="2" t="inlineStr">
        <is>
          <t>3410PU0175</t>
        </is>
      </c>
      <c r="C1541" s="2" t="inlineStr">
        <is>
          <t>Bomba ácido clorhídrico</t>
        </is>
      </c>
      <c r="D1541" s="2" t="n">
        <v>514</v>
      </c>
      <c r="E1541" s="2" t="inlineStr">
        <is>
          <t>CC-3000</t>
        </is>
      </c>
      <c r="F1541" s="2" t="inlineStr">
        <is>
          <t>P01</t>
        </is>
      </c>
      <c r="G1541" s="2" t="n">
        <v>610000</v>
      </c>
      <c r="H1541" s="2" t="inlineStr">
        <is>
          <t>Mano obra interna</t>
        </is>
      </c>
      <c r="I1541" s="9" t="n">
        <v>2469.98</v>
      </c>
      <c r="J1541" s="9" t="n">
        <v>2298.17</v>
      </c>
      <c r="K1541" s="9" t="n">
        <v>2330.97</v>
      </c>
      <c r="L1541" s="9" t="n">
        <v>2248.24</v>
      </c>
      <c r="M1541" s="9" t="n">
        <v>2351.1</v>
      </c>
      <c r="N1541" s="9" t="n">
        <v>2435.66</v>
      </c>
      <c r="O1541" s="9" t="n">
        <v>2453.33</v>
      </c>
      <c r="P1541" s="9" t="n">
        <v>2295.28</v>
      </c>
      <c r="Q1541" s="9" t="n">
        <v>2314.09</v>
      </c>
      <c r="R1541" s="9" t="n">
        <v>2657.15</v>
      </c>
      <c r="S1541" s="9" t="n">
        <v>2206.91</v>
      </c>
      <c r="T1541" s="9" t="n">
        <v>2211.03</v>
      </c>
      <c r="U1541" s="10">
        <f>SUM(I1541:T1541)</f>
        <v/>
      </c>
    </row>
    <row r="1542">
      <c r="A1542" s="2" t="inlineStr">
        <is>
          <t>SN-3000-3400-3410-3410PU0175</t>
        </is>
      </c>
      <c r="B1542" s="2" t="inlineStr">
        <is>
          <t>3410PU0175</t>
        </is>
      </c>
      <c r="C1542" s="2" t="inlineStr">
        <is>
          <t>Bomba ácido clorhídrico</t>
        </is>
      </c>
      <c r="D1542" s="2" t="n">
        <v>514</v>
      </c>
      <c r="E1542" s="2" t="inlineStr">
        <is>
          <t>CC-3000</t>
        </is>
      </c>
      <c r="F1542" s="2" t="inlineStr">
        <is>
          <t>P01</t>
        </is>
      </c>
      <c r="G1542" s="2" t="n">
        <v>620000</v>
      </c>
      <c r="H1542" s="2" t="inlineStr">
        <is>
          <t>Materiales</t>
        </is>
      </c>
      <c r="I1542" s="9" t="n">
        <v>1969.65</v>
      </c>
      <c r="J1542" s="9" t="n">
        <v>1888.53</v>
      </c>
      <c r="K1542" s="9" t="n">
        <v>1815.65</v>
      </c>
      <c r="L1542" s="9" t="n">
        <v>1795.78</v>
      </c>
      <c r="M1542" s="9" t="n">
        <v>1885.14</v>
      </c>
      <c r="N1542" s="9" t="n">
        <v>1861.49</v>
      </c>
      <c r="O1542" s="9" t="n">
        <v>1901.71</v>
      </c>
      <c r="P1542" s="9" t="n">
        <v>1848.94</v>
      </c>
      <c r="Q1542" s="9" t="n">
        <v>1624.07</v>
      </c>
      <c r="R1542" s="9" t="n">
        <v>1970.37</v>
      </c>
      <c r="S1542" s="9" t="n">
        <v>1686.37</v>
      </c>
      <c r="T1542" s="9" t="n">
        <v>1937.6</v>
      </c>
      <c r="U1542" s="10">
        <f>SUM(I1542:T1542)</f>
        <v/>
      </c>
    </row>
    <row r="1543">
      <c r="A1543" s="2" t="inlineStr">
        <is>
          <t>SN-3000-3400-3410-3410PU0175</t>
        </is>
      </c>
      <c r="B1543" s="2" t="inlineStr">
        <is>
          <t>3410PU0175</t>
        </is>
      </c>
      <c r="C1543" s="2" t="inlineStr">
        <is>
          <t>Bomba ácido clorhídrico</t>
        </is>
      </c>
      <c r="D1543" s="2" t="n">
        <v>514</v>
      </c>
      <c r="E1543" s="2" t="inlineStr">
        <is>
          <t>CC-3000</t>
        </is>
      </c>
      <c r="F1543" s="2" t="inlineStr">
        <is>
          <t>P01</t>
        </is>
      </c>
      <c r="G1543" s="2" t="n">
        <v>630000</v>
      </c>
      <c r="H1543" s="2" t="inlineStr">
        <is>
          <t>Servicios externos</t>
        </is>
      </c>
      <c r="I1543" s="9" t="n">
        <v>2134.55</v>
      </c>
      <c r="J1543" s="9" t="n">
        <v>1917.89</v>
      </c>
      <c r="K1543" s="9" t="n">
        <v>2153.99</v>
      </c>
      <c r="L1543" s="9" t="n">
        <v>1974.63</v>
      </c>
      <c r="M1543" s="9" t="n">
        <v>1945.63</v>
      </c>
      <c r="N1543" s="9" t="n">
        <v>1932.84</v>
      </c>
      <c r="O1543" s="9" t="n">
        <v>1849.34</v>
      </c>
      <c r="P1543" s="9" t="n">
        <v>2125.74</v>
      </c>
      <c r="Q1543" s="9" t="n">
        <v>1869.53</v>
      </c>
      <c r="R1543" s="9" t="n">
        <v>2143.33</v>
      </c>
      <c r="S1543" s="9" t="n">
        <v>2025.93</v>
      </c>
      <c r="T1543" s="9" t="n">
        <v>2132.34</v>
      </c>
      <c r="U1543" s="10">
        <f>SUM(I1543:T1543)</f>
        <v/>
      </c>
    </row>
    <row r="1544">
      <c r="A1544" s="2" t="inlineStr">
        <is>
          <t>SN-3000-3400-3410-3410PU0188</t>
        </is>
      </c>
      <c r="B1544" s="2" t="inlineStr">
        <is>
          <t>3410PU0188</t>
        </is>
      </c>
      <c r="C1544" s="2" t="inlineStr">
        <is>
          <t>Bomba sumidero lavado ácido</t>
        </is>
      </c>
      <c r="D1544" s="2" t="n">
        <v>515</v>
      </c>
      <c r="E1544" s="2" t="inlineStr">
        <is>
          <t>CC-3000</t>
        </is>
      </c>
      <c r="F1544" s="2" t="inlineStr">
        <is>
          <t>P01</t>
        </is>
      </c>
      <c r="G1544" s="2" t="n">
        <v>610000</v>
      </c>
      <c r="H1544" s="2" t="inlineStr">
        <is>
          <t>Mano obra interna</t>
        </is>
      </c>
      <c r="I1544" s="9" t="n">
        <v>2701.05</v>
      </c>
      <c r="J1544" s="9" t="n">
        <v>2269.23</v>
      </c>
      <c r="K1544" s="9" t="n">
        <v>2396.85</v>
      </c>
      <c r="L1544" s="9" t="n">
        <v>2570.39</v>
      </c>
      <c r="M1544" s="9" t="n">
        <v>2393.75</v>
      </c>
      <c r="N1544" s="9" t="n">
        <v>2354.24</v>
      </c>
      <c r="O1544" s="9" t="n">
        <v>2409.56</v>
      </c>
      <c r="P1544" s="9" t="n">
        <v>2437.02</v>
      </c>
      <c r="Q1544" s="9" t="n">
        <v>2424.42</v>
      </c>
      <c r="R1544" s="9" t="n">
        <v>2710.77</v>
      </c>
      <c r="S1544" s="9" t="n">
        <v>2588.28</v>
      </c>
      <c r="T1544" s="9" t="n">
        <v>2628.73</v>
      </c>
      <c r="U1544" s="10">
        <f>SUM(I1544:T1544)</f>
        <v/>
      </c>
    </row>
    <row r="1545">
      <c r="A1545" s="2" t="inlineStr">
        <is>
          <t>SN-3000-3400-3410-3410PU0188</t>
        </is>
      </c>
      <c r="B1545" s="2" t="inlineStr">
        <is>
          <t>3410PU0188</t>
        </is>
      </c>
      <c r="C1545" s="2" t="inlineStr">
        <is>
          <t>Bomba sumidero lavado ácido</t>
        </is>
      </c>
      <c r="D1545" s="2" t="n">
        <v>515</v>
      </c>
      <c r="E1545" s="2" t="inlineStr">
        <is>
          <t>CC-3000</t>
        </is>
      </c>
      <c r="F1545" s="2" t="inlineStr">
        <is>
          <t>P01</t>
        </is>
      </c>
      <c r="G1545" s="2" t="n">
        <v>620000</v>
      </c>
      <c r="H1545" s="2" t="inlineStr">
        <is>
          <t>Materiales</t>
        </is>
      </c>
      <c r="I1545" s="9" t="n">
        <v>2207.36</v>
      </c>
      <c r="J1545" s="9" t="n">
        <v>2154.88</v>
      </c>
      <c r="K1545" s="9" t="n">
        <v>2445.42</v>
      </c>
      <c r="L1545" s="9" t="n">
        <v>2122.85</v>
      </c>
      <c r="M1545" s="9" t="n">
        <v>2127.77</v>
      </c>
      <c r="N1545" s="9" t="n">
        <v>2287.48</v>
      </c>
      <c r="O1545" s="9" t="n">
        <v>2298.35</v>
      </c>
      <c r="P1545" s="9" t="n">
        <v>2147.2</v>
      </c>
      <c r="Q1545" s="9" t="n">
        <v>1997.7</v>
      </c>
      <c r="R1545" s="9" t="n">
        <v>2563.83</v>
      </c>
      <c r="S1545" s="9" t="n">
        <v>2312.29</v>
      </c>
      <c r="T1545" s="9" t="n">
        <v>2191.4</v>
      </c>
      <c r="U1545" s="10">
        <f>SUM(I1545:T1545)</f>
        <v/>
      </c>
    </row>
    <row r="1546">
      <c r="A1546" s="2" t="inlineStr">
        <is>
          <t>SN-3000-3400-3410-3410PU0188</t>
        </is>
      </c>
      <c r="B1546" s="2" t="inlineStr">
        <is>
          <t>3410PU0188</t>
        </is>
      </c>
      <c r="C1546" s="2" t="inlineStr">
        <is>
          <t>Bomba sumidero lavado ácido</t>
        </is>
      </c>
      <c r="D1546" s="2" t="n">
        <v>515</v>
      </c>
      <c r="E1546" s="2" t="inlineStr">
        <is>
          <t>CC-3000</t>
        </is>
      </c>
      <c r="F1546" s="2" t="inlineStr">
        <is>
          <t>P01</t>
        </is>
      </c>
      <c r="G1546" s="2" t="n">
        <v>630000</v>
      </c>
      <c r="H1546" s="2" t="inlineStr">
        <is>
          <t>Servicios externos</t>
        </is>
      </c>
      <c r="I1546" s="9" t="n">
        <v>2474.55</v>
      </c>
      <c r="J1546" s="9" t="n">
        <v>2364.26</v>
      </c>
      <c r="K1546" s="9" t="n">
        <v>2492.86</v>
      </c>
      <c r="L1546" s="9" t="n">
        <v>2358.48</v>
      </c>
      <c r="M1546" s="9" t="n">
        <v>2426.98</v>
      </c>
      <c r="N1546" s="9" t="n">
        <v>2138.5</v>
      </c>
      <c r="O1546" s="9" t="n">
        <v>2175.43</v>
      </c>
      <c r="P1546" s="9" t="n">
        <v>2375.91</v>
      </c>
      <c r="Q1546" s="9" t="n">
        <v>2155.29</v>
      </c>
      <c r="R1546" s="9" t="n">
        <v>2622.06</v>
      </c>
      <c r="S1546" s="9" t="n">
        <v>2078.09</v>
      </c>
      <c r="T1546" s="9" t="n">
        <v>2463.41</v>
      </c>
      <c r="U1546" s="10">
        <f>SUM(I1546:T1546)</f>
        <v/>
      </c>
    </row>
    <row r="1547">
      <c r="A1547" s="2" t="inlineStr">
        <is>
          <t>SN-3000-3400-3410-3410PU0190</t>
        </is>
      </c>
      <c r="B1547" s="2" t="inlineStr">
        <is>
          <t>3410PU0190</t>
        </is>
      </c>
      <c r="C1547" s="2" t="inlineStr">
        <is>
          <t>Bomba sumidero ácido clorhídrico</t>
        </is>
      </c>
      <c r="D1547" s="2" t="n">
        <v>516</v>
      </c>
      <c r="E1547" s="2" t="inlineStr">
        <is>
          <t>CC-3000</t>
        </is>
      </c>
      <c r="F1547" s="2" t="inlineStr">
        <is>
          <t>P01</t>
        </is>
      </c>
      <c r="G1547" s="2" t="n">
        <v>610000</v>
      </c>
      <c r="H1547" s="2" t="inlineStr">
        <is>
          <t>Mano obra interna</t>
        </is>
      </c>
      <c r="I1547" s="9" t="n">
        <v>2097.67</v>
      </c>
      <c r="J1547" s="9" t="n">
        <v>1829.49</v>
      </c>
      <c r="K1547" s="9" t="n">
        <v>2104.87</v>
      </c>
      <c r="L1547" s="9" t="n">
        <v>2120.6</v>
      </c>
      <c r="M1547" s="9" t="n">
        <v>1942.74</v>
      </c>
      <c r="N1547" s="9" t="n">
        <v>1829.77</v>
      </c>
      <c r="O1547" s="9" t="n">
        <v>2018.14</v>
      </c>
      <c r="P1547" s="9" t="n">
        <v>2110.47</v>
      </c>
      <c r="Q1547" s="9" t="n">
        <v>1813.86</v>
      </c>
      <c r="R1547" s="9" t="n">
        <v>2076.77</v>
      </c>
      <c r="S1547" s="9" t="n">
        <v>1872.46</v>
      </c>
      <c r="T1547" s="9" t="n">
        <v>2181.16</v>
      </c>
      <c r="U1547" s="10">
        <f>SUM(I1547:T1547)</f>
        <v/>
      </c>
    </row>
    <row r="1548">
      <c r="A1548" s="2" t="inlineStr">
        <is>
          <t>SN-3000-3400-3410-3410PU0190</t>
        </is>
      </c>
      <c r="B1548" s="2" t="inlineStr">
        <is>
          <t>3410PU0190</t>
        </is>
      </c>
      <c r="C1548" s="2" t="inlineStr">
        <is>
          <t>Bomba sumidero ácido clorhídrico</t>
        </is>
      </c>
      <c r="D1548" s="2" t="n">
        <v>516</v>
      </c>
      <c r="E1548" s="2" t="inlineStr">
        <is>
          <t>CC-3000</t>
        </is>
      </c>
      <c r="F1548" s="2" t="inlineStr">
        <is>
          <t>P01</t>
        </is>
      </c>
      <c r="G1548" s="2" t="n">
        <v>620000</v>
      </c>
      <c r="H1548" s="2" t="inlineStr">
        <is>
          <t>Materiales</t>
        </is>
      </c>
      <c r="I1548" s="9" t="n">
        <v>1873.87</v>
      </c>
      <c r="J1548" s="9" t="n">
        <v>2052.29</v>
      </c>
      <c r="K1548" s="9" t="n">
        <v>2122.65</v>
      </c>
      <c r="L1548" s="9" t="n">
        <v>1916.82</v>
      </c>
      <c r="M1548" s="9" t="n">
        <v>2126.45</v>
      </c>
      <c r="N1548" s="9" t="n">
        <v>1939.34</v>
      </c>
      <c r="O1548" s="9" t="n">
        <v>1995.12</v>
      </c>
      <c r="P1548" s="9" t="n">
        <v>1954.94</v>
      </c>
      <c r="Q1548" s="9" t="n">
        <v>1974.54</v>
      </c>
      <c r="R1548" s="9" t="n">
        <v>2062.26</v>
      </c>
      <c r="S1548" s="9" t="n">
        <v>1864.13</v>
      </c>
      <c r="T1548" s="9" t="n">
        <v>1901.33</v>
      </c>
      <c r="U1548" s="10">
        <f>SUM(I1548:T1548)</f>
        <v/>
      </c>
    </row>
    <row r="1549">
      <c r="A1549" s="2" t="inlineStr">
        <is>
          <t>SN-3000-3400-3410-3410PU0190</t>
        </is>
      </c>
      <c r="B1549" s="2" t="inlineStr">
        <is>
          <t>3410PU0190</t>
        </is>
      </c>
      <c r="C1549" s="2" t="inlineStr">
        <is>
          <t>Bomba sumidero ácido clorhídrico</t>
        </is>
      </c>
      <c r="D1549" s="2" t="n">
        <v>516</v>
      </c>
      <c r="E1549" s="2" t="inlineStr">
        <is>
          <t>CC-3000</t>
        </is>
      </c>
      <c r="F1549" s="2" t="inlineStr">
        <is>
          <t>P01</t>
        </is>
      </c>
      <c r="G1549" s="2" t="n">
        <v>630000</v>
      </c>
      <c r="H1549" s="2" t="inlineStr">
        <is>
          <t>Servicios externos</t>
        </is>
      </c>
      <c r="I1549" s="9" t="n">
        <v>2293.42</v>
      </c>
      <c r="J1549" s="9" t="n">
        <v>2217.28</v>
      </c>
      <c r="K1549" s="9" t="n">
        <v>2179.95</v>
      </c>
      <c r="L1549" s="9" t="n">
        <v>2316.24</v>
      </c>
      <c r="M1549" s="9" t="n">
        <v>2282.88</v>
      </c>
      <c r="N1549" s="9" t="n">
        <v>2067.44</v>
      </c>
      <c r="O1549" s="9" t="n">
        <v>2320.5</v>
      </c>
      <c r="P1549" s="9" t="n">
        <v>2157.61</v>
      </c>
      <c r="Q1549" s="9" t="n">
        <v>2144.88</v>
      </c>
      <c r="R1549" s="9" t="n">
        <v>2208.27</v>
      </c>
      <c r="S1549" s="9" t="n">
        <v>2159.63</v>
      </c>
      <c r="T1549" s="9" t="n">
        <v>2414.31</v>
      </c>
      <c r="U1549" s="10">
        <f>SUM(I1549:T1549)</f>
        <v/>
      </c>
    </row>
    <row r="1550">
      <c r="A1550" s="2" t="inlineStr">
        <is>
          <t>SN-3000-3400-3410-3410PU0191</t>
        </is>
      </c>
      <c r="B1550" s="2" t="inlineStr">
        <is>
          <t>3410PU0191</t>
        </is>
      </c>
      <c r="C1550" s="2" t="inlineStr">
        <is>
          <t>Bomba sumidero hidróxido de sodio</t>
        </is>
      </c>
      <c r="D1550" s="2" t="n">
        <v>517</v>
      </c>
      <c r="E1550" s="2" t="inlineStr">
        <is>
          <t>CC-3000</t>
        </is>
      </c>
      <c r="F1550" s="2" t="inlineStr">
        <is>
          <t>P01</t>
        </is>
      </c>
      <c r="G1550" s="2" t="n">
        <v>610000</v>
      </c>
      <c r="H1550" s="2" t="inlineStr">
        <is>
          <t>Mano obra interna</t>
        </is>
      </c>
      <c r="I1550" s="9" t="n">
        <v>402.66</v>
      </c>
      <c r="J1550" s="9" t="n">
        <v>398.75</v>
      </c>
      <c r="K1550" s="9" t="n">
        <v>392.16</v>
      </c>
      <c r="L1550" s="9" t="n">
        <v>442.67</v>
      </c>
      <c r="M1550" s="9" t="n">
        <v>408.92</v>
      </c>
      <c r="N1550" s="9" t="n">
        <v>383.57</v>
      </c>
      <c r="O1550" s="9" t="n">
        <v>383.56</v>
      </c>
      <c r="P1550" s="9" t="n">
        <v>437.6</v>
      </c>
      <c r="Q1550" s="9" t="n">
        <v>382.3</v>
      </c>
      <c r="R1550" s="9" t="n">
        <v>425.45</v>
      </c>
      <c r="S1550" s="9" t="n">
        <v>386.17</v>
      </c>
      <c r="T1550" s="9" t="n">
        <v>399.56</v>
      </c>
      <c r="U1550" s="10">
        <f>SUM(I1550:T1550)</f>
        <v/>
      </c>
    </row>
    <row r="1551">
      <c r="A1551" s="2" t="inlineStr">
        <is>
          <t>SN-3000-3400-3410-3410PU0191</t>
        </is>
      </c>
      <c r="B1551" s="2" t="inlineStr">
        <is>
          <t>3410PU0191</t>
        </is>
      </c>
      <c r="C1551" s="2" t="inlineStr">
        <is>
          <t>Bomba sumidero hidróxido de sodio</t>
        </is>
      </c>
      <c r="D1551" s="2" t="n">
        <v>517</v>
      </c>
      <c r="E1551" s="2" t="inlineStr">
        <is>
          <t>CC-3000</t>
        </is>
      </c>
      <c r="F1551" s="2" t="inlineStr">
        <is>
          <t>P01</t>
        </is>
      </c>
      <c r="G1551" s="2" t="n">
        <v>620000</v>
      </c>
      <c r="H1551" s="2" t="inlineStr">
        <is>
          <t>Materiales</t>
        </is>
      </c>
      <c r="I1551" s="9" t="n">
        <v>378.28</v>
      </c>
      <c r="J1551" s="9" t="n">
        <v>360.94</v>
      </c>
      <c r="K1551" s="9" t="n">
        <v>355.41</v>
      </c>
      <c r="L1551" s="9" t="n">
        <v>372.86</v>
      </c>
      <c r="M1551" s="9" t="n">
        <v>338.9</v>
      </c>
      <c r="N1551" s="9" t="n">
        <v>318.34</v>
      </c>
      <c r="O1551" s="9" t="n">
        <v>373.69</v>
      </c>
      <c r="P1551" s="9" t="n">
        <v>335.58</v>
      </c>
      <c r="Q1551" s="9" t="n">
        <v>313.64</v>
      </c>
      <c r="R1551" s="9" t="n">
        <v>403.19</v>
      </c>
      <c r="S1551" s="9" t="n">
        <v>315.97</v>
      </c>
      <c r="T1551" s="9" t="n">
        <v>366.52</v>
      </c>
      <c r="U1551" s="10">
        <f>SUM(I1551:T1551)</f>
        <v/>
      </c>
    </row>
    <row r="1552">
      <c r="A1552" s="2" t="inlineStr">
        <is>
          <t>SN-3000-3400-3410-3410PU0191</t>
        </is>
      </c>
      <c r="B1552" s="2" t="inlineStr">
        <is>
          <t>3410PU0191</t>
        </is>
      </c>
      <c r="C1552" s="2" t="inlineStr">
        <is>
          <t>Bomba sumidero hidróxido de sodio</t>
        </is>
      </c>
      <c r="D1552" s="2" t="n">
        <v>517</v>
      </c>
      <c r="E1552" s="2" t="inlineStr">
        <is>
          <t>CC-3000</t>
        </is>
      </c>
      <c r="F1552" s="2" t="inlineStr">
        <is>
          <t>P01</t>
        </is>
      </c>
      <c r="G1552" s="2" t="n">
        <v>630000</v>
      </c>
      <c r="H1552" s="2" t="inlineStr">
        <is>
          <t>Servicios externos</t>
        </is>
      </c>
      <c r="I1552" s="9" t="n">
        <v>399.44</v>
      </c>
      <c r="J1552" s="9" t="n">
        <v>354.02</v>
      </c>
      <c r="K1552" s="9" t="n">
        <v>394.85</v>
      </c>
      <c r="L1552" s="9" t="n">
        <v>374.35</v>
      </c>
      <c r="M1552" s="9" t="n">
        <v>381.32</v>
      </c>
      <c r="N1552" s="9" t="n">
        <v>390.71</v>
      </c>
      <c r="O1552" s="9" t="n">
        <v>386.89</v>
      </c>
      <c r="P1552" s="9" t="n">
        <v>386</v>
      </c>
      <c r="Q1552" s="9" t="n">
        <v>366.85</v>
      </c>
      <c r="R1552" s="9" t="n">
        <v>426.68</v>
      </c>
      <c r="S1552" s="9" t="n">
        <v>399.63</v>
      </c>
      <c r="T1552" s="9" t="n">
        <v>384.19</v>
      </c>
      <c r="U1552" s="10">
        <f>SUM(I1552:T1552)</f>
        <v/>
      </c>
    </row>
    <row r="1553">
      <c r="A1553" s="2" t="inlineStr">
        <is>
          <t>SN-3000-3400-3410-3410PU0463</t>
        </is>
      </c>
      <c r="B1553" s="2" t="inlineStr">
        <is>
          <t>3410PU0463</t>
        </is>
      </c>
      <c r="C1553" s="2" t="inlineStr">
        <is>
          <t>Bomba descarga camión ácido clorhídrico</t>
        </is>
      </c>
      <c r="D1553" s="2" t="n">
        <v>518</v>
      </c>
      <c r="E1553" s="2" t="inlineStr">
        <is>
          <t>CC-3000</t>
        </is>
      </c>
      <c r="F1553" s="2" t="inlineStr">
        <is>
          <t>P01</t>
        </is>
      </c>
      <c r="G1553" s="2" t="n">
        <v>610000</v>
      </c>
      <c r="H1553" s="2" t="inlineStr">
        <is>
          <t>Mano obra interna</t>
        </is>
      </c>
      <c r="I1553" s="9" t="n">
        <v>625.3200000000001</v>
      </c>
      <c r="J1553" s="9" t="n">
        <v>577.9299999999999</v>
      </c>
      <c r="K1553" s="9" t="n">
        <v>604.84</v>
      </c>
      <c r="L1553" s="9" t="n">
        <v>605.76</v>
      </c>
      <c r="M1553" s="9" t="n">
        <v>611.66</v>
      </c>
      <c r="N1553" s="9" t="n">
        <v>554.5700000000001</v>
      </c>
      <c r="O1553" s="9" t="n">
        <v>647.22</v>
      </c>
      <c r="P1553" s="9" t="n">
        <v>612.97</v>
      </c>
      <c r="Q1553" s="9" t="n">
        <v>602.1799999999999</v>
      </c>
      <c r="R1553" s="9" t="n">
        <v>606.25</v>
      </c>
      <c r="S1553" s="9" t="n">
        <v>572.02</v>
      </c>
      <c r="T1553" s="9" t="n">
        <v>568.1900000000001</v>
      </c>
      <c r="U1553" s="10">
        <f>SUM(I1553:T1553)</f>
        <v/>
      </c>
    </row>
    <row r="1554">
      <c r="A1554" s="2" t="inlineStr">
        <is>
          <t>SN-3000-3400-3410-3410PU0463</t>
        </is>
      </c>
      <c r="B1554" s="2" t="inlineStr">
        <is>
          <t>3410PU0463</t>
        </is>
      </c>
      <c r="C1554" s="2" t="inlineStr">
        <is>
          <t>Bomba descarga camión ácido clorhídrico</t>
        </is>
      </c>
      <c r="D1554" s="2" t="n">
        <v>518</v>
      </c>
      <c r="E1554" s="2" t="inlineStr">
        <is>
          <t>CC-3000</t>
        </is>
      </c>
      <c r="F1554" s="2" t="inlineStr">
        <is>
          <t>P01</t>
        </is>
      </c>
      <c r="G1554" s="2" t="n">
        <v>620000</v>
      </c>
      <c r="H1554" s="2" t="inlineStr">
        <is>
          <t>Materiales</t>
        </is>
      </c>
      <c r="I1554" s="9" t="n">
        <v>530.02</v>
      </c>
      <c r="J1554" s="9" t="n">
        <v>447.5</v>
      </c>
      <c r="K1554" s="9" t="n">
        <v>501.13</v>
      </c>
      <c r="L1554" s="9" t="n">
        <v>470.9</v>
      </c>
      <c r="M1554" s="9" t="n">
        <v>479.23</v>
      </c>
      <c r="N1554" s="9" t="n">
        <v>494.65</v>
      </c>
      <c r="O1554" s="9" t="n">
        <v>500.66</v>
      </c>
      <c r="P1554" s="9" t="n">
        <v>508.98</v>
      </c>
      <c r="Q1554" s="9" t="n">
        <v>445.82</v>
      </c>
      <c r="R1554" s="9" t="n">
        <v>566.89</v>
      </c>
      <c r="S1554" s="9" t="n">
        <v>491.01</v>
      </c>
      <c r="T1554" s="9" t="n">
        <v>491.83</v>
      </c>
      <c r="U1554" s="10">
        <f>SUM(I1554:T1554)</f>
        <v/>
      </c>
    </row>
    <row r="1555">
      <c r="A1555" s="2" t="inlineStr">
        <is>
          <t>SN-3000-3400-3410-3410PU0463</t>
        </is>
      </c>
      <c r="B1555" s="2" t="inlineStr">
        <is>
          <t>3410PU0463</t>
        </is>
      </c>
      <c r="C1555" s="2" t="inlineStr">
        <is>
          <t>Bomba descarga camión ácido clorhídrico</t>
        </is>
      </c>
      <c r="D1555" s="2" t="n">
        <v>518</v>
      </c>
      <c r="E1555" s="2" t="inlineStr">
        <is>
          <t>CC-3000</t>
        </is>
      </c>
      <c r="F1555" s="2" t="inlineStr">
        <is>
          <t>P01</t>
        </is>
      </c>
      <c r="G1555" s="2" t="n">
        <v>630000</v>
      </c>
      <c r="H1555" s="2" t="inlineStr">
        <is>
          <t>Servicios externos</t>
        </is>
      </c>
      <c r="I1555" s="9" t="n">
        <v>555.95</v>
      </c>
      <c r="J1555" s="9" t="n">
        <v>508.82</v>
      </c>
      <c r="K1555" s="9" t="n">
        <v>543.9400000000001</v>
      </c>
      <c r="L1555" s="9" t="n">
        <v>514.73</v>
      </c>
      <c r="M1555" s="9" t="n">
        <v>482.79</v>
      </c>
      <c r="N1555" s="9" t="n">
        <v>505.44</v>
      </c>
      <c r="O1555" s="9" t="n">
        <v>519.4400000000001</v>
      </c>
      <c r="P1555" s="9" t="n">
        <v>510.13</v>
      </c>
      <c r="Q1555" s="9" t="n">
        <v>484.55</v>
      </c>
      <c r="R1555" s="9" t="n">
        <v>524.74</v>
      </c>
      <c r="S1555" s="9" t="n">
        <v>517.34</v>
      </c>
      <c r="T1555" s="9" t="n">
        <v>555.13</v>
      </c>
      <c r="U1555" s="10">
        <f>SUM(I1555:T1555)</f>
        <v/>
      </c>
    </row>
    <row r="1556">
      <c r="A1556" s="2" t="inlineStr">
        <is>
          <t>SN-3000-3400-3410-3410PU0464</t>
        </is>
      </c>
      <c r="B1556" s="2" t="inlineStr">
        <is>
          <t>3410PU0464</t>
        </is>
      </c>
      <c r="C1556" s="2" t="inlineStr">
        <is>
          <t>Bomba descarga camión hidróxido de sodio</t>
        </is>
      </c>
      <c r="D1556" s="2" t="n">
        <v>519</v>
      </c>
      <c r="E1556" s="2" t="inlineStr">
        <is>
          <t>CC-3000</t>
        </is>
      </c>
      <c r="F1556" s="2" t="inlineStr">
        <is>
          <t>P01</t>
        </is>
      </c>
      <c r="G1556" s="2" t="n">
        <v>610000</v>
      </c>
      <c r="H1556" s="2" t="inlineStr">
        <is>
          <t>Mano obra interna</t>
        </is>
      </c>
      <c r="I1556" s="9" t="n">
        <v>1753.84</v>
      </c>
      <c r="J1556" s="9" t="n">
        <v>1715.58</v>
      </c>
      <c r="K1556" s="9" t="n">
        <v>1914.54</v>
      </c>
      <c r="L1556" s="9" t="n">
        <v>1835.05</v>
      </c>
      <c r="M1556" s="9" t="n">
        <v>1763.68</v>
      </c>
      <c r="N1556" s="9" t="n">
        <v>1806.28</v>
      </c>
      <c r="O1556" s="9" t="n">
        <v>1779.55</v>
      </c>
      <c r="P1556" s="9" t="n">
        <v>1771.46</v>
      </c>
      <c r="Q1556" s="9" t="n">
        <v>1525.67</v>
      </c>
      <c r="R1556" s="9" t="n">
        <v>1775.86</v>
      </c>
      <c r="S1556" s="9" t="n">
        <v>1577.14</v>
      </c>
      <c r="T1556" s="9" t="n">
        <v>1913.48</v>
      </c>
      <c r="U1556" s="10">
        <f>SUM(I1556:T1556)</f>
        <v/>
      </c>
    </row>
    <row r="1557">
      <c r="A1557" s="2" t="inlineStr">
        <is>
          <t>SN-3000-3400-3410-3410PU0464</t>
        </is>
      </c>
      <c r="B1557" s="2" t="inlineStr">
        <is>
          <t>3410PU0464</t>
        </is>
      </c>
      <c r="C1557" s="2" t="inlineStr">
        <is>
          <t>Bomba descarga camión hidróxido de sodio</t>
        </is>
      </c>
      <c r="D1557" s="2" t="n">
        <v>519</v>
      </c>
      <c r="E1557" s="2" t="inlineStr">
        <is>
          <t>CC-3000</t>
        </is>
      </c>
      <c r="F1557" s="2" t="inlineStr">
        <is>
          <t>P01</t>
        </is>
      </c>
      <c r="G1557" s="2" t="n">
        <v>620000</v>
      </c>
      <c r="H1557" s="2" t="inlineStr">
        <is>
          <t>Materiales</t>
        </is>
      </c>
      <c r="I1557" s="9" t="n">
        <v>1525.79</v>
      </c>
      <c r="J1557" s="9" t="n">
        <v>1561.2</v>
      </c>
      <c r="K1557" s="9" t="n">
        <v>1576.81</v>
      </c>
      <c r="L1557" s="9" t="n">
        <v>1562.21</v>
      </c>
      <c r="M1557" s="9" t="n">
        <v>1438.26</v>
      </c>
      <c r="N1557" s="9" t="n">
        <v>1512.93</v>
      </c>
      <c r="O1557" s="9" t="n">
        <v>1422.52</v>
      </c>
      <c r="P1557" s="9" t="n">
        <v>1393.75</v>
      </c>
      <c r="Q1557" s="9" t="n">
        <v>1329.36</v>
      </c>
      <c r="R1557" s="9" t="n">
        <v>1559.8</v>
      </c>
      <c r="S1557" s="9" t="n">
        <v>1403.57</v>
      </c>
      <c r="T1557" s="9" t="n">
        <v>1566.09</v>
      </c>
      <c r="U1557" s="10">
        <f>SUM(I1557:T1557)</f>
        <v/>
      </c>
    </row>
    <row r="1558">
      <c r="A1558" s="2" t="inlineStr">
        <is>
          <t>SN-3000-3400-3410-3410PU0464</t>
        </is>
      </c>
      <c r="B1558" s="2" t="inlineStr">
        <is>
          <t>3410PU0464</t>
        </is>
      </c>
      <c r="C1558" s="2" t="inlineStr">
        <is>
          <t>Bomba descarga camión hidróxido de sodio</t>
        </is>
      </c>
      <c r="D1558" s="2" t="n">
        <v>519</v>
      </c>
      <c r="E1558" s="2" t="inlineStr">
        <is>
          <t>CC-3000</t>
        </is>
      </c>
      <c r="F1558" s="2" t="inlineStr">
        <is>
          <t>P01</t>
        </is>
      </c>
      <c r="G1558" s="2" t="n">
        <v>630000</v>
      </c>
      <c r="H1558" s="2" t="inlineStr">
        <is>
          <t>Servicios externos</t>
        </is>
      </c>
      <c r="I1558" s="9" t="n">
        <v>1453.47</v>
      </c>
      <c r="J1558" s="9" t="n">
        <v>1274.48</v>
      </c>
      <c r="K1558" s="9" t="n">
        <v>1347.83</v>
      </c>
      <c r="L1558" s="9" t="n">
        <v>1417.18</v>
      </c>
      <c r="M1558" s="9" t="n">
        <v>1462.83</v>
      </c>
      <c r="N1558" s="9" t="n">
        <v>1399.98</v>
      </c>
      <c r="O1558" s="9" t="n">
        <v>1489.18</v>
      </c>
      <c r="P1558" s="9" t="n">
        <v>1416.93</v>
      </c>
      <c r="Q1558" s="9" t="n">
        <v>1325.2</v>
      </c>
      <c r="R1558" s="9" t="n">
        <v>1523.12</v>
      </c>
      <c r="S1558" s="9" t="n">
        <v>1366.77</v>
      </c>
      <c r="T1558" s="9" t="n">
        <v>1325.87</v>
      </c>
      <c r="U1558" s="10">
        <f>SUM(I1558:T1558)</f>
        <v/>
      </c>
    </row>
    <row r="1559">
      <c r="A1559" s="2" t="inlineStr">
        <is>
          <t>SN-3000-3400-3410-3410SY0015</t>
        </is>
      </c>
      <c r="B1559" s="2" t="inlineStr">
        <is>
          <t>3410SY0015</t>
        </is>
      </c>
      <c r="C1559" s="2" t="inlineStr">
        <is>
          <t>Ducha y lava ojos emergencia</t>
        </is>
      </c>
      <c r="D1559" s="2" t="n">
        <v>520</v>
      </c>
      <c r="E1559" s="2" t="inlineStr">
        <is>
          <t>CC-3000</t>
        </is>
      </c>
      <c r="F1559" s="2" t="inlineStr">
        <is>
          <t>P01</t>
        </is>
      </c>
      <c r="G1559" s="2" t="n">
        <v>610000</v>
      </c>
      <c r="H1559" s="2" t="inlineStr">
        <is>
          <t>Mano obra interna</t>
        </is>
      </c>
      <c r="I1559" s="9" t="n">
        <v>2342.86</v>
      </c>
      <c r="J1559" s="9" t="n">
        <v>2281.07</v>
      </c>
      <c r="K1559" s="9" t="n">
        <v>2420.7</v>
      </c>
      <c r="L1559" s="9" t="n">
        <v>2247.11</v>
      </c>
      <c r="M1559" s="9" t="n">
        <v>2261.44</v>
      </c>
      <c r="N1559" s="9" t="n">
        <v>2078.83</v>
      </c>
      <c r="O1559" s="9" t="n">
        <v>2518.18</v>
      </c>
      <c r="P1559" s="9" t="n">
        <v>2193.31</v>
      </c>
      <c r="Q1559" s="9" t="n">
        <v>2091.97</v>
      </c>
      <c r="R1559" s="9" t="n">
        <v>2678.79</v>
      </c>
      <c r="S1559" s="9" t="n">
        <v>2256.72</v>
      </c>
      <c r="T1559" s="9" t="n">
        <v>2234.04</v>
      </c>
      <c r="U1559" s="10">
        <f>SUM(I1559:T1559)</f>
        <v/>
      </c>
    </row>
    <row r="1560">
      <c r="A1560" s="2" t="inlineStr">
        <is>
          <t>SN-3000-3400-3410-3410SY0015</t>
        </is>
      </c>
      <c r="B1560" s="2" t="inlineStr">
        <is>
          <t>3410SY0015</t>
        </is>
      </c>
      <c r="C1560" s="2" t="inlineStr">
        <is>
          <t>Ducha y lava ojos emergencia</t>
        </is>
      </c>
      <c r="D1560" s="2" t="n">
        <v>520</v>
      </c>
      <c r="E1560" s="2" t="inlineStr">
        <is>
          <t>CC-3000</t>
        </is>
      </c>
      <c r="F1560" s="2" t="inlineStr">
        <is>
          <t>P01</t>
        </is>
      </c>
      <c r="G1560" s="2" t="n">
        <v>620000</v>
      </c>
      <c r="H1560" s="2" t="inlineStr">
        <is>
          <t>Materiales</t>
        </is>
      </c>
      <c r="I1560" s="9" t="n">
        <v>2061.45</v>
      </c>
      <c r="J1560" s="9" t="n">
        <v>2017.38</v>
      </c>
      <c r="K1560" s="9" t="n">
        <v>2060.58</v>
      </c>
      <c r="L1560" s="9" t="n">
        <v>2177.3</v>
      </c>
      <c r="M1560" s="9" t="n">
        <v>2233.81</v>
      </c>
      <c r="N1560" s="9" t="n">
        <v>2085.37</v>
      </c>
      <c r="O1560" s="9" t="n">
        <v>2189.2</v>
      </c>
      <c r="P1560" s="9" t="n">
        <v>2046.99</v>
      </c>
      <c r="Q1560" s="9" t="n">
        <v>1952.85</v>
      </c>
      <c r="R1560" s="9" t="n">
        <v>2448.51</v>
      </c>
      <c r="S1560" s="9" t="n">
        <v>1945.53</v>
      </c>
      <c r="T1560" s="9" t="n">
        <v>2308.6</v>
      </c>
      <c r="U1560" s="10">
        <f>SUM(I1560:T1560)</f>
        <v/>
      </c>
    </row>
    <row r="1561">
      <c r="A1561" s="2" t="inlineStr">
        <is>
          <t>SN-3000-3400-3410-3410SY0015</t>
        </is>
      </c>
      <c r="B1561" s="2" t="inlineStr">
        <is>
          <t>3410SY0015</t>
        </is>
      </c>
      <c r="C1561" s="2" t="inlineStr">
        <is>
          <t>Ducha y lava ojos emergencia</t>
        </is>
      </c>
      <c r="D1561" s="2" t="n">
        <v>520</v>
      </c>
      <c r="E1561" s="2" t="inlineStr">
        <is>
          <t>CC-3000</t>
        </is>
      </c>
      <c r="F1561" s="2" t="inlineStr">
        <is>
          <t>P01</t>
        </is>
      </c>
      <c r="G1561" s="2" t="n">
        <v>630000</v>
      </c>
      <c r="H1561" s="2" t="inlineStr">
        <is>
          <t>Servicios externos</t>
        </is>
      </c>
      <c r="I1561" s="9" t="n">
        <v>2337.62</v>
      </c>
      <c r="J1561" s="9" t="n">
        <v>2077.47</v>
      </c>
      <c r="K1561" s="9" t="n">
        <v>2183.63</v>
      </c>
      <c r="L1561" s="9" t="n">
        <v>2309.97</v>
      </c>
      <c r="M1561" s="9" t="n">
        <v>2248.25</v>
      </c>
      <c r="N1561" s="9" t="n">
        <v>1987.37</v>
      </c>
      <c r="O1561" s="9" t="n">
        <v>2338.12</v>
      </c>
      <c r="P1561" s="9" t="n">
        <v>2026.72</v>
      </c>
      <c r="Q1561" s="9" t="n">
        <v>1882.86</v>
      </c>
      <c r="R1561" s="9" t="n">
        <v>2378.88</v>
      </c>
      <c r="S1561" s="9" t="n">
        <v>2178.25</v>
      </c>
      <c r="T1561" s="9" t="n">
        <v>2367.53</v>
      </c>
      <c r="U1561" s="10">
        <f>SUM(I1561:T1561)</f>
        <v/>
      </c>
    </row>
    <row r="1562">
      <c r="A1562" s="2" t="inlineStr">
        <is>
          <t>SN-3000-3400-3410-3410SY0016</t>
        </is>
      </c>
      <c r="B1562" s="2" t="inlineStr">
        <is>
          <t>3410SY0016</t>
        </is>
      </c>
      <c r="C1562" s="2" t="inlineStr">
        <is>
          <t>Ducha y lava ojos emergencia</t>
        </is>
      </c>
      <c r="D1562" s="2" t="n">
        <v>521</v>
      </c>
      <c r="E1562" s="2" t="inlineStr">
        <is>
          <t>CC-3000</t>
        </is>
      </c>
      <c r="F1562" s="2" t="inlineStr">
        <is>
          <t>P01</t>
        </is>
      </c>
      <c r="G1562" s="2" t="n">
        <v>610000</v>
      </c>
      <c r="H1562" s="2" t="inlineStr">
        <is>
          <t>Mano obra interna</t>
        </is>
      </c>
      <c r="I1562" s="9" t="n">
        <v>1713.21</v>
      </c>
      <c r="J1562" s="9" t="n">
        <v>1818.12</v>
      </c>
      <c r="K1562" s="9" t="n">
        <v>1810.59</v>
      </c>
      <c r="L1562" s="9" t="n">
        <v>1836.29</v>
      </c>
      <c r="M1562" s="9" t="n">
        <v>1794.07</v>
      </c>
      <c r="N1562" s="9" t="n">
        <v>1615.39</v>
      </c>
      <c r="O1562" s="9" t="n">
        <v>1812.92</v>
      </c>
      <c r="P1562" s="9" t="n">
        <v>1793.42</v>
      </c>
      <c r="Q1562" s="9" t="n">
        <v>1748.12</v>
      </c>
      <c r="R1562" s="9" t="n">
        <v>2004.25</v>
      </c>
      <c r="S1562" s="9" t="n">
        <v>1669.62</v>
      </c>
      <c r="T1562" s="9" t="n">
        <v>1756.48</v>
      </c>
      <c r="U1562" s="10">
        <f>SUM(I1562:T1562)</f>
        <v/>
      </c>
    </row>
    <row r="1563">
      <c r="A1563" s="2" t="inlineStr">
        <is>
          <t>SN-3000-3400-3410-3410SY0016</t>
        </is>
      </c>
      <c r="B1563" s="2" t="inlineStr">
        <is>
          <t>3410SY0016</t>
        </is>
      </c>
      <c r="C1563" s="2" t="inlineStr">
        <is>
          <t>Ducha y lava ojos emergencia</t>
        </is>
      </c>
      <c r="D1563" s="2" t="n">
        <v>521</v>
      </c>
      <c r="E1563" s="2" t="inlineStr">
        <is>
          <t>CC-3000</t>
        </is>
      </c>
      <c r="F1563" s="2" t="inlineStr">
        <is>
          <t>P01</t>
        </is>
      </c>
      <c r="G1563" s="2" t="n">
        <v>620000</v>
      </c>
      <c r="H1563" s="2" t="inlineStr">
        <is>
          <t>Materiales</t>
        </is>
      </c>
      <c r="I1563" s="9" t="n">
        <v>1568.92</v>
      </c>
      <c r="J1563" s="9" t="n">
        <v>1635.71</v>
      </c>
      <c r="K1563" s="9" t="n">
        <v>1803.59</v>
      </c>
      <c r="L1563" s="9" t="n">
        <v>1696.12</v>
      </c>
      <c r="M1563" s="9" t="n">
        <v>1630.72</v>
      </c>
      <c r="N1563" s="9" t="n">
        <v>1526.61</v>
      </c>
      <c r="O1563" s="9" t="n">
        <v>1572.24</v>
      </c>
      <c r="P1563" s="9" t="n">
        <v>1725.37</v>
      </c>
      <c r="Q1563" s="9" t="n">
        <v>1621.29</v>
      </c>
      <c r="R1563" s="9" t="n">
        <v>1746.26</v>
      </c>
      <c r="S1563" s="9" t="n">
        <v>1515.72</v>
      </c>
      <c r="T1563" s="9" t="n">
        <v>1715.22</v>
      </c>
      <c r="U1563" s="10">
        <f>SUM(I1563:T1563)</f>
        <v/>
      </c>
    </row>
    <row r="1564">
      <c r="A1564" s="2" t="inlineStr">
        <is>
          <t>SN-3000-3400-3410-3410SY0016</t>
        </is>
      </c>
      <c r="B1564" s="2" t="inlineStr">
        <is>
          <t>3410SY0016</t>
        </is>
      </c>
      <c r="C1564" s="2" t="inlineStr">
        <is>
          <t>Ducha y lava ojos emergencia</t>
        </is>
      </c>
      <c r="D1564" s="2" t="n">
        <v>521</v>
      </c>
      <c r="E1564" s="2" t="inlineStr">
        <is>
          <t>CC-3000</t>
        </is>
      </c>
      <c r="F1564" s="2" t="inlineStr">
        <is>
          <t>P01</t>
        </is>
      </c>
      <c r="G1564" s="2" t="n">
        <v>630000</v>
      </c>
      <c r="H1564" s="2" t="inlineStr">
        <is>
          <t>Servicios externos</t>
        </is>
      </c>
      <c r="I1564" s="9" t="n">
        <v>1664.13</v>
      </c>
      <c r="J1564" s="9" t="n">
        <v>1618.61</v>
      </c>
      <c r="K1564" s="9" t="n">
        <v>1516.36</v>
      </c>
      <c r="L1564" s="9" t="n">
        <v>1720.1</v>
      </c>
      <c r="M1564" s="9" t="n">
        <v>1667.74</v>
      </c>
      <c r="N1564" s="9" t="n">
        <v>1599.46</v>
      </c>
      <c r="O1564" s="9" t="n">
        <v>1563.41</v>
      </c>
      <c r="P1564" s="9" t="n">
        <v>1499.05</v>
      </c>
      <c r="Q1564" s="9" t="n">
        <v>1474.71</v>
      </c>
      <c r="R1564" s="9" t="n">
        <v>1664.73</v>
      </c>
      <c r="S1564" s="9" t="n">
        <v>1442.54</v>
      </c>
      <c r="T1564" s="9" t="n">
        <v>1567.53</v>
      </c>
      <c r="U1564" s="10">
        <f>SUM(I1564:T1564)</f>
        <v/>
      </c>
    </row>
    <row r="1565">
      <c r="A1565" s="2" t="inlineStr">
        <is>
          <t>SN-3000-3400-3410-3410SY0041</t>
        </is>
      </c>
      <c r="B1565" s="2" t="inlineStr">
        <is>
          <t>3410SY0041</t>
        </is>
      </c>
      <c r="C1565" s="2" t="inlineStr">
        <is>
          <t>Ducha y lava ojos emergencia</t>
        </is>
      </c>
      <c r="D1565" s="2" t="n">
        <v>522</v>
      </c>
      <c r="E1565" s="2" t="inlineStr">
        <is>
          <t>CC-3000</t>
        </is>
      </c>
      <c r="F1565" s="2" t="inlineStr">
        <is>
          <t>P01</t>
        </is>
      </c>
      <c r="G1565" s="2" t="n">
        <v>610000</v>
      </c>
      <c r="H1565" s="2" t="inlineStr">
        <is>
          <t>Mano obra interna</t>
        </is>
      </c>
      <c r="I1565" s="9" t="n">
        <v>1621.48</v>
      </c>
      <c r="J1565" s="9" t="n">
        <v>1634.87</v>
      </c>
      <c r="K1565" s="9" t="n">
        <v>1623.68</v>
      </c>
      <c r="L1565" s="9" t="n">
        <v>1812.64</v>
      </c>
      <c r="M1565" s="9" t="n">
        <v>1725.81</v>
      </c>
      <c r="N1565" s="9" t="n">
        <v>1516.44</v>
      </c>
      <c r="O1565" s="9" t="n">
        <v>1833.1</v>
      </c>
      <c r="P1565" s="9" t="n">
        <v>1574.02</v>
      </c>
      <c r="Q1565" s="9" t="n">
        <v>1610.42</v>
      </c>
      <c r="R1565" s="9" t="n">
        <v>1920.54</v>
      </c>
      <c r="S1565" s="9" t="n">
        <v>1727.04</v>
      </c>
      <c r="T1565" s="9" t="n">
        <v>1601.81</v>
      </c>
      <c r="U1565" s="10">
        <f>SUM(I1565:T1565)</f>
        <v/>
      </c>
    </row>
    <row r="1566">
      <c r="A1566" s="2" t="inlineStr">
        <is>
          <t>SN-3000-3400-3410-3410SY0041</t>
        </is>
      </c>
      <c r="B1566" s="2" t="inlineStr">
        <is>
          <t>3410SY0041</t>
        </is>
      </c>
      <c r="C1566" s="2" t="inlineStr">
        <is>
          <t>Ducha y lava ojos emergencia</t>
        </is>
      </c>
      <c r="D1566" s="2" t="n">
        <v>522</v>
      </c>
      <c r="E1566" s="2" t="inlineStr">
        <is>
          <t>CC-3000</t>
        </is>
      </c>
      <c r="F1566" s="2" t="inlineStr">
        <is>
          <t>P01</t>
        </is>
      </c>
      <c r="G1566" s="2" t="n">
        <v>620000</v>
      </c>
      <c r="H1566" s="2" t="inlineStr">
        <is>
          <t>Materiales</t>
        </is>
      </c>
      <c r="I1566" s="9" t="n">
        <v>1924.77</v>
      </c>
      <c r="J1566" s="9" t="n">
        <v>1757.49</v>
      </c>
      <c r="K1566" s="9" t="n">
        <v>1817.84</v>
      </c>
      <c r="L1566" s="9" t="n">
        <v>1674.58</v>
      </c>
      <c r="M1566" s="9" t="n">
        <v>1766.21</v>
      </c>
      <c r="N1566" s="9" t="n">
        <v>1665.02</v>
      </c>
      <c r="O1566" s="9" t="n">
        <v>1845.12</v>
      </c>
      <c r="P1566" s="9" t="n">
        <v>1738.67</v>
      </c>
      <c r="Q1566" s="9" t="n">
        <v>1693.32</v>
      </c>
      <c r="R1566" s="9" t="n">
        <v>1784.2</v>
      </c>
      <c r="S1566" s="9" t="n">
        <v>1610.25</v>
      </c>
      <c r="T1566" s="9" t="n">
        <v>1690</v>
      </c>
      <c r="U1566" s="10">
        <f>SUM(I1566:T1566)</f>
        <v/>
      </c>
    </row>
    <row r="1567">
      <c r="A1567" s="2" t="inlineStr">
        <is>
          <t>SN-3000-3400-3410-3410SY0041</t>
        </is>
      </c>
      <c r="B1567" s="2" t="inlineStr">
        <is>
          <t>3410SY0041</t>
        </is>
      </c>
      <c r="C1567" s="2" t="inlineStr">
        <is>
          <t>Ducha y lava ojos emergencia</t>
        </is>
      </c>
      <c r="D1567" s="2" t="n">
        <v>522</v>
      </c>
      <c r="E1567" s="2" t="inlineStr">
        <is>
          <t>CC-3000</t>
        </is>
      </c>
      <c r="F1567" s="2" t="inlineStr">
        <is>
          <t>P01</t>
        </is>
      </c>
      <c r="G1567" s="2" t="n">
        <v>630000</v>
      </c>
      <c r="H1567" s="2" t="inlineStr">
        <is>
          <t>Servicios externos</t>
        </is>
      </c>
      <c r="I1567" s="9" t="n">
        <v>1388.4</v>
      </c>
      <c r="J1567" s="9" t="n">
        <v>1393.24</v>
      </c>
      <c r="K1567" s="9" t="n">
        <v>1418.49</v>
      </c>
      <c r="L1567" s="9" t="n">
        <v>1397.46</v>
      </c>
      <c r="M1567" s="9" t="n">
        <v>1375.78</v>
      </c>
      <c r="N1567" s="9" t="n">
        <v>1258.61</v>
      </c>
      <c r="O1567" s="9" t="n">
        <v>1321.87</v>
      </c>
      <c r="P1567" s="9" t="n">
        <v>1309.98</v>
      </c>
      <c r="Q1567" s="9" t="n">
        <v>1300.4</v>
      </c>
      <c r="R1567" s="9" t="n">
        <v>1378.19</v>
      </c>
      <c r="S1567" s="9" t="n">
        <v>1206.05</v>
      </c>
      <c r="T1567" s="9" t="n">
        <v>1392.28</v>
      </c>
      <c r="U1567" s="10">
        <f>SUM(I1567:T1567)</f>
        <v/>
      </c>
    </row>
    <row r="1568">
      <c r="A1568" s="2" t="inlineStr">
        <is>
          <t>SN-3000-3400-3410-3410SY0042</t>
        </is>
      </c>
      <c r="B1568" s="2" t="inlineStr">
        <is>
          <t>3410SY0042</t>
        </is>
      </c>
      <c r="C1568" s="2" t="inlineStr">
        <is>
          <t>Lava ojos emergencia</t>
        </is>
      </c>
      <c r="D1568" s="2" t="n">
        <v>523</v>
      </c>
      <c r="E1568" s="2" t="inlineStr">
        <is>
          <t>CC-3000</t>
        </is>
      </c>
      <c r="F1568" s="2" t="inlineStr">
        <is>
          <t>P01</t>
        </is>
      </c>
      <c r="G1568" s="2" t="n">
        <v>610000</v>
      </c>
      <c r="H1568" s="2" t="inlineStr">
        <is>
          <t>Mano obra interna</t>
        </is>
      </c>
      <c r="I1568" s="9" t="n">
        <v>3079.01</v>
      </c>
      <c r="J1568" s="9" t="n">
        <v>3051.52</v>
      </c>
      <c r="K1568" s="9" t="n">
        <v>3142.59</v>
      </c>
      <c r="L1568" s="9" t="n">
        <v>3028.36</v>
      </c>
      <c r="M1568" s="9" t="n">
        <v>3036.1</v>
      </c>
      <c r="N1568" s="9" t="n">
        <v>2980.99</v>
      </c>
      <c r="O1568" s="9" t="n">
        <v>2834.98</v>
      </c>
      <c r="P1568" s="9" t="n">
        <v>2884.38</v>
      </c>
      <c r="Q1568" s="9" t="n">
        <v>2637.38</v>
      </c>
      <c r="R1568" s="9" t="n">
        <v>3172.26</v>
      </c>
      <c r="S1568" s="9" t="n">
        <v>3046.38</v>
      </c>
      <c r="T1568" s="9" t="n">
        <v>2933.76</v>
      </c>
      <c r="U1568" s="10">
        <f>SUM(I1568:T1568)</f>
        <v/>
      </c>
    </row>
    <row r="1569">
      <c r="A1569" s="2" t="inlineStr">
        <is>
          <t>SN-3000-3400-3410-3410SY0042</t>
        </is>
      </c>
      <c r="B1569" s="2" t="inlineStr">
        <is>
          <t>3410SY0042</t>
        </is>
      </c>
      <c r="C1569" s="2" t="inlineStr">
        <is>
          <t>Lava ojos emergencia</t>
        </is>
      </c>
      <c r="D1569" s="2" t="n">
        <v>523</v>
      </c>
      <c r="E1569" s="2" t="inlineStr">
        <is>
          <t>CC-3000</t>
        </is>
      </c>
      <c r="F1569" s="2" t="inlineStr">
        <is>
          <t>P01</t>
        </is>
      </c>
      <c r="G1569" s="2" t="n">
        <v>620000</v>
      </c>
      <c r="H1569" s="2" t="inlineStr">
        <is>
          <t>Materiales</t>
        </is>
      </c>
      <c r="I1569" s="9" t="n">
        <v>2622.1</v>
      </c>
      <c r="J1569" s="9" t="n">
        <v>2397.65</v>
      </c>
      <c r="K1569" s="9" t="n">
        <v>2519.59</v>
      </c>
      <c r="L1569" s="9" t="n">
        <v>2625.36</v>
      </c>
      <c r="M1569" s="9" t="n">
        <v>2399.77</v>
      </c>
      <c r="N1569" s="9" t="n">
        <v>2389.29</v>
      </c>
      <c r="O1569" s="9" t="n">
        <v>2268.56</v>
      </c>
      <c r="P1569" s="9" t="n">
        <v>2301.94</v>
      </c>
      <c r="Q1569" s="9" t="n">
        <v>2226.08</v>
      </c>
      <c r="R1569" s="9" t="n">
        <v>2616.83</v>
      </c>
      <c r="S1569" s="9" t="n">
        <v>2526.16</v>
      </c>
      <c r="T1569" s="9" t="n">
        <v>2650.19</v>
      </c>
      <c r="U1569" s="10">
        <f>SUM(I1569:T1569)</f>
        <v/>
      </c>
    </row>
    <row r="1570">
      <c r="A1570" s="2" t="inlineStr">
        <is>
          <t>SN-3000-3400-3410-3410SY0042</t>
        </is>
      </c>
      <c r="B1570" s="2" t="inlineStr">
        <is>
          <t>3410SY0042</t>
        </is>
      </c>
      <c r="C1570" s="2" t="inlineStr">
        <is>
          <t>Lava ojos emergencia</t>
        </is>
      </c>
      <c r="D1570" s="2" t="n">
        <v>523</v>
      </c>
      <c r="E1570" s="2" t="inlineStr">
        <is>
          <t>CC-3000</t>
        </is>
      </c>
      <c r="F1570" s="2" t="inlineStr">
        <is>
          <t>P01</t>
        </is>
      </c>
      <c r="G1570" s="2" t="n">
        <v>630000</v>
      </c>
      <c r="H1570" s="2" t="inlineStr">
        <is>
          <t>Servicios externos</t>
        </is>
      </c>
      <c r="I1570" s="9" t="n">
        <v>2784.92</v>
      </c>
      <c r="J1570" s="9" t="n">
        <v>2973.96</v>
      </c>
      <c r="K1570" s="9" t="n">
        <v>2987.79</v>
      </c>
      <c r="L1570" s="9" t="n">
        <v>2823.74</v>
      </c>
      <c r="M1570" s="9" t="n">
        <v>2871.68</v>
      </c>
      <c r="N1570" s="9" t="n">
        <v>2479.6</v>
      </c>
      <c r="O1570" s="9" t="n">
        <v>2653.04</v>
      </c>
      <c r="P1570" s="9" t="n">
        <v>2957.06</v>
      </c>
      <c r="Q1570" s="9" t="n">
        <v>2677.63</v>
      </c>
      <c r="R1570" s="9" t="n">
        <v>2965.57</v>
      </c>
      <c r="S1570" s="9" t="n">
        <v>2721.51</v>
      </c>
      <c r="T1570" s="9" t="n">
        <v>3037.65</v>
      </c>
      <c r="U1570" s="10">
        <f>SUM(I1570:T1570)</f>
        <v/>
      </c>
    </row>
    <row r="1571">
      <c r="A1571" s="2" t="inlineStr">
        <is>
          <t>SN-3000-3400-3410-3410TK0017</t>
        </is>
      </c>
      <c r="B1571" s="2" t="inlineStr">
        <is>
          <t>3410TK0017</t>
        </is>
      </c>
      <c r="C1571" s="2" t="inlineStr">
        <is>
          <t>Estanque hidróxido de sodio</t>
        </is>
      </c>
      <c r="D1571" s="2" t="n">
        <v>524</v>
      </c>
      <c r="E1571" s="2" t="inlineStr">
        <is>
          <t>CC-3000</t>
        </is>
      </c>
      <c r="F1571" s="2" t="inlineStr">
        <is>
          <t>P01</t>
        </is>
      </c>
      <c r="G1571" s="2" t="n">
        <v>610000</v>
      </c>
      <c r="H1571" s="2" t="inlineStr">
        <is>
          <t>Mano obra interna</t>
        </is>
      </c>
      <c r="I1571" s="9" t="n">
        <v>1116.06</v>
      </c>
      <c r="J1571" s="9" t="n">
        <v>1028.06</v>
      </c>
      <c r="K1571" s="9" t="n">
        <v>1108.71</v>
      </c>
      <c r="L1571" s="9" t="n">
        <v>1222.82</v>
      </c>
      <c r="M1571" s="9" t="n">
        <v>1088.86</v>
      </c>
      <c r="N1571" s="9" t="n">
        <v>1057.77</v>
      </c>
      <c r="O1571" s="9" t="n">
        <v>1111.64</v>
      </c>
      <c r="P1571" s="9" t="n">
        <v>1178.8</v>
      </c>
      <c r="Q1571" s="9" t="n">
        <v>1051.76</v>
      </c>
      <c r="R1571" s="9" t="n">
        <v>1235.68</v>
      </c>
      <c r="S1571" s="9" t="n">
        <v>1056.85</v>
      </c>
      <c r="T1571" s="9" t="n">
        <v>1042.9</v>
      </c>
      <c r="U1571" s="10">
        <f>SUM(I1571:T1571)</f>
        <v/>
      </c>
    </row>
    <row r="1572">
      <c r="A1572" s="2" t="inlineStr">
        <is>
          <t>SN-3000-3400-3410-3410TK0017</t>
        </is>
      </c>
      <c r="B1572" s="2" t="inlineStr">
        <is>
          <t>3410TK0017</t>
        </is>
      </c>
      <c r="C1572" s="2" t="inlineStr">
        <is>
          <t>Estanque hidróxido de sodio</t>
        </is>
      </c>
      <c r="D1572" s="2" t="n">
        <v>524</v>
      </c>
      <c r="E1572" s="2" t="inlineStr">
        <is>
          <t>CC-3000</t>
        </is>
      </c>
      <c r="F1572" s="2" t="inlineStr">
        <is>
          <t>P01</t>
        </is>
      </c>
      <c r="G1572" s="2" t="n">
        <v>620000</v>
      </c>
      <c r="H1572" s="2" t="inlineStr">
        <is>
          <t>Materiales</t>
        </is>
      </c>
      <c r="I1572" s="9" t="n">
        <v>1236.8</v>
      </c>
      <c r="J1572" s="9" t="n">
        <v>1193.2</v>
      </c>
      <c r="K1572" s="9" t="n">
        <v>1248.86</v>
      </c>
      <c r="L1572" s="9" t="n">
        <v>1213.5</v>
      </c>
      <c r="M1572" s="9" t="n">
        <v>1151.66</v>
      </c>
      <c r="N1572" s="9" t="n">
        <v>1140.23</v>
      </c>
      <c r="O1572" s="9" t="n">
        <v>1149.02</v>
      </c>
      <c r="P1572" s="9" t="n">
        <v>1063.4</v>
      </c>
      <c r="Q1572" s="9" t="n">
        <v>1033.87</v>
      </c>
      <c r="R1572" s="9" t="n">
        <v>1310.88</v>
      </c>
      <c r="S1572" s="9" t="n">
        <v>1068.16</v>
      </c>
      <c r="T1572" s="9" t="n">
        <v>1214.61</v>
      </c>
      <c r="U1572" s="10">
        <f>SUM(I1572:T1572)</f>
        <v/>
      </c>
    </row>
    <row r="1573">
      <c r="A1573" s="2" t="inlineStr">
        <is>
          <t>SN-3000-3400-3410-3410TK0017</t>
        </is>
      </c>
      <c r="B1573" s="2" t="inlineStr">
        <is>
          <t>3410TK0017</t>
        </is>
      </c>
      <c r="C1573" s="2" t="inlineStr">
        <is>
          <t>Estanque hidróxido de sodio</t>
        </is>
      </c>
      <c r="D1573" s="2" t="n">
        <v>524</v>
      </c>
      <c r="E1573" s="2" t="inlineStr">
        <is>
          <t>CC-3000</t>
        </is>
      </c>
      <c r="F1573" s="2" t="inlineStr">
        <is>
          <t>P01</t>
        </is>
      </c>
      <c r="G1573" s="2" t="n">
        <v>630000</v>
      </c>
      <c r="H1573" s="2" t="inlineStr">
        <is>
          <t>Servicios externos</t>
        </is>
      </c>
      <c r="I1573" s="9" t="n">
        <v>924.95</v>
      </c>
      <c r="J1573" s="9" t="n">
        <v>894.8</v>
      </c>
      <c r="K1573" s="9" t="n">
        <v>891.3200000000001</v>
      </c>
      <c r="L1573" s="9" t="n">
        <v>893.3</v>
      </c>
      <c r="M1573" s="9" t="n">
        <v>875.91</v>
      </c>
      <c r="N1573" s="9" t="n">
        <v>937.96</v>
      </c>
      <c r="O1573" s="9" t="n">
        <v>866.13</v>
      </c>
      <c r="P1573" s="9" t="n">
        <v>900.11</v>
      </c>
      <c r="Q1573" s="9" t="n">
        <v>798.52</v>
      </c>
      <c r="R1573" s="9" t="n">
        <v>1035.17</v>
      </c>
      <c r="S1573" s="9" t="n">
        <v>918.38</v>
      </c>
      <c r="T1573" s="9" t="n">
        <v>966.49</v>
      </c>
      <c r="U1573" s="10">
        <f>SUM(I1573:T1573)</f>
        <v/>
      </c>
    </row>
    <row r="1574">
      <c r="A1574" s="2" t="inlineStr">
        <is>
          <t>SN-3000-3400-3410-3410TK0018</t>
        </is>
      </c>
      <c r="B1574" s="2" t="inlineStr">
        <is>
          <t>3410TK0018</t>
        </is>
      </c>
      <c r="C1574" s="2" t="inlineStr">
        <is>
          <t>Estanque ácido clorhídrico</t>
        </is>
      </c>
      <c r="D1574" s="2" t="n">
        <v>525</v>
      </c>
      <c r="E1574" s="2" t="inlineStr">
        <is>
          <t>CC-3000</t>
        </is>
      </c>
      <c r="F1574" s="2" t="inlineStr">
        <is>
          <t>P01</t>
        </is>
      </c>
      <c r="G1574" s="2" t="n">
        <v>610000</v>
      </c>
      <c r="H1574" s="2" t="inlineStr">
        <is>
          <t>Mano obra interna</t>
        </is>
      </c>
      <c r="I1574" s="9" t="n">
        <v>2633.95</v>
      </c>
      <c r="J1574" s="9" t="n">
        <v>2759.48</v>
      </c>
      <c r="K1574" s="9" t="n">
        <v>2931.13</v>
      </c>
      <c r="L1574" s="9" t="n">
        <v>2606.21</v>
      </c>
      <c r="M1574" s="9" t="n">
        <v>2672.86</v>
      </c>
      <c r="N1574" s="9" t="n">
        <v>2483.56</v>
      </c>
      <c r="O1574" s="9" t="n">
        <v>2563.94</v>
      </c>
      <c r="P1574" s="9" t="n">
        <v>2805.87</v>
      </c>
      <c r="Q1574" s="9" t="n">
        <v>2534.78</v>
      </c>
      <c r="R1574" s="9" t="n">
        <v>2786.22</v>
      </c>
      <c r="S1574" s="9" t="n">
        <v>2540.41</v>
      </c>
      <c r="T1574" s="9" t="n">
        <v>2951.77</v>
      </c>
      <c r="U1574" s="10">
        <f>SUM(I1574:T1574)</f>
        <v/>
      </c>
    </row>
    <row r="1575">
      <c r="A1575" s="2" t="inlineStr">
        <is>
          <t>SN-3000-3400-3410-3410TK0018</t>
        </is>
      </c>
      <c r="B1575" s="2" t="inlineStr">
        <is>
          <t>3410TK0018</t>
        </is>
      </c>
      <c r="C1575" s="2" t="inlineStr">
        <is>
          <t>Estanque ácido clorhídrico</t>
        </is>
      </c>
      <c r="D1575" s="2" t="n">
        <v>525</v>
      </c>
      <c r="E1575" s="2" t="inlineStr">
        <is>
          <t>CC-3000</t>
        </is>
      </c>
      <c r="F1575" s="2" t="inlineStr">
        <is>
          <t>P01</t>
        </is>
      </c>
      <c r="G1575" s="2" t="n">
        <v>620000</v>
      </c>
      <c r="H1575" s="2" t="inlineStr">
        <is>
          <t>Materiales</t>
        </is>
      </c>
      <c r="I1575" s="9" t="n">
        <v>3282.09</v>
      </c>
      <c r="J1575" s="9" t="n">
        <v>2965.83</v>
      </c>
      <c r="K1575" s="9" t="n">
        <v>3188.66</v>
      </c>
      <c r="L1575" s="9" t="n">
        <v>3036.56</v>
      </c>
      <c r="M1575" s="9" t="n">
        <v>2796.81</v>
      </c>
      <c r="N1575" s="9" t="n">
        <v>2851.8</v>
      </c>
      <c r="O1575" s="9" t="n">
        <v>3077.78</v>
      </c>
      <c r="P1575" s="9" t="n">
        <v>2925.41</v>
      </c>
      <c r="Q1575" s="9" t="n">
        <v>2978.39</v>
      </c>
      <c r="R1575" s="9" t="n">
        <v>3086.05</v>
      </c>
      <c r="S1575" s="9" t="n">
        <v>2871.65</v>
      </c>
      <c r="T1575" s="9" t="n">
        <v>2891.22</v>
      </c>
      <c r="U1575" s="10">
        <f>SUM(I1575:T1575)</f>
        <v/>
      </c>
    </row>
    <row r="1576">
      <c r="A1576" s="2" t="inlineStr">
        <is>
          <t>SN-3000-3400-3410-3410TK0018</t>
        </is>
      </c>
      <c r="B1576" s="2" t="inlineStr">
        <is>
          <t>3410TK0018</t>
        </is>
      </c>
      <c r="C1576" s="2" t="inlineStr">
        <is>
          <t>Estanque ácido clorhídrico</t>
        </is>
      </c>
      <c r="D1576" s="2" t="n">
        <v>525</v>
      </c>
      <c r="E1576" s="2" t="inlineStr">
        <is>
          <t>CC-3000</t>
        </is>
      </c>
      <c r="F1576" s="2" t="inlineStr">
        <is>
          <t>P01</t>
        </is>
      </c>
      <c r="G1576" s="2" t="n">
        <v>630000</v>
      </c>
      <c r="H1576" s="2" t="inlineStr">
        <is>
          <t>Servicios externos</t>
        </is>
      </c>
      <c r="I1576" s="9" t="n">
        <v>2522.55</v>
      </c>
      <c r="J1576" s="9" t="n">
        <v>2531.52</v>
      </c>
      <c r="K1576" s="9" t="n">
        <v>2708.22</v>
      </c>
      <c r="L1576" s="9" t="n">
        <v>2716.8</v>
      </c>
      <c r="M1576" s="9" t="n">
        <v>2658.38</v>
      </c>
      <c r="N1576" s="9" t="n">
        <v>2458.51</v>
      </c>
      <c r="O1576" s="9" t="n">
        <v>2678.56</v>
      </c>
      <c r="P1576" s="9" t="n">
        <v>2669.37</v>
      </c>
      <c r="Q1576" s="9" t="n">
        <v>2410.1</v>
      </c>
      <c r="R1576" s="9" t="n">
        <v>3028.7</v>
      </c>
      <c r="S1576" s="9" t="n">
        <v>2601.19</v>
      </c>
      <c r="T1576" s="9" t="n">
        <v>2634.47</v>
      </c>
      <c r="U1576" s="10">
        <f>SUM(I1576:T1576)</f>
        <v/>
      </c>
    </row>
    <row r="1577">
      <c r="A1577" s="2" t="inlineStr">
        <is>
          <t>SN-3000-3400-3410-3410TK0071</t>
        </is>
      </c>
      <c r="B1577" s="2" t="inlineStr">
        <is>
          <t>3410TK0071</t>
        </is>
      </c>
      <c r="C1577" s="2" t="inlineStr">
        <is>
          <t>Estanque ácido diluido</t>
        </is>
      </c>
      <c r="D1577" s="2" t="n">
        <v>526</v>
      </c>
      <c r="E1577" s="2" t="inlineStr">
        <is>
          <t>CC-3000</t>
        </is>
      </c>
      <c r="F1577" s="2" t="inlineStr">
        <is>
          <t>P01</t>
        </is>
      </c>
      <c r="G1577" s="2" t="n">
        <v>610000</v>
      </c>
      <c r="H1577" s="2" t="inlineStr">
        <is>
          <t>Mano obra interna</t>
        </is>
      </c>
      <c r="I1577" s="9" t="n">
        <v>2392.96</v>
      </c>
      <c r="J1577" s="9" t="n">
        <v>2356.73</v>
      </c>
      <c r="K1577" s="9" t="n">
        <v>2362.21</v>
      </c>
      <c r="L1577" s="9" t="n">
        <v>2226.17</v>
      </c>
      <c r="M1577" s="9" t="n">
        <v>2121.38</v>
      </c>
      <c r="N1577" s="9" t="n">
        <v>2179.34</v>
      </c>
      <c r="O1577" s="9" t="n">
        <v>2393.42</v>
      </c>
      <c r="P1577" s="9" t="n">
        <v>2264.78</v>
      </c>
      <c r="Q1577" s="9" t="n">
        <v>2194.15</v>
      </c>
      <c r="R1577" s="9" t="n">
        <v>2330.15</v>
      </c>
      <c r="S1577" s="9" t="n">
        <v>2118.48</v>
      </c>
      <c r="T1577" s="9" t="n">
        <v>2400.97</v>
      </c>
      <c r="U1577" s="10">
        <f>SUM(I1577:T1577)</f>
        <v/>
      </c>
    </row>
    <row r="1578">
      <c r="A1578" s="2" t="inlineStr">
        <is>
          <t>SN-3000-3400-3410-3410TK0071</t>
        </is>
      </c>
      <c r="B1578" s="2" t="inlineStr">
        <is>
          <t>3410TK0071</t>
        </is>
      </c>
      <c r="C1578" s="2" t="inlineStr">
        <is>
          <t>Estanque ácido diluido</t>
        </is>
      </c>
      <c r="D1578" s="2" t="n">
        <v>526</v>
      </c>
      <c r="E1578" s="2" t="inlineStr">
        <is>
          <t>CC-3000</t>
        </is>
      </c>
      <c r="F1578" s="2" t="inlineStr">
        <is>
          <t>P01</t>
        </is>
      </c>
      <c r="G1578" s="2" t="n">
        <v>620000</v>
      </c>
      <c r="H1578" s="2" t="inlineStr">
        <is>
          <t>Materiales</t>
        </is>
      </c>
      <c r="I1578" s="9" t="n">
        <v>2300.32</v>
      </c>
      <c r="J1578" s="9" t="n">
        <v>2151.1</v>
      </c>
      <c r="K1578" s="9" t="n">
        <v>2140.62</v>
      </c>
      <c r="L1578" s="9" t="n">
        <v>2148.95</v>
      </c>
      <c r="M1578" s="9" t="n">
        <v>2203.24</v>
      </c>
      <c r="N1578" s="9" t="n">
        <v>2016.81</v>
      </c>
      <c r="O1578" s="9" t="n">
        <v>2011.23</v>
      </c>
      <c r="P1578" s="9" t="n">
        <v>2069.1</v>
      </c>
      <c r="Q1578" s="9" t="n">
        <v>1952.66</v>
      </c>
      <c r="R1578" s="9" t="n">
        <v>2110.69</v>
      </c>
      <c r="S1578" s="9" t="n">
        <v>2104.38</v>
      </c>
      <c r="T1578" s="9" t="n">
        <v>1990.55</v>
      </c>
      <c r="U1578" s="10">
        <f>SUM(I1578:T1578)</f>
        <v/>
      </c>
    </row>
    <row r="1579">
      <c r="A1579" s="2" t="inlineStr">
        <is>
          <t>SN-3000-3400-3410-3410TK0071</t>
        </is>
      </c>
      <c r="B1579" s="2" t="inlineStr">
        <is>
          <t>3410TK0071</t>
        </is>
      </c>
      <c r="C1579" s="2" t="inlineStr">
        <is>
          <t>Estanque ácido diluido</t>
        </is>
      </c>
      <c r="D1579" s="2" t="n">
        <v>526</v>
      </c>
      <c r="E1579" s="2" t="inlineStr">
        <is>
          <t>CC-3000</t>
        </is>
      </c>
      <c r="F1579" s="2" t="inlineStr">
        <is>
          <t>P01</t>
        </is>
      </c>
      <c r="G1579" s="2" t="n">
        <v>630000</v>
      </c>
      <c r="H1579" s="2" t="inlineStr">
        <is>
          <t>Servicios externos</t>
        </is>
      </c>
      <c r="I1579" s="9" t="n">
        <v>2002.36</v>
      </c>
      <c r="J1579" s="9" t="n">
        <v>1832.43</v>
      </c>
      <c r="K1579" s="9" t="n">
        <v>2035.08</v>
      </c>
      <c r="L1579" s="9" t="n">
        <v>1863.18</v>
      </c>
      <c r="M1579" s="9" t="n">
        <v>1986.5</v>
      </c>
      <c r="N1579" s="9" t="n">
        <v>1705.02</v>
      </c>
      <c r="O1579" s="9" t="n">
        <v>1732.92</v>
      </c>
      <c r="P1579" s="9" t="n">
        <v>1980.28</v>
      </c>
      <c r="Q1579" s="9" t="n">
        <v>1811.28</v>
      </c>
      <c r="R1579" s="9" t="n">
        <v>1930.5</v>
      </c>
      <c r="S1579" s="9" t="n">
        <v>1951.01</v>
      </c>
      <c r="T1579" s="9" t="n">
        <v>1898.77</v>
      </c>
      <c r="U1579" s="10">
        <f>SUM(I1579:T1579)</f>
        <v/>
      </c>
    </row>
    <row r="1580">
      <c r="A1580" s="2" t="inlineStr">
        <is>
          <t>SN-3000-3400-3410-3410TK0072</t>
        </is>
      </c>
      <c r="B1580" s="2" t="inlineStr">
        <is>
          <t>3410TK0072</t>
        </is>
      </c>
      <c r="C1580" s="2" t="inlineStr">
        <is>
          <t>Estanque neutralizador</t>
        </is>
      </c>
      <c r="D1580" s="2" t="n">
        <v>527</v>
      </c>
      <c r="E1580" s="2" t="inlineStr">
        <is>
          <t>CC-3000</t>
        </is>
      </c>
      <c r="F1580" s="2" t="inlineStr">
        <is>
          <t>P01</t>
        </is>
      </c>
      <c r="G1580" s="2" t="n">
        <v>610000</v>
      </c>
      <c r="H1580" s="2" t="inlineStr">
        <is>
          <t>Mano obra interna</t>
        </is>
      </c>
      <c r="I1580" s="9" t="n">
        <v>2334.7</v>
      </c>
      <c r="J1580" s="9" t="n">
        <v>2240.45</v>
      </c>
      <c r="K1580" s="9" t="n">
        <v>2338.31</v>
      </c>
      <c r="L1580" s="9" t="n">
        <v>2273.86</v>
      </c>
      <c r="M1580" s="9" t="n">
        <v>2273.74</v>
      </c>
      <c r="N1580" s="9" t="n">
        <v>2168.21</v>
      </c>
      <c r="O1580" s="9" t="n">
        <v>2116.76</v>
      </c>
      <c r="P1580" s="9" t="n">
        <v>2195.95</v>
      </c>
      <c r="Q1580" s="9" t="n">
        <v>2029.58</v>
      </c>
      <c r="R1580" s="9" t="n">
        <v>2609.28</v>
      </c>
      <c r="S1580" s="9" t="n">
        <v>2247.2</v>
      </c>
      <c r="T1580" s="9" t="n">
        <v>2416.95</v>
      </c>
      <c r="U1580" s="10">
        <f>SUM(I1580:T1580)</f>
        <v/>
      </c>
    </row>
    <row r="1581">
      <c r="A1581" s="2" t="inlineStr">
        <is>
          <t>SN-3000-3400-3410-3410TK0072</t>
        </is>
      </c>
      <c r="B1581" s="2" t="inlineStr">
        <is>
          <t>3410TK0072</t>
        </is>
      </c>
      <c r="C1581" s="2" t="inlineStr">
        <is>
          <t>Estanque neutralizador</t>
        </is>
      </c>
      <c r="D1581" s="2" t="n">
        <v>527</v>
      </c>
      <c r="E1581" s="2" t="inlineStr">
        <is>
          <t>CC-3000</t>
        </is>
      </c>
      <c r="F1581" s="2" t="inlineStr">
        <is>
          <t>P01</t>
        </is>
      </c>
      <c r="G1581" s="2" t="n">
        <v>620000</v>
      </c>
      <c r="H1581" s="2" t="inlineStr">
        <is>
          <t>Materiales</t>
        </is>
      </c>
      <c r="I1581" s="9" t="n">
        <v>2300.27</v>
      </c>
      <c r="J1581" s="9" t="n">
        <v>2336.68</v>
      </c>
      <c r="K1581" s="9" t="n">
        <v>2203.79</v>
      </c>
      <c r="L1581" s="9" t="n">
        <v>2138.09</v>
      </c>
      <c r="M1581" s="9" t="n">
        <v>2146.03</v>
      </c>
      <c r="N1581" s="9" t="n">
        <v>2095.94</v>
      </c>
      <c r="O1581" s="9" t="n">
        <v>2342.92</v>
      </c>
      <c r="P1581" s="9" t="n">
        <v>2222</v>
      </c>
      <c r="Q1581" s="9" t="n">
        <v>1982.12</v>
      </c>
      <c r="R1581" s="9" t="n">
        <v>2467.48</v>
      </c>
      <c r="S1581" s="9" t="n">
        <v>2134.19</v>
      </c>
      <c r="T1581" s="9" t="n">
        <v>2114.4</v>
      </c>
      <c r="U1581" s="10">
        <f>SUM(I1581:T1581)</f>
        <v/>
      </c>
    </row>
    <row r="1582">
      <c r="A1582" s="2" t="inlineStr">
        <is>
          <t>SN-3000-3400-3410-3410TK0072</t>
        </is>
      </c>
      <c r="B1582" s="2" t="inlineStr">
        <is>
          <t>3410TK0072</t>
        </is>
      </c>
      <c r="C1582" s="2" t="inlineStr">
        <is>
          <t>Estanque neutralizador</t>
        </is>
      </c>
      <c r="D1582" s="2" t="n">
        <v>527</v>
      </c>
      <c r="E1582" s="2" t="inlineStr">
        <is>
          <t>CC-3000</t>
        </is>
      </c>
      <c r="F1582" s="2" t="inlineStr">
        <is>
          <t>P01</t>
        </is>
      </c>
      <c r="G1582" s="2" t="n">
        <v>630000</v>
      </c>
      <c r="H1582" s="2" t="inlineStr">
        <is>
          <t>Servicios externos</t>
        </is>
      </c>
      <c r="I1582" s="9" t="n">
        <v>2130.76</v>
      </c>
      <c r="J1582" s="9" t="n">
        <v>2034.43</v>
      </c>
      <c r="K1582" s="9" t="n">
        <v>2048.38</v>
      </c>
      <c r="L1582" s="9" t="n">
        <v>1962.16</v>
      </c>
      <c r="M1582" s="9" t="n">
        <v>1810.02</v>
      </c>
      <c r="N1582" s="9" t="n">
        <v>1863.22</v>
      </c>
      <c r="O1582" s="9" t="n">
        <v>2038.26</v>
      </c>
      <c r="P1582" s="9" t="n">
        <v>1913.14</v>
      </c>
      <c r="Q1582" s="9" t="n">
        <v>1745.82</v>
      </c>
      <c r="R1582" s="9" t="n">
        <v>2257.7</v>
      </c>
      <c r="S1582" s="9" t="n">
        <v>1993.34</v>
      </c>
      <c r="T1582" s="9" t="n">
        <v>2031.4</v>
      </c>
      <c r="U1582" s="10">
        <f>SUM(I1582:T1582)</f>
        <v/>
      </c>
    </row>
    <row r="1583">
      <c r="A1583" s="2" t="inlineStr">
        <is>
          <t>SN-3000-3400-3410-3410VE0002</t>
        </is>
      </c>
      <c r="B1583" s="2" t="inlineStr">
        <is>
          <t>3410VE0002</t>
        </is>
      </c>
      <c r="C1583" s="2" t="inlineStr">
        <is>
          <t>Columna lavado ácido</t>
        </is>
      </c>
      <c r="D1583" s="2" t="n">
        <v>528</v>
      </c>
      <c r="E1583" s="2" t="inlineStr">
        <is>
          <t>CC-3000</t>
        </is>
      </c>
      <c r="F1583" s="2" t="inlineStr">
        <is>
          <t>P01</t>
        </is>
      </c>
      <c r="G1583" s="2" t="n">
        <v>610000</v>
      </c>
      <c r="H1583" s="2" t="inlineStr">
        <is>
          <t>Mano obra interna</t>
        </is>
      </c>
      <c r="I1583" s="9" t="n">
        <v>2335.56</v>
      </c>
      <c r="J1583" s="9" t="n">
        <v>2237.29</v>
      </c>
      <c r="K1583" s="9" t="n">
        <v>2549</v>
      </c>
      <c r="L1583" s="9" t="n">
        <v>2326.67</v>
      </c>
      <c r="M1583" s="9" t="n">
        <v>2532.2</v>
      </c>
      <c r="N1583" s="9" t="n">
        <v>2502.04</v>
      </c>
      <c r="O1583" s="9" t="n">
        <v>2374.89</v>
      </c>
      <c r="P1583" s="9" t="n">
        <v>2405.91</v>
      </c>
      <c r="Q1583" s="9" t="n">
        <v>2334.49</v>
      </c>
      <c r="R1583" s="9" t="n">
        <v>2798.89</v>
      </c>
      <c r="S1583" s="9" t="n">
        <v>2496.29</v>
      </c>
      <c r="T1583" s="9" t="n">
        <v>2287.45</v>
      </c>
      <c r="U1583" s="10">
        <f>SUM(I1583:T1583)</f>
        <v/>
      </c>
    </row>
    <row r="1584">
      <c r="A1584" s="2" t="inlineStr">
        <is>
          <t>SN-3000-3400-3410-3410VE0002</t>
        </is>
      </c>
      <c r="B1584" s="2" t="inlineStr">
        <is>
          <t>3410VE0002</t>
        </is>
      </c>
      <c r="C1584" s="2" t="inlineStr">
        <is>
          <t>Columna lavado ácido</t>
        </is>
      </c>
      <c r="D1584" s="2" t="n">
        <v>528</v>
      </c>
      <c r="E1584" s="2" t="inlineStr">
        <is>
          <t>CC-3000</t>
        </is>
      </c>
      <c r="F1584" s="2" t="inlineStr">
        <is>
          <t>P01</t>
        </is>
      </c>
      <c r="G1584" s="2" t="n">
        <v>620000</v>
      </c>
      <c r="H1584" s="2" t="inlineStr">
        <is>
          <t>Materiales</t>
        </is>
      </c>
      <c r="I1584" s="9" t="n">
        <v>2520.77</v>
      </c>
      <c r="J1584" s="9" t="n">
        <v>2407.34</v>
      </c>
      <c r="K1584" s="9" t="n">
        <v>2304.07</v>
      </c>
      <c r="L1584" s="9" t="n">
        <v>2425.75</v>
      </c>
      <c r="M1584" s="9" t="n">
        <v>2453.6</v>
      </c>
      <c r="N1584" s="9" t="n">
        <v>2166.34</v>
      </c>
      <c r="O1584" s="9" t="n">
        <v>2514.73</v>
      </c>
      <c r="P1584" s="9" t="n">
        <v>2201.29</v>
      </c>
      <c r="Q1584" s="9" t="n">
        <v>2308.36</v>
      </c>
      <c r="R1584" s="9" t="n">
        <v>2606.13</v>
      </c>
      <c r="S1584" s="9" t="n">
        <v>2228.96</v>
      </c>
      <c r="T1584" s="9" t="n">
        <v>2492.99</v>
      </c>
      <c r="U1584" s="10">
        <f>SUM(I1584:T1584)</f>
        <v/>
      </c>
    </row>
    <row r="1585">
      <c r="A1585" s="2" t="inlineStr">
        <is>
          <t>SN-3000-3400-3410-3410VE0002</t>
        </is>
      </c>
      <c r="B1585" s="2" t="inlineStr">
        <is>
          <t>3410VE0002</t>
        </is>
      </c>
      <c r="C1585" s="2" t="inlineStr">
        <is>
          <t>Columna lavado ácido</t>
        </is>
      </c>
      <c r="D1585" s="2" t="n">
        <v>528</v>
      </c>
      <c r="E1585" s="2" t="inlineStr">
        <is>
          <t>CC-3000</t>
        </is>
      </c>
      <c r="F1585" s="2" t="inlineStr">
        <is>
          <t>P01</t>
        </is>
      </c>
      <c r="G1585" s="2" t="n">
        <v>630000</v>
      </c>
      <c r="H1585" s="2" t="inlineStr">
        <is>
          <t>Servicios externos</t>
        </is>
      </c>
      <c r="I1585" s="9" t="n">
        <v>3115.64</v>
      </c>
      <c r="J1585" s="9" t="n">
        <v>2751.22</v>
      </c>
      <c r="K1585" s="9" t="n">
        <v>3031.82</v>
      </c>
      <c r="L1585" s="9" t="n">
        <v>2964.7</v>
      </c>
      <c r="M1585" s="9" t="n">
        <v>2835.77</v>
      </c>
      <c r="N1585" s="9" t="n">
        <v>2898.96</v>
      </c>
      <c r="O1585" s="9" t="n">
        <v>2628.22</v>
      </c>
      <c r="P1585" s="9" t="n">
        <v>2752.34</v>
      </c>
      <c r="Q1585" s="9" t="n">
        <v>2672.89</v>
      </c>
      <c r="R1585" s="9" t="n">
        <v>2919.29</v>
      </c>
      <c r="S1585" s="9" t="n">
        <v>2943.05</v>
      </c>
      <c r="T1585" s="9" t="n">
        <v>2964.66</v>
      </c>
      <c r="U1585" s="10">
        <f>SUM(I1585:T1585)</f>
        <v/>
      </c>
    </row>
    <row r="1586">
      <c r="A1586" s="2" t="inlineStr">
        <is>
          <t>SN-3000-3400-3420-3420DH0001</t>
        </is>
      </c>
      <c r="B1586" s="2" t="inlineStr">
        <is>
          <t>3420DH0001</t>
        </is>
      </c>
      <c r="C1586" s="2" t="inlineStr">
        <is>
          <t>Calentador diesel elución</t>
        </is>
      </c>
      <c r="D1586" s="2" t="n">
        <v>529</v>
      </c>
      <c r="E1586" s="2" t="inlineStr">
        <is>
          <t>CC-3000</t>
        </is>
      </c>
      <c r="F1586" s="2" t="inlineStr">
        <is>
          <t>P01</t>
        </is>
      </c>
      <c r="G1586" s="2" t="n">
        <v>610000</v>
      </c>
      <c r="H1586" s="2" t="inlineStr">
        <is>
          <t>Mano obra interna</t>
        </is>
      </c>
      <c r="I1586" s="9" t="n">
        <v>1564.02</v>
      </c>
      <c r="J1586" s="9" t="n">
        <v>1425.26</v>
      </c>
      <c r="K1586" s="9" t="n">
        <v>1518.91</v>
      </c>
      <c r="L1586" s="9" t="n">
        <v>1372.19</v>
      </c>
      <c r="M1586" s="9" t="n">
        <v>1412.53</v>
      </c>
      <c r="N1586" s="9" t="n">
        <v>1313.96</v>
      </c>
      <c r="O1586" s="9" t="n">
        <v>1503.59</v>
      </c>
      <c r="P1586" s="9" t="n">
        <v>1452.66</v>
      </c>
      <c r="Q1586" s="9" t="n">
        <v>1314.74</v>
      </c>
      <c r="R1586" s="9" t="n">
        <v>1564.94</v>
      </c>
      <c r="S1586" s="9" t="n">
        <v>1346.45</v>
      </c>
      <c r="T1586" s="9" t="n">
        <v>1580.98</v>
      </c>
      <c r="U1586" s="10">
        <f>SUM(I1586:T1586)</f>
        <v/>
      </c>
    </row>
    <row r="1587">
      <c r="A1587" s="2" t="inlineStr">
        <is>
          <t>SN-3000-3400-3420-3420DH0001</t>
        </is>
      </c>
      <c r="B1587" s="2" t="inlineStr">
        <is>
          <t>3420DH0001</t>
        </is>
      </c>
      <c r="C1587" s="2" t="inlineStr">
        <is>
          <t>Calentador diesel elución</t>
        </is>
      </c>
      <c r="D1587" s="2" t="n">
        <v>529</v>
      </c>
      <c r="E1587" s="2" t="inlineStr">
        <is>
          <t>CC-3000</t>
        </is>
      </c>
      <c r="F1587" s="2" t="inlineStr">
        <is>
          <t>P01</t>
        </is>
      </c>
      <c r="G1587" s="2" t="n">
        <v>620000</v>
      </c>
      <c r="H1587" s="2" t="inlineStr">
        <is>
          <t>Materiales</t>
        </is>
      </c>
      <c r="I1587" s="9" t="n">
        <v>1286.1</v>
      </c>
      <c r="J1587" s="9" t="n">
        <v>1174.36</v>
      </c>
      <c r="K1587" s="9" t="n">
        <v>1251.28</v>
      </c>
      <c r="L1587" s="9" t="n">
        <v>1178.07</v>
      </c>
      <c r="M1587" s="9" t="n">
        <v>1265.89</v>
      </c>
      <c r="N1587" s="9" t="n">
        <v>1098.24</v>
      </c>
      <c r="O1587" s="9" t="n">
        <v>1207.72</v>
      </c>
      <c r="P1587" s="9" t="n">
        <v>1283.25</v>
      </c>
      <c r="Q1587" s="9" t="n">
        <v>1175.53</v>
      </c>
      <c r="R1587" s="9" t="n">
        <v>1291.05</v>
      </c>
      <c r="S1587" s="9" t="n">
        <v>1242.64</v>
      </c>
      <c r="T1587" s="9" t="n">
        <v>1246.84</v>
      </c>
      <c r="U1587" s="10">
        <f>SUM(I1587:T1587)</f>
        <v/>
      </c>
    </row>
    <row r="1588">
      <c r="A1588" s="2" t="inlineStr">
        <is>
          <t>SN-3000-3400-3420-3420DH0001</t>
        </is>
      </c>
      <c r="B1588" s="2" t="inlineStr">
        <is>
          <t>3420DH0001</t>
        </is>
      </c>
      <c r="C1588" s="2" t="inlineStr">
        <is>
          <t>Calentador diesel elución</t>
        </is>
      </c>
      <c r="D1588" s="2" t="n">
        <v>529</v>
      </c>
      <c r="E1588" s="2" t="inlineStr">
        <is>
          <t>CC-3000</t>
        </is>
      </c>
      <c r="F1588" s="2" t="inlineStr">
        <is>
          <t>P01</t>
        </is>
      </c>
      <c r="G1588" s="2" t="n">
        <v>630000</v>
      </c>
      <c r="H1588" s="2" t="inlineStr">
        <is>
          <t>Servicios externos</t>
        </is>
      </c>
      <c r="I1588" s="9" t="n">
        <v>1274.98</v>
      </c>
      <c r="J1588" s="9" t="n">
        <v>1215.83</v>
      </c>
      <c r="K1588" s="9" t="n">
        <v>1275.58</v>
      </c>
      <c r="L1588" s="9" t="n">
        <v>1350.07</v>
      </c>
      <c r="M1588" s="9" t="n">
        <v>1271.9</v>
      </c>
      <c r="N1588" s="9" t="n">
        <v>1122.79</v>
      </c>
      <c r="O1588" s="9" t="n">
        <v>1345.29</v>
      </c>
      <c r="P1588" s="9" t="n">
        <v>1225.96</v>
      </c>
      <c r="Q1588" s="9" t="n">
        <v>1274.33</v>
      </c>
      <c r="R1588" s="9" t="n">
        <v>1466.93</v>
      </c>
      <c r="S1588" s="9" t="n">
        <v>1314.13</v>
      </c>
      <c r="T1588" s="9" t="n">
        <v>1350.99</v>
      </c>
      <c r="U1588" s="10">
        <f>SUM(I1588:T1588)</f>
        <v/>
      </c>
    </row>
    <row r="1589">
      <c r="A1589" s="2" t="inlineStr">
        <is>
          <t>SN-3000-3400-3420-3420FP1001</t>
        </is>
      </c>
      <c r="B1589" s="2" t="inlineStr">
        <is>
          <t>3420FP1001</t>
        </is>
      </c>
      <c r="C1589" s="2" t="inlineStr">
        <is>
          <t>Tablero SCI</t>
        </is>
      </c>
      <c r="D1589" s="2" t="n">
        <v>530</v>
      </c>
      <c r="E1589" s="2" t="inlineStr">
        <is>
          <t>CC-3000</t>
        </is>
      </c>
      <c r="F1589" s="2" t="inlineStr">
        <is>
          <t>P01</t>
        </is>
      </c>
      <c r="G1589" s="2" t="n">
        <v>610000</v>
      </c>
      <c r="H1589" s="2" t="inlineStr">
        <is>
          <t>Mano obra interna</t>
        </is>
      </c>
      <c r="I1589" s="9" t="n">
        <v>597.91</v>
      </c>
      <c r="J1589" s="9" t="n">
        <v>548.53</v>
      </c>
      <c r="K1589" s="9" t="n">
        <v>577.99</v>
      </c>
      <c r="L1589" s="9" t="n">
        <v>606.08</v>
      </c>
      <c r="M1589" s="9" t="n">
        <v>534.27</v>
      </c>
      <c r="N1589" s="9" t="n">
        <v>598.91</v>
      </c>
      <c r="O1589" s="9" t="n">
        <v>621.97</v>
      </c>
      <c r="P1589" s="9" t="n">
        <v>571.12</v>
      </c>
      <c r="Q1589" s="9" t="n">
        <v>543.72</v>
      </c>
      <c r="R1589" s="9" t="n">
        <v>624.95</v>
      </c>
      <c r="S1589" s="9" t="n">
        <v>598.55</v>
      </c>
      <c r="T1589" s="9" t="n">
        <v>609.16</v>
      </c>
      <c r="U1589" s="10">
        <f>SUM(I1589:T1589)</f>
        <v/>
      </c>
    </row>
    <row r="1590">
      <c r="A1590" s="2" t="inlineStr">
        <is>
          <t>SN-3000-3400-3420-3420FP1001</t>
        </is>
      </c>
      <c r="B1590" s="2" t="inlineStr">
        <is>
          <t>3420FP1001</t>
        </is>
      </c>
      <c r="C1590" s="2" t="inlineStr">
        <is>
          <t>Tablero SCI</t>
        </is>
      </c>
      <c r="D1590" s="2" t="n">
        <v>530</v>
      </c>
      <c r="E1590" s="2" t="inlineStr">
        <is>
          <t>CC-3000</t>
        </is>
      </c>
      <c r="F1590" s="2" t="inlineStr">
        <is>
          <t>P01</t>
        </is>
      </c>
      <c r="G1590" s="2" t="n">
        <v>620000</v>
      </c>
      <c r="H1590" s="2" t="inlineStr">
        <is>
          <t>Materiales</t>
        </is>
      </c>
      <c r="I1590" s="9" t="n">
        <v>582.48</v>
      </c>
      <c r="J1590" s="9" t="n">
        <v>560.33</v>
      </c>
      <c r="K1590" s="9" t="n">
        <v>637.33</v>
      </c>
      <c r="L1590" s="9" t="n">
        <v>557.62</v>
      </c>
      <c r="M1590" s="9" t="n">
        <v>532.13</v>
      </c>
      <c r="N1590" s="9" t="n">
        <v>583.71</v>
      </c>
      <c r="O1590" s="9" t="n">
        <v>612.29</v>
      </c>
      <c r="P1590" s="9" t="n">
        <v>609.26</v>
      </c>
      <c r="Q1590" s="9" t="n">
        <v>536.65</v>
      </c>
      <c r="R1590" s="9" t="n">
        <v>636.48</v>
      </c>
      <c r="S1590" s="9" t="n">
        <v>562.75</v>
      </c>
      <c r="T1590" s="9" t="n">
        <v>543.8</v>
      </c>
      <c r="U1590" s="10">
        <f>SUM(I1590:T1590)</f>
        <v/>
      </c>
    </row>
    <row r="1591">
      <c r="A1591" s="2" t="inlineStr">
        <is>
          <t>SN-3000-3400-3420-3420FP1001</t>
        </is>
      </c>
      <c r="B1591" s="2" t="inlineStr">
        <is>
          <t>3420FP1001</t>
        </is>
      </c>
      <c r="C1591" s="2" t="inlineStr">
        <is>
          <t>Tablero SCI</t>
        </is>
      </c>
      <c r="D1591" s="2" t="n">
        <v>530</v>
      </c>
      <c r="E1591" s="2" t="inlineStr">
        <is>
          <t>CC-3000</t>
        </is>
      </c>
      <c r="F1591" s="2" t="inlineStr">
        <is>
          <t>P01</t>
        </is>
      </c>
      <c r="G1591" s="2" t="n">
        <v>630000</v>
      </c>
      <c r="H1591" s="2" t="inlineStr">
        <is>
          <t>Servicios externos</t>
        </is>
      </c>
      <c r="I1591" s="9" t="n">
        <v>602.5599999999999</v>
      </c>
      <c r="J1591" s="9" t="n">
        <v>612.72</v>
      </c>
      <c r="K1591" s="9" t="n">
        <v>705.99</v>
      </c>
      <c r="L1591" s="9" t="n">
        <v>633.67</v>
      </c>
      <c r="M1591" s="9" t="n">
        <v>678.02</v>
      </c>
      <c r="N1591" s="9" t="n">
        <v>587.48</v>
      </c>
      <c r="O1591" s="9" t="n">
        <v>621.36</v>
      </c>
      <c r="P1591" s="9" t="n">
        <v>652.73</v>
      </c>
      <c r="Q1591" s="9" t="n">
        <v>620.76</v>
      </c>
      <c r="R1591" s="9" t="n">
        <v>690.42</v>
      </c>
      <c r="S1591" s="9" t="n">
        <v>657.51</v>
      </c>
      <c r="T1591" s="9" t="n">
        <v>601.79</v>
      </c>
      <c r="U1591" s="10">
        <f>SUM(I1591:T1591)</f>
        <v/>
      </c>
    </row>
    <row r="1592">
      <c r="A1592" s="2" t="inlineStr">
        <is>
          <t>SN-3000-3400-3420-3420HT0074</t>
        </is>
      </c>
      <c r="B1592" s="2" t="inlineStr">
        <is>
          <t>3420HT0074</t>
        </is>
      </c>
      <c r="C1592" s="2" t="inlineStr">
        <is>
          <t>Carro mantención solución rica</t>
        </is>
      </c>
      <c r="D1592" s="2" t="n">
        <v>531</v>
      </c>
      <c r="E1592" s="2" t="inlineStr">
        <is>
          <t>CC-3000</t>
        </is>
      </c>
      <c r="F1592" s="2" t="inlineStr">
        <is>
          <t>P01</t>
        </is>
      </c>
      <c r="G1592" s="2" t="n">
        <v>610000</v>
      </c>
      <c r="H1592" s="2" t="inlineStr">
        <is>
          <t>Mano obra interna</t>
        </is>
      </c>
      <c r="I1592" s="9" t="n">
        <v>982.7</v>
      </c>
      <c r="J1592" s="9" t="n">
        <v>1057.74</v>
      </c>
      <c r="K1592" s="9" t="n">
        <v>1027.26</v>
      </c>
      <c r="L1592" s="9" t="n">
        <v>1089.16</v>
      </c>
      <c r="M1592" s="9" t="n">
        <v>1028.84</v>
      </c>
      <c r="N1592" s="9" t="n">
        <v>917.1900000000001</v>
      </c>
      <c r="O1592" s="9" t="n">
        <v>1079.96</v>
      </c>
      <c r="P1592" s="9" t="n">
        <v>969.88</v>
      </c>
      <c r="Q1592" s="9" t="n">
        <v>903.3</v>
      </c>
      <c r="R1592" s="9" t="n">
        <v>1146</v>
      </c>
      <c r="S1592" s="9" t="n">
        <v>917.72</v>
      </c>
      <c r="T1592" s="9" t="n">
        <v>981.15</v>
      </c>
      <c r="U1592" s="10">
        <f>SUM(I1592:T1592)</f>
        <v/>
      </c>
    </row>
    <row r="1593">
      <c r="A1593" s="2" t="inlineStr">
        <is>
          <t>SN-3000-3400-3420-3420HT0074</t>
        </is>
      </c>
      <c r="B1593" s="2" t="inlineStr">
        <is>
          <t>3420HT0074</t>
        </is>
      </c>
      <c r="C1593" s="2" t="inlineStr">
        <is>
          <t>Carro mantención solución rica</t>
        </is>
      </c>
      <c r="D1593" s="2" t="n">
        <v>531</v>
      </c>
      <c r="E1593" s="2" t="inlineStr">
        <is>
          <t>CC-3000</t>
        </is>
      </c>
      <c r="F1593" s="2" t="inlineStr">
        <is>
          <t>P01</t>
        </is>
      </c>
      <c r="G1593" s="2" t="n">
        <v>620000</v>
      </c>
      <c r="H1593" s="2" t="inlineStr">
        <is>
          <t>Materiales</t>
        </is>
      </c>
      <c r="I1593" s="9" t="n">
        <v>914.38</v>
      </c>
      <c r="J1593" s="9" t="n">
        <v>790.59</v>
      </c>
      <c r="K1593" s="9" t="n">
        <v>884.34</v>
      </c>
      <c r="L1593" s="9" t="n">
        <v>898.87</v>
      </c>
      <c r="M1593" s="9" t="n">
        <v>890.5</v>
      </c>
      <c r="N1593" s="9" t="n">
        <v>870.04</v>
      </c>
      <c r="O1593" s="9" t="n">
        <v>889.88</v>
      </c>
      <c r="P1593" s="9" t="n">
        <v>870.88</v>
      </c>
      <c r="Q1593" s="9" t="n">
        <v>783.51</v>
      </c>
      <c r="R1593" s="9" t="n">
        <v>860.51</v>
      </c>
      <c r="S1593" s="9" t="n">
        <v>851.2</v>
      </c>
      <c r="T1593" s="9" t="n">
        <v>931.4299999999999</v>
      </c>
      <c r="U1593" s="10">
        <f>SUM(I1593:T1593)</f>
        <v/>
      </c>
    </row>
    <row r="1594">
      <c r="A1594" s="2" t="inlineStr">
        <is>
          <t>SN-3000-3400-3420-3420HT0074</t>
        </is>
      </c>
      <c r="B1594" s="2" t="inlineStr">
        <is>
          <t>3420HT0074</t>
        </is>
      </c>
      <c r="C1594" s="2" t="inlineStr">
        <is>
          <t>Carro mantención solución rica</t>
        </is>
      </c>
      <c r="D1594" s="2" t="n">
        <v>531</v>
      </c>
      <c r="E1594" s="2" t="inlineStr">
        <is>
          <t>CC-3000</t>
        </is>
      </c>
      <c r="F1594" s="2" t="inlineStr">
        <is>
          <t>P01</t>
        </is>
      </c>
      <c r="G1594" s="2" t="n">
        <v>630000</v>
      </c>
      <c r="H1594" s="2" t="inlineStr">
        <is>
          <t>Servicios externos</t>
        </is>
      </c>
      <c r="I1594" s="9" t="n">
        <v>871.84</v>
      </c>
      <c r="J1594" s="9" t="n">
        <v>911.05</v>
      </c>
      <c r="K1594" s="9" t="n">
        <v>972.41</v>
      </c>
      <c r="L1594" s="9" t="n">
        <v>974.72</v>
      </c>
      <c r="M1594" s="9" t="n">
        <v>948.24</v>
      </c>
      <c r="N1594" s="9" t="n">
        <v>893.17</v>
      </c>
      <c r="O1594" s="9" t="n">
        <v>885.04</v>
      </c>
      <c r="P1594" s="9" t="n">
        <v>990.36</v>
      </c>
      <c r="Q1594" s="9" t="n">
        <v>888.74</v>
      </c>
      <c r="R1594" s="9" t="n">
        <v>956.17</v>
      </c>
      <c r="S1594" s="9" t="n">
        <v>870.5700000000001</v>
      </c>
      <c r="T1594" s="9" t="n">
        <v>1002.77</v>
      </c>
      <c r="U1594" s="10">
        <f>SUM(I1594:T1594)</f>
        <v/>
      </c>
    </row>
    <row r="1595">
      <c r="A1595" s="2" t="inlineStr">
        <is>
          <t>SN-3000-3400-3420-3420HT0075</t>
        </is>
      </c>
      <c r="B1595" s="2" t="inlineStr">
        <is>
          <t>3420HT0075</t>
        </is>
      </c>
      <c r="C1595" s="2" t="inlineStr">
        <is>
          <t>Tecle elución</t>
        </is>
      </c>
      <c r="D1595" s="2" t="n">
        <v>532</v>
      </c>
      <c r="E1595" s="2" t="inlineStr">
        <is>
          <t>CC-3000</t>
        </is>
      </c>
      <c r="F1595" s="2" t="inlineStr">
        <is>
          <t>P01</t>
        </is>
      </c>
      <c r="G1595" s="2" t="n">
        <v>610000</v>
      </c>
      <c r="H1595" s="2" t="inlineStr">
        <is>
          <t>Mano obra interna</t>
        </is>
      </c>
      <c r="I1595" s="9" t="n">
        <v>2934.34</v>
      </c>
      <c r="J1595" s="9" t="n">
        <v>2662.17</v>
      </c>
      <c r="K1595" s="9" t="n">
        <v>2793.55</v>
      </c>
      <c r="L1595" s="9" t="n">
        <v>2879.92</v>
      </c>
      <c r="M1595" s="9" t="n">
        <v>2948.2</v>
      </c>
      <c r="N1595" s="9" t="n">
        <v>2828.08</v>
      </c>
      <c r="O1595" s="9" t="n">
        <v>2982.56</v>
      </c>
      <c r="P1595" s="9" t="n">
        <v>3017.93</v>
      </c>
      <c r="Q1595" s="9" t="n">
        <v>2507.88</v>
      </c>
      <c r="R1595" s="9" t="n">
        <v>2948.73</v>
      </c>
      <c r="S1595" s="9" t="n">
        <v>2761.98</v>
      </c>
      <c r="T1595" s="9" t="n">
        <v>2798.48</v>
      </c>
      <c r="U1595" s="10">
        <f>SUM(I1595:T1595)</f>
        <v/>
      </c>
    </row>
    <row r="1596">
      <c r="A1596" s="2" t="inlineStr">
        <is>
          <t>SN-3000-3400-3420-3420HT0075</t>
        </is>
      </c>
      <c r="B1596" s="2" t="inlineStr">
        <is>
          <t>3420HT0075</t>
        </is>
      </c>
      <c r="C1596" s="2" t="inlineStr">
        <is>
          <t>Tecle elución</t>
        </is>
      </c>
      <c r="D1596" s="2" t="n">
        <v>532</v>
      </c>
      <c r="E1596" s="2" t="inlineStr">
        <is>
          <t>CC-3000</t>
        </is>
      </c>
      <c r="F1596" s="2" t="inlineStr">
        <is>
          <t>P01</t>
        </is>
      </c>
      <c r="G1596" s="2" t="n">
        <v>620000</v>
      </c>
      <c r="H1596" s="2" t="inlineStr">
        <is>
          <t>Materiales</t>
        </is>
      </c>
      <c r="I1596" s="9" t="n">
        <v>2208.53</v>
      </c>
      <c r="J1596" s="9" t="n">
        <v>2188.81</v>
      </c>
      <c r="K1596" s="9" t="n">
        <v>2270.88</v>
      </c>
      <c r="L1596" s="9" t="n">
        <v>2272.04</v>
      </c>
      <c r="M1596" s="9" t="n">
        <v>2149.39</v>
      </c>
      <c r="N1596" s="9" t="n">
        <v>2098.93</v>
      </c>
      <c r="O1596" s="9" t="n">
        <v>2039.38</v>
      </c>
      <c r="P1596" s="9" t="n">
        <v>2280.9</v>
      </c>
      <c r="Q1596" s="9" t="n">
        <v>1869.63</v>
      </c>
      <c r="R1596" s="9" t="n">
        <v>2177.41</v>
      </c>
      <c r="S1596" s="9" t="n">
        <v>1978.97</v>
      </c>
      <c r="T1596" s="9" t="n">
        <v>2310.42</v>
      </c>
      <c r="U1596" s="10">
        <f>SUM(I1596:T1596)</f>
        <v/>
      </c>
    </row>
    <row r="1597">
      <c r="A1597" s="2" t="inlineStr">
        <is>
          <t>SN-3000-3400-3420-3420HT0075</t>
        </is>
      </c>
      <c r="B1597" s="2" t="inlineStr">
        <is>
          <t>3420HT0075</t>
        </is>
      </c>
      <c r="C1597" s="2" t="inlineStr">
        <is>
          <t>Tecle elución</t>
        </is>
      </c>
      <c r="D1597" s="2" t="n">
        <v>532</v>
      </c>
      <c r="E1597" s="2" t="inlineStr">
        <is>
          <t>CC-3000</t>
        </is>
      </c>
      <c r="F1597" s="2" t="inlineStr">
        <is>
          <t>P01</t>
        </is>
      </c>
      <c r="G1597" s="2" t="n">
        <v>630000</v>
      </c>
      <c r="H1597" s="2" t="inlineStr">
        <is>
          <t>Servicios externos</t>
        </is>
      </c>
      <c r="I1597" s="9" t="n">
        <v>2962.98</v>
      </c>
      <c r="J1597" s="9" t="n">
        <v>2786.09</v>
      </c>
      <c r="K1597" s="9" t="n">
        <v>2868.58</v>
      </c>
      <c r="L1597" s="9" t="n">
        <v>3046.11</v>
      </c>
      <c r="M1597" s="9" t="n">
        <v>2828.88</v>
      </c>
      <c r="N1597" s="9" t="n">
        <v>2838.49</v>
      </c>
      <c r="O1597" s="9" t="n">
        <v>2691.56</v>
      </c>
      <c r="P1597" s="9" t="n">
        <v>2695.96</v>
      </c>
      <c r="Q1597" s="9" t="n">
        <v>2726.54</v>
      </c>
      <c r="R1597" s="9" t="n">
        <v>2821.61</v>
      </c>
      <c r="S1597" s="9" t="n">
        <v>2874.62</v>
      </c>
      <c r="T1597" s="9" t="n">
        <v>2816.21</v>
      </c>
      <c r="U1597" s="10">
        <f>SUM(I1597:T1597)</f>
        <v/>
      </c>
    </row>
    <row r="1598">
      <c r="A1598" s="2" t="inlineStr">
        <is>
          <t>SN-3000-3400-3420-3420HT0076</t>
        </is>
      </c>
      <c r="B1598" s="2" t="inlineStr">
        <is>
          <t>3420HT0076</t>
        </is>
      </c>
      <c r="C1598" s="2" t="inlineStr">
        <is>
          <t>Tecle intercambiador de calor</t>
        </is>
      </c>
      <c r="D1598" s="2" t="n">
        <v>533</v>
      </c>
      <c r="E1598" s="2" t="inlineStr">
        <is>
          <t>CC-3000</t>
        </is>
      </c>
      <c r="F1598" s="2" t="inlineStr">
        <is>
          <t>P01</t>
        </is>
      </c>
      <c r="G1598" s="2" t="n">
        <v>610000</v>
      </c>
      <c r="H1598" s="2" t="inlineStr">
        <is>
          <t>Mano obra interna</t>
        </is>
      </c>
      <c r="I1598" s="9" t="n">
        <v>844.47</v>
      </c>
      <c r="J1598" s="9" t="n">
        <v>865.45</v>
      </c>
      <c r="K1598" s="9" t="n">
        <v>873.88</v>
      </c>
      <c r="L1598" s="9" t="n">
        <v>885.75</v>
      </c>
      <c r="M1598" s="9" t="n">
        <v>841.21</v>
      </c>
      <c r="N1598" s="9" t="n">
        <v>872.79</v>
      </c>
      <c r="O1598" s="9" t="n">
        <v>875.91</v>
      </c>
      <c r="P1598" s="9" t="n">
        <v>815</v>
      </c>
      <c r="Q1598" s="9" t="n">
        <v>842.52</v>
      </c>
      <c r="R1598" s="9" t="n">
        <v>885.83</v>
      </c>
      <c r="S1598" s="9" t="n">
        <v>805.39</v>
      </c>
      <c r="T1598" s="9" t="n">
        <v>807.14</v>
      </c>
      <c r="U1598" s="10">
        <f>SUM(I1598:T1598)</f>
        <v/>
      </c>
    </row>
    <row r="1599">
      <c r="A1599" s="2" t="inlineStr">
        <is>
          <t>SN-3000-3400-3420-3420HT0076</t>
        </is>
      </c>
      <c r="B1599" s="2" t="inlineStr">
        <is>
          <t>3420HT0076</t>
        </is>
      </c>
      <c r="C1599" s="2" t="inlineStr">
        <is>
          <t>Tecle intercambiador de calor</t>
        </is>
      </c>
      <c r="D1599" s="2" t="n">
        <v>533</v>
      </c>
      <c r="E1599" s="2" t="inlineStr">
        <is>
          <t>CC-3000</t>
        </is>
      </c>
      <c r="F1599" s="2" t="inlineStr">
        <is>
          <t>P01</t>
        </is>
      </c>
      <c r="G1599" s="2" t="n">
        <v>620000</v>
      </c>
      <c r="H1599" s="2" t="inlineStr">
        <is>
          <t>Materiales</t>
        </is>
      </c>
      <c r="I1599" s="9" t="n">
        <v>801.64</v>
      </c>
      <c r="J1599" s="9" t="n">
        <v>769.9</v>
      </c>
      <c r="K1599" s="9" t="n">
        <v>895.23</v>
      </c>
      <c r="L1599" s="9" t="n">
        <v>871.65</v>
      </c>
      <c r="M1599" s="9" t="n">
        <v>758.48</v>
      </c>
      <c r="N1599" s="9" t="n">
        <v>810.88</v>
      </c>
      <c r="O1599" s="9" t="n">
        <v>867.22</v>
      </c>
      <c r="P1599" s="9" t="n">
        <v>757.7</v>
      </c>
      <c r="Q1599" s="9" t="n">
        <v>796.28</v>
      </c>
      <c r="R1599" s="9" t="n">
        <v>883.52</v>
      </c>
      <c r="S1599" s="9" t="n">
        <v>808.4400000000001</v>
      </c>
      <c r="T1599" s="9" t="n">
        <v>824.23</v>
      </c>
      <c r="U1599" s="10">
        <f>SUM(I1599:T1599)</f>
        <v/>
      </c>
    </row>
    <row r="1600">
      <c r="A1600" s="2" t="inlineStr">
        <is>
          <t>SN-3000-3400-3420-3420HT0076</t>
        </is>
      </c>
      <c r="B1600" s="2" t="inlineStr">
        <is>
          <t>3420HT0076</t>
        </is>
      </c>
      <c r="C1600" s="2" t="inlineStr">
        <is>
          <t>Tecle intercambiador de calor</t>
        </is>
      </c>
      <c r="D1600" s="2" t="n">
        <v>533</v>
      </c>
      <c r="E1600" s="2" t="inlineStr">
        <is>
          <t>CC-3000</t>
        </is>
      </c>
      <c r="F1600" s="2" t="inlineStr">
        <is>
          <t>P01</t>
        </is>
      </c>
      <c r="G1600" s="2" t="n">
        <v>630000</v>
      </c>
      <c r="H1600" s="2" t="inlineStr">
        <is>
          <t>Servicios externos</t>
        </is>
      </c>
      <c r="I1600" s="9" t="n">
        <v>738.33</v>
      </c>
      <c r="J1600" s="9" t="n">
        <v>802.03</v>
      </c>
      <c r="K1600" s="9" t="n">
        <v>746.04</v>
      </c>
      <c r="L1600" s="9" t="n">
        <v>793.02</v>
      </c>
      <c r="M1600" s="9" t="n">
        <v>730.23</v>
      </c>
      <c r="N1600" s="9" t="n">
        <v>785.86</v>
      </c>
      <c r="O1600" s="9" t="n">
        <v>758.55</v>
      </c>
      <c r="P1600" s="9" t="n">
        <v>775.1900000000001</v>
      </c>
      <c r="Q1600" s="9" t="n">
        <v>719.1900000000001</v>
      </c>
      <c r="R1600" s="9" t="n">
        <v>879.54</v>
      </c>
      <c r="S1600" s="9" t="n">
        <v>754.27</v>
      </c>
      <c r="T1600" s="9" t="n">
        <v>829.78</v>
      </c>
      <c r="U1600" s="10">
        <f>SUM(I1600:T1600)</f>
        <v/>
      </c>
    </row>
    <row r="1601">
      <c r="A1601" s="2" t="inlineStr">
        <is>
          <t>SN-3000-3400-3420-3420HX0004</t>
        </is>
      </c>
      <c r="B1601" s="2" t="inlineStr">
        <is>
          <t>3420HX0004</t>
        </is>
      </c>
      <c r="C1601" s="2" t="inlineStr">
        <is>
          <t>Intercambiador calor recuperación</t>
        </is>
      </c>
      <c r="D1601" s="2" t="n">
        <v>534</v>
      </c>
      <c r="E1601" s="2" t="inlineStr">
        <is>
          <t>CC-3000</t>
        </is>
      </c>
      <c r="F1601" s="2" t="inlineStr">
        <is>
          <t>P01</t>
        </is>
      </c>
      <c r="G1601" s="2" t="n">
        <v>610000</v>
      </c>
      <c r="H1601" s="2" t="inlineStr">
        <is>
          <t>Mano obra interna</t>
        </is>
      </c>
      <c r="I1601" s="9" t="n">
        <v>383.87</v>
      </c>
      <c r="J1601" s="9" t="n">
        <v>392.78</v>
      </c>
      <c r="K1601" s="9" t="n">
        <v>437.26</v>
      </c>
      <c r="L1601" s="9" t="n">
        <v>376.77</v>
      </c>
      <c r="M1601" s="9" t="n">
        <v>362.84</v>
      </c>
      <c r="N1601" s="9" t="n">
        <v>357.39</v>
      </c>
      <c r="O1601" s="9" t="n">
        <v>404.67</v>
      </c>
      <c r="P1601" s="9" t="n">
        <v>388.87</v>
      </c>
      <c r="Q1601" s="9" t="n">
        <v>387.39</v>
      </c>
      <c r="R1601" s="9" t="n">
        <v>397.36</v>
      </c>
      <c r="S1601" s="9" t="n">
        <v>364.32</v>
      </c>
      <c r="T1601" s="9" t="n">
        <v>388.58</v>
      </c>
      <c r="U1601" s="10">
        <f>SUM(I1601:T1601)</f>
        <v/>
      </c>
    </row>
    <row r="1602">
      <c r="A1602" s="2" t="inlineStr">
        <is>
          <t>SN-3000-3400-3420-3420HX0004</t>
        </is>
      </c>
      <c r="B1602" s="2" t="inlineStr">
        <is>
          <t>3420HX0004</t>
        </is>
      </c>
      <c r="C1602" s="2" t="inlineStr">
        <is>
          <t>Intercambiador calor recuperación</t>
        </is>
      </c>
      <c r="D1602" s="2" t="n">
        <v>534</v>
      </c>
      <c r="E1602" s="2" t="inlineStr">
        <is>
          <t>CC-3000</t>
        </is>
      </c>
      <c r="F1602" s="2" t="inlineStr">
        <is>
          <t>P01</t>
        </is>
      </c>
      <c r="G1602" s="2" t="n">
        <v>620000</v>
      </c>
      <c r="H1602" s="2" t="inlineStr">
        <is>
          <t>Materiales</t>
        </is>
      </c>
      <c r="I1602" s="9" t="n">
        <v>467.12</v>
      </c>
      <c r="J1602" s="9" t="n">
        <v>411.37</v>
      </c>
      <c r="K1602" s="9" t="n">
        <v>491.04</v>
      </c>
      <c r="L1602" s="9" t="n">
        <v>442.66</v>
      </c>
      <c r="M1602" s="9" t="n">
        <v>454.82</v>
      </c>
      <c r="N1602" s="9" t="n">
        <v>426.54</v>
      </c>
      <c r="O1602" s="9" t="n">
        <v>424.9</v>
      </c>
      <c r="P1602" s="9" t="n">
        <v>468.69</v>
      </c>
      <c r="Q1602" s="9" t="n">
        <v>434.76</v>
      </c>
      <c r="R1602" s="9" t="n">
        <v>471.3</v>
      </c>
      <c r="S1602" s="9" t="n">
        <v>436.32</v>
      </c>
      <c r="T1602" s="9" t="n">
        <v>433.54</v>
      </c>
      <c r="U1602" s="10">
        <f>SUM(I1602:T1602)</f>
        <v/>
      </c>
    </row>
    <row r="1603">
      <c r="A1603" s="2" t="inlineStr">
        <is>
          <t>SN-3000-3400-3420-3420HX0004</t>
        </is>
      </c>
      <c r="B1603" s="2" t="inlineStr">
        <is>
          <t>3420HX0004</t>
        </is>
      </c>
      <c r="C1603" s="2" t="inlineStr">
        <is>
          <t>Intercambiador calor recuperación</t>
        </is>
      </c>
      <c r="D1603" s="2" t="n">
        <v>534</v>
      </c>
      <c r="E1603" s="2" t="inlineStr">
        <is>
          <t>CC-3000</t>
        </is>
      </c>
      <c r="F1603" s="2" t="inlineStr">
        <is>
          <t>P01</t>
        </is>
      </c>
      <c r="G1603" s="2" t="n">
        <v>630000</v>
      </c>
      <c r="H1603" s="2" t="inlineStr">
        <is>
          <t>Servicios externos</t>
        </is>
      </c>
      <c r="I1603" s="9" t="n">
        <v>457.86</v>
      </c>
      <c r="J1603" s="9" t="n">
        <v>480.73</v>
      </c>
      <c r="K1603" s="9" t="n">
        <v>455.71</v>
      </c>
      <c r="L1603" s="9" t="n">
        <v>436.14</v>
      </c>
      <c r="M1603" s="9" t="n">
        <v>440.91</v>
      </c>
      <c r="N1603" s="9" t="n">
        <v>420.46</v>
      </c>
      <c r="O1603" s="9" t="n">
        <v>463.48</v>
      </c>
      <c r="P1603" s="9" t="n">
        <v>440.39</v>
      </c>
      <c r="Q1603" s="9" t="n">
        <v>448.81</v>
      </c>
      <c r="R1603" s="9" t="n">
        <v>478.29</v>
      </c>
      <c r="S1603" s="9" t="n">
        <v>462.71</v>
      </c>
      <c r="T1603" s="9" t="n">
        <v>475.42</v>
      </c>
      <c r="U1603" s="10">
        <f>SUM(I1603:T1603)</f>
        <v/>
      </c>
    </row>
    <row r="1604">
      <c r="A1604" s="2" t="inlineStr">
        <is>
          <t>SN-3000-3400-3420-3420HX0005</t>
        </is>
      </c>
      <c r="B1604" s="2" t="inlineStr">
        <is>
          <t>3420HX0005</t>
        </is>
      </c>
      <c r="C1604" s="2" t="inlineStr">
        <is>
          <t>Intercambiador calor calentamiento</t>
        </is>
      </c>
      <c r="D1604" s="2" t="n">
        <v>535</v>
      </c>
      <c r="E1604" s="2" t="inlineStr">
        <is>
          <t>CC-3000</t>
        </is>
      </c>
      <c r="F1604" s="2" t="inlineStr">
        <is>
          <t>P01</t>
        </is>
      </c>
      <c r="G1604" s="2" t="n">
        <v>610000</v>
      </c>
      <c r="H1604" s="2" t="inlineStr">
        <is>
          <t>Mano obra interna</t>
        </is>
      </c>
      <c r="I1604" s="9" t="n">
        <v>3052.13</v>
      </c>
      <c r="J1604" s="9" t="n">
        <v>2887.66</v>
      </c>
      <c r="K1604" s="9" t="n">
        <v>2974.78</v>
      </c>
      <c r="L1604" s="9" t="n">
        <v>2778.01</v>
      </c>
      <c r="M1604" s="9" t="n">
        <v>2850.77</v>
      </c>
      <c r="N1604" s="9" t="n">
        <v>2840.15</v>
      </c>
      <c r="O1604" s="9" t="n">
        <v>2558.42</v>
      </c>
      <c r="P1604" s="9" t="n">
        <v>2783.09</v>
      </c>
      <c r="Q1604" s="9" t="n">
        <v>2460.74</v>
      </c>
      <c r="R1604" s="9" t="n">
        <v>3013.14</v>
      </c>
      <c r="S1604" s="9" t="n">
        <v>2665.58</v>
      </c>
      <c r="T1604" s="9" t="n">
        <v>2843.54</v>
      </c>
      <c r="U1604" s="10">
        <f>SUM(I1604:T1604)</f>
        <v/>
      </c>
    </row>
    <row r="1605">
      <c r="A1605" s="2" t="inlineStr">
        <is>
          <t>SN-3000-3400-3420-3420HX0005</t>
        </is>
      </c>
      <c r="B1605" s="2" t="inlineStr">
        <is>
          <t>3420HX0005</t>
        </is>
      </c>
      <c r="C1605" s="2" t="inlineStr">
        <is>
          <t>Intercambiador calor calentamiento</t>
        </is>
      </c>
      <c r="D1605" s="2" t="n">
        <v>535</v>
      </c>
      <c r="E1605" s="2" t="inlineStr">
        <is>
          <t>CC-3000</t>
        </is>
      </c>
      <c r="F1605" s="2" t="inlineStr">
        <is>
          <t>P01</t>
        </is>
      </c>
      <c r="G1605" s="2" t="n">
        <v>620000</v>
      </c>
      <c r="H1605" s="2" t="inlineStr">
        <is>
          <t>Materiales</t>
        </is>
      </c>
      <c r="I1605" s="9" t="n">
        <v>2633.38</v>
      </c>
      <c r="J1605" s="9" t="n">
        <v>2386.1</v>
      </c>
      <c r="K1605" s="9" t="n">
        <v>2616.06</v>
      </c>
      <c r="L1605" s="9" t="n">
        <v>2384.9</v>
      </c>
      <c r="M1605" s="9" t="n">
        <v>2354.32</v>
      </c>
      <c r="N1605" s="9" t="n">
        <v>2286.29</v>
      </c>
      <c r="O1605" s="9" t="n">
        <v>2318.71</v>
      </c>
      <c r="P1605" s="9" t="n">
        <v>2354.75</v>
      </c>
      <c r="Q1605" s="9" t="n">
        <v>2271.89</v>
      </c>
      <c r="R1605" s="9" t="n">
        <v>2624.4</v>
      </c>
      <c r="S1605" s="9" t="n">
        <v>2376.76</v>
      </c>
      <c r="T1605" s="9" t="n">
        <v>2380.58</v>
      </c>
      <c r="U1605" s="10">
        <f>SUM(I1605:T1605)</f>
        <v/>
      </c>
    </row>
    <row r="1606">
      <c r="A1606" s="2" t="inlineStr">
        <is>
          <t>SN-3000-3400-3420-3420HX0005</t>
        </is>
      </c>
      <c r="B1606" s="2" t="inlineStr">
        <is>
          <t>3420HX0005</t>
        </is>
      </c>
      <c r="C1606" s="2" t="inlineStr">
        <is>
          <t>Intercambiador calor calentamiento</t>
        </is>
      </c>
      <c r="D1606" s="2" t="n">
        <v>535</v>
      </c>
      <c r="E1606" s="2" t="inlineStr">
        <is>
          <t>CC-3000</t>
        </is>
      </c>
      <c r="F1606" s="2" t="inlineStr">
        <is>
          <t>P01</t>
        </is>
      </c>
      <c r="G1606" s="2" t="n">
        <v>630000</v>
      </c>
      <c r="H1606" s="2" t="inlineStr">
        <is>
          <t>Servicios externos</t>
        </is>
      </c>
      <c r="I1606" s="9" t="n">
        <v>2411.68</v>
      </c>
      <c r="J1606" s="9" t="n">
        <v>2151.56</v>
      </c>
      <c r="K1606" s="9" t="n">
        <v>2299.81</v>
      </c>
      <c r="L1606" s="9" t="n">
        <v>2198.37</v>
      </c>
      <c r="M1606" s="9" t="n">
        <v>2139.9</v>
      </c>
      <c r="N1606" s="9" t="n">
        <v>2127.91</v>
      </c>
      <c r="O1606" s="9" t="n">
        <v>2143.53</v>
      </c>
      <c r="P1606" s="9" t="n">
        <v>2224.78</v>
      </c>
      <c r="Q1606" s="9" t="n">
        <v>2214.12</v>
      </c>
      <c r="R1606" s="9" t="n">
        <v>2327.24</v>
      </c>
      <c r="S1606" s="9" t="n">
        <v>2224.12</v>
      </c>
      <c r="T1606" s="9" t="n">
        <v>2511.13</v>
      </c>
      <c r="U1606" s="10">
        <f>SUM(I1606:T1606)</f>
        <v/>
      </c>
    </row>
    <row r="1607">
      <c r="A1607" s="2" t="inlineStr">
        <is>
          <t>SN-3000-3400-3420-3420HX0006</t>
        </is>
      </c>
      <c r="B1607" s="2" t="inlineStr">
        <is>
          <t>3420HX0006</t>
        </is>
      </c>
      <c r="C1607" s="2" t="inlineStr">
        <is>
          <t>Intercambiador calor enfriamiento</t>
        </is>
      </c>
      <c r="D1607" s="2" t="n">
        <v>536</v>
      </c>
      <c r="E1607" s="2" t="inlineStr">
        <is>
          <t>CC-3000</t>
        </is>
      </c>
      <c r="F1607" s="2" t="inlineStr">
        <is>
          <t>P01</t>
        </is>
      </c>
      <c r="G1607" s="2" t="n">
        <v>610000</v>
      </c>
      <c r="H1607" s="2" t="inlineStr">
        <is>
          <t>Mano obra interna</t>
        </is>
      </c>
      <c r="I1607" s="9" t="n">
        <v>1014.43</v>
      </c>
      <c r="J1607" s="9" t="n">
        <v>1078.77</v>
      </c>
      <c r="K1607" s="9" t="n">
        <v>1029.26</v>
      </c>
      <c r="L1607" s="9" t="n">
        <v>976.55</v>
      </c>
      <c r="M1607" s="9" t="n">
        <v>1095.27</v>
      </c>
      <c r="N1607" s="9" t="n">
        <v>1038.64</v>
      </c>
      <c r="O1607" s="9" t="n">
        <v>1020.51</v>
      </c>
      <c r="P1607" s="9" t="n">
        <v>1052.16</v>
      </c>
      <c r="Q1607" s="9" t="n">
        <v>980.9</v>
      </c>
      <c r="R1607" s="9" t="n">
        <v>1052.01</v>
      </c>
      <c r="S1607" s="9" t="n">
        <v>945.24</v>
      </c>
      <c r="T1607" s="9" t="n">
        <v>1035.8</v>
      </c>
      <c r="U1607" s="10">
        <f>SUM(I1607:T1607)</f>
        <v/>
      </c>
    </row>
    <row r="1608">
      <c r="A1608" s="2" t="inlineStr">
        <is>
          <t>SN-3000-3400-3420-3420HX0006</t>
        </is>
      </c>
      <c r="B1608" s="2" t="inlineStr">
        <is>
          <t>3420HX0006</t>
        </is>
      </c>
      <c r="C1608" s="2" t="inlineStr">
        <is>
          <t>Intercambiador calor enfriamiento</t>
        </is>
      </c>
      <c r="D1608" s="2" t="n">
        <v>536</v>
      </c>
      <c r="E1608" s="2" t="inlineStr">
        <is>
          <t>CC-3000</t>
        </is>
      </c>
      <c r="F1608" s="2" t="inlineStr">
        <is>
          <t>P01</t>
        </is>
      </c>
      <c r="G1608" s="2" t="n">
        <v>620000</v>
      </c>
      <c r="H1608" s="2" t="inlineStr">
        <is>
          <t>Materiales</t>
        </is>
      </c>
      <c r="I1608" s="9" t="n">
        <v>988.39</v>
      </c>
      <c r="J1608" s="9" t="n">
        <v>1081.44</v>
      </c>
      <c r="K1608" s="9" t="n">
        <v>1007.09</v>
      </c>
      <c r="L1608" s="9" t="n">
        <v>1069.99</v>
      </c>
      <c r="M1608" s="9" t="n">
        <v>1062.64</v>
      </c>
      <c r="N1608" s="9" t="n">
        <v>1034.43</v>
      </c>
      <c r="O1608" s="9" t="n">
        <v>976.8</v>
      </c>
      <c r="P1608" s="9" t="n">
        <v>1036.12</v>
      </c>
      <c r="Q1608" s="9" t="n">
        <v>991.0700000000001</v>
      </c>
      <c r="R1608" s="9" t="n">
        <v>1054.3</v>
      </c>
      <c r="S1608" s="9" t="n">
        <v>957.65</v>
      </c>
      <c r="T1608" s="9" t="n">
        <v>1094.09</v>
      </c>
      <c r="U1608" s="10">
        <f>SUM(I1608:T1608)</f>
        <v/>
      </c>
    </row>
    <row r="1609">
      <c r="A1609" s="2" t="inlineStr">
        <is>
          <t>SN-3000-3400-3420-3420HX0006</t>
        </is>
      </c>
      <c r="B1609" s="2" t="inlineStr">
        <is>
          <t>3420HX0006</t>
        </is>
      </c>
      <c r="C1609" s="2" t="inlineStr">
        <is>
          <t>Intercambiador calor enfriamiento</t>
        </is>
      </c>
      <c r="D1609" s="2" t="n">
        <v>536</v>
      </c>
      <c r="E1609" s="2" t="inlineStr">
        <is>
          <t>CC-3000</t>
        </is>
      </c>
      <c r="F1609" s="2" t="inlineStr">
        <is>
          <t>P01</t>
        </is>
      </c>
      <c r="G1609" s="2" t="n">
        <v>630000</v>
      </c>
      <c r="H1609" s="2" t="inlineStr">
        <is>
          <t>Servicios externos</t>
        </is>
      </c>
      <c r="I1609" s="9" t="n">
        <v>906.75</v>
      </c>
      <c r="J1609" s="9" t="n">
        <v>930.04</v>
      </c>
      <c r="K1609" s="9" t="n">
        <v>1032.73</v>
      </c>
      <c r="L1609" s="9" t="n">
        <v>885.36</v>
      </c>
      <c r="M1609" s="9" t="n">
        <v>950.54</v>
      </c>
      <c r="N1609" s="9" t="n">
        <v>836.55</v>
      </c>
      <c r="O1609" s="9" t="n">
        <v>865.28</v>
      </c>
      <c r="P1609" s="9" t="n">
        <v>885.9</v>
      </c>
      <c r="Q1609" s="9" t="n">
        <v>863.35</v>
      </c>
      <c r="R1609" s="9" t="n">
        <v>1061.68</v>
      </c>
      <c r="S1609" s="9" t="n">
        <v>877.3200000000001</v>
      </c>
      <c r="T1609" s="9" t="n">
        <v>972.15</v>
      </c>
      <c r="U1609" s="10">
        <f>SUM(I1609:T1609)</f>
        <v/>
      </c>
    </row>
    <row r="1610">
      <c r="A1610" s="2" t="inlineStr">
        <is>
          <t>SN-3000-3400-3420-3420IO0001</t>
        </is>
      </c>
      <c r="B1610" s="2" t="inlineStr">
        <is>
          <t>3420IO0001</t>
        </is>
      </c>
      <c r="C1610" s="2" t="inlineStr">
        <is>
          <t xml:space="preserve">Gabinete RIO  </t>
        </is>
      </c>
      <c r="D1610" s="2" t="n">
        <v>537</v>
      </c>
      <c r="E1610" s="2" t="inlineStr">
        <is>
          <t>CC-3000</t>
        </is>
      </c>
      <c r="F1610" s="2" t="inlineStr">
        <is>
          <t>P01</t>
        </is>
      </c>
      <c r="G1610" s="2" t="n">
        <v>610000</v>
      </c>
      <c r="H1610" s="2" t="inlineStr">
        <is>
          <t>Mano obra interna</t>
        </is>
      </c>
      <c r="I1610" s="9" t="n">
        <v>2270.73</v>
      </c>
      <c r="J1610" s="9" t="n">
        <v>2293.15</v>
      </c>
      <c r="K1610" s="9" t="n">
        <v>2510.69</v>
      </c>
      <c r="L1610" s="9" t="n">
        <v>2500.64</v>
      </c>
      <c r="M1610" s="9" t="n">
        <v>2426.55</v>
      </c>
      <c r="N1610" s="9" t="n">
        <v>2163.68</v>
      </c>
      <c r="O1610" s="9" t="n">
        <v>2433.29</v>
      </c>
      <c r="P1610" s="9" t="n">
        <v>2214.48</v>
      </c>
      <c r="Q1610" s="9" t="n">
        <v>2245.03</v>
      </c>
      <c r="R1610" s="9" t="n">
        <v>2685.04</v>
      </c>
      <c r="S1610" s="9" t="n">
        <v>2073.95</v>
      </c>
      <c r="T1610" s="9" t="n">
        <v>2335.11</v>
      </c>
      <c r="U1610" s="10">
        <f>SUM(I1610:T1610)</f>
        <v/>
      </c>
    </row>
    <row r="1611">
      <c r="A1611" s="2" t="inlineStr">
        <is>
          <t>SN-3000-3400-3420-3420IO0001</t>
        </is>
      </c>
      <c r="B1611" s="2" t="inlineStr">
        <is>
          <t>3420IO0001</t>
        </is>
      </c>
      <c r="C1611" s="2" t="inlineStr">
        <is>
          <t xml:space="preserve">Gabinete RIO  </t>
        </is>
      </c>
      <c r="D1611" s="2" t="n">
        <v>537</v>
      </c>
      <c r="E1611" s="2" t="inlineStr">
        <is>
          <t>CC-3000</t>
        </is>
      </c>
      <c r="F1611" s="2" t="inlineStr">
        <is>
          <t>P01</t>
        </is>
      </c>
      <c r="G1611" s="2" t="n">
        <v>620000</v>
      </c>
      <c r="H1611" s="2" t="inlineStr">
        <is>
          <t>Materiales</t>
        </is>
      </c>
      <c r="I1611" s="9" t="n">
        <v>2588.94</v>
      </c>
      <c r="J1611" s="9" t="n">
        <v>2294.16</v>
      </c>
      <c r="K1611" s="9" t="n">
        <v>2725.98</v>
      </c>
      <c r="L1611" s="9" t="n">
        <v>2557.23</v>
      </c>
      <c r="M1611" s="9" t="n">
        <v>2300.77</v>
      </c>
      <c r="N1611" s="9" t="n">
        <v>2168.64</v>
      </c>
      <c r="O1611" s="9" t="n">
        <v>2569.27</v>
      </c>
      <c r="P1611" s="9" t="n">
        <v>2289.84</v>
      </c>
      <c r="Q1611" s="9" t="n">
        <v>2155.6</v>
      </c>
      <c r="R1611" s="9" t="n">
        <v>2681.15</v>
      </c>
      <c r="S1611" s="9" t="n">
        <v>2417.69</v>
      </c>
      <c r="T1611" s="9" t="n">
        <v>2567.79</v>
      </c>
      <c r="U1611" s="10">
        <f>SUM(I1611:T1611)</f>
        <v/>
      </c>
    </row>
    <row r="1612">
      <c r="A1612" s="2" t="inlineStr">
        <is>
          <t>SN-3000-3400-3420-3420IO0001</t>
        </is>
      </c>
      <c r="B1612" s="2" t="inlineStr">
        <is>
          <t>3420IO0001</t>
        </is>
      </c>
      <c r="C1612" s="2" t="inlineStr">
        <is>
          <t xml:space="preserve">Gabinete RIO  </t>
        </is>
      </c>
      <c r="D1612" s="2" t="n">
        <v>537</v>
      </c>
      <c r="E1612" s="2" t="inlineStr">
        <is>
          <t>CC-3000</t>
        </is>
      </c>
      <c r="F1612" s="2" t="inlineStr">
        <is>
          <t>P01</t>
        </is>
      </c>
      <c r="G1612" s="2" t="n">
        <v>630000</v>
      </c>
      <c r="H1612" s="2" t="inlineStr">
        <is>
          <t>Servicios externos</t>
        </is>
      </c>
      <c r="I1612" s="9" t="n">
        <v>2350.34</v>
      </c>
      <c r="J1612" s="9" t="n">
        <v>2337.15</v>
      </c>
      <c r="K1612" s="9" t="n">
        <v>2192.13</v>
      </c>
      <c r="L1612" s="9" t="n">
        <v>2327.54</v>
      </c>
      <c r="M1612" s="9" t="n">
        <v>2332.51</v>
      </c>
      <c r="N1612" s="9" t="n">
        <v>2171.64</v>
      </c>
      <c r="O1612" s="9" t="n">
        <v>2270.62</v>
      </c>
      <c r="P1612" s="9" t="n">
        <v>2106.62</v>
      </c>
      <c r="Q1612" s="9" t="n">
        <v>2064.76</v>
      </c>
      <c r="R1612" s="9" t="n">
        <v>2402.46</v>
      </c>
      <c r="S1612" s="9" t="n">
        <v>2203.61</v>
      </c>
      <c r="T1612" s="9" t="n">
        <v>2416.37</v>
      </c>
      <c r="U1612" s="10">
        <f>SUM(I1612:T1612)</f>
        <v/>
      </c>
    </row>
    <row r="1613">
      <c r="A1613" s="2" t="inlineStr">
        <is>
          <t>SN-3000-3400-3420-3420IO0002</t>
        </is>
      </c>
      <c r="B1613" s="2" t="inlineStr">
        <is>
          <t>3420IO0002</t>
        </is>
      </c>
      <c r="C1613" s="2" t="inlineStr">
        <is>
          <t xml:space="preserve">Gabinete RIO  </t>
        </is>
      </c>
      <c r="D1613" s="2" t="n">
        <v>538</v>
      </c>
      <c r="E1613" s="2" t="inlineStr">
        <is>
          <t>CC-3000</t>
        </is>
      </c>
      <c r="F1613" s="2" t="inlineStr">
        <is>
          <t>P01</t>
        </is>
      </c>
      <c r="G1613" s="2" t="n">
        <v>610000</v>
      </c>
      <c r="H1613" s="2" t="inlineStr">
        <is>
          <t>Mano obra interna</t>
        </is>
      </c>
      <c r="I1613" s="9" t="n">
        <v>631.22</v>
      </c>
      <c r="J1613" s="9" t="n">
        <v>610.3</v>
      </c>
      <c r="K1613" s="9" t="n">
        <v>712.24</v>
      </c>
      <c r="L1613" s="9" t="n">
        <v>639.6900000000001</v>
      </c>
      <c r="M1613" s="9" t="n">
        <v>670.5700000000001</v>
      </c>
      <c r="N1613" s="9" t="n">
        <v>617.54</v>
      </c>
      <c r="O1613" s="9" t="n">
        <v>660.3200000000001</v>
      </c>
      <c r="P1613" s="9" t="n">
        <v>633.85</v>
      </c>
      <c r="Q1613" s="9" t="n">
        <v>654.86</v>
      </c>
      <c r="R1613" s="9" t="n">
        <v>726.5599999999999</v>
      </c>
      <c r="S1613" s="9" t="n">
        <v>689.1</v>
      </c>
      <c r="T1613" s="9" t="n">
        <v>682.48</v>
      </c>
      <c r="U1613" s="10">
        <f>SUM(I1613:T1613)</f>
        <v/>
      </c>
    </row>
    <row r="1614">
      <c r="A1614" s="2" t="inlineStr">
        <is>
          <t>SN-3000-3400-3420-3420IO0002</t>
        </is>
      </c>
      <c r="B1614" s="2" t="inlineStr">
        <is>
          <t>3420IO0002</t>
        </is>
      </c>
      <c r="C1614" s="2" t="inlineStr">
        <is>
          <t xml:space="preserve">Gabinete RIO  </t>
        </is>
      </c>
      <c r="D1614" s="2" t="n">
        <v>538</v>
      </c>
      <c r="E1614" s="2" t="inlineStr">
        <is>
          <t>CC-3000</t>
        </is>
      </c>
      <c r="F1614" s="2" t="inlineStr">
        <is>
          <t>P01</t>
        </is>
      </c>
      <c r="G1614" s="2" t="n">
        <v>620000</v>
      </c>
      <c r="H1614" s="2" t="inlineStr">
        <is>
          <t>Materiales</t>
        </is>
      </c>
      <c r="I1614" s="9" t="n">
        <v>649.02</v>
      </c>
      <c r="J1614" s="9" t="n">
        <v>712.67</v>
      </c>
      <c r="K1614" s="9" t="n">
        <v>717.33</v>
      </c>
      <c r="L1614" s="9" t="n">
        <v>636.4400000000001</v>
      </c>
      <c r="M1614" s="9" t="n">
        <v>685.8200000000001</v>
      </c>
      <c r="N1614" s="9" t="n">
        <v>632.61</v>
      </c>
      <c r="O1614" s="9" t="n">
        <v>650.7</v>
      </c>
      <c r="P1614" s="9" t="n">
        <v>633.49</v>
      </c>
      <c r="Q1614" s="9" t="n">
        <v>658.7</v>
      </c>
      <c r="R1614" s="9" t="n">
        <v>673.24</v>
      </c>
      <c r="S1614" s="9" t="n">
        <v>627.83</v>
      </c>
      <c r="T1614" s="9" t="n">
        <v>659.98</v>
      </c>
      <c r="U1614" s="10">
        <f>SUM(I1614:T1614)</f>
        <v/>
      </c>
    </row>
    <row r="1615">
      <c r="A1615" s="2" t="inlineStr">
        <is>
          <t>SN-3000-3400-3420-3420IO0002</t>
        </is>
      </c>
      <c r="B1615" s="2" t="inlineStr">
        <is>
          <t>3420IO0002</t>
        </is>
      </c>
      <c r="C1615" s="2" t="inlineStr">
        <is>
          <t xml:space="preserve">Gabinete RIO  </t>
        </is>
      </c>
      <c r="D1615" s="2" t="n">
        <v>538</v>
      </c>
      <c r="E1615" s="2" t="inlineStr">
        <is>
          <t>CC-3000</t>
        </is>
      </c>
      <c r="F1615" s="2" t="inlineStr">
        <is>
          <t>P01</t>
        </is>
      </c>
      <c r="G1615" s="2" t="n">
        <v>630000</v>
      </c>
      <c r="H1615" s="2" t="inlineStr">
        <is>
          <t>Servicios externos</t>
        </is>
      </c>
      <c r="I1615" s="9" t="n">
        <v>684.3</v>
      </c>
      <c r="J1615" s="9" t="n">
        <v>607.8</v>
      </c>
      <c r="K1615" s="9" t="n">
        <v>668.64</v>
      </c>
      <c r="L1615" s="9" t="n">
        <v>731.6799999999999</v>
      </c>
      <c r="M1615" s="9" t="n">
        <v>642.4400000000001</v>
      </c>
      <c r="N1615" s="9" t="n">
        <v>625.75</v>
      </c>
      <c r="O1615" s="9" t="n">
        <v>666.87</v>
      </c>
      <c r="P1615" s="9" t="n">
        <v>675.55</v>
      </c>
      <c r="Q1615" s="9" t="n">
        <v>653.95</v>
      </c>
      <c r="R1615" s="9" t="n">
        <v>686.1799999999999</v>
      </c>
      <c r="S1615" s="9" t="n">
        <v>686.61</v>
      </c>
      <c r="T1615" s="9" t="n">
        <v>707.38</v>
      </c>
      <c r="U1615" s="10">
        <f>SUM(I1615:T1615)</f>
        <v/>
      </c>
    </row>
    <row r="1616">
      <c r="A1616" s="2" t="inlineStr">
        <is>
          <t>SN-3000-3400-3420-3420PU0179</t>
        </is>
      </c>
      <c r="B1616" s="2" t="inlineStr">
        <is>
          <t>3420PU0179</t>
        </is>
      </c>
      <c r="C1616" s="2" t="inlineStr">
        <is>
          <t>Bomba sumidero elución</t>
        </is>
      </c>
      <c r="D1616" s="2" t="n">
        <v>539</v>
      </c>
      <c r="E1616" s="2" t="inlineStr">
        <is>
          <t>CC-3000</t>
        </is>
      </c>
      <c r="F1616" s="2" t="inlineStr">
        <is>
          <t>P01</t>
        </is>
      </c>
      <c r="G1616" s="2" t="n">
        <v>610000</v>
      </c>
      <c r="H1616" s="2" t="inlineStr">
        <is>
          <t>Mano obra interna</t>
        </is>
      </c>
      <c r="I1616" s="9" t="n">
        <v>399.61</v>
      </c>
      <c r="J1616" s="9" t="n">
        <v>381.22</v>
      </c>
      <c r="K1616" s="9" t="n">
        <v>438.93</v>
      </c>
      <c r="L1616" s="9" t="n">
        <v>453.29</v>
      </c>
      <c r="M1616" s="9" t="n">
        <v>420.43</v>
      </c>
      <c r="N1616" s="9" t="n">
        <v>382.36</v>
      </c>
      <c r="O1616" s="9" t="n">
        <v>391.88</v>
      </c>
      <c r="P1616" s="9" t="n">
        <v>432.22</v>
      </c>
      <c r="Q1616" s="9" t="n">
        <v>404.03</v>
      </c>
      <c r="R1616" s="9" t="n">
        <v>428.35</v>
      </c>
      <c r="S1616" s="9" t="n">
        <v>375.14</v>
      </c>
      <c r="T1616" s="9" t="n">
        <v>419.14</v>
      </c>
      <c r="U1616" s="10">
        <f>SUM(I1616:T1616)</f>
        <v/>
      </c>
    </row>
    <row r="1617">
      <c r="A1617" s="2" t="inlineStr">
        <is>
          <t>SN-3000-3400-3420-3420PU0179</t>
        </is>
      </c>
      <c r="B1617" s="2" t="inlineStr">
        <is>
          <t>3420PU0179</t>
        </is>
      </c>
      <c r="C1617" s="2" t="inlineStr">
        <is>
          <t>Bomba sumidero elución</t>
        </is>
      </c>
      <c r="D1617" s="2" t="n">
        <v>539</v>
      </c>
      <c r="E1617" s="2" t="inlineStr">
        <is>
          <t>CC-3000</t>
        </is>
      </c>
      <c r="F1617" s="2" t="inlineStr">
        <is>
          <t>P01</t>
        </is>
      </c>
      <c r="G1617" s="2" t="n">
        <v>620000</v>
      </c>
      <c r="H1617" s="2" t="inlineStr">
        <is>
          <t>Materiales</t>
        </is>
      </c>
      <c r="I1617" s="9" t="n">
        <v>391.94</v>
      </c>
      <c r="J1617" s="9" t="n">
        <v>384.21</v>
      </c>
      <c r="K1617" s="9" t="n">
        <v>390.23</v>
      </c>
      <c r="L1617" s="9" t="n">
        <v>356.23</v>
      </c>
      <c r="M1617" s="9" t="n">
        <v>378.59</v>
      </c>
      <c r="N1617" s="9" t="n">
        <v>382.89</v>
      </c>
      <c r="O1617" s="9" t="n">
        <v>395.99</v>
      </c>
      <c r="P1617" s="9" t="n">
        <v>393.5</v>
      </c>
      <c r="Q1617" s="9" t="n">
        <v>335.04</v>
      </c>
      <c r="R1617" s="9" t="n">
        <v>416.92</v>
      </c>
      <c r="S1617" s="9" t="n">
        <v>380.03</v>
      </c>
      <c r="T1617" s="9" t="n">
        <v>387.97</v>
      </c>
      <c r="U1617" s="10">
        <f>SUM(I1617:T1617)</f>
        <v/>
      </c>
    </row>
    <row r="1618">
      <c r="A1618" s="2" t="inlineStr">
        <is>
          <t>SN-3000-3400-3420-3420PU0179</t>
        </is>
      </c>
      <c r="B1618" s="2" t="inlineStr">
        <is>
          <t>3420PU0179</t>
        </is>
      </c>
      <c r="C1618" s="2" t="inlineStr">
        <is>
          <t>Bomba sumidero elución</t>
        </is>
      </c>
      <c r="D1618" s="2" t="n">
        <v>539</v>
      </c>
      <c r="E1618" s="2" t="inlineStr">
        <is>
          <t>CC-3000</t>
        </is>
      </c>
      <c r="F1618" s="2" t="inlineStr">
        <is>
          <t>P01</t>
        </is>
      </c>
      <c r="G1618" s="2" t="n">
        <v>630000</v>
      </c>
      <c r="H1618" s="2" t="inlineStr">
        <is>
          <t>Servicios externos</t>
        </is>
      </c>
      <c r="I1618" s="9" t="n">
        <v>378.58</v>
      </c>
      <c r="J1618" s="9" t="n">
        <v>337.83</v>
      </c>
      <c r="K1618" s="9" t="n">
        <v>335.56</v>
      </c>
      <c r="L1618" s="9" t="n">
        <v>331.31</v>
      </c>
      <c r="M1618" s="9" t="n">
        <v>350.25</v>
      </c>
      <c r="N1618" s="9" t="n">
        <v>327.26</v>
      </c>
      <c r="O1618" s="9" t="n">
        <v>323.46</v>
      </c>
      <c r="P1618" s="9" t="n">
        <v>358.78</v>
      </c>
      <c r="Q1618" s="9" t="n">
        <v>337.26</v>
      </c>
      <c r="R1618" s="9" t="n">
        <v>386.31</v>
      </c>
      <c r="S1618" s="9" t="n">
        <v>318.76</v>
      </c>
      <c r="T1618" s="9" t="n">
        <v>361.53</v>
      </c>
      <c r="U1618" s="10">
        <f>SUM(I1618:T1618)</f>
        <v/>
      </c>
    </row>
    <row r="1619">
      <c r="A1619" s="2" t="inlineStr">
        <is>
          <t>SN-3000-3400-3420-3420PU0180</t>
        </is>
      </c>
      <c r="B1619" s="2" t="inlineStr">
        <is>
          <t>3420PU0180</t>
        </is>
      </c>
      <c r="C1619" s="2" t="inlineStr">
        <is>
          <t>Bomba solución rica</t>
        </is>
      </c>
      <c r="D1619" s="2" t="n">
        <v>540</v>
      </c>
      <c r="E1619" s="2" t="inlineStr">
        <is>
          <t>CC-3000</t>
        </is>
      </c>
      <c r="F1619" s="2" t="inlineStr">
        <is>
          <t>P01</t>
        </is>
      </c>
      <c r="G1619" s="2" t="n">
        <v>610000</v>
      </c>
      <c r="H1619" s="2" t="inlineStr">
        <is>
          <t>Mano obra interna</t>
        </is>
      </c>
      <c r="I1619" s="9" t="n">
        <v>2064.2</v>
      </c>
      <c r="J1619" s="9" t="n">
        <v>2022.25</v>
      </c>
      <c r="K1619" s="9" t="n">
        <v>2268.67</v>
      </c>
      <c r="L1619" s="9" t="n">
        <v>2095.73</v>
      </c>
      <c r="M1619" s="9" t="n">
        <v>1904.02</v>
      </c>
      <c r="N1619" s="9" t="n">
        <v>1948.3</v>
      </c>
      <c r="O1619" s="9" t="n">
        <v>2087.72</v>
      </c>
      <c r="P1619" s="9" t="n">
        <v>2235.4</v>
      </c>
      <c r="Q1619" s="9" t="n">
        <v>2079.96</v>
      </c>
      <c r="R1619" s="9" t="n">
        <v>2135.89</v>
      </c>
      <c r="S1619" s="9" t="n">
        <v>1918.69</v>
      </c>
      <c r="T1619" s="9" t="n">
        <v>2004.04</v>
      </c>
      <c r="U1619" s="10">
        <f>SUM(I1619:T1619)</f>
        <v/>
      </c>
    </row>
    <row r="1620">
      <c r="A1620" s="2" t="inlineStr">
        <is>
          <t>SN-3000-3400-3420-3420PU0180</t>
        </is>
      </c>
      <c r="B1620" s="2" t="inlineStr">
        <is>
          <t>3420PU0180</t>
        </is>
      </c>
      <c r="C1620" s="2" t="inlineStr">
        <is>
          <t>Bomba solución rica</t>
        </is>
      </c>
      <c r="D1620" s="2" t="n">
        <v>540</v>
      </c>
      <c r="E1620" s="2" t="inlineStr">
        <is>
          <t>CC-3000</t>
        </is>
      </c>
      <c r="F1620" s="2" t="inlineStr">
        <is>
          <t>P01</t>
        </is>
      </c>
      <c r="G1620" s="2" t="n">
        <v>620000</v>
      </c>
      <c r="H1620" s="2" t="inlineStr">
        <is>
          <t>Materiales</t>
        </is>
      </c>
      <c r="I1620" s="9" t="n">
        <v>2447.57</v>
      </c>
      <c r="J1620" s="9" t="n">
        <v>2410.99</v>
      </c>
      <c r="K1620" s="9" t="n">
        <v>2702.04</v>
      </c>
      <c r="L1620" s="9" t="n">
        <v>2553.28</v>
      </c>
      <c r="M1620" s="9" t="n">
        <v>2408.38</v>
      </c>
      <c r="N1620" s="9" t="n">
        <v>2433.18</v>
      </c>
      <c r="O1620" s="9" t="n">
        <v>2510.44</v>
      </c>
      <c r="P1620" s="9" t="n">
        <v>2606.03</v>
      </c>
      <c r="Q1620" s="9" t="n">
        <v>2609.22</v>
      </c>
      <c r="R1620" s="9" t="n">
        <v>2638.76</v>
      </c>
      <c r="S1620" s="9" t="n">
        <v>2468.89</v>
      </c>
      <c r="T1620" s="9" t="n">
        <v>2824.62</v>
      </c>
      <c r="U1620" s="10">
        <f>SUM(I1620:T1620)</f>
        <v/>
      </c>
    </row>
    <row r="1621">
      <c r="A1621" s="2" t="inlineStr">
        <is>
          <t>SN-3000-3400-3420-3420PU0180</t>
        </is>
      </c>
      <c r="B1621" s="2" t="inlineStr">
        <is>
          <t>3420PU0180</t>
        </is>
      </c>
      <c r="C1621" s="2" t="inlineStr">
        <is>
          <t>Bomba solución rica</t>
        </is>
      </c>
      <c r="D1621" s="2" t="n">
        <v>540</v>
      </c>
      <c r="E1621" s="2" t="inlineStr">
        <is>
          <t>CC-3000</t>
        </is>
      </c>
      <c r="F1621" s="2" t="inlineStr">
        <is>
          <t>P01</t>
        </is>
      </c>
      <c r="G1621" s="2" t="n">
        <v>630000</v>
      </c>
      <c r="H1621" s="2" t="inlineStr">
        <is>
          <t>Servicios externos</t>
        </is>
      </c>
      <c r="I1621" s="9" t="n">
        <v>2624.52</v>
      </c>
      <c r="J1621" s="9" t="n">
        <v>2657.56</v>
      </c>
      <c r="K1621" s="9" t="n">
        <v>2520.01</v>
      </c>
      <c r="L1621" s="9" t="n">
        <v>2763.71</v>
      </c>
      <c r="M1621" s="9" t="n">
        <v>2783.93</v>
      </c>
      <c r="N1621" s="9" t="n">
        <v>2515.28</v>
      </c>
      <c r="O1621" s="9" t="n">
        <v>2615.72</v>
      </c>
      <c r="P1621" s="9" t="n">
        <v>2482.48</v>
      </c>
      <c r="Q1621" s="9" t="n">
        <v>2486.51</v>
      </c>
      <c r="R1621" s="9" t="n">
        <v>2861.07</v>
      </c>
      <c r="S1621" s="9" t="n">
        <v>2593.19</v>
      </c>
      <c r="T1621" s="9" t="n">
        <v>2452.75</v>
      </c>
      <c r="U1621" s="10">
        <f>SUM(I1621:T1621)</f>
        <v/>
      </c>
    </row>
    <row r="1622">
      <c r="A1622" s="2" t="inlineStr">
        <is>
          <t>SN-3000-3400-3420-3420PU0187</t>
        </is>
      </c>
      <c r="B1622" s="2" t="inlineStr">
        <is>
          <t>3420PU0187</t>
        </is>
      </c>
      <c r="C1622" s="2" t="inlineStr">
        <is>
          <t>Bomba impregnación</t>
        </is>
      </c>
      <c r="D1622" s="2" t="n">
        <v>541</v>
      </c>
      <c r="E1622" s="2" t="inlineStr">
        <is>
          <t>CC-3000</t>
        </is>
      </c>
      <c r="F1622" s="2" t="inlineStr">
        <is>
          <t>P01</t>
        </is>
      </c>
      <c r="G1622" s="2" t="n">
        <v>610000</v>
      </c>
      <c r="H1622" s="2" t="inlineStr">
        <is>
          <t>Mano obra interna</t>
        </is>
      </c>
      <c r="I1622" s="9" t="n">
        <v>1335.54</v>
      </c>
      <c r="J1622" s="9" t="n">
        <v>1209.79</v>
      </c>
      <c r="K1622" s="9" t="n">
        <v>1267.42</v>
      </c>
      <c r="L1622" s="9" t="n">
        <v>1269.94</v>
      </c>
      <c r="M1622" s="9" t="n">
        <v>1318.56</v>
      </c>
      <c r="N1622" s="9" t="n">
        <v>1253.02</v>
      </c>
      <c r="O1622" s="9" t="n">
        <v>1360.6</v>
      </c>
      <c r="P1622" s="9" t="n">
        <v>1245.63</v>
      </c>
      <c r="Q1622" s="9" t="n">
        <v>1278.7</v>
      </c>
      <c r="R1622" s="9" t="n">
        <v>1443.95</v>
      </c>
      <c r="S1622" s="9" t="n">
        <v>1226.58</v>
      </c>
      <c r="T1622" s="9" t="n">
        <v>1223.13</v>
      </c>
      <c r="U1622" s="10">
        <f>SUM(I1622:T1622)</f>
        <v/>
      </c>
    </row>
    <row r="1623">
      <c r="A1623" s="2" t="inlineStr">
        <is>
          <t>SN-3000-3400-3420-3420PU0187</t>
        </is>
      </c>
      <c r="B1623" s="2" t="inlineStr">
        <is>
          <t>3420PU0187</t>
        </is>
      </c>
      <c r="C1623" s="2" t="inlineStr">
        <is>
          <t>Bomba impregnación</t>
        </is>
      </c>
      <c r="D1623" s="2" t="n">
        <v>541</v>
      </c>
      <c r="E1623" s="2" t="inlineStr">
        <is>
          <t>CC-3000</t>
        </is>
      </c>
      <c r="F1623" s="2" t="inlineStr">
        <is>
          <t>P01</t>
        </is>
      </c>
      <c r="G1623" s="2" t="n">
        <v>620000</v>
      </c>
      <c r="H1623" s="2" t="inlineStr">
        <is>
          <t>Materiales</t>
        </is>
      </c>
      <c r="I1623" s="9" t="n">
        <v>1253.33</v>
      </c>
      <c r="J1623" s="9" t="n">
        <v>1092.6</v>
      </c>
      <c r="K1623" s="9" t="n">
        <v>1148.2</v>
      </c>
      <c r="L1623" s="9" t="n">
        <v>1111.26</v>
      </c>
      <c r="M1623" s="9" t="n">
        <v>1187.87</v>
      </c>
      <c r="N1623" s="9" t="n">
        <v>1054.59</v>
      </c>
      <c r="O1623" s="9" t="n">
        <v>1113.55</v>
      </c>
      <c r="P1623" s="9" t="n">
        <v>1127.59</v>
      </c>
      <c r="Q1623" s="9" t="n">
        <v>1053.74</v>
      </c>
      <c r="R1623" s="9" t="n">
        <v>1216.34</v>
      </c>
      <c r="S1623" s="9" t="n">
        <v>1108.24</v>
      </c>
      <c r="T1623" s="9" t="n">
        <v>1219.53</v>
      </c>
      <c r="U1623" s="10">
        <f>SUM(I1623:T1623)</f>
        <v/>
      </c>
    </row>
    <row r="1624">
      <c r="A1624" s="2" t="inlineStr">
        <is>
          <t>SN-3000-3400-3420-3420PU0187</t>
        </is>
      </c>
      <c r="B1624" s="2" t="inlineStr">
        <is>
          <t>3420PU0187</t>
        </is>
      </c>
      <c r="C1624" s="2" t="inlineStr">
        <is>
          <t>Bomba impregnación</t>
        </is>
      </c>
      <c r="D1624" s="2" t="n">
        <v>541</v>
      </c>
      <c r="E1624" s="2" t="inlineStr">
        <is>
          <t>CC-3000</t>
        </is>
      </c>
      <c r="F1624" s="2" t="inlineStr">
        <is>
          <t>P01</t>
        </is>
      </c>
      <c r="G1624" s="2" t="n">
        <v>630000</v>
      </c>
      <c r="H1624" s="2" t="inlineStr">
        <is>
          <t>Servicios externos</t>
        </is>
      </c>
      <c r="I1624" s="9" t="n">
        <v>1416.56</v>
      </c>
      <c r="J1624" s="9" t="n">
        <v>1221.12</v>
      </c>
      <c r="K1624" s="9" t="n">
        <v>1431.84</v>
      </c>
      <c r="L1624" s="9" t="n">
        <v>1271.37</v>
      </c>
      <c r="M1624" s="9" t="n">
        <v>1232.02</v>
      </c>
      <c r="N1624" s="9" t="n">
        <v>1356.97</v>
      </c>
      <c r="O1624" s="9" t="n">
        <v>1392.73</v>
      </c>
      <c r="P1624" s="9" t="n">
        <v>1334.53</v>
      </c>
      <c r="Q1624" s="9" t="n">
        <v>1306.84</v>
      </c>
      <c r="R1624" s="9" t="n">
        <v>1540.12</v>
      </c>
      <c r="S1624" s="9" t="n">
        <v>1304.82</v>
      </c>
      <c r="T1624" s="9" t="n">
        <v>1368.36</v>
      </c>
      <c r="U1624" s="10">
        <f>SUM(I1624:T1624)</f>
        <v/>
      </c>
    </row>
    <row r="1625">
      <c r="A1625" s="2" t="inlineStr">
        <is>
          <t>SN-3000-3400-3420-3420PU0197</t>
        </is>
      </c>
      <c r="B1625" s="2" t="inlineStr">
        <is>
          <t>3420PU0197</t>
        </is>
      </c>
      <c r="C1625" s="2" t="inlineStr">
        <is>
          <t>Bomba enjuague con agua</t>
        </is>
      </c>
      <c r="D1625" s="2" t="n">
        <v>542</v>
      </c>
      <c r="E1625" s="2" t="inlineStr">
        <is>
          <t>CC-3000</t>
        </is>
      </c>
      <c r="F1625" s="2" t="inlineStr">
        <is>
          <t>P01</t>
        </is>
      </c>
      <c r="G1625" s="2" t="n">
        <v>610000</v>
      </c>
      <c r="H1625" s="2" t="inlineStr">
        <is>
          <t>Mano obra interna</t>
        </is>
      </c>
      <c r="I1625" s="9" t="n">
        <v>2394.69</v>
      </c>
      <c r="J1625" s="9" t="n">
        <v>2285.16</v>
      </c>
      <c r="K1625" s="9" t="n">
        <v>2633.39</v>
      </c>
      <c r="L1625" s="9" t="n">
        <v>2442.7</v>
      </c>
      <c r="M1625" s="9" t="n">
        <v>2283.86</v>
      </c>
      <c r="N1625" s="9" t="n">
        <v>2273.75</v>
      </c>
      <c r="O1625" s="9" t="n">
        <v>2396.48</v>
      </c>
      <c r="P1625" s="9" t="n">
        <v>2631.29</v>
      </c>
      <c r="Q1625" s="9" t="n">
        <v>2353.68</v>
      </c>
      <c r="R1625" s="9" t="n">
        <v>2656.08</v>
      </c>
      <c r="S1625" s="9" t="n">
        <v>2550.55</v>
      </c>
      <c r="T1625" s="9" t="n">
        <v>2647.65</v>
      </c>
      <c r="U1625" s="10">
        <f>SUM(I1625:T1625)</f>
        <v/>
      </c>
    </row>
    <row r="1626">
      <c r="A1626" s="2" t="inlineStr">
        <is>
          <t>SN-3000-3400-3420-3420PU0197</t>
        </is>
      </c>
      <c r="B1626" s="2" t="inlineStr">
        <is>
          <t>3420PU0197</t>
        </is>
      </c>
      <c r="C1626" s="2" t="inlineStr">
        <is>
          <t>Bomba enjuague con agua</t>
        </is>
      </c>
      <c r="D1626" s="2" t="n">
        <v>542</v>
      </c>
      <c r="E1626" s="2" t="inlineStr">
        <is>
          <t>CC-3000</t>
        </is>
      </c>
      <c r="F1626" s="2" t="inlineStr">
        <is>
          <t>P01</t>
        </is>
      </c>
      <c r="G1626" s="2" t="n">
        <v>620000</v>
      </c>
      <c r="H1626" s="2" t="inlineStr">
        <is>
          <t>Materiales</t>
        </is>
      </c>
      <c r="I1626" s="9" t="n">
        <v>2453.75</v>
      </c>
      <c r="J1626" s="9" t="n">
        <v>2188.92</v>
      </c>
      <c r="K1626" s="9" t="n">
        <v>2228.12</v>
      </c>
      <c r="L1626" s="9" t="n">
        <v>2208.23</v>
      </c>
      <c r="M1626" s="9" t="n">
        <v>2291.8</v>
      </c>
      <c r="N1626" s="9" t="n">
        <v>2158.35</v>
      </c>
      <c r="O1626" s="9" t="n">
        <v>2315.59</v>
      </c>
      <c r="P1626" s="9" t="n">
        <v>2322.6</v>
      </c>
      <c r="Q1626" s="9" t="n">
        <v>1940.53</v>
      </c>
      <c r="R1626" s="9" t="n">
        <v>2260.47</v>
      </c>
      <c r="S1626" s="9" t="n">
        <v>2196.48</v>
      </c>
      <c r="T1626" s="9" t="n">
        <v>2177.41</v>
      </c>
      <c r="U1626" s="10">
        <f>SUM(I1626:T1626)</f>
        <v/>
      </c>
    </row>
    <row r="1627">
      <c r="A1627" s="2" t="inlineStr">
        <is>
          <t>SN-3000-3400-3420-3420PU0197</t>
        </is>
      </c>
      <c r="B1627" s="2" t="inlineStr">
        <is>
          <t>3420PU0197</t>
        </is>
      </c>
      <c r="C1627" s="2" t="inlineStr">
        <is>
          <t>Bomba enjuague con agua</t>
        </is>
      </c>
      <c r="D1627" s="2" t="n">
        <v>542</v>
      </c>
      <c r="E1627" s="2" t="inlineStr">
        <is>
          <t>CC-3000</t>
        </is>
      </c>
      <c r="F1627" s="2" t="inlineStr">
        <is>
          <t>P01</t>
        </is>
      </c>
      <c r="G1627" s="2" t="n">
        <v>630000</v>
      </c>
      <c r="H1627" s="2" t="inlineStr">
        <is>
          <t>Servicios externos</t>
        </is>
      </c>
      <c r="I1627" s="9" t="n">
        <v>2336.18</v>
      </c>
      <c r="J1627" s="9" t="n">
        <v>2265.83</v>
      </c>
      <c r="K1627" s="9" t="n">
        <v>2267.34</v>
      </c>
      <c r="L1627" s="9" t="n">
        <v>2371.46</v>
      </c>
      <c r="M1627" s="9" t="n">
        <v>2364.46</v>
      </c>
      <c r="N1627" s="9" t="n">
        <v>2342.74</v>
      </c>
      <c r="O1627" s="9" t="n">
        <v>2393.51</v>
      </c>
      <c r="P1627" s="9" t="n">
        <v>2288.7</v>
      </c>
      <c r="Q1627" s="9" t="n">
        <v>2009.02</v>
      </c>
      <c r="R1627" s="9" t="n">
        <v>2518.57</v>
      </c>
      <c r="S1627" s="9" t="n">
        <v>2350.9</v>
      </c>
      <c r="T1627" s="9" t="n">
        <v>2197.04</v>
      </c>
      <c r="U1627" s="10">
        <f>SUM(I1627:T1627)</f>
        <v/>
      </c>
    </row>
    <row r="1628">
      <c r="A1628" s="2" t="inlineStr">
        <is>
          <t>SN-3000-3400-3420-3420PU0465</t>
        </is>
      </c>
      <c r="B1628" s="2" t="inlineStr">
        <is>
          <t>3420PU0465</t>
        </is>
      </c>
      <c r="C1628" s="2" t="inlineStr">
        <is>
          <t>Bomba fluido termico circuito calefacción</t>
        </is>
      </c>
      <c r="D1628" s="2" t="n">
        <v>543</v>
      </c>
      <c r="E1628" s="2" t="inlineStr">
        <is>
          <t>CC-3000</t>
        </is>
      </c>
      <c r="F1628" s="2" t="inlineStr">
        <is>
          <t>P01</t>
        </is>
      </c>
      <c r="G1628" s="2" t="n">
        <v>610000</v>
      </c>
      <c r="H1628" s="2" t="inlineStr">
        <is>
          <t>Mano obra interna</t>
        </is>
      </c>
      <c r="I1628" s="9" t="n">
        <v>1359.17</v>
      </c>
      <c r="J1628" s="9" t="n">
        <v>1441.89</v>
      </c>
      <c r="K1628" s="9" t="n">
        <v>1433.51</v>
      </c>
      <c r="L1628" s="9" t="n">
        <v>1340.85</v>
      </c>
      <c r="M1628" s="9" t="n">
        <v>1479.79</v>
      </c>
      <c r="N1628" s="9" t="n">
        <v>1361.1</v>
      </c>
      <c r="O1628" s="9" t="n">
        <v>1373.13</v>
      </c>
      <c r="P1628" s="9" t="n">
        <v>1374.39</v>
      </c>
      <c r="Q1628" s="9" t="n">
        <v>1269.06</v>
      </c>
      <c r="R1628" s="9" t="n">
        <v>1510.42</v>
      </c>
      <c r="S1628" s="9" t="n">
        <v>1329.98</v>
      </c>
      <c r="T1628" s="9" t="n">
        <v>1442.56</v>
      </c>
      <c r="U1628" s="10">
        <f>SUM(I1628:T1628)</f>
        <v/>
      </c>
    </row>
    <row r="1629">
      <c r="A1629" s="2" t="inlineStr">
        <is>
          <t>SN-3000-3400-3420-3420PU0465</t>
        </is>
      </c>
      <c r="B1629" s="2" t="inlineStr">
        <is>
          <t>3420PU0465</t>
        </is>
      </c>
      <c r="C1629" s="2" t="inlineStr">
        <is>
          <t>Bomba fluido termico circuito calefacción</t>
        </is>
      </c>
      <c r="D1629" s="2" t="n">
        <v>543</v>
      </c>
      <c r="E1629" s="2" t="inlineStr">
        <is>
          <t>CC-3000</t>
        </is>
      </c>
      <c r="F1629" s="2" t="inlineStr">
        <is>
          <t>P01</t>
        </is>
      </c>
      <c r="G1629" s="2" t="n">
        <v>620000</v>
      </c>
      <c r="H1629" s="2" t="inlineStr">
        <is>
          <t>Materiales</t>
        </is>
      </c>
      <c r="I1629" s="9" t="n">
        <v>1650.53</v>
      </c>
      <c r="J1629" s="9" t="n">
        <v>1498.16</v>
      </c>
      <c r="K1629" s="9" t="n">
        <v>1630.16</v>
      </c>
      <c r="L1629" s="9" t="n">
        <v>1695.09</v>
      </c>
      <c r="M1629" s="9" t="n">
        <v>1449.11</v>
      </c>
      <c r="N1629" s="9" t="n">
        <v>1402.36</v>
      </c>
      <c r="O1629" s="9" t="n">
        <v>1587.78</v>
      </c>
      <c r="P1629" s="9" t="n">
        <v>1606.73</v>
      </c>
      <c r="Q1629" s="9" t="n">
        <v>1396.59</v>
      </c>
      <c r="R1629" s="9" t="n">
        <v>1762.84</v>
      </c>
      <c r="S1629" s="9" t="n">
        <v>1558.33</v>
      </c>
      <c r="T1629" s="9" t="n">
        <v>1704.39</v>
      </c>
      <c r="U1629" s="10">
        <f>SUM(I1629:T1629)</f>
        <v/>
      </c>
    </row>
    <row r="1630">
      <c r="A1630" s="2" t="inlineStr">
        <is>
          <t>SN-3000-3400-3420-3420PU0465</t>
        </is>
      </c>
      <c r="B1630" s="2" t="inlineStr">
        <is>
          <t>3420PU0465</t>
        </is>
      </c>
      <c r="C1630" s="2" t="inlineStr">
        <is>
          <t>Bomba fluido termico circuito calefacción</t>
        </is>
      </c>
      <c r="D1630" s="2" t="n">
        <v>543</v>
      </c>
      <c r="E1630" s="2" t="inlineStr">
        <is>
          <t>CC-3000</t>
        </is>
      </c>
      <c r="F1630" s="2" t="inlineStr">
        <is>
          <t>P01</t>
        </is>
      </c>
      <c r="G1630" s="2" t="n">
        <v>630000</v>
      </c>
      <c r="H1630" s="2" t="inlineStr">
        <is>
          <t>Servicios externos</t>
        </is>
      </c>
      <c r="I1630" s="9" t="n">
        <v>1403.02</v>
      </c>
      <c r="J1630" s="9" t="n">
        <v>1214.54</v>
      </c>
      <c r="K1630" s="9" t="n">
        <v>1377.28</v>
      </c>
      <c r="L1630" s="9" t="n">
        <v>1361.57</v>
      </c>
      <c r="M1630" s="9" t="n">
        <v>1284.21</v>
      </c>
      <c r="N1630" s="9" t="n">
        <v>1332.83</v>
      </c>
      <c r="O1630" s="9" t="n">
        <v>1217.01</v>
      </c>
      <c r="P1630" s="9" t="n">
        <v>1324.51</v>
      </c>
      <c r="Q1630" s="9" t="n">
        <v>1174.24</v>
      </c>
      <c r="R1630" s="9" t="n">
        <v>1480.36</v>
      </c>
      <c r="S1630" s="9" t="n">
        <v>1185.53</v>
      </c>
      <c r="T1630" s="9" t="n">
        <v>1411.98</v>
      </c>
      <c r="U1630" s="10">
        <f>SUM(I1630:T1630)</f>
        <v/>
      </c>
    </row>
    <row r="1631">
      <c r="A1631" s="2" t="inlineStr">
        <is>
          <t>SN-3000-3400-3420-3420SY0010</t>
        </is>
      </c>
      <c r="B1631" s="2" t="inlineStr">
        <is>
          <t>3420SY0010</t>
        </is>
      </c>
      <c r="C1631" s="2" t="inlineStr">
        <is>
          <t>Lava ojos emergencia</t>
        </is>
      </c>
      <c r="D1631" s="2" t="n">
        <v>544</v>
      </c>
      <c r="E1631" s="2" t="inlineStr">
        <is>
          <t>CC-3000</t>
        </is>
      </c>
      <c r="F1631" s="2" t="inlineStr">
        <is>
          <t>P01</t>
        </is>
      </c>
      <c r="G1631" s="2" t="n">
        <v>610000</v>
      </c>
      <c r="H1631" s="2" t="inlineStr">
        <is>
          <t>Mano obra interna</t>
        </is>
      </c>
      <c r="I1631" s="9" t="n">
        <v>2633.88</v>
      </c>
      <c r="J1631" s="9" t="n">
        <v>2278.43</v>
      </c>
      <c r="K1631" s="9" t="n">
        <v>2579.88</v>
      </c>
      <c r="L1631" s="9" t="n">
        <v>2309.1</v>
      </c>
      <c r="M1631" s="9" t="n">
        <v>2559.27</v>
      </c>
      <c r="N1631" s="9" t="n">
        <v>2425.57</v>
      </c>
      <c r="O1631" s="9" t="n">
        <v>2462.96</v>
      </c>
      <c r="P1631" s="9" t="n">
        <v>2538.12</v>
      </c>
      <c r="Q1631" s="9" t="n">
        <v>2132.3</v>
      </c>
      <c r="R1631" s="9" t="n">
        <v>2653.86</v>
      </c>
      <c r="S1631" s="9" t="n">
        <v>2292.21</v>
      </c>
      <c r="T1631" s="9" t="n">
        <v>2674</v>
      </c>
      <c r="U1631" s="10">
        <f>SUM(I1631:T1631)</f>
        <v/>
      </c>
    </row>
    <row r="1632">
      <c r="A1632" s="2" t="inlineStr">
        <is>
          <t>SN-3000-3400-3420-3420SY0010</t>
        </is>
      </c>
      <c r="B1632" s="2" t="inlineStr">
        <is>
          <t>3420SY0010</t>
        </is>
      </c>
      <c r="C1632" s="2" t="inlineStr">
        <is>
          <t>Lava ojos emergencia</t>
        </is>
      </c>
      <c r="D1632" s="2" t="n">
        <v>544</v>
      </c>
      <c r="E1632" s="2" t="inlineStr">
        <is>
          <t>CC-3000</t>
        </is>
      </c>
      <c r="F1632" s="2" t="inlineStr">
        <is>
          <t>P01</t>
        </is>
      </c>
      <c r="G1632" s="2" t="n">
        <v>620000</v>
      </c>
      <c r="H1632" s="2" t="inlineStr">
        <is>
          <t>Materiales</t>
        </is>
      </c>
      <c r="I1632" s="9" t="n">
        <v>2537.99</v>
      </c>
      <c r="J1632" s="9" t="n">
        <v>2524.23</v>
      </c>
      <c r="K1632" s="9" t="n">
        <v>2411.95</v>
      </c>
      <c r="L1632" s="9" t="n">
        <v>2606.66</v>
      </c>
      <c r="M1632" s="9" t="n">
        <v>2305.59</v>
      </c>
      <c r="N1632" s="9" t="n">
        <v>2376.76</v>
      </c>
      <c r="O1632" s="9" t="n">
        <v>2488.49</v>
      </c>
      <c r="P1632" s="9" t="n">
        <v>2210.35</v>
      </c>
      <c r="Q1632" s="9" t="n">
        <v>2181.44</v>
      </c>
      <c r="R1632" s="9" t="n">
        <v>2385.93</v>
      </c>
      <c r="S1632" s="9" t="n">
        <v>2504.7</v>
      </c>
      <c r="T1632" s="9" t="n">
        <v>2285.26</v>
      </c>
      <c r="U1632" s="10">
        <f>SUM(I1632:T1632)</f>
        <v/>
      </c>
    </row>
    <row r="1633">
      <c r="A1633" s="2" t="inlineStr">
        <is>
          <t>SN-3000-3400-3420-3420SY0010</t>
        </is>
      </c>
      <c r="B1633" s="2" t="inlineStr">
        <is>
          <t>3420SY0010</t>
        </is>
      </c>
      <c r="C1633" s="2" t="inlineStr">
        <is>
          <t>Lava ojos emergencia</t>
        </is>
      </c>
      <c r="D1633" s="2" t="n">
        <v>544</v>
      </c>
      <c r="E1633" s="2" t="inlineStr">
        <is>
          <t>CC-3000</t>
        </is>
      </c>
      <c r="F1633" s="2" t="inlineStr">
        <is>
          <t>P01</t>
        </is>
      </c>
      <c r="G1633" s="2" t="n">
        <v>630000</v>
      </c>
      <c r="H1633" s="2" t="inlineStr">
        <is>
          <t>Servicios externos</t>
        </is>
      </c>
      <c r="I1633" s="9" t="n">
        <v>2338.76</v>
      </c>
      <c r="J1633" s="9" t="n">
        <v>2053.02</v>
      </c>
      <c r="K1633" s="9" t="n">
        <v>2253.09</v>
      </c>
      <c r="L1633" s="9" t="n">
        <v>2275.95</v>
      </c>
      <c r="M1633" s="9" t="n">
        <v>2048.79</v>
      </c>
      <c r="N1633" s="9" t="n">
        <v>2186.33</v>
      </c>
      <c r="O1633" s="9" t="n">
        <v>2119.9</v>
      </c>
      <c r="P1633" s="9" t="n">
        <v>2086.44</v>
      </c>
      <c r="Q1633" s="9" t="n">
        <v>2056.9</v>
      </c>
      <c r="R1633" s="9" t="n">
        <v>2327.04</v>
      </c>
      <c r="S1633" s="9" t="n">
        <v>2261.82</v>
      </c>
      <c r="T1633" s="9" t="n">
        <v>2356.83</v>
      </c>
      <c r="U1633" s="10">
        <f>SUM(I1633:T1633)</f>
        <v/>
      </c>
    </row>
    <row r="1634">
      <c r="A1634" s="2" t="inlineStr">
        <is>
          <t>SN-3000-3400-3420-3420SY0043</t>
        </is>
      </c>
      <c r="B1634" s="2" t="inlineStr">
        <is>
          <t>3420SY0043</t>
        </is>
      </c>
      <c r="C1634" s="2" t="inlineStr">
        <is>
          <t>Lava ojos emergencia</t>
        </is>
      </c>
      <c r="D1634" s="2" t="n">
        <v>545</v>
      </c>
      <c r="E1634" s="2" t="inlineStr">
        <is>
          <t>CC-3000</t>
        </is>
      </c>
      <c r="F1634" s="2" t="inlineStr">
        <is>
          <t>P01</t>
        </is>
      </c>
      <c r="G1634" s="2" t="n">
        <v>610000</v>
      </c>
      <c r="H1634" s="2" t="inlineStr">
        <is>
          <t>Mano obra interna</t>
        </is>
      </c>
      <c r="I1634" s="9" t="n">
        <v>962.04</v>
      </c>
      <c r="J1634" s="9" t="n">
        <v>923</v>
      </c>
      <c r="K1634" s="9" t="n">
        <v>957.63</v>
      </c>
      <c r="L1634" s="9" t="n">
        <v>992.39</v>
      </c>
      <c r="M1634" s="9" t="n">
        <v>1000.7</v>
      </c>
      <c r="N1634" s="9" t="n">
        <v>893.84</v>
      </c>
      <c r="O1634" s="9" t="n">
        <v>916.72</v>
      </c>
      <c r="P1634" s="9" t="n">
        <v>959.61</v>
      </c>
      <c r="Q1634" s="9" t="n">
        <v>835.58</v>
      </c>
      <c r="R1634" s="9" t="n">
        <v>1073.2</v>
      </c>
      <c r="S1634" s="9" t="n">
        <v>936.0599999999999</v>
      </c>
      <c r="T1634" s="9" t="n">
        <v>977.86</v>
      </c>
      <c r="U1634" s="10">
        <f>SUM(I1634:T1634)</f>
        <v/>
      </c>
    </row>
    <row r="1635">
      <c r="A1635" s="2" t="inlineStr">
        <is>
          <t>SN-3000-3400-3420-3420SY0043</t>
        </is>
      </c>
      <c r="B1635" s="2" t="inlineStr">
        <is>
          <t>3420SY0043</t>
        </is>
      </c>
      <c r="C1635" s="2" t="inlineStr">
        <is>
          <t>Lava ojos emergencia</t>
        </is>
      </c>
      <c r="D1635" s="2" t="n">
        <v>545</v>
      </c>
      <c r="E1635" s="2" t="inlineStr">
        <is>
          <t>CC-3000</t>
        </is>
      </c>
      <c r="F1635" s="2" t="inlineStr">
        <is>
          <t>P01</t>
        </is>
      </c>
      <c r="G1635" s="2" t="n">
        <v>620000</v>
      </c>
      <c r="H1635" s="2" t="inlineStr">
        <is>
          <t>Materiales</t>
        </is>
      </c>
      <c r="I1635" s="9" t="n">
        <v>946.49</v>
      </c>
      <c r="J1635" s="9" t="n">
        <v>801.4</v>
      </c>
      <c r="K1635" s="9" t="n">
        <v>951.49</v>
      </c>
      <c r="L1635" s="9" t="n">
        <v>872.42</v>
      </c>
      <c r="M1635" s="9" t="n">
        <v>914.25</v>
      </c>
      <c r="N1635" s="9" t="n">
        <v>862.99</v>
      </c>
      <c r="O1635" s="9" t="n">
        <v>816</v>
      </c>
      <c r="P1635" s="9" t="n">
        <v>916.28</v>
      </c>
      <c r="Q1635" s="9" t="n">
        <v>834.21</v>
      </c>
      <c r="R1635" s="9" t="n">
        <v>868.8</v>
      </c>
      <c r="S1635" s="9" t="n">
        <v>793.5599999999999</v>
      </c>
      <c r="T1635" s="9" t="n">
        <v>902.88</v>
      </c>
      <c r="U1635" s="10">
        <f>SUM(I1635:T1635)</f>
        <v/>
      </c>
    </row>
    <row r="1636">
      <c r="A1636" s="2" t="inlineStr">
        <is>
          <t>SN-3000-3400-3420-3420SY0043</t>
        </is>
      </c>
      <c r="B1636" s="2" t="inlineStr">
        <is>
          <t>3420SY0043</t>
        </is>
      </c>
      <c r="C1636" s="2" t="inlineStr">
        <is>
          <t>Lava ojos emergencia</t>
        </is>
      </c>
      <c r="D1636" s="2" t="n">
        <v>545</v>
      </c>
      <c r="E1636" s="2" t="inlineStr">
        <is>
          <t>CC-3000</t>
        </is>
      </c>
      <c r="F1636" s="2" t="inlineStr">
        <is>
          <t>P01</t>
        </is>
      </c>
      <c r="G1636" s="2" t="n">
        <v>630000</v>
      </c>
      <c r="H1636" s="2" t="inlineStr">
        <is>
          <t>Servicios externos</t>
        </is>
      </c>
      <c r="I1636" s="9" t="n">
        <v>1030.69</v>
      </c>
      <c r="J1636" s="9" t="n">
        <v>990.3099999999999</v>
      </c>
      <c r="K1636" s="9" t="n">
        <v>1027.62</v>
      </c>
      <c r="L1636" s="9" t="n">
        <v>1035.01</v>
      </c>
      <c r="M1636" s="9" t="n">
        <v>972.8099999999999</v>
      </c>
      <c r="N1636" s="9" t="n">
        <v>893.1</v>
      </c>
      <c r="O1636" s="9" t="n">
        <v>1035.86</v>
      </c>
      <c r="P1636" s="9" t="n">
        <v>895.77</v>
      </c>
      <c r="Q1636" s="9" t="n">
        <v>884.86</v>
      </c>
      <c r="R1636" s="9" t="n">
        <v>1085.84</v>
      </c>
      <c r="S1636" s="9" t="n">
        <v>929.33</v>
      </c>
      <c r="T1636" s="9" t="n">
        <v>910.79</v>
      </c>
      <c r="U1636" s="10">
        <f>SUM(I1636:T1636)</f>
        <v/>
      </c>
    </row>
    <row r="1637">
      <c r="A1637" s="2" t="inlineStr">
        <is>
          <t>SN-3000-3400-3420-3420TK0020</t>
        </is>
      </c>
      <c r="B1637" s="2" t="inlineStr">
        <is>
          <t>3420TK0020</t>
        </is>
      </c>
      <c r="C1637" s="2" t="inlineStr">
        <is>
          <t>Estanque solución rica</t>
        </is>
      </c>
      <c r="D1637" s="2" t="n">
        <v>546</v>
      </c>
      <c r="E1637" s="2" t="inlineStr">
        <is>
          <t>CC-3000</t>
        </is>
      </c>
      <c r="F1637" s="2" t="inlineStr">
        <is>
          <t>P01</t>
        </is>
      </c>
      <c r="G1637" s="2" t="n">
        <v>610000</v>
      </c>
      <c r="H1637" s="2" t="inlineStr">
        <is>
          <t>Mano obra interna</t>
        </is>
      </c>
      <c r="I1637" s="9" t="n">
        <v>1829.44</v>
      </c>
      <c r="J1637" s="9" t="n">
        <v>1852.18</v>
      </c>
      <c r="K1637" s="9" t="n">
        <v>1820.83</v>
      </c>
      <c r="L1637" s="9" t="n">
        <v>1790.98</v>
      </c>
      <c r="M1637" s="9" t="n">
        <v>1681.99</v>
      </c>
      <c r="N1637" s="9" t="n">
        <v>1608.41</v>
      </c>
      <c r="O1637" s="9" t="n">
        <v>1617.03</v>
      </c>
      <c r="P1637" s="9" t="n">
        <v>1685.61</v>
      </c>
      <c r="Q1637" s="9" t="n">
        <v>1616.19</v>
      </c>
      <c r="R1637" s="9" t="n">
        <v>1796.51</v>
      </c>
      <c r="S1637" s="9" t="n">
        <v>1582.67</v>
      </c>
      <c r="T1637" s="9" t="n">
        <v>1838.33</v>
      </c>
      <c r="U1637" s="10">
        <f>SUM(I1637:T1637)</f>
        <v/>
      </c>
    </row>
    <row r="1638">
      <c r="A1638" s="2" t="inlineStr">
        <is>
          <t>SN-3000-3400-3420-3420TK0020</t>
        </is>
      </c>
      <c r="B1638" s="2" t="inlineStr">
        <is>
          <t>3420TK0020</t>
        </is>
      </c>
      <c r="C1638" s="2" t="inlineStr">
        <is>
          <t>Estanque solución rica</t>
        </is>
      </c>
      <c r="D1638" s="2" t="n">
        <v>546</v>
      </c>
      <c r="E1638" s="2" t="inlineStr">
        <is>
          <t>CC-3000</t>
        </is>
      </c>
      <c r="F1638" s="2" t="inlineStr">
        <is>
          <t>P01</t>
        </is>
      </c>
      <c r="G1638" s="2" t="n">
        <v>620000</v>
      </c>
      <c r="H1638" s="2" t="inlineStr">
        <is>
          <t>Materiales</t>
        </is>
      </c>
      <c r="I1638" s="9" t="n">
        <v>2315.47</v>
      </c>
      <c r="J1638" s="9" t="n">
        <v>2127.35</v>
      </c>
      <c r="K1638" s="9" t="n">
        <v>2030.61</v>
      </c>
      <c r="L1638" s="9" t="n">
        <v>2250.27</v>
      </c>
      <c r="M1638" s="9" t="n">
        <v>1967.21</v>
      </c>
      <c r="N1638" s="9" t="n">
        <v>2081.94</v>
      </c>
      <c r="O1638" s="9" t="n">
        <v>2215.8</v>
      </c>
      <c r="P1638" s="9" t="n">
        <v>2195.01</v>
      </c>
      <c r="Q1638" s="9" t="n">
        <v>2116.17</v>
      </c>
      <c r="R1638" s="9" t="n">
        <v>2373.41</v>
      </c>
      <c r="S1638" s="9" t="n">
        <v>2115.77</v>
      </c>
      <c r="T1638" s="9" t="n">
        <v>2069.49</v>
      </c>
      <c r="U1638" s="10">
        <f>SUM(I1638:T1638)</f>
        <v/>
      </c>
    </row>
    <row r="1639">
      <c r="A1639" s="2" t="inlineStr">
        <is>
          <t>SN-3000-3400-3420-3420TK0020</t>
        </is>
      </c>
      <c r="B1639" s="2" t="inlineStr">
        <is>
          <t>3420TK0020</t>
        </is>
      </c>
      <c r="C1639" s="2" t="inlineStr">
        <is>
          <t>Estanque solución rica</t>
        </is>
      </c>
      <c r="D1639" s="2" t="n">
        <v>546</v>
      </c>
      <c r="E1639" s="2" t="inlineStr">
        <is>
          <t>CC-3000</t>
        </is>
      </c>
      <c r="F1639" s="2" t="inlineStr">
        <is>
          <t>P01</t>
        </is>
      </c>
      <c r="G1639" s="2" t="n">
        <v>630000</v>
      </c>
      <c r="H1639" s="2" t="inlineStr">
        <is>
          <t>Servicios externos</t>
        </is>
      </c>
      <c r="I1639" s="9" t="n">
        <v>2103.52</v>
      </c>
      <c r="J1639" s="9" t="n">
        <v>2277.61</v>
      </c>
      <c r="K1639" s="9" t="n">
        <v>2173.49</v>
      </c>
      <c r="L1639" s="9" t="n">
        <v>2088.45</v>
      </c>
      <c r="M1639" s="9" t="n">
        <v>2261.81</v>
      </c>
      <c r="N1639" s="9" t="n">
        <v>1911.22</v>
      </c>
      <c r="O1639" s="9" t="n">
        <v>2288.36</v>
      </c>
      <c r="P1639" s="9" t="n">
        <v>2087.77</v>
      </c>
      <c r="Q1639" s="9" t="n">
        <v>2146.25</v>
      </c>
      <c r="R1639" s="9" t="n">
        <v>2414.02</v>
      </c>
      <c r="S1639" s="9" t="n">
        <v>2158.47</v>
      </c>
      <c r="T1639" s="9" t="n">
        <v>2156.68</v>
      </c>
      <c r="U1639" s="10">
        <f>SUM(I1639:T1639)</f>
        <v/>
      </c>
    </row>
    <row r="1640">
      <c r="A1640" s="2" t="inlineStr">
        <is>
          <t>SN-3000-3400-3420-3420TK0034</t>
        </is>
      </c>
      <c r="B1640" s="2" t="inlineStr">
        <is>
          <t>3420TK0034</t>
        </is>
      </c>
      <c r="C1640" s="2" t="inlineStr">
        <is>
          <t>Estanque impregnación</t>
        </is>
      </c>
      <c r="D1640" s="2" t="n">
        <v>547</v>
      </c>
      <c r="E1640" s="2" t="inlineStr">
        <is>
          <t>CC-3000</t>
        </is>
      </c>
      <c r="F1640" s="2" t="inlineStr">
        <is>
          <t>P01</t>
        </is>
      </c>
      <c r="G1640" s="2" t="n">
        <v>610000</v>
      </c>
      <c r="H1640" s="2" t="inlineStr">
        <is>
          <t>Mano obra interna</t>
        </is>
      </c>
      <c r="I1640" s="9" t="n">
        <v>1862.25</v>
      </c>
      <c r="J1640" s="9" t="n">
        <v>1616.62</v>
      </c>
      <c r="K1640" s="9" t="n">
        <v>1751</v>
      </c>
      <c r="L1640" s="9" t="n">
        <v>1799.35</v>
      </c>
      <c r="M1640" s="9" t="n">
        <v>1709.92</v>
      </c>
      <c r="N1640" s="9" t="n">
        <v>1576.72</v>
      </c>
      <c r="O1640" s="9" t="n">
        <v>1633.82</v>
      </c>
      <c r="P1640" s="9" t="n">
        <v>1627.05</v>
      </c>
      <c r="Q1640" s="9" t="n">
        <v>1706.62</v>
      </c>
      <c r="R1640" s="9" t="n">
        <v>1728.55</v>
      </c>
      <c r="S1640" s="9" t="n">
        <v>1805.4</v>
      </c>
      <c r="T1640" s="9" t="n">
        <v>1673.62</v>
      </c>
      <c r="U1640" s="10">
        <f>SUM(I1640:T1640)</f>
        <v/>
      </c>
    </row>
    <row r="1641">
      <c r="A1641" s="2" t="inlineStr">
        <is>
          <t>SN-3000-3400-3420-3420TK0034</t>
        </is>
      </c>
      <c r="B1641" s="2" t="inlineStr">
        <is>
          <t>3420TK0034</t>
        </is>
      </c>
      <c r="C1641" s="2" t="inlineStr">
        <is>
          <t>Estanque impregnación</t>
        </is>
      </c>
      <c r="D1641" s="2" t="n">
        <v>547</v>
      </c>
      <c r="E1641" s="2" t="inlineStr">
        <is>
          <t>CC-3000</t>
        </is>
      </c>
      <c r="F1641" s="2" t="inlineStr">
        <is>
          <t>P01</t>
        </is>
      </c>
      <c r="G1641" s="2" t="n">
        <v>620000</v>
      </c>
      <c r="H1641" s="2" t="inlineStr">
        <is>
          <t>Materiales</t>
        </is>
      </c>
      <c r="I1641" s="9" t="n">
        <v>1751.08</v>
      </c>
      <c r="J1641" s="9" t="n">
        <v>1556.65</v>
      </c>
      <c r="K1641" s="9" t="n">
        <v>1776.72</v>
      </c>
      <c r="L1641" s="9" t="n">
        <v>1828.96</v>
      </c>
      <c r="M1641" s="9" t="n">
        <v>1555.62</v>
      </c>
      <c r="N1641" s="9" t="n">
        <v>1697.74</v>
      </c>
      <c r="O1641" s="9" t="n">
        <v>1666.6</v>
      </c>
      <c r="P1641" s="9" t="n">
        <v>1600.94</v>
      </c>
      <c r="Q1641" s="9" t="n">
        <v>1495.58</v>
      </c>
      <c r="R1641" s="9" t="n">
        <v>1949.78</v>
      </c>
      <c r="S1641" s="9" t="n">
        <v>1538.14</v>
      </c>
      <c r="T1641" s="9" t="n">
        <v>1820.53</v>
      </c>
      <c r="U1641" s="10">
        <f>SUM(I1641:T1641)</f>
        <v/>
      </c>
    </row>
    <row r="1642">
      <c r="A1642" s="2" t="inlineStr">
        <is>
          <t>SN-3000-3400-3420-3420TK0034</t>
        </is>
      </c>
      <c r="B1642" s="2" t="inlineStr">
        <is>
          <t>3420TK0034</t>
        </is>
      </c>
      <c r="C1642" s="2" t="inlineStr">
        <is>
          <t>Estanque impregnación</t>
        </is>
      </c>
      <c r="D1642" s="2" t="n">
        <v>547</v>
      </c>
      <c r="E1642" s="2" t="inlineStr">
        <is>
          <t>CC-3000</t>
        </is>
      </c>
      <c r="F1642" s="2" t="inlineStr">
        <is>
          <t>P01</t>
        </is>
      </c>
      <c r="G1642" s="2" t="n">
        <v>630000</v>
      </c>
      <c r="H1642" s="2" t="inlineStr">
        <is>
          <t>Servicios externos</t>
        </is>
      </c>
      <c r="I1642" s="9" t="n">
        <v>1798.68</v>
      </c>
      <c r="J1642" s="9" t="n">
        <v>1862.79</v>
      </c>
      <c r="K1642" s="9" t="n">
        <v>2062.11</v>
      </c>
      <c r="L1642" s="9" t="n">
        <v>2014.54</v>
      </c>
      <c r="M1642" s="9" t="n">
        <v>1879.19</v>
      </c>
      <c r="N1642" s="9" t="n">
        <v>1923.45</v>
      </c>
      <c r="O1642" s="9" t="n">
        <v>1787.51</v>
      </c>
      <c r="P1642" s="9" t="n">
        <v>2025.5</v>
      </c>
      <c r="Q1642" s="9" t="n">
        <v>1868.91</v>
      </c>
      <c r="R1642" s="9" t="n">
        <v>2119.79</v>
      </c>
      <c r="S1642" s="9" t="n">
        <v>1935.16</v>
      </c>
      <c r="T1642" s="9" t="n">
        <v>1944.02</v>
      </c>
      <c r="U1642" s="10">
        <f>SUM(I1642:T1642)</f>
        <v/>
      </c>
    </row>
    <row r="1643">
      <c r="A1643" s="2" t="inlineStr">
        <is>
          <t>SN-3000-3400-3420-3420TK0076</t>
        </is>
      </c>
      <c r="B1643" s="2" t="inlineStr">
        <is>
          <t>3420TK0076</t>
        </is>
      </c>
      <c r="C1643" s="2" t="inlineStr">
        <is>
          <t>Estanque agua enjuague</t>
        </is>
      </c>
      <c r="D1643" s="2" t="n">
        <v>548</v>
      </c>
      <c r="E1643" s="2" t="inlineStr">
        <is>
          <t>CC-3000</t>
        </is>
      </c>
      <c r="F1643" s="2" t="inlineStr">
        <is>
          <t>P01</t>
        </is>
      </c>
      <c r="G1643" s="2" t="n">
        <v>610000</v>
      </c>
      <c r="H1643" s="2" t="inlineStr">
        <is>
          <t>Mano obra interna</t>
        </is>
      </c>
      <c r="I1643" s="9" t="n">
        <v>701.46</v>
      </c>
      <c r="J1643" s="9" t="n">
        <v>654.73</v>
      </c>
      <c r="K1643" s="9" t="n">
        <v>709.8099999999999</v>
      </c>
      <c r="L1643" s="9" t="n">
        <v>668.55</v>
      </c>
      <c r="M1643" s="9" t="n">
        <v>667.0700000000001</v>
      </c>
      <c r="N1643" s="9" t="n">
        <v>627.8200000000001</v>
      </c>
      <c r="O1643" s="9" t="n">
        <v>639.77</v>
      </c>
      <c r="P1643" s="9" t="n">
        <v>660.65</v>
      </c>
      <c r="Q1643" s="9" t="n">
        <v>669.1799999999999</v>
      </c>
      <c r="R1643" s="9" t="n">
        <v>719.95</v>
      </c>
      <c r="S1643" s="9" t="n">
        <v>684.95</v>
      </c>
      <c r="T1643" s="9" t="n">
        <v>654.75</v>
      </c>
      <c r="U1643" s="10">
        <f>SUM(I1643:T1643)</f>
        <v/>
      </c>
    </row>
    <row r="1644">
      <c r="A1644" s="2" t="inlineStr">
        <is>
          <t>SN-3000-3400-3420-3420TK0076</t>
        </is>
      </c>
      <c r="B1644" s="2" t="inlineStr">
        <is>
          <t>3420TK0076</t>
        </is>
      </c>
      <c r="C1644" s="2" t="inlineStr">
        <is>
          <t>Estanque agua enjuague</t>
        </is>
      </c>
      <c r="D1644" s="2" t="n">
        <v>548</v>
      </c>
      <c r="E1644" s="2" t="inlineStr">
        <is>
          <t>CC-3000</t>
        </is>
      </c>
      <c r="F1644" s="2" t="inlineStr">
        <is>
          <t>P01</t>
        </is>
      </c>
      <c r="G1644" s="2" t="n">
        <v>620000</v>
      </c>
      <c r="H1644" s="2" t="inlineStr">
        <is>
          <t>Materiales</t>
        </is>
      </c>
      <c r="I1644" s="9" t="n">
        <v>587.88</v>
      </c>
      <c r="J1644" s="9" t="n">
        <v>569.46</v>
      </c>
      <c r="K1644" s="9" t="n">
        <v>645.01</v>
      </c>
      <c r="L1644" s="9" t="n">
        <v>638.01</v>
      </c>
      <c r="M1644" s="9" t="n">
        <v>579.5</v>
      </c>
      <c r="N1644" s="9" t="n">
        <v>584.34</v>
      </c>
      <c r="O1644" s="9" t="n">
        <v>649.66</v>
      </c>
      <c r="P1644" s="9" t="n">
        <v>581.27</v>
      </c>
      <c r="Q1644" s="9" t="n">
        <v>527.33</v>
      </c>
      <c r="R1644" s="9" t="n">
        <v>677.92</v>
      </c>
      <c r="S1644" s="9" t="n">
        <v>551.66</v>
      </c>
      <c r="T1644" s="9" t="n">
        <v>670.64</v>
      </c>
      <c r="U1644" s="10">
        <f>SUM(I1644:T1644)</f>
        <v/>
      </c>
    </row>
    <row r="1645">
      <c r="A1645" s="2" t="inlineStr">
        <is>
          <t>SN-3000-3400-3420-3420TK0076</t>
        </is>
      </c>
      <c r="B1645" s="2" t="inlineStr">
        <is>
          <t>3420TK0076</t>
        </is>
      </c>
      <c r="C1645" s="2" t="inlineStr">
        <is>
          <t>Estanque agua enjuague</t>
        </is>
      </c>
      <c r="D1645" s="2" t="n">
        <v>548</v>
      </c>
      <c r="E1645" s="2" t="inlineStr">
        <is>
          <t>CC-3000</t>
        </is>
      </c>
      <c r="F1645" s="2" t="inlineStr">
        <is>
          <t>P01</t>
        </is>
      </c>
      <c r="G1645" s="2" t="n">
        <v>630000</v>
      </c>
      <c r="H1645" s="2" t="inlineStr">
        <is>
          <t>Servicios externos</t>
        </is>
      </c>
      <c r="I1645" s="9" t="n">
        <v>656.46</v>
      </c>
      <c r="J1645" s="9" t="n">
        <v>629.21</v>
      </c>
      <c r="K1645" s="9" t="n">
        <v>674.36</v>
      </c>
      <c r="L1645" s="9" t="n">
        <v>617.11</v>
      </c>
      <c r="M1645" s="9" t="n">
        <v>683.4299999999999</v>
      </c>
      <c r="N1645" s="9" t="n">
        <v>630.15</v>
      </c>
      <c r="O1645" s="9" t="n">
        <v>613.73</v>
      </c>
      <c r="P1645" s="9" t="n">
        <v>652.1</v>
      </c>
      <c r="Q1645" s="9" t="n">
        <v>566.16</v>
      </c>
      <c r="R1645" s="9" t="n">
        <v>643.01</v>
      </c>
      <c r="S1645" s="9" t="n">
        <v>638.55</v>
      </c>
      <c r="T1645" s="9" t="n">
        <v>671.29</v>
      </c>
      <c r="U1645" s="10">
        <f>SUM(I1645:T1645)</f>
        <v/>
      </c>
    </row>
    <row r="1646">
      <c r="A1646" s="2" t="inlineStr">
        <is>
          <t>SN-3000-3400-3420-3420TK0102</t>
        </is>
      </c>
      <c r="B1646" s="2" t="inlineStr">
        <is>
          <t>3420TK0102</t>
        </is>
      </c>
      <c r="C1646" s="2" t="inlineStr">
        <is>
          <t>Estanque expansión térmico</t>
        </is>
      </c>
      <c r="D1646" s="2" t="n">
        <v>549</v>
      </c>
      <c r="E1646" s="2" t="inlineStr">
        <is>
          <t>CC-3000</t>
        </is>
      </c>
      <c r="F1646" s="2" t="inlineStr">
        <is>
          <t>P01</t>
        </is>
      </c>
      <c r="G1646" s="2" t="n">
        <v>610000</v>
      </c>
      <c r="H1646" s="2" t="inlineStr">
        <is>
          <t>Mano obra interna</t>
        </is>
      </c>
      <c r="I1646" s="9" t="n">
        <v>1361</v>
      </c>
      <c r="J1646" s="9" t="n">
        <v>1405.95</v>
      </c>
      <c r="K1646" s="9" t="n">
        <v>1345.96</v>
      </c>
      <c r="L1646" s="9" t="n">
        <v>1460.37</v>
      </c>
      <c r="M1646" s="9" t="n">
        <v>1401.81</v>
      </c>
      <c r="N1646" s="9" t="n">
        <v>1375.98</v>
      </c>
      <c r="O1646" s="9" t="n">
        <v>1493.86</v>
      </c>
      <c r="P1646" s="9" t="n">
        <v>1481.94</v>
      </c>
      <c r="Q1646" s="9" t="n">
        <v>1407.78</v>
      </c>
      <c r="R1646" s="9" t="n">
        <v>1629.86</v>
      </c>
      <c r="S1646" s="9" t="n">
        <v>1418.71</v>
      </c>
      <c r="T1646" s="9" t="n">
        <v>1529.25</v>
      </c>
      <c r="U1646" s="10">
        <f>SUM(I1646:T1646)</f>
        <v/>
      </c>
    </row>
    <row r="1647">
      <c r="A1647" s="2" t="inlineStr">
        <is>
          <t>SN-3000-3400-3420-3420TK0102</t>
        </is>
      </c>
      <c r="B1647" s="2" t="inlineStr">
        <is>
          <t>3420TK0102</t>
        </is>
      </c>
      <c r="C1647" s="2" t="inlineStr">
        <is>
          <t>Estanque expansión térmico</t>
        </is>
      </c>
      <c r="D1647" s="2" t="n">
        <v>549</v>
      </c>
      <c r="E1647" s="2" t="inlineStr">
        <is>
          <t>CC-3000</t>
        </is>
      </c>
      <c r="F1647" s="2" t="inlineStr">
        <is>
          <t>P01</t>
        </is>
      </c>
      <c r="G1647" s="2" t="n">
        <v>620000</v>
      </c>
      <c r="H1647" s="2" t="inlineStr">
        <is>
          <t>Materiales</t>
        </is>
      </c>
      <c r="I1647" s="9" t="n">
        <v>1598.53</v>
      </c>
      <c r="J1647" s="9" t="n">
        <v>1386.9</v>
      </c>
      <c r="K1647" s="9" t="n">
        <v>1446.22</v>
      </c>
      <c r="L1647" s="9" t="n">
        <v>1627.59</v>
      </c>
      <c r="M1647" s="9" t="n">
        <v>1492.77</v>
      </c>
      <c r="N1647" s="9" t="n">
        <v>1517.21</v>
      </c>
      <c r="O1647" s="9" t="n">
        <v>1466.31</v>
      </c>
      <c r="P1647" s="9" t="n">
        <v>1485.02</v>
      </c>
      <c r="Q1647" s="9" t="n">
        <v>1451.48</v>
      </c>
      <c r="R1647" s="9" t="n">
        <v>1737.64</v>
      </c>
      <c r="S1647" s="9" t="n">
        <v>1366.15</v>
      </c>
      <c r="T1647" s="9" t="n">
        <v>1621.99</v>
      </c>
      <c r="U1647" s="10">
        <f>SUM(I1647:T1647)</f>
        <v/>
      </c>
    </row>
    <row r="1648">
      <c r="A1648" s="2" t="inlineStr">
        <is>
          <t>SN-3000-3400-3420-3420TK0102</t>
        </is>
      </c>
      <c r="B1648" s="2" t="inlineStr">
        <is>
          <t>3420TK0102</t>
        </is>
      </c>
      <c r="C1648" s="2" t="inlineStr">
        <is>
          <t>Estanque expansión térmico</t>
        </is>
      </c>
      <c r="D1648" s="2" t="n">
        <v>549</v>
      </c>
      <c r="E1648" s="2" t="inlineStr">
        <is>
          <t>CC-3000</t>
        </is>
      </c>
      <c r="F1648" s="2" t="inlineStr">
        <is>
          <t>P01</t>
        </is>
      </c>
      <c r="G1648" s="2" t="n">
        <v>630000</v>
      </c>
      <c r="H1648" s="2" t="inlineStr">
        <is>
          <t>Servicios externos</t>
        </is>
      </c>
      <c r="I1648" s="9" t="n">
        <v>1501.07</v>
      </c>
      <c r="J1648" s="9" t="n">
        <v>1457.63</v>
      </c>
      <c r="K1648" s="9" t="n">
        <v>1449.65</v>
      </c>
      <c r="L1648" s="9" t="n">
        <v>1428.56</v>
      </c>
      <c r="M1648" s="9" t="n">
        <v>1493.95</v>
      </c>
      <c r="N1648" s="9" t="n">
        <v>1354.83</v>
      </c>
      <c r="O1648" s="9" t="n">
        <v>1441.61</v>
      </c>
      <c r="P1648" s="9" t="n">
        <v>1598.01</v>
      </c>
      <c r="Q1648" s="9" t="n">
        <v>1426.44</v>
      </c>
      <c r="R1648" s="9" t="n">
        <v>1668.9</v>
      </c>
      <c r="S1648" s="9" t="n">
        <v>1393.41</v>
      </c>
      <c r="T1648" s="9" t="n">
        <v>1618.49</v>
      </c>
      <c r="U1648" s="10">
        <f>SUM(I1648:T1648)</f>
        <v/>
      </c>
    </row>
    <row r="1649">
      <c r="A1649" s="2" t="inlineStr">
        <is>
          <t>SN-3000-3400-3420-3420VE0003</t>
        </is>
      </c>
      <c r="B1649" s="2" t="inlineStr">
        <is>
          <t>3420VE0003</t>
        </is>
      </c>
      <c r="C1649" s="2" t="inlineStr">
        <is>
          <t>Columna elución</t>
        </is>
      </c>
      <c r="D1649" s="2" t="n">
        <v>550</v>
      </c>
      <c r="E1649" s="2" t="inlineStr">
        <is>
          <t>CC-3000</t>
        </is>
      </c>
      <c r="F1649" s="2" t="inlineStr">
        <is>
          <t>P01</t>
        </is>
      </c>
      <c r="G1649" s="2" t="n">
        <v>610000</v>
      </c>
      <c r="H1649" s="2" t="inlineStr">
        <is>
          <t>Mano obra interna</t>
        </is>
      </c>
      <c r="I1649" s="9" t="n">
        <v>2557.34</v>
      </c>
      <c r="J1649" s="9" t="n">
        <v>2620.26</v>
      </c>
      <c r="K1649" s="9" t="n">
        <v>2716.83</v>
      </c>
      <c r="L1649" s="9" t="n">
        <v>2645.23</v>
      </c>
      <c r="M1649" s="9" t="n">
        <v>2562.49</v>
      </c>
      <c r="N1649" s="9" t="n">
        <v>2235.5</v>
      </c>
      <c r="O1649" s="9" t="n">
        <v>2405.38</v>
      </c>
      <c r="P1649" s="9" t="n">
        <v>2321.09</v>
      </c>
      <c r="Q1649" s="9" t="n">
        <v>2140.65</v>
      </c>
      <c r="R1649" s="9" t="n">
        <v>2544.39</v>
      </c>
      <c r="S1649" s="9" t="n">
        <v>2563.18</v>
      </c>
      <c r="T1649" s="9" t="n">
        <v>2427.44</v>
      </c>
      <c r="U1649" s="10">
        <f>SUM(I1649:T1649)</f>
        <v/>
      </c>
    </row>
    <row r="1650">
      <c r="A1650" s="2" t="inlineStr">
        <is>
          <t>SN-3000-3400-3420-3420VE0003</t>
        </is>
      </c>
      <c r="B1650" s="2" t="inlineStr">
        <is>
          <t>3420VE0003</t>
        </is>
      </c>
      <c r="C1650" s="2" t="inlineStr">
        <is>
          <t>Columna elución</t>
        </is>
      </c>
      <c r="D1650" s="2" t="n">
        <v>550</v>
      </c>
      <c r="E1650" s="2" t="inlineStr">
        <is>
          <t>CC-3000</t>
        </is>
      </c>
      <c r="F1650" s="2" t="inlineStr">
        <is>
          <t>P01</t>
        </is>
      </c>
      <c r="G1650" s="2" t="n">
        <v>620000</v>
      </c>
      <c r="H1650" s="2" t="inlineStr">
        <is>
          <t>Materiales</t>
        </is>
      </c>
      <c r="I1650" s="9" t="n">
        <v>2549.5</v>
      </c>
      <c r="J1650" s="9" t="n">
        <v>2320.11</v>
      </c>
      <c r="K1650" s="9" t="n">
        <v>2535.81</v>
      </c>
      <c r="L1650" s="9" t="n">
        <v>2400.41</v>
      </c>
      <c r="M1650" s="9" t="n">
        <v>2622.18</v>
      </c>
      <c r="N1650" s="9" t="n">
        <v>2481.76</v>
      </c>
      <c r="O1650" s="9" t="n">
        <v>2273.78</v>
      </c>
      <c r="P1650" s="9" t="n">
        <v>2633.38</v>
      </c>
      <c r="Q1650" s="9" t="n">
        <v>2370.15</v>
      </c>
      <c r="R1650" s="9" t="n">
        <v>2474.82</v>
      </c>
      <c r="S1650" s="9" t="n">
        <v>2445.62</v>
      </c>
      <c r="T1650" s="9" t="n">
        <v>2554.35</v>
      </c>
      <c r="U1650" s="10">
        <f>SUM(I1650:T1650)</f>
        <v/>
      </c>
    </row>
    <row r="1651">
      <c r="A1651" s="2" t="inlineStr">
        <is>
          <t>SN-3000-3400-3420-3420VE0003</t>
        </is>
      </c>
      <c r="B1651" s="2" t="inlineStr">
        <is>
          <t>3420VE0003</t>
        </is>
      </c>
      <c r="C1651" s="2" t="inlineStr">
        <is>
          <t>Columna elución</t>
        </is>
      </c>
      <c r="D1651" s="2" t="n">
        <v>550</v>
      </c>
      <c r="E1651" s="2" t="inlineStr">
        <is>
          <t>CC-3000</t>
        </is>
      </c>
      <c r="F1651" s="2" t="inlineStr">
        <is>
          <t>P01</t>
        </is>
      </c>
      <c r="G1651" s="2" t="n">
        <v>630000</v>
      </c>
      <c r="H1651" s="2" t="inlineStr">
        <is>
          <t>Servicios externos</t>
        </is>
      </c>
      <c r="I1651" s="9" t="n">
        <v>2124.99</v>
      </c>
      <c r="J1651" s="9" t="n">
        <v>1838.6</v>
      </c>
      <c r="K1651" s="9" t="n">
        <v>2058.7</v>
      </c>
      <c r="L1651" s="9" t="n">
        <v>1882.81</v>
      </c>
      <c r="M1651" s="9" t="n">
        <v>2126.63</v>
      </c>
      <c r="N1651" s="9" t="n">
        <v>1988.04</v>
      </c>
      <c r="O1651" s="9" t="n">
        <v>1890.68</v>
      </c>
      <c r="P1651" s="9" t="n">
        <v>1946.84</v>
      </c>
      <c r="Q1651" s="9" t="n">
        <v>1759.71</v>
      </c>
      <c r="R1651" s="9" t="n">
        <v>2247.66</v>
      </c>
      <c r="S1651" s="9" t="n">
        <v>1798.53</v>
      </c>
      <c r="T1651" s="9" t="n">
        <v>2139.1</v>
      </c>
      <c r="U1651" s="10">
        <f>SUM(I1651:T1651)</f>
        <v/>
      </c>
    </row>
    <row r="1652">
      <c r="A1652" s="2" t="inlineStr">
        <is>
          <t>SN-3000-3400-3420-3420XM0044</t>
        </is>
      </c>
      <c r="B1652" s="2" t="inlineStr">
        <is>
          <t>3420XM0044</t>
        </is>
      </c>
      <c r="C1652" s="2" t="inlineStr">
        <is>
          <t>Celosía elución</t>
        </is>
      </c>
      <c r="D1652" s="2" t="n">
        <v>551</v>
      </c>
      <c r="E1652" s="2" t="inlineStr">
        <is>
          <t>CC-3000</t>
        </is>
      </c>
      <c r="F1652" s="2" t="inlineStr">
        <is>
          <t>P01</t>
        </is>
      </c>
      <c r="G1652" s="2" t="n">
        <v>610000</v>
      </c>
      <c r="H1652" s="2" t="inlineStr">
        <is>
          <t>Mano obra interna</t>
        </is>
      </c>
      <c r="I1652" s="9" t="n">
        <v>2364.07</v>
      </c>
      <c r="J1652" s="9" t="n">
        <v>2116.19</v>
      </c>
      <c r="K1652" s="9" t="n">
        <v>2271.4</v>
      </c>
      <c r="L1652" s="9" t="n">
        <v>2293.42</v>
      </c>
      <c r="M1652" s="9" t="n">
        <v>2266.17</v>
      </c>
      <c r="N1652" s="9" t="n">
        <v>2211.32</v>
      </c>
      <c r="O1652" s="9" t="n">
        <v>2272.72</v>
      </c>
      <c r="P1652" s="9" t="n">
        <v>2196.93</v>
      </c>
      <c r="Q1652" s="9" t="n">
        <v>2227.6</v>
      </c>
      <c r="R1652" s="9" t="n">
        <v>2266.11</v>
      </c>
      <c r="S1652" s="9" t="n">
        <v>2168.46</v>
      </c>
      <c r="T1652" s="9" t="n">
        <v>2386.36</v>
      </c>
      <c r="U1652" s="10">
        <f>SUM(I1652:T1652)</f>
        <v/>
      </c>
    </row>
    <row r="1653">
      <c r="A1653" s="2" t="inlineStr">
        <is>
          <t>SN-3000-3400-3420-3420XM0044</t>
        </is>
      </c>
      <c r="B1653" s="2" t="inlineStr">
        <is>
          <t>3420XM0044</t>
        </is>
      </c>
      <c r="C1653" s="2" t="inlineStr">
        <is>
          <t>Celosía elución</t>
        </is>
      </c>
      <c r="D1653" s="2" t="n">
        <v>551</v>
      </c>
      <c r="E1653" s="2" t="inlineStr">
        <is>
          <t>CC-3000</t>
        </is>
      </c>
      <c r="F1653" s="2" t="inlineStr">
        <is>
          <t>P01</t>
        </is>
      </c>
      <c r="G1653" s="2" t="n">
        <v>620000</v>
      </c>
      <c r="H1653" s="2" t="inlineStr">
        <is>
          <t>Materiales</t>
        </is>
      </c>
      <c r="I1653" s="9" t="n">
        <v>1756.41</v>
      </c>
      <c r="J1653" s="9" t="n">
        <v>1724.51</v>
      </c>
      <c r="K1653" s="9" t="n">
        <v>1762.74</v>
      </c>
      <c r="L1653" s="9" t="n">
        <v>1569.86</v>
      </c>
      <c r="M1653" s="9" t="n">
        <v>1564.21</v>
      </c>
      <c r="N1653" s="9" t="n">
        <v>1552.4</v>
      </c>
      <c r="O1653" s="9" t="n">
        <v>1595.55</v>
      </c>
      <c r="P1653" s="9" t="n">
        <v>1787.79</v>
      </c>
      <c r="Q1653" s="9" t="n">
        <v>1588.28</v>
      </c>
      <c r="R1653" s="9" t="n">
        <v>1738.1</v>
      </c>
      <c r="S1653" s="9" t="n">
        <v>1723.48</v>
      </c>
      <c r="T1653" s="9" t="n">
        <v>1755.62</v>
      </c>
      <c r="U1653" s="10">
        <f>SUM(I1653:T1653)</f>
        <v/>
      </c>
    </row>
    <row r="1654">
      <c r="A1654" s="2" t="inlineStr">
        <is>
          <t>SN-3000-3400-3420-3420XM0044</t>
        </is>
      </c>
      <c r="B1654" s="2" t="inlineStr">
        <is>
          <t>3420XM0044</t>
        </is>
      </c>
      <c r="C1654" s="2" t="inlineStr">
        <is>
          <t>Celosía elución</t>
        </is>
      </c>
      <c r="D1654" s="2" t="n">
        <v>551</v>
      </c>
      <c r="E1654" s="2" t="inlineStr">
        <is>
          <t>CC-3000</t>
        </is>
      </c>
      <c r="F1654" s="2" t="inlineStr">
        <is>
          <t>P01</t>
        </is>
      </c>
      <c r="G1654" s="2" t="n">
        <v>630000</v>
      </c>
      <c r="H1654" s="2" t="inlineStr">
        <is>
          <t>Servicios externos</t>
        </is>
      </c>
      <c r="I1654" s="9" t="n">
        <v>1778.11</v>
      </c>
      <c r="J1654" s="9" t="n">
        <v>1665.2</v>
      </c>
      <c r="K1654" s="9" t="n">
        <v>1970.53</v>
      </c>
      <c r="L1654" s="9" t="n">
        <v>1820.4</v>
      </c>
      <c r="M1654" s="9" t="n">
        <v>1869.24</v>
      </c>
      <c r="N1654" s="9" t="n">
        <v>1656.48</v>
      </c>
      <c r="O1654" s="9" t="n">
        <v>1879.62</v>
      </c>
      <c r="P1654" s="9" t="n">
        <v>1648.2</v>
      </c>
      <c r="Q1654" s="9" t="n">
        <v>1780.98</v>
      </c>
      <c r="R1654" s="9" t="n">
        <v>2041.8</v>
      </c>
      <c r="S1654" s="9" t="n">
        <v>1681.86</v>
      </c>
      <c r="T1654" s="9" t="n">
        <v>1881.82</v>
      </c>
      <c r="U1654" s="10">
        <f>SUM(I1654:T1654)</f>
        <v/>
      </c>
    </row>
    <row r="1655">
      <c r="A1655" s="2" t="inlineStr">
        <is>
          <t>SN-3000-3400-3420-3420XM0045</t>
        </is>
      </c>
      <c r="B1655" s="2" t="inlineStr">
        <is>
          <t>3420XM0045</t>
        </is>
      </c>
      <c r="C1655" s="2" t="inlineStr">
        <is>
          <t>Celosía elución</t>
        </is>
      </c>
      <c r="D1655" s="2" t="n">
        <v>552</v>
      </c>
      <c r="E1655" s="2" t="inlineStr">
        <is>
          <t>CC-3000</t>
        </is>
      </c>
      <c r="F1655" s="2" t="inlineStr">
        <is>
          <t>P01</t>
        </is>
      </c>
      <c r="G1655" s="2" t="n">
        <v>610000</v>
      </c>
      <c r="H1655" s="2" t="inlineStr">
        <is>
          <t>Mano obra interna</t>
        </is>
      </c>
      <c r="I1655" s="9" t="n">
        <v>2876.65</v>
      </c>
      <c r="J1655" s="9" t="n">
        <v>2527.39</v>
      </c>
      <c r="K1655" s="9" t="n">
        <v>2716.62</v>
      </c>
      <c r="L1655" s="9" t="n">
        <v>2864.33</v>
      </c>
      <c r="M1655" s="9" t="n">
        <v>2737.32</v>
      </c>
      <c r="N1655" s="9" t="n">
        <v>2488.43</v>
      </c>
      <c r="O1655" s="9" t="n">
        <v>2795.65</v>
      </c>
      <c r="P1655" s="9" t="n">
        <v>2454.14</v>
      </c>
      <c r="Q1655" s="9" t="n">
        <v>2576.11</v>
      </c>
      <c r="R1655" s="9" t="n">
        <v>2721.6</v>
      </c>
      <c r="S1655" s="9" t="n">
        <v>2475.63</v>
      </c>
      <c r="T1655" s="9" t="n">
        <v>2684.31</v>
      </c>
      <c r="U1655" s="10">
        <f>SUM(I1655:T1655)</f>
        <v/>
      </c>
    </row>
    <row r="1656">
      <c r="A1656" s="2" t="inlineStr">
        <is>
          <t>SN-3000-3400-3420-3420XM0045</t>
        </is>
      </c>
      <c r="B1656" s="2" t="inlineStr">
        <is>
          <t>3420XM0045</t>
        </is>
      </c>
      <c r="C1656" s="2" t="inlineStr">
        <is>
          <t>Celosía elución</t>
        </is>
      </c>
      <c r="D1656" s="2" t="n">
        <v>552</v>
      </c>
      <c r="E1656" s="2" t="inlineStr">
        <is>
          <t>CC-3000</t>
        </is>
      </c>
      <c r="F1656" s="2" t="inlineStr">
        <is>
          <t>P01</t>
        </is>
      </c>
      <c r="G1656" s="2" t="n">
        <v>620000</v>
      </c>
      <c r="H1656" s="2" t="inlineStr">
        <is>
          <t>Materiales</t>
        </is>
      </c>
      <c r="I1656" s="9" t="n">
        <v>2409.13</v>
      </c>
      <c r="J1656" s="9" t="n">
        <v>2333.17</v>
      </c>
      <c r="K1656" s="9" t="n">
        <v>2361.21</v>
      </c>
      <c r="L1656" s="9" t="n">
        <v>2279.13</v>
      </c>
      <c r="M1656" s="9" t="n">
        <v>2427.86</v>
      </c>
      <c r="N1656" s="9" t="n">
        <v>2212.87</v>
      </c>
      <c r="O1656" s="9" t="n">
        <v>2355.46</v>
      </c>
      <c r="P1656" s="9" t="n">
        <v>2404.85</v>
      </c>
      <c r="Q1656" s="9" t="n">
        <v>2333.12</v>
      </c>
      <c r="R1656" s="9" t="n">
        <v>2620.91</v>
      </c>
      <c r="S1656" s="9" t="n">
        <v>2111.47</v>
      </c>
      <c r="T1656" s="9" t="n">
        <v>2516.43</v>
      </c>
      <c r="U1656" s="10">
        <f>SUM(I1656:T1656)</f>
        <v/>
      </c>
    </row>
    <row r="1657">
      <c r="A1657" s="2" t="inlineStr">
        <is>
          <t>SN-3000-3400-3420-3420XM0045</t>
        </is>
      </c>
      <c r="B1657" s="2" t="inlineStr">
        <is>
          <t>3420XM0045</t>
        </is>
      </c>
      <c r="C1657" s="2" t="inlineStr">
        <is>
          <t>Celosía elución</t>
        </is>
      </c>
      <c r="D1657" s="2" t="n">
        <v>552</v>
      </c>
      <c r="E1657" s="2" t="inlineStr">
        <is>
          <t>CC-3000</t>
        </is>
      </c>
      <c r="F1657" s="2" t="inlineStr">
        <is>
          <t>P01</t>
        </is>
      </c>
      <c r="G1657" s="2" t="n">
        <v>630000</v>
      </c>
      <c r="H1657" s="2" t="inlineStr">
        <is>
          <t>Servicios externos</t>
        </is>
      </c>
      <c r="I1657" s="9" t="n">
        <v>2833.98</v>
      </c>
      <c r="J1657" s="9" t="n">
        <v>2952.5</v>
      </c>
      <c r="K1657" s="9" t="n">
        <v>2898.4</v>
      </c>
      <c r="L1657" s="9" t="n">
        <v>2831.44</v>
      </c>
      <c r="M1657" s="9" t="n">
        <v>2685.11</v>
      </c>
      <c r="N1657" s="9" t="n">
        <v>2733.09</v>
      </c>
      <c r="O1657" s="9" t="n">
        <v>2669.06</v>
      </c>
      <c r="P1657" s="9" t="n">
        <v>2610.18</v>
      </c>
      <c r="Q1657" s="9" t="n">
        <v>2399.3</v>
      </c>
      <c r="R1657" s="9" t="n">
        <v>2907.18</v>
      </c>
      <c r="S1657" s="9" t="n">
        <v>2654.32</v>
      </c>
      <c r="T1657" s="9" t="n">
        <v>2853.37</v>
      </c>
      <c r="U1657" s="10">
        <f>SUM(I1657:T1657)</f>
        <v/>
      </c>
    </row>
    <row r="1658">
      <c r="A1658" s="2" t="inlineStr">
        <is>
          <t>SN-3000-3400-3420-3420XM0046</t>
        </is>
      </c>
      <c r="B1658" s="2" t="inlineStr">
        <is>
          <t>3420XM0046</t>
        </is>
      </c>
      <c r="C1658" s="2" t="inlineStr">
        <is>
          <t>Celosía elución</t>
        </is>
      </c>
      <c r="D1658" s="2" t="n">
        <v>553</v>
      </c>
      <c r="E1658" s="2" t="inlineStr">
        <is>
          <t>CC-3000</t>
        </is>
      </c>
      <c r="F1658" s="2" t="inlineStr">
        <is>
          <t>P01</t>
        </is>
      </c>
      <c r="G1658" s="2" t="n">
        <v>610000</v>
      </c>
      <c r="H1658" s="2" t="inlineStr">
        <is>
          <t>Mano obra interna</t>
        </is>
      </c>
      <c r="I1658" s="9" t="n">
        <v>1857.72</v>
      </c>
      <c r="J1658" s="9" t="n">
        <v>1607.98</v>
      </c>
      <c r="K1658" s="9" t="n">
        <v>1725.97</v>
      </c>
      <c r="L1658" s="9" t="n">
        <v>1616.64</v>
      </c>
      <c r="M1658" s="9" t="n">
        <v>1607.49</v>
      </c>
      <c r="N1658" s="9" t="n">
        <v>1498.08</v>
      </c>
      <c r="O1658" s="9" t="n">
        <v>1705.83</v>
      </c>
      <c r="P1658" s="9" t="n">
        <v>1755.51</v>
      </c>
      <c r="Q1658" s="9" t="n">
        <v>1495.68</v>
      </c>
      <c r="R1658" s="9" t="n">
        <v>1782.94</v>
      </c>
      <c r="S1658" s="9" t="n">
        <v>1508.58</v>
      </c>
      <c r="T1658" s="9" t="n">
        <v>1807.17</v>
      </c>
      <c r="U1658" s="10">
        <f>SUM(I1658:T1658)</f>
        <v/>
      </c>
    </row>
    <row r="1659">
      <c r="A1659" s="2" t="inlineStr">
        <is>
          <t>SN-3000-3400-3420-3420XM0046</t>
        </is>
      </c>
      <c r="B1659" s="2" t="inlineStr">
        <is>
          <t>3420XM0046</t>
        </is>
      </c>
      <c r="C1659" s="2" t="inlineStr">
        <is>
          <t>Celosía elución</t>
        </is>
      </c>
      <c r="D1659" s="2" t="n">
        <v>553</v>
      </c>
      <c r="E1659" s="2" t="inlineStr">
        <is>
          <t>CC-3000</t>
        </is>
      </c>
      <c r="F1659" s="2" t="inlineStr">
        <is>
          <t>P01</t>
        </is>
      </c>
      <c r="G1659" s="2" t="n">
        <v>620000</v>
      </c>
      <c r="H1659" s="2" t="inlineStr">
        <is>
          <t>Materiales</t>
        </is>
      </c>
      <c r="I1659" s="9" t="n">
        <v>1752</v>
      </c>
      <c r="J1659" s="9" t="n">
        <v>1777.93</v>
      </c>
      <c r="K1659" s="9" t="n">
        <v>2042.21</v>
      </c>
      <c r="L1659" s="9" t="n">
        <v>1853.26</v>
      </c>
      <c r="M1659" s="9" t="n">
        <v>1833.73</v>
      </c>
      <c r="N1659" s="9" t="n">
        <v>1723.24</v>
      </c>
      <c r="O1659" s="9" t="n">
        <v>1874.39</v>
      </c>
      <c r="P1659" s="9" t="n">
        <v>1984.84</v>
      </c>
      <c r="Q1659" s="9" t="n">
        <v>1854.34</v>
      </c>
      <c r="R1659" s="9" t="n">
        <v>2077.33</v>
      </c>
      <c r="S1659" s="9" t="n">
        <v>1758.89</v>
      </c>
      <c r="T1659" s="9" t="n">
        <v>1870.89</v>
      </c>
      <c r="U1659" s="10">
        <f>SUM(I1659:T1659)</f>
        <v/>
      </c>
    </row>
    <row r="1660">
      <c r="A1660" s="2" t="inlineStr">
        <is>
          <t>SN-3000-3400-3420-3420XM0046</t>
        </is>
      </c>
      <c r="B1660" s="2" t="inlineStr">
        <is>
          <t>3420XM0046</t>
        </is>
      </c>
      <c r="C1660" s="2" t="inlineStr">
        <is>
          <t>Celosía elución</t>
        </is>
      </c>
      <c r="D1660" s="2" t="n">
        <v>553</v>
      </c>
      <c r="E1660" s="2" t="inlineStr">
        <is>
          <t>CC-3000</t>
        </is>
      </c>
      <c r="F1660" s="2" t="inlineStr">
        <is>
          <t>P01</t>
        </is>
      </c>
      <c r="G1660" s="2" t="n">
        <v>630000</v>
      </c>
      <c r="H1660" s="2" t="inlineStr">
        <is>
          <t>Servicios externos</t>
        </is>
      </c>
      <c r="I1660" s="9" t="n">
        <v>1798.31</v>
      </c>
      <c r="J1660" s="9" t="n">
        <v>1663.36</v>
      </c>
      <c r="K1660" s="9" t="n">
        <v>1672.54</v>
      </c>
      <c r="L1660" s="9" t="n">
        <v>1540.22</v>
      </c>
      <c r="M1660" s="9" t="n">
        <v>1622.99</v>
      </c>
      <c r="N1660" s="9" t="n">
        <v>1683.79</v>
      </c>
      <c r="O1660" s="9" t="n">
        <v>1641.37</v>
      </c>
      <c r="P1660" s="9" t="n">
        <v>1550.38</v>
      </c>
      <c r="Q1660" s="9" t="n">
        <v>1405.26</v>
      </c>
      <c r="R1660" s="9" t="n">
        <v>1721.81</v>
      </c>
      <c r="S1660" s="9" t="n">
        <v>1688.28</v>
      </c>
      <c r="T1660" s="9" t="n">
        <v>1790.66</v>
      </c>
      <c r="U1660" s="10">
        <f>SUM(I1660:T1660)</f>
        <v/>
      </c>
    </row>
    <row r="1661">
      <c r="A1661" s="2" t="inlineStr">
        <is>
          <t>SN-3000-3400-3420-3420XM0047</t>
        </is>
      </c>
      <c r="B1661" s="2" t="inlineStr">
        <is>
          <t>3420XM0047</t>
        </is>
      </c>
      <c r="C1661" s="2" t="inlineStr">
        <is>
          <t>Celosía elución</t>
        </is>
      </c>
      <c r="D1661" s="2" t="n">
        <v>554</v>
      </c>
      <c r="E1661" s="2" t="inlineStr">
        <is>
          <t>CC-3000</t>
        </is>
      </c>
      <c r="F1661" s="2" t="inlineStr">
        <is>
          <t>P01</t>
        </is>
      </c>
      <c r="G1661" s="2" t="n">
        <v>610000</v>
      </c>
      <c r="H1661" s="2" t="inlineStr">
        <is>
          <t>Mano obra interna</t>
        </is>
      </c>
      <c r="I1661" s="9" t="n">
        <v>270.53</v>
      </c>
      <c r="J1661" s="9" t="n">
        <v>254.09</v>
      </c>
      <c r="K1661" s="9" t="n">
        <v>267.53</v>
      </c>
      <c r="L1661" s="9" t="n">
        <v>262.88</v>
      </c>
      <c r="M1661" s="9" t="n">
        <v>261.36</v>
      </c>
      <c r="N1661" s="9" t="n">
        <v>241.22</v>
      </c>
      <c r="O1661" s="9" t="n">
        <v>262.66</v>
      </c>
      <c r="P1661" s="9" t="n">
        <v>239.96</v>
      </c>
      <c r="Q1661" s="9" t="n">
        <v>229.03</v>
      </c>
      <c r="R1661" s="9" t="n">
        <v>290.49</v>
      </c>
      <c r="S1661" s="9" t="n">
        <v>263.44</v>
      </c>
      <c r="T1661" s="9" t="n">
        <v>261.03</v>
      </c>
      <c r="U1661" s="10">
        <f>SUM(I1661:T1661)</f>
        <v/>
      </c>
    </row>
    <row r="1662">
      <c r="A1662" s="2" t="inlineStr">
        <is>
          <t>SN-3000-3400-3420-3420XM0047</t>
        </is>
      </c>
      <c r="B1662" s="2" t="inlineStr">
        <is>
          <t>3420XM0047</t>
        </is>
      </c>
      <c r="C1662" s="2" t="inlineStr">
        <is>
          <t>Celosía elución</t>
        </is>
      </c>
      <c r="D1662" s="2" t="n">
        <v>554</v>
      </c>
      <c r="E1662" s="2" t="inlineStr">
        <is>
          <t>CC-3000</t>
        </is>
      </c>
      <c r="F1662" s="2" t="inlineStr">
        <is>
          <t>P01</t>
        </is>
      </c>
      <c r="G1662" s="2" t="n">
        <v>620000</v>
      </c>
      <c r="H1662" s="2" t="inlineStr">
        <is>
          <t>Materiales</t>
        </is>
      </c>
      <c r="I1662" s="9" t="n">
        <v>210.04</v>
      </c>
      <c r="J1662" s="9" t="n">
        <v>195.81</v>
      </c>
      <c r="K1662" s="9" t="n">
        <v>195.96</v>
      </c>
      <c r="L1662" s="9" t="n">
        <v>199.94</v>
      </c>
      <c r="M1662" s="9" t="n">
        <v>188.46</v>
      </c>
      <c r="N1662" s="9" t="n">
        <v>183.11</v>
      </c>
      <c r="O1662" s="9" t="n">
        <v>204.61</v>
      </c>
      <c r="P1662" s="9" t="n">
        <v>182.02</v>
      </c>
      <c r="Q1662" s="9" t="n">
        <v>167.91</v>
      </c>
      <c r="R1662" s="9" t="n">
        <v>191.18</v>
      </c>
      <c r="S1662" s="9" t="n">
        <v>180.9</v>
      </c>
      <c r="T1662" s="9" t="n">
        <v>184.43</v>
      </c>
      <c r="U1662" s="10">
        <f>SUM(I1662:T1662)</f>
        <v/>
      </c>
    </row>
    <row r="1663">
      <c r="A1663" s="2" t="inlineStr">
        <is>
          <t>SN-3000-3400-3420-3420XM0047</t>
        </is>
      </c>
      <c r="B1663" s="2" t="inlineStr">
        <is>
          <t>3420XM0047</t>
        </is>
      </c>
      <c r="C1663" s="2" t="inlineStr">
        <is>
          <t>Celosía elución</t>
        </is>
      </c>
      <c r="D1663" s="2" t="n">
        <v>554</v>
      </c>
      <c r="E1663" s="2" t="inlineStr">
        <is>
          <t>CC-3000</t>
        </is>
      </c>
      <c r="F1663" s="2" t="inlineStr">
        <is>
          <t>P01</t>
        </is>
      </c>
      <c r="G1663" s="2" t="n">
        <v>630000</v>
      </c>
      <c r="H1663" s="2" t="inlineStr">
        <is>
          <t>Servicios externos</t>
        </is>
      </c>
      <c r="I1663" s="9" t="n">
        <v>193</v>
      </c>
      <c r="J1663" s="9" t="n">
        <v>193.18</v>
      </c>
      <c r="K1663" s="9" t="n">
        <v>205.92</v>
      </c>
      <c r="L1663" s="9" t="n">
        <v>193.91</v>
      </c>
      <c r="M1663" s="9" t="n">
        <v>206.48</v>
      </c>
      <c r="N1663" s="9" t="n">
        <v>198.25</v>
      </c>
      <c r="O1663" s="9" t="n">
        <v>191.96</v>
      </c>
      <c r="P1663" s="9" t="n">
        <v>208.06</v>
      </c>
      <c r="Q1663" s="9" t="n">
        <v>206.15</v>
      </c>
      <c r="R1663" s="9" t="n">
        <v>236.91</v>
      </c>
      <c r="S1663" s="9" t="n">
        <v>182.75</v>
      </c>
      <c r="T1663" s="9" t="n">
        <v>217.98</v>
      </c>
      <c r="U1663" s="10">
        <f>SUM(I1663:T1663)</f>
        <v/>
      </c>
    </row>
    <row r="1664">
      <c r="A1664" s="2" t="inlineStr">
        <is>
          <t>SN-3000-3400-3420-3420XM0048</t>
        </is>
      </c>
      <c r="B1664" s="2" t="inlineStr">
        <is>
          <t>3420XM0048</t>
        </is>
      </c>
      <c r="C1664" s="2" t="inlineStr">
        <is>
          <t>Celosía elución</t>
        </is>
      </c>
      <c r="D1664" s="2" t="n">
        <v>555</v>
      </c>
      <c r="E1664" s="2" t="inlineStr">
        <is>
          <t>CC-3000</t>
        </is>
      </c>
      <c r="F1664" s="2" t="inlineStr">
        <is>
          <t>P01</t>
        </is>
      </c>
      <c r="G1664" s="2" t="n">
        <v>610000</v>
      </c>
      <c r="H1664" s="2" t="inlineStr">
        <is>
          <t>Mano obra interna</t>
        </is>
      </c>
      <c r="I1664" s="9" t="n">
        <v>2505.67</v>
      </c>
      <c r="J1664" s="9" t="n">
        <v>2513.95</v>
      </c>
      <c r="K1664" s="9" t="n">
        <v>2644.58</v>
      </c>
      <c r="L1664" s="9" t="n">
        <v>2706.94</v>
      </c>
      <c r="M1664" s="9" t="n">
        <v>2678.75</v>
      </c>
      <c r="N1664" s="9" t="n">
        <v>2623.34</v>
      </c>
      <c r="O1664" s="9" t="n">
        <v>2532.6</v>
      </c>
      <c r="P1664" s="9" t="n">
        <v>2561.57</v>
      </c>
      <c r="Q1664" s="9" t="n">
        <v>2381.03</v>
      </c>
      <c r="R1664" s="9" t="n">
        <v>2783.18</v>
      </c>
      <c r="S1664" s="9" t="n">
        <v>2758.68</v>
      </c>
      <c r="T1664" s="9" t="n">
        <v>2797</v>
      </c>
      <c r="U1664" s="10">
        <f>SUM(I1664:T1664)</f>
        <v/>
      </c>
    </row>
    <row r="1665">
      <c r="A1665" s="2" t="inlineStr">
        <is>
          <t>SN-3000-3400-3420-3420XM0048</t>
        </is>
      </c>
      <c r="B1665" s="2" t="inlineStr">
        <is>
          <t>3420XM0048</t>
        </is>
      </c>
      <c r="C1665" s="2" t="inlineStr">
        <is>
          <t>Celosía elución</t>
        </is>
      </c>
      <c r="D1665" s="2" t="n">
        <v>555</v>
      </c>
      <c r="E1665" s="2" t="inlineStr">
        <is>
          <t>CC-3000</t>
        </is>
      </c>
      <c r="F1665" s="2" t="inlineStr">
        <is>
          <t>P01</t>
        </is>
      </c>
      <c r="G1665" s="2" t="n">
        <v>620000</v>
      </c>
      <c r="H1665" s="2" t="inlineStr">
        <is>
          <t>Materiales</t>
        </is>
      </c>
      <c r="I1665" s="9" t="n">
        <v>3173.79</v>
      </c>
      <c r="J1665" s="9" t="n">
        <v>2925.6</v>
      </c>
      <c r="K1665" s="9" t="n">
        <v>3056.34</v>
      </c>
      <c r="L1665" s="9" t="n">
        <v>3076.66</v>
      </c>
      <c r="M1665" s="9" t="n">
        <v>2944.91</v>
      </c>
      <c r="N1665" s="9" t="n">
        <v>3034.78</v>
      </c>
      <c r="O1665" s="9" t="n">
        <v>3000.27</v>
      </c>
      <c r="P1665" s="9" t="n">
        <v>2915</v>
      </c>
      <c r="Q1665" s="9" t="n">
        <v>2930.8</v>
      </c>
      <c r="R1665" s="9" t="n">
        <v>3436.75</v>
      </c>
      <c r="S1665" s="9" t="n">
        <v>2882.32</v>
      </c>
      <c r="T1665" s="9" t="n">
        <v>3142.75</v>
      </c>
      <c r="U1665" s="10">
        <f>SUM(I1665:T1665)</f>
        <v/>
      </c>
    </row>
    <row r="1666">
      <c r="A1666" s="2" t="inlineStr">
        <is>
          <t>SN-3000-3400-3420-3420XM0048</t>
        </is>
      </c>
      <c r="B1666" s="2" t="inlineStr">
        <is>
          <t>3420XM0048</t>
        </is>
      </c>
      <c r="C1666" s="2" t="inlineStr">
        <is>
          <t>Celosía elución</t>
        </is>
      </c>
      <c r="D1666" s="2" t="n">
        <v>555</v>
      </c>
      <c r="E1666" s="2" t="inlineStr">
        <is>
          <t>CC-3000</t>
        </is>
      </c>
      <c r="F1666" s="2" t="inlineStr">
        <is>
          <t>P01</t>
        </is>
      </c>
      <c r="G1666" s="2" t="n">
        <v>630000</v>
      </c>
      <c r="H1666" s="2" t="inlineStr">
        <is>
          <t>Servicios externos</t>
        </is>
      </c>
      <c r="I1666" s="9" t="n">
        <v>2393.81</v>
      </c>
      <c r="J1666" s="9" t="n">
        <v>2131.24</v>
      </c>
      <c r="K1666" s="9" t="n">
        <v>2226.39</v>
      </c>
      <c r="L1666" s="9" t="n">
        <v>2428.47</v>
      </c>
      <c r="M1666" s="9" t="n">
        <v>2237.1</v>
      </c>
      <c r="N1666" s="9" t="n">
        <v>2317.98</v>
      </c>
      <c r="O1666" s="9" t="n">
        <v>2482.95</v>
      </c>
      <c r="P1666" s="9" t="n">
        <v>2197.62</v>
      </c>
      <c r="Q1666" s="9" t="n">
        <v>2250.64</v>
      </c>
      <c r="R1666" s="9" t="n">
        <v>2522.81</v>
      </c>
      <c r="S1666" s="9" t="n">
        <v>2119.17</v>
      </c>
      <c r="T1666" s="9" t="n">
        <v>2426.02</v>
      </c>
      <c r="U1666" s="10">
        <f>SUM(I1666:T1666)</f>
        <v/>
      </c>
    </row>
    <row r="1667">
      <c r="A1667" s="2" t="inlineStr">
        <is>
          <t>SN-3000-3400-3420-3420XM0049</t>
        </is>
      </c>
      <c r="B1667" s="2" t="inlineStr">
        <is>
          <t>3420XM0049</t>
        </is>
      </c>
      <c r="C1667" s="2" t="inlineStr">
        <is>
          <t>Celosía elución</t>
        </is>
      </c>
      <c r="D1667" s="2" t="n">
        <v>556</v>
      </c>
      <c r="E1667" s="2" t="inlineStr">
        <is>
          <t>CC-3000</t>
        </is>
      </c>
      <c r="F1667" s="2" t="inlineStr">
        <is>
          <t>P01</t>
        </is>
      </c>
      <c r="G1667" s="2" t="n">
        <v>610000</v>
      </c>
      <c r="H1667" s="2" t="inlineStr">
        <is>
          <t>Mano obra interna</t>
        </is>
      </c>
      <c r="I1667" s="9" t="n">
        <v>2981.16</v>
      </c>
      <c r="J1667" s="9" t="n">
        <v>3064.65</v>
      </c>
      <c r="K1667" s="9" t="n">
        <v>3015.31</v>
      </c>
      <c r="L1667" s="9" t="n">
        <v>3210.87</v>
      </c>
      <c r="M1667" s="9" t="n">
        <v>2887.12</v>
      </c>
      <c r="N1667" s="9" t="n">
        <v>2613.85</v>
      </c>
      <c r="O1667" s="9" t="n">
        <v>2900.55</v>
      </c>
      <c r="P1667" s="9" t="n">
        <v>2762.87</v>
      </c>
      <c r="Q1667" s="9" t="n">
        <v>2753.78</v>
      </c>
      <c r="R1667" s="9" t="n">
        <v>3238.53</v>
      </c>
      <c r="S1667" s="9" t="n">
        <v>2805.73</v>
      </c>
      <c r="T1667" s="9" t="n">
        <v>2765.96</v>
      </c>
      <c r="U1667" s="10">
        <f>SUM(I1667:T1667)</f>
        <v/>
      </c>
    </row>
    <row r="1668">
      <c r="A1668" s="2" t="inlineStr">
        <is>
          <t>SN-3000-3400-3420-3420XM0049</t>
        </is>
      </c>
      <c r="B1668" s="2" t="inlineStr">
        <is>
          <t>3420XM0049</t>
        </is>
      </c>
      <c r="C1668" s="2" t="inlineStr">
        <is>
          <t>Celosía elución</t>
        </is>
      </c>
      <c r="D1668" s="2" t="n">
        <v>556</v>
      </c>
      <c r="E1668" s="2" t="inlineStr">
        <is>
          <t>CC-3000</t>
        </is>
      </c>
      <c r="F1668" s="2" t="inlineStr">
        <is>
          <t>P01</t>
        </is>
      </c>
      <c r="G1668" s="2" t="n">
        <v>620000</v>
      </c>
      <c r="H1668" s="2" t="inlineStr">
        <is>
          <t>Materiales</t>
        </is>
      </c>
      <c r="I1668" s="9" t="n">
        <v>2568.62</v>
      </c>
      <c r="J1668" s="9" t="n">
        <v>2733.32</v>
      </c>
      <c r="K1668" s="9" t="n">
        <v>2911.34</v>
      </c>
      <c r="L1668" s="9" t="n">
        <v>2960.12</v>
      </c>
      <c r="M1668" s="9" t="n">
        <v>2518.9</v>
      </c>
      <c r="N1668" s="9" t="n">
        <v>2591.66</v>
      </c>
      <c r="O1668" s="9" t="n">
        <v>2727.14</v>
      </c>
      <c r="P1668" s="9" t="n">
        <v>2876.9</v>
      </c>
      <c r="Q1668" s="9" t="n">
        <v>2561.47</v>
      </c>
      <c r="R1668" s="9" t="n">
        <v>2743.3</v>
      </c>
      <c r="S1668" s="9" t="n">
        <v>2584.05</v>
      </c>
      <c r="T1668" s="9" t="n">
        <v>2804.57</v>
      </c>
      <c r="U1668" s="10">
        <f>SUM(I1668:T1668)</f>
        <v/>
      </c>
    </row>
    <row r="1669">
      <c r="A1669" s="2" t="inlineStr">
        <is>
          <t>SN-3000-3400-3420-3420XM0049</t>
        </is>
      </c>
      <c r="B1669" s="2" t="inlineStr">
        <is>
          <t>3420XM0049</t>
        </is>
      </c>
      <c r="C1669" s="2" t="inlineStr">
        <is>
          <t>Celosía elución</t>
        </is>
      </c>
      <c r="D1669" s="2" t="n">
        <v>556</v>
      </c>
      <c r="E1669" s="2" t="inlineStr">
        <is>
          <t>CC-3000</t>
        </is>
      </c>
      <c r="F1669" s="2" t="inlineStr">
        <is>
          <t>P01</t>
        </is>
      </c>
      <c r="G1669" s="2" t="n">
        <v>630000</v>
      </c>
      <c r="H1669" s="2" t="inlineStr">
        <is>
          <t>Servicios externos</t>
        </is>
      </c>
      <c r="I1669" s="9" t="n">
        <v>3156.48</v>
      </c>
      <c r="J1669" s="9" t="n">
        <v>2730.89</v>
      </c>
      <c r="K1669" s="9" t="n">
        <v>3232.53</v>
      </c>
      <c r="L1669" s="9" t="n">
        <v>2776.01</v>
      </c>
      <c r="M1669" s="9" t="n">
        <v>3115.88</v>
      </c>
      <c r="N1669" s="9" t="n">
        <v>2953.81</v>
      </c>
      <c r="O1669" s="9" t="n">
        <v>2998.56</v>
      </c>
      <c r="P1669" s="9" t="n">
        <v>3029.87</v>
      </c>
      <c r="Q1669" s="9" t="n">
        <v>2534.28</v>
      </c>
      <c r="R1669" s="9" t="n">
        <v>2920.24</v>
      </c>
      <c r="S1669" s="9" t="n">
        <v>2648.68</v>
      </c>
      <c r="T1669" s="9" t="n">
        <v>2769.85</v>
      </c>
      <c r="U1669" s="10">
        <f>SUM(I1669:T1669)</f>
        <v/>
      </c>
    </row>
    <row r="1670">
      <c r="A1670" s="2" t="inlineStr">
        <is>
          <t>SN-3000-3400-3450-3450BX0035</t>
        </is>
      </c>
      <c r="B1670" s="2" t="inlineStr">
        <is>
          <t>3450BX0035</t>
        </is>
      </c>
      <c r="C1670" s="2" t="inlineStr">
        <is>
          <t>Cajón extracción horno</t>
        </is>
      </c>
      <c r="D1670" s="2" t="n">
        <v>557</v>
      </c>
      <c r="E1670" s="2" t="inlineStr">
        <is>
          <t>CC-3000</t>
        </is>
      </c>
      <c r="F1670" s="2" t="inlineStr">
        <is>
          <t>P01</t>
        </is>
      </c>
      <c r="G1670" s="2" t="n">
        <v>610000</v>
      </c>
      <c r="H1670" s="2" t="inlineStr">
        <is>
          <t>Mano obra interna</t>
        </is>
      </c>
      <c r="I1670" s="9" t="n">
        <v>2051.29</v>
      </c>
      <c r="J1670" s="9" t="n">
        <v>2192.87</v>
      </c>
      <c r="K1670" s="9" t="n">
        <v>2153.02</v>
      </c>
      <c r="L1670" s="9" t="n">
        <v>2218.97</v>
      </c>
      <c r="M1670" s="9" t="n">
        <v>2134.44</v>
      </c>
      <c r="N1670" s="9" t="n">
        <v>1954.75</v>
      </c>
      <c r="O1670" s="9" t="n">
        <v>2019.66</v>
      </c>
      <c r="P1670" s="9" t="n">
        <v>2050.65</v>
      </c>
      <c r="Q1670" s="9" t="n">
        <v>2052.75</v>
      </c>
      <c r="R1670" s="9" t="n">
        <v>2301.7</v>
      </c>
      <c r="S1670" s="9" t="n">
        <v>1957.65</v>
      </c>
      <c r="T1670" s="9" t="n">
        <v>2245.17</v>
      </c>
      <c r="U1670" s="10">
        <f>SUM(I1670:T1670)</f>
        <v/>
      </c>
    </row>
    <row r="1671">
      <c r="A1671" s="2" t="inlineStr">
        <is>
          <t>SN-3000-3400-3450-3450BX0035</t>
        </is>
      </c>
      <c r="B1671" s="2" t="inlineStr">
        <is>
          <t>3450BX0035</t>
        </is>
      </c>
      <c r="C1671" s="2" t="inlineStr">
        <is>
          <t>Cajón extracción horno</t>
        </is>
      </c>
      <c r="D1671" s="2" t="n">
        <v>557</v>
      </c>
      <c r="E1671" s="2" t="inlineStr">
        <is>
          <t>CC-3000</t>
        </is>
      </c>
      <c r="F1671" s="2" t="inlineStr">
        <is>
          <t>P01</t>
        </is>
      </c>
      <c r="G1671" s="2" t="n">
        <v>620000</v>
      </c>
      <c r="H1671" s="2" t="inlineStr">
        <is>
          <t>Materiales</t>
        </is>
      </c>
      <c r="I1671" s="9" t="n">
        <v>1832.72</v>
      </c>
      <c r="J1671" s="9" t="n">
        <v>1696.81</v>
      </c>
      <c r="K1671" s="9" t="n">
        <v>1861.33</v>
      </c>
      <c r="L1671" s="9" t="n">
        <v>1899.83</v>
      </c>
      <c r="M1671" s="9" t="n">
        <v>1790.74</v>
      </c>
      <c r="N1671" s="9" t="n">
        <v>1647.97</v>
      </c>
      <c r="O1671" s="9" t="n">
        <v>1643.44</v>
      </c>
      <c r="P1671" s="9" t="n">
        <v>1823.77</v>
      </c>
      <c r="Q1671" s="9" t="n">
        <v>1609.41</v>
      </c>
      <c r="R1671" s="9" t="n">
        <v>1748.81</v>
      </c>
      <c r="S1671" s="9" t="n">
        <v>1743.32</v>
      </c>
      <c r="T1671" s="9" t="n">
        <v>1706.88</v>
      </c>
      <c r="U1671" s="10">
        <f>SUM(I1671:T1671)</f>
        <v/>
      </c>
    </row>
    <row r="1672">
      <c r="A1672" s="2" t="inlineStr">
        <is>
          <t>SN-3000-3400-3450-3450BX0035</t>
        </is>
      </c>
      <c r="B1672" s="2" t="inlineStr">
        <is>
          <t>3450BX0035</t>
        </is>
      </c>
      <c r="C1672" s="2" t="inlineStr">
        <is>
          <t>Cajón extracción horno</t>
        </is>
      </c>
      <c r="D1672" s="2" t="n">
        <v>557</v>
      </c>
      <c r="E1672" s="2" t="inlineStr">
        <is>
          <t>CC-3000</t>
        </is>
      </c>
      <c r="F1672" s="2" t="inlineStr">
        <is>
          <t>P01</t>
        </is>
      </c>
      <c r="G1672" s="2" t="n">
        <v>630000</v>
      </c>
      <c r="H1672" s="2" t="inlineStr">
        <is>
          <t>Servicios externos</t>
        </is>
      </c>
      <c r="I1672" s="9" t="n">
        <v>1890.58</v>
      </c>
      <c r="J1672" s="9" t="n">
        <v>1708.88</v>
      </c>
      <c r="K1672" s="9" t="n">
        <v>1732.01</v>
      </c>
      <c r="L1672" s="9" t="n">
        <v>1839.78</v>
      </c>
      <c r="M1672" s="9" t="n">
        <v>1828.18</v>
      </c>
      <c r="N1672" s="9" t="n">
        <v>1530.43</v>
      </c>
      <c r="O1672" s="9" t="n">
        <v>1792.97</v>
      </c>
      <c r="P1672" s="9" t="n">
        <v>1812.84</v>
      </c>
      <c r="Q1672" s="9" t="n">
        <v>1544.43</v>
      </c>
      <c r="R1672" s="9" t="n">
        <v>1873.2</v>
      </c>
      <c r="S1672" s="9" t="n">
        <v>1573.61</v>
      </c>
      <c r="T1672" s="9" t="n">
        <v>1835.4</v>
      </c>
      <c r="U1672" s="10">
        <f>SUM(I1672:T1672)</f>
        <v/>
      </c>
    </row>
    <row r="1673">
      <c r="A1673" s="2" t="inlineStr">
        <is>
          <t>SN-3000-3400-3450-3450CP0001</t>
        </is>
      </c>
      <c r="B1673" s="2" t="inlineStr">
        <is>
          <t>3450CP0001</t>
        </is>
      </c>
      <c r="C1673" s="2" t="inlineStr">
        <is>
          <t>Gabinete PLC horno regeneración carbón</t>
        </is>
      </c>
      <c r="D1673" s="2" t="n">
        <v>558</v>
      </c>
      <c r="E1673" s="2" t="inlineStr">
        <is>
          <t>CC-3000</t>
        </is>
      </c>
      <c r="F1673" s="2" t="inlineStr">
        <is>
          <t>P01</t>
        </is>
      </c>
      <c r="G1673" s="2" t="n">
        <v>610000</v>
      </c>
      <c r="H1673" s="2" t="inlineStr">
        <is>
          <t>Mano obra interna</t>
        </is>
      </c>
      <c r="I1673" s="9" t="n">
        <v>1907.8</v>
      </c>
      <c r="J1673" s="9" t="n">
        <v>2063.08</v>
      </c>
      <c r="K1673" s="9" t="n">
        <v>2146.3</v>
      </c>
      <c r="L1673" s="9" t="n">
        <v>1987.88</v>
      </c>
      <c r="M1673" s="9" t="n">
        <v>2033.29</v>
      </c>
      <c r="N1673" s="9" t="n">
        <v>1753.76</v>
      </c>
      <c r="O1673" s="9" t="n">
        <v>2132.55</v>
      </c>
      <c r="P1673" s="9" t="n">
        <v>2008.41</v>
      </c>
      <c r="Q1673" s="9" t="n">
        <v>1891.75</v>
      </c>
      <c r="R1673" s="9" t="n">
        <v>2206.86</v>
      </c>
      <c r="S1673" s="9" t="n">
        <v>1949.12</v>
      </c>
      <c r="T1673" s="9" t="n">
        <v>2138.95</v>
      </c>
      <c r="U1673" s="10">
        <f>SUM(I1673:T1673)</f>
        <v/>
      </c>
    </row>
    <row r="1674">
      <c r="A1674" s="2" t="inlineStr">
        <is>
          <t>SN-3000-3400-3450-3450CP0001</t>
        </is>
      </c>
      <c r="B1674" s="2" t="inlineStr">
        <is>
          <t>3450CP0001</t>
        </is>
      </c>
      <c r="C1674" s="2" t="inlineStr">
        <is>
          <t>Gabinete PLC horno regeneración carbón</t>
        </is>
      </c>
      <c r="D1674" s="2" t="n">
        <v>558</v>
      </c>
      <c r="E1674" s="2" t="inlineStr">
        <is>
          <t>CC-3000</t>
        </is>
      </c>
      <c r="F1674" s="2" t="inlineStr">
        <is>
          <t>P01</t>
        </is>
      </c>
      <c r="G1674" s="2" t="n">
        <v>620000</v>
      </c>
      <c r="H1674" s="2" t="inlineStr">
        <is>
          <t>Materiales</t>
        </is>
      </c>
      <c r="I1674" s="9" t="n">
        <v>1964.28</v>
      </c>
      <c r="J1674" s="9" t="n">
        <v>1802.4</v>
      </c>
      <c r="K1674" s="9" t="n">
        <v>1765.42</v>
      </c>
      <c r="L1674" s="9" t="n">
        <v>1968.3</v>
      </c>
      <c r="M1674" s="9" t="n">
        <v>1839.59</v>
      </c>
      <c r="N1674" s="9" t="n">
        <v>1782.02</v>
      </c>
      <c r="O1674" s="9" t="n">
        <v>1947.51</v>
      </c>
      <c r="P1674" s="9" t="n">
        <v>1682.29</v>
      </c>
      <c r="Q1674" s="9" t="n">
        <v>1662.25</v>
      </c>
      <c r="R1674" s="9" t="n">
        <v>1866.67</v>
      </c>
      <c r="S1674" s="9" t="n">
        <v>1785.13</v>
      </c>
      <c r="T1674" s="9" t="n">
        <v>1923.13</v>
      </c>
      <c r="U1674" s="10">
        <f>SUM(I1674:T1674)</f>
        <v/>
      </c>
    </row>
    <row r="1675">
      <c r="A1675" s="2" t="inlineStr">
        <is>
          <t>SN-3000-3400-3450-3450CP0001</t>
        </is>
      </c>
      <c r="B1675" s="2" t="inlineStr">
        <is>
          <t>3450CP0001</t>
        </is>
      </c>
      <c r="C1675" s="2" t="inlineStr">
        <is>
          <t>Gabinete PLC horno regeneración carbón</t>
        </is>
      </c>
      <c r="D1675" s="2" t="n">
        <v>558</v>
      </c>
      <c r="E1675" s="2" t="inlineStr">
        <is>
          <t>CC-3000</t>
        </is>
      </c>
      <c r="F1675" s="2" t="inlineStr">
        <is>
          <t>P01</t>
        </is>
      </c>
      <c r="G1675" s="2" t="n">
        <v>630000</v>
      </c>
      <c r="H1675" s="2" t="inlineStr">
        <is>
          <t>Servicios externos</t>
        </is>
      </c>
      <c r="I1675" s="9" t="n">
        <v>2005.44</v>
      </c>
      <c r="J1675" s="9" t="n">
        <v>2038.15</v>
      </c>
      <c r="K1675" s="9" t="n">
        <v>2177.71</v>
      </c>
      <c r="L1675" s="9" t="n">
        <v>2081.82</v>
      </c>
      <c r="M1675" s="9" t="n">
        <v>1877.79</v>
      </c>
      <c r="N1675" s="9" t="n">
        <v>1924.58</v>
      </c>
      <c r="O1675" s="9" t="n">
        <v>2128.63</v>
      </c>
      <c r="P1675" s="9" t="n">
        <v>2131.64</v>
      </c>
      <c r="Q1675" s="9" t="n">
        <v>1884.04</v>
      </c>
      <c r="R1675" s="9" t="n">
        <v>2266.2</v>
      </c>
      <c r="S1675" s="9" t="n">
        <v>1823.82</v>
      </c>
      <c r="T1675" s="9" t="n">
        <v>1926.66</v>
      </c>
      <c r="U1675" s="10">
        <f>SUM(I1675:T1675)</f>
        <v/>
      </c>
    </row>
    <row r="1676">
      <c r="A1676" s="2" t="inlineStr">
        <is>
          <t>SN-3000-3400-3450-3450CP0002</t>
        </is>
      </c>
      <c r="B1676" s="2" t="inlineStr">
        <is>
          <t>3450CP0002</t>
        </is>
      </c>
      <c r="C1676" s="2" t="inlineStr">
        <is>
          <t>Gabinete PLC calentador Elución</t>
        </is>
      </c>
      <c r="D1676" s="2" t="n">
        <v>559</v>
      </c>
      <c r="E1676" s="2" t="inlineStr">
        <is>
          <t>CC-3000</t>
        </is>
      </c>
      <c r="F1676" s="2" t="inlineStr">
        <is>
          <t>P01</t>
        </is>
      </c>
      <c r="G1676" s="2" t="n">
        <v>610000</v>
      </c>
      <c r="H1676" s="2" t="inlineStr">
        <is>
          <t>Mano obra interna</t>
        </is>
      </c>
      <c r="I1676" s="9" t="n">
        <v>993.5599999999999</v>
      </c>
      <c r="J1676" s="9" t="n">
        <v>967.64</v>
      </c>
      <c r="K1676" s="9" t="n">
        <v>1052.75</v>
      </c>
      <c r="L1676" s="9" t="n">
        <v>1071.53</v>
      </c>
      <c r="M1676" s="9" t="n">
        <v>1039.9</v>
      </c>
      <c r="N1676" s="9" t="n">
        <v>955.3</v>
      </c>
      <c r="O1676" s="9" t="n">
        <v>1103.66</v>
      </c>
      <c r="P1676" s="9" t="n">
        <v>1101.42</v>
      </c>
      <c r="Q1676" s="9" t="n">
        <v>945.54</v>
      </c>
      <c r="R1676" s="9" t="n">
        <v>1102.94</v>
      </c>
      <c r="S1676" s="9" t="n">
        <v>1033.01</v>
      </c>
      <c r="T1676" s="9" t="n">
        <v>1076.3</v>
      </c>
      <c r="U1676" s="10">
        <f>SUM(I1676:T1676)</f>
        <v/>
      </c>
    </row>
    <row r="1677">
      <c r="A1677" s="2" t="inlineStr">
        <is>
          <t>SN-3000-3400-3450-3450CP0002</t>
        </is>
      </c>
      <c r="B1677" s="2" t="inlineStr">
        <is>
          <t>3450CP0002</t>
        </is>
      </c>
      <c r="C1677" s="2" t="inlineStr">
        <is>
          <t>Gabinete PLC calentador Elución</t>
        </is>
      </c>
      <c r="D1677" s="2" t="n">
        <v>559</v>
      </c>
      <c r="E1677" s="2" t="inlineStr">
        <is>
          <t>CC-3000</t>
        </is>
      </c>
      <c r="F1677" s="2" t="inlineStr">
        <is>
          <t>P01</t>
        </is>
      </c>
      <c r="G1677" s="2" t="n">
        <v>620000</v>
      </c>
      <c r="H1677" s="2" t="inlineStr">
        <is>
          <t>Materiales</t>
        </is>
      </c>
      <c r="I1677" s="9" t="n">
        <v>860.77</v>
      </c>
      <c r="J1677" s="9" t="n">
        <v>821.5</v>
      </c>
      <c r="K1677" s="9" t="n">
        <v>844.63</v>
      </c>
      <c r="L1677" s="9" t="n">
        <v>867.91</v>
      </c>
      <c r="M1677" s="9" t="n">
        <v>871.3099999999999</v>
      </c>
      <c r="N1677" s="9" t="n">
        <v>849</v>
      </c>
      <c r="O1677" s="9" t="n">
        <v>893.47</v>
      </c>
      <c r="P1677" s="9" t="n">
        <v>837.16</v>
      </c>
      <c r="Q1677" s="9" t="n">
        <v>829.52</v>
      </c>
      <c r="R1677" s="9" t="n">
        <v>849.17</v>
      </c>
      <c r="S1677" s="9" t="n">
        <v>824.58</v>
      </c>
      <c r="T1677" s="9" t="n">
        <v>908.41</v>
      </c>
      <c r="U1677" s="10">
        <f>SUM(I1677:T1677)</f>
        <v/>
      </c>
    </row>
    <row r="1678">
      <c r="A1678" s="2" t="inlineStr">
        <is>
          <t>SN-3000-3400-3450-3450CP0002</t>
        </is>
      </c>
      <c r="B1678" s="2" t="inlineStr">
        <is>
          <t>3450CP0002</t>
        </is>
      </c>
      <c r="C1678" s="2" t="inlineStr">
        <is>
          <t>Gabinete PLC calentador Elución</t>
        </is>
      </c>
      <c r="D1678" s="2" t="n">
        <v>559</v>
      </c>
      <c r="E1678" s="2" t="inlineStr">
        <is>
          <t>CC-3000</t>
        </is>
      </c>
      <c r="F1678" s="2" t="inlineStr">
        <is>
          <t>P01</t>
        </is>
      </c>
      <c r="G1678" s="2" t="n">
        <v>630000</v>
      </c>
      <c r="H1678" s="2" t="inlineStr">
        <is>
          <t>Servicios externos</t>
        </is>
      </c>
      <c r="I1678" s="9" t="n">
        <v>918.55</v>
      </c>
      <c r="J1678" s="9" t="n">
        <v>910.46</v>
      </c>
      <c r="K1678" s="9" t="n">
        <v>992.83</v>
      </c>
      <c r="L1678" s="9" t="n">
        <v>933.27</v>
      </c>
      <c r="M1678" s="9" t="n">
        <v>937.09</v>
      </c>
      <c r="N1678" s="9" t="n">
        <v>930.3</v>
      </c>
      <c r="O1678" s="9" t="n">
        <v>933.6799999999999</v>
      </c>
      <c r="P1678" s="9" t="n">
        <v>913.46</v>
      </c>
      <c r="Q1678" s="9" t="n">
        <v>778.85</v>
      </c>
      <c r="R1678" s="9" t="n">
        <v>954.83</v>
      </c>
      <c r="S1678" s="9" t="n">
        <v>883.85</v>
      </c>
      <c r="T1678" s="9" t="n">
        <v>960.5599999999999</v>
      </c>
      <c r="U1678" s="10">
        <f>SUM(I1678:T1678)</f>
        <v/>
      </c>
    </row>
    <row r="1679">
      <c r="A1679" s="2" t="inlineStr">
        <is>
          <t>SN-3000-3400-3450-3450CT0001</t>
        </is>
      </c>
      <c r="B1679" s="2" t="inlineStr">
        <is>
          <t>3450CT0001</t>
        </is>
      </c>
      <c r="C1679" s="2" t="inlineStr">
        <is>
          <t>Sistema CCTV Regeneración carbon</t>
        </is>
      </c>
      <c r="D1679" s="2" t="n">
        <v>560</v>
      </c>
      <c r="E1679" s="2" t="inlineStr">
        <is>
          <t>CC-3000</t>
        </is>
      </c>
      <c r="F1679" s="2" t="inlineStr">
        <is>
          <t>P01</t>
        </is>
      </c>
      <c r="G1679" s="2" t="n">
        <v>610000</v>
      </c>
      <c r="H1679" s="2" t="inlineStr">
        <is>
          <t>Mano obra interna</t>
        </is>
      </c>
      <c r="I1679" s="9" t="n">
        <v>1668.75</v>
      </c>
      <c r="J1679" s="9" t="n">
        <v>1444.79</v>
      </c>
      <c r="K1679" s="9" t="n">
        <v>1632.24</v>
      </c>
      <c r="L1679" s="9" t="n">
        <v>1536</v>
      </c>
      <c r="M1679" s="9" t="n">
        <v>1503.47</v>
      </c>
      <c r="N1679" s="9" t="n">
        <v>1526.16</v>
      </c>
      <c r="O1679" s="9" t="n">
        <v>1473.62</v>
      </c>
      <c r="P1679" s="9" t="n">
        <v>1423.31</v>
      </c>
      <c r="Q1679" s="9" t="n">
        <v>1421.94</v>
      </c>
      <c r="R1679" s="9" t="n">
        <v>1649.57</v>
      </c>
      <c r="S1679" s="9" t="n">
        <v>1544.05</v>
      </c>
      <c r="T1679" s="9" t="n">
        <v>1660.98</v>
      </c>
      <c r="U1679" s="10">
        <f>SUM(I1679:T1679)</f>
        <v/>
      </c>
    </row>
    <row r="1680">
      <c r="A1680" s="2" t="inlineStr">
        <is>
          <t>SN-3000-3400-3450-3450CT0001</t>
        </is>
      </c>
      <c r="B1680" s="2" t="inlineStr">
        <is>
          <t>3450CT0001</t>
        </is>
      </c>
      <c r="C1680" s="2" t="inlineStr">
        <is>
          <t>Sistema CCTV Regeneración carbon</t>
        </is>
      </c>
      <c r="D1680" s="2" t="n">
        <v>560</v>
      </c>
      <c r="E1680" s="2" t="inlineStr">
        <is>
          <t>CC-3000</t>
        </is>
      </c>
      <c r="F1680" s="2" t="inlineStr">
        <is>
          <t>P01</t>
        </is>
      </c>
      <c r="G1680" s="2" t="n">
        <v>620000</v>
      </c>
      <c r="H1680" s="2" t="inlineStr">
        <is>
          <t>Materiales</t>
        </is>
      </c>
      <c r="I1680" s="9" t="n">
        <v>1337.93</v>
      </c>
      <c r="J1680" s="9" t="n">
        <v>1309</v>
      </c>
      <c r="K1680" s="9" t="n">
        <v>1436.11</v>
      </c>
      <c r="L1680" s="9" t="n">
        <v>1413.62</v>
      </c>
      <c r="M1680" s="9" t="n">
        <v>1321.75</v>
      </c>
      <c r="N1680" s="9" t="n">
        <v>1239.22</v>
      </c>
      <c r="O1680" s="9" t="n">
        <v>1222.26</v>
      </c>
      <c r="P1680" s="9" t="n">
        <v>1266.78</v>
      </c>
      <c r="Q1680" s="9" t="n">
        <v>1218.75</v>
      </c>
      <c r="R1680" s="9" t="n">
        <v>1443.15</v>
      </c>
      <c r="S1680" s="9" t="n">
        <v>1277.5</v>
      </c>
      <c r="T1680" s="9" t="n">
        <v>1355.75</v>
      </c>
      <c r="U1680" s="10">
        <f>SUM(I1680:T1680)</f>
        <v/>
      </c>
    </row>
    <row r="1681">
      <c r="A1681" s="2" t="inlineStr">
        <is>
          <t>SN-3000-3400-3450-3450CT0001</t>
        </is>
      </c>
      <c r="B1681" s="2" t="inlineStr">
        <is>
          <t>3450CT0001</t>
        </is>
      </c>
      <c r="C1681" s="2" t="inlineStr">
        <is>
          <t>Sistema CCTV Regeneración carbon</t>
        </is>
      </c>
      <c r="D1681" s="2" t="n">
        <v>560</v>
      </c>
      <c r="E1681" s="2" t="inlineStr">
        <is>
          <t>CC-3000</t>
        </is>
      </c>
      <c r="F1681" s="2" t="inlineStr">
        <is>
          <t>P01</t>
        </is>
      </c>
      <c r="G1681" s="2" t="n">
        <v>630000</v>
      </c>
      <c r="H1681" s="2" t="inlineStr">
        <is>
          <t>Servicios externos</t>
        </is>
      </c>
      <c r="I1681" s="9" t="n">
        <v>1590.35</v>
      </c>
      <c r="J1681" s="9" t="n">
        <v>1395.98</v>
      </c>
      <c r="K1681" s="9" t="n">
        <v>1466.97</v>
      </c>
      <c r="L1681" s="9" t="n">
        <v>1453.39</v>
      </c>
      <c r="M1681" s="9" t="n">
        <v>1580.61</v>
      </c>
      <c r="N1681" s="9" t="n">
        <v>1339.61</v>
      </c>
      <c r="O1681" s="9" t="n">
        <v>1576.35</v>
      </c>
      <c r="P1681" s="9" t="n">
        <v>1437.97</v>
      </c>
      <c r="Q1681" s="9" t="n">
        <v>1392.16</v>
      </c>
      <c r="R1681" s="9" t="n">
        <v>1728.89</v>
      </c>
      <c r="S1681" s="9" t="n">
        <v>1475.13</v>
      </c>
      <c r="T1681" s="9" t="n">
        <v>1454.69</v>
      </c>
      <c r="U1681" s="10">
        <f>SUM(I1681:T1681)</f>
        <v/>
      </c>
    </row>
    <row r="1682">
      <c r="A1682" s="2" t="inlineStr">
        <is>
          <t>SN-3000-3400-3450-3450FE0010</t>
        </is>
      </c>
      <c r="B1682" s="2" t="inlineStr">
        <is>
          <t>3450FE0010</t>
        </is>
      </c>
      <c r="C1682" s="2" t="inlineStr">
        <is>
          <t>Alimentador tornillo</t>
        </is>
      </c>
      <c r="D1682" s="2" t="n">
        <v>561</v>
      </c>
      <c r="E1682" s="2" t="inlineStr">
        <is>
          <t>CC-3000</t>
        </is>
      </c>
      <c r="F1682" s="2" t="inlineStr">
        <is>
          <t>P01</t>
        </is>
      </c>
      <c r="G1682" s="2" t="n">
        <v>610000</v>
      </c>
      <c r="H1682" s="2" t="inlineStr">
        <is>
          <t>Mano obra interna</t>
        </is>
      </c>
      <c r="I1682" s="9" t="n">
        <v>2161.97</v>
      </c>
      <c r="J1682" s="9" t="n">
        <v>1931.5</v>
      </c>
      <c r="K1682" s="9" t="n">
        <v>2075.61</v>
      </c>
      <c r="L1682" s="9" t="n">
        <v>2015.07</v>
      </c>
      <c r="M1682" s="9" t="n">
        <v>1925.61</v>
      </c>
      <c r="N1682" s="9" t="n">
        <v>1813.16</v>
      </c>
      <c r="O1682" s="9" t="n">
        <v>2044.37</v>
      </c>
      <c r="P1682" s="9" t="n">
        <v>2052.09</v>
      </c>
      <c r="Q1682" s="9" t="n">
        <v>1780.64</v>
      </c>
      <c r="R1682" s="9" t="n">
        <v>2238.91</v>
      </c>
      <c r="S1682" s="9" t="n">
        <v>2029.93</v>
      </c>
      <c r="T1682" s="9" t="n">
        <v>2149.34</v>
      </c>
      <c r="U1682" s="10">
        <f>SUM(I1682:T1682)</f>
        <v/>
      </c>
    </row>
    <row r="1683">
      <c r="A1683" s="2" t="inlineStr">
        <is>
          <t>SN-3000-3400-3450-3450FE0010</t>
        </is>
      </c>
      <c r="B1683" s="2" t="inlineStr">
        <is>
          <t>3450FE0010</t>
        </is>
      </c>
      <c r="C1683" s="2" t="inlineStr">
        <is>
          <t>Alimentador tornillo</t>
        </is>
      </c>
      <c r="D1683" s="2" t="n">
        <v>561</v>
      </c>
      <c r="E1683" s="2" t="inlineStr">
        <is>
          <t>CC-3000</t>
        </is>
      </c>
      <c r="F1683" s="2" t="inlineStr">
        <is>
          <t>P01</t>
        </is>
      </c>
      <c r="G1683" s="2" t="n">
        <v>620000</v>
      </c>
      <c r="H1683" s="2" t="inlineStr">
        <is>
          <t>Materiales</t>
        </is>
      </c>
      <c r="I1683" s="9" t="n">
        <v>1859.9</v>
      </c>
      <c r="J1683" s="9" t="n">
        <v>1959.25</v>
      </c>
      <c r="K1683" s="9" t="n">
        <v>1846.85</v>
      </c>
      <c r="L1683" s="9" t="n">
        <v>1769.67</v>
      </c>
      <c r="M1683" s="9" t="n">
        <v>1971.92</v>
      </c>
      <c r="N1683" s="9" t="n">
        <v>1748.36</v>
      </c>
      <c r="O1683" s="9" t="n">
        <v>1856.03</v>
      </c>
      <c r="P1683" s="9" t="n">
        <v>1863.38</v>
      </c>
      <c r="Q1683" s="9" t="n">
        <v>1848.48</v>
      </c>
      <c r="R1683" s="9" t="n">
        <v>1975.83</v>
      </c>
      <c r="S1683" s="9" t="n">
        <v>1935.14</v>
      </c>
      <c r="T1683" s="9" t="n">
        <v>1944.57</v>
      </c>
      <c r="U1683" s="10">
        <f>SUM(I1683:T1683)</f>
        <v/>
      </c>
    </row>
    <row r="1684">
      <c r="A1684" s="2" t="inlineStr">
        <is>
          <t>SN-3000-3400-3450-3450FE0010</t>
        </is>
      </c>
      <c r="B1684" s="2" t="inlineStr">
        <is>
          <t>3450FE0010</t>
        </is>
      </c>
      <c r="C1684" s="2" t="inlineStr">
        <is>
          <t>Alimentador tornillo</t>
        </is>
      </c>
      <c r="D1684" s="2" t="n">
        <v>561</v>
      </c>
      <c r="E1684" s="2" t="inlineStr">
        <is>
          <t>CC-3000</t>
        </is>
      </c>
      <c r="F1684" s="2" t="inlineStr">
        <is>
          <t>P01</t>
        </is>
      </c>
      <c r="G1684" s="2" t="n">
        <v>630000</v>
      </c>
      <c r="H1684" s="2" t="inlineStr">
        <is>
          <t>Servicios externos</t>
        </is>
      </c>
      <c r="I1684" s="9" t="n">
        <v>2087.6</v>
      </c>
      <c r="J1684" s="9" t="n">
        <v>1986.86</v>
      </c>
      <c r="K1684" s="9" t="n">
        <v>2213.31</v>
      </c>
      <c r="L1684" s="9" t="n">
        <v>2131.78</v>
      </c>
      <c r="M1684" s="9" t="n">
        <v>2218.66</v>
      </c>
      <c r="N1684" s="9" t="n">
        <v>2008.56</v>
      </c>
      <c r="O1684" s="9" t="n">
        <v>2108.6</v>
      </c>
      <c r="P1684" s="9" t="n">
        <v>2074.09</v>
      </c>
      <c r="Q1684" s="9" t="n">
        <v>2048.89</v>
      </c>
      <c r="R1684" s="9" t="n">
        <v>2241.37</v>
      </c>
      <c r="S1684" s="9" t="n">
        <v>1961.33</v>
      </c>
      <c r="T1684" s="9" t="n">
        <v>2258.57</v>
      </c>
      <c r="U1684" s="10">
        <f>SUM(I1684:T1684)</f>
        <v/>
      </c>
    </row>
    <row r="1685">
      <c r="A1685" s="2" t="inlineStr">
        <is>
          <t>SN-3000-3400-3450-3450FL0009</t>
        </is>
      </c>
      <c r="B1685" s="2" t="inlineStr">
        <is>
          <t>3450FL0009</t>
        </is>
      </c>
      <c r="C1685" s="2" t="inlineStr">
        <is>
          <t>Filtro prensa finos de carbón</t>
        </is>
      </c>
      <c r="D1685" s="2" t="n">
        <v>562</v>
      </c>
      <c r="E1685" s="2" t="inlineStr">
        <is>
          <t>CC-3000</t>
        </is>
      </c>
      <c r="F1685" s="2" t="inlineStr">
        <is>
          <t>P01</t>
        </is>
      </c>
      <c r="G1685" s="2" t="n">
        <v>610000</v>
      </c>
      <c r="H1685" s="2" t="inlineStr">
        <is>
          <t>Mano obra interna</t>
        </is>
      </c>
      <c r="I1685" s="9" t="n">
        <v>916.92</v>
      </c>
      <c r="J1685" s="9" t="n">
        <v>887.29</v>
      </c>
      <c r="K1685" s="9" t="n">
        <v>945.22</v>
      </c>
      <c r="L1685" s="9" t="n">
        <v>877.6900000000001</v>
      </c>
      <c r="M1685" s="9" t="n">
        <v>810.74</v>
      </c>
      <c r="N1685" s="9" t="n">
        <v>888.4</v>
      </c>
      <c r="O1685" s="9" t="n">
        <v>833.05</v>
      </c>
      <c r="P1685" s="9" t="n">
        <v>915.97</v>
      </c>
      <c r="Q1685" s="9" t="n">
        <v>768.97</v>
      </c>
      <c r="R1685" s="9" t="n">
        <v>935.61</v>
      </c>
      <c r="S1685" s="9" t="n">
        <v>797.05</v>
      </c>
      <c r="T1685" s="9" t="n">
        <v>901.5700000000001</v>
      </c>
      <c r="U1685" s="10">
        <f>SUM(I1685:T1685)</f>
        <v/>
      </c>
    </row>
    <row r="1686">
      <c r="A1686" s="2" t="inlineStr">
        <is>
          <t>SN-3000-3400-3450-3450FL0009</t>
        </is>
      </c>
      <c r="B1686" s="2" t="inlineStr">
        <is>
          <t>3450FL0009</t>
        </is>
      </c>
      <c r="C1686" s="2" t="inlineStr">
        <is>
          <t>Filtro prensa finos de carbón</t>
        </is>
      </c>
      <c r="D1686" s="2" t="n">
        <v>562</v>
      </c>
      <c r="E1686" s="2" t="inlineStr">
        <is>
          <t>CC-3000</t>
        </is>
      </c>
      <c r="F1686" s="2" t="inlineStr">
        <is>
          <t>P01</t>
        </is>
      </c>
      <c r="G1686" s="2" t="n">
        <v>620000</v>
      </c>
      <c r="H1686" s="2" t="inlineStr">
        <is>
          <t>Materiales</t>
        </is>
      </c>
      <c r="I1686" s="9" t="n">
        <v>806.72</v>
      </c>
      <c r="J1686" s="9" t="n">
        <v>804.59</v>
      </c>
      <c r="K1686" s="9" t="n">
        <v>919.72</v>
      </c>
      <c r="L1686" s="9" t="n">
        <v>844.63</v>
      </c>
      <c r="M1686" s="9" t="n">
        <v>865.4299999999999</v>
      </c>
      <c r="N1686" s="9" t="n">
        <v>851.96</v>
      </c>
      <c r="O1686" s="9" t="n">
        <v>897.8099999999999</v>
      </c>
      <c r="P1686" s="9" t="n">
        <v>886.59</v>
      </c>
      <c r="Q1686" s="9" t="n">
        <v>753.76</v>
      </c>
      <c r="R1686" s="9" t="n">
        <v>966.08</v>
      </c>
      <c r="S1686" s="9" t="n">
        <v>847.8200000000001</v>
      </c>
      <c r="T1686" s="9" t="n">
        <v>892.15</v>
      </c>
      <c r="U1686" s="10">
        <f>SUM(I1686:T1686)</f>
        <v/>
      </c>
    </row>
    <row r="1687">
      <c r="A1687" s="2" t="inlineStr">
        <is>
          <t>SN-3000-3400-3450-3450FL0009</t>
        </is>
      </c>
      <c r="B1687" s="2" t="inlineStr">
        <is>
          <t>3450FL0009</t>
        </is>
      </c>
      <c r="C1687" s="2" t="inlineStr">
        <is>
          <t>Filtro prensa finos de carbón</t>
        </is>
      </c>
      <c r="D1687" s="2" t="n">
        <v>562</v>
      </c>
      <c r="E1687" s="2" t="inlineStr">
        <is>
          <t>CC-3000</t>
        </is>
      </c>
      <c r="F1687" s="2" t="inlineStr">
        <is>
          <t>P01</t>
        </is>
      </c>
      <c r="G1687" s="2" t="n">
        <v>630000</v>
      </c>
      <c r="H1687" s="2" t="inlineStr">
        <is>
          <t>Servicios externos</t>
        </is>
      </c>
      <c r="I1687" s="9" t="n">
        <v>767.54</v>
      </c>
      <c r="J1687" s="9" t="n">
        <v>721.03</v>
      </c>
      <c r="K1687" s="9" t="n">
        <v>754.11</v>
      </c>
      <c r="L1687" s="9" t="n">
        <v>668.41</v>
      </c>
      <c r="M1687" s="9" t="n">
        <v>663.99</v>
      </c>
      <c r="N1687" s="9" t="n">
        <v>719.7</v>
      </c>
      <c r="O1687" s="9" t="n">
        <v>701.3200000000001</v>
      </c>
      <c r="P1687" s="9" t="n">
        <v>688.96</v>
      </c>
      <c r="Q1687" s="9" t="n">
        <v>687.96</v>
      </c>
      <c r="R1687" s="9" t="n">
        <v>705.99</v>
      </c>
      <c r="S1687" s="9" t="n">
        <v>669.52</v>
      </c>
      <c r="T1687" s="9" t="n">
        <v>697.1900000000001</v>
      </c>
      <c r="U1687" s="10">
        <f>SUM(I1687:T1687)</f>
        <v/>
      </c>
    </row>
    <row r="1688">
      <c r="A1688" s="2" t="inlineStr">
        <is>
          <t>SN-3000-3400-3450-3450FP1001</t>
        </is>
      </c>
      <c r="B1688" s="2" t="inlineStr">
        <is>
          <t>3450FP1001</t>
        </is>
      </c>
      <c r="C1688" s="2" t="inlineStr">
        <is>
          <t>Tablero control SCI FP1001</t>
        </is>
      </c>
      <c r="D1688" s="2" t="n">
        <v>563</v>
      </c>
      <c r="E1688" s="2" t="inlineStr">
        <is>
          <t>CC-3000</t>
        </is>
      </c>
      <c r="F1688" s="2" t="inlineStr">
        <is>
          <t>P01</t>
        </is>
      </c>
      <c r="G1688" s="2" t="n">
        <v>610000</v>
      </c>
      <c r="H1688" s="2" t="inlineStr">
        <is>
          <t>Mano obra interna</t>
        </is>
      </c>
      <c r="I1688" s="9" t="n">
        <v>457.06</v>
      </c>
      <c r="J1688" s="9" t="n">
        <v>433.84</v>
      </c>
      <c r="K1688" s="9" t="n">
        <v>451.61</v>
      </c>
      <c r="L1688" s="9" t="n">
        <v>482.73</v>
      </c>
      <c r="M1688" s="9" t="n">
        <v>487.83</v>
      </c>
      <c r="N1688" s="9" t="n">
        <v>442.27</v>
      </c>
      <c r="O1688" s="9" t="n">
        <v>447.21</v>
      </c>
      <c r="P1688" s="9" t="n">
        <v>436.42</v>
      </c>
      <c r="Q1688" s="9" t="n">
        <v>452.72</v>
      </c>
      <c r="R1688" s="9" t="n">
        <v>535.74</v>
      </c>
      <c r="S1688" s="9" t="n">
        <v>436.39</v>
      </c>
      <c r="T1688" s="9" t="n">
        <v>453.11</v>
      </c>
      <c r="U1688" s="10">
        <f>SUM(I1688:T1688)</f>
        <v/>
      </c>
    </row>
    <row r="1689">
      <c r="A1689" s="2" t="inlineStr">
        <is>
          <t>SN-3000-3400-3450-3450FP1001</t>
        </is>
      </c>
      <c r="B1689" s="2" t="inlineStr">
        <is>
          <t>3450FP1001</t>
        </is>
      </c>
      <c r="C1689" s="2" t="inlineStr">
        <is>
          <t>Tablero control SCI FP1001</t>
        </is>
      </c>
      <c r="D1689" s="2" t="n">
        <v>563</v>
      </c>
      <c r="E1689" s="2" t="inlineStr">
        <is>
          <t>CC-3000</t>
        </is>
      </c>
      <c r="F1689" s="2" t="inlineStr">
        <is>
          <t>P01</t>
        </is>
      </c>
      <c r="G1689" s="2" t="n">
        <v>620000</v>
      </c>
      <c r="H1689" s="2" t="inlineStr">
        <is>
          <t>Materiales</t>
        </is>
      </c>
      <c r="I1689" s="9" t="n">
        <v>502.64</v>
      </c>
      <c r="J1689" s="9" t="n">
        <v>461.15</v>
      </c>
      <c r="K1689" s="9" t="n">
        <v>496.65</v>
      </c>
      <c r="L1689" s="9" t="n">
        <v>498.7</v>
      </c>
      <c r="M1689" s="9" t="n">
        <v>501.12</v>
      </c>
      <c r="N1689" s="9" t="n">
        <v>426.72</v>
      </c>
      <c r="O1689" s="9" t="n">
        <v>509.36</v>
      </c>
      <c r="P1689" s="9" t="n">
        <v>463.12</v>
      </c>
      <c r="Q1689" s="9" t="n">
        <v>454.68</v>
      </c>
      <c r="R1689" s="9" t="n">
        <v>514.48</v>
      </c>
      <c r="S1689" s="9" t="n">
        <v>455.57</v>
      </c>
      <c r="T1689" s="9" t="n">
        <v>493.77</v>
      </c>
      <c r="U1689" s="10">
        <f>SUM(I1689:T1689)</f>
        <v/>
      </c>
    </row>
    <row r="1690">
      <c r="A1690" s="2" t="inlineStr">
        <is>
          <t>SN-3000-3400-3450-3450FP1001</t>
        </is>
      </c>
      <c r="B1690" s="2" t="inlineStr">
        <is>
          <t>3450FP1001</t>
        </is>
      </c>
      <c r="C1690" s="2" t="inlineStr">
        <is>
          <t>Tablero control SCI FP1001</t>
        </is>
      </c>
      <c r="D1690" s="2" t="n">
        <v>563</v>
      </c>
      <c r="E1690" s="2" t="inlineStr">
        <is>
          <t>CC-3000</t>
        </is>
      </c>
      <c r="F1690" s="2" t="inlineStr">
        <is>
          <t>P01</t>
        </is>
      </c>
      <c r="G1690" s="2" t="n">
        <v>630000</v>
      </c>
      <c r="H1690" s="2" t="inlineStr">
        <is>
          <t>Servicios externos</t>
        </is>
      </c>
      <c r="I1690" s="9" t="n">
        <v>442.85</v>
      </c>
      <c r="J1690" s="9" t="n">
        <v>453.61</v>
      </c>
      <c r="K1690" s="9" t="n">
        <v>477.68</v>
      </c>
      <c r="L1690" s="9" t="n">
        <v>449.09</v>
      </c>
      <c r="M1690" s="9" t="n">
        <v>488.46</v>
      </c>
      <c r="N1690" s="9" t="n">
        <v>421.9</v>
      </c>
      <c r="O1690" s="9" t="n">
        <v>454.91</v>
      </c>
      <c r="P1690" s="9" t="n">
        <v>435.61</v>
      </c>
      <c r="Q1690" s="9" t="n">
        <v>431.97</v>
      </c>
      <c r="R1690" s="9" t="n">
        <v>482.28</v>
      </c>
      <c r="S1690" s="9" t="n">
        <v>445.9</v>
      </c>
      <c r="T1690" s="9" t="n">
        <v>447.63</v>
      </c>
      <c r="U1690" s="10">
        <f>SUM(I1690:T1690)</f>
        <v/>
      </c>
    </row>
    <row r="1691">
      <c r="A1691" s="2" t="inlineStr">
        <is>
          <t>SN-3000-3400-3450-3450HO0013</t>
        </is>
      </c>
      <c r="B1691" s="2" t="inlineStr">
        <is>
          <t>3450HO0013</t>
        </is>
      </c>
      <c r="C1691" s="2" t="inlineStr">
        <is>
          <t>Tolva alimentación horno</t>
        </is>
      </c>
      <c r="D1691" s="2" t="n">
        <v>564</v>
      </c>
      <c r="E1691" s="2" t="inlineStr">
        <is>
          <t>CC-3000</t>
        </is>
      </c>
      <c r="F1691" s="2" t="inlineStr">
        <is>
          <t>P01</t>
        </is>
      </c>
      <c r="G1691" s="2" t="n">
        <v>610000</v>
      </c>
      <c r="H1691" s="2" t="inlineStr">
        <is>
          <t>Mano obra interna</t>
        </is>
      </c>
      <c r="I1691" s="9" t="n">
        <v>2384.12</v>
      </c>
      <c r="J1691" s="9" t="n">
        <v>2251.41</v>
      </c>
      <c r="K1691" s="9" t="n">
        <v>2247.53</v>
      </c>
      <c r="L1691" s="9" t="n">
        <v>2119.42</v>
      </c>
      <c r="M1691" s="9" t="n">
        <v>2341.84</v>
      </c>
      <c r="N1691" s="9" t="n">
        <v>2024.42</v>
      </c>
      <c r="O1691" s="9" t="n">
        <v>2390.71</v>
      </c>
      <c r="P1691" s="9" t="n">
        <v>2226.24</v>
      </c>
      <c r="Q1691" s="9" t="n">
        <v>2027.88</v>
      </c>
      <c r="R1691" s="9" t="n">
        <v>2504.14</v>
      </c>
      <c r="S1691" s="9" t="n">
        <v>2294.65</v>
      </c>
      <c r="T1691" s="9" t="n">
        <v>2221.82</v>
      </c>
      <c r="U1691" s="10">
        <f>SUM(I1691:T1691)</f>
        <v/>
      </c>
    </row>
    <row r="1692">
      <c r="A1692" s="2" t="inlineStr">
        <is>
          <t>SN-3000-3400-3450-3450HO0013</t>
        </is>
      </c>
      <c r="B1692" s="2" t="inlineStr">
        <is>
          <t>3450HO0013</t>
        </is>
      </c>
      <c r="C1692" s="2" t="inlineStr">
        <is>
          <t>Tolva alimentación horno</t>
        </is>
      </c>
      <c r="D1692" s="2" t="n">
        <v>564</v>
      </c>
      <c r="E1692" s="2" t="inlineStr">
        <is>
          <t>CC-3000</t>
        </is>
      </c>
      <c r="F1692" s="2" t="inlineStr">
        <is>
          <t>P01</t>
        </is>
      </c>
      <c r="G1692" s="2" t="n">
        <v>620000</v>
      </c>
      <c r="H1692" s="2" t="inlineStr">
        <is>
          <t>Materiales</t>
        </is>
      </c>
      <c r="I1692" s="9" t="n">
        <v>2514.08</v>
      </c>
      <c r="J1692" s="9" t="n">
        <v>2617.34</v>
      </c>
      <c r="K1692" s="9" t="n">
        <v>2647.26</v>
      </c>
      <c r="L1692" s="9" t="n">
        <v>2441.52</v>
      </c>
      <c r="M1692" s="9" t="n">
        <v>2339.45</v>
      </c>
      <c r="N1692" s="9" t="n">
        <v>2277.33</v>
      </c>
      <c r="O1692" s="9" t="n">
        <v>2396.28</v>
      </c>
      <c r="P1692" s="9" t="n">
        <v>2380.12</v>
      </c>
      <c r="Q1692" s="9" t="n">
        <v>2376.06</v>
      </c>
      <c r="R1692" s="9" t="n">
        <v>2519.63</v>
      </c>
      <c r="S1692" s="9" t="n">
        <v>2366.44</v>
      </c>
      <c r="T1692" s="9" t="n">
        <v>2576.88</v>
      </c>
      <c r="U1692" s="10">
        <f>SUM(I1692:T1692)</f>
        <v/>
      </c>
    </row>
    <row r="1693">
      <c r="A1693" s="2" t="inlineStr">
        <is>
          <t>SN-3000-3400-3450-3450HO0013</t>
        </is>
      </c>
      <c r="B1693" s="2" t="inlineStr">
        <is>
          <t>3450HO0013</t>
        </is>
      </c>
      <c r="C1693" s="2" t="inlineStr">
        <is>
          <t>Tolva alimentación horno</t>
        </is>
      </c>
      <c r="D1693" s="2" t="n">
        <v>564</v>
      </c>
      <c r="E1693" s="2" t="inlineStr">
        <is>
          <t>CC-3000</t>
        </is>
      </c>
      <c r="F1693" s="2" t="inlineStr">
        <is>
          <t>P01</t>
        </is>
      </c>
      <c r="G1693" s="2" t="n">
        <v>630000</v>
      </c>
      <c r="H1693" s="2" t="inlineStr">
        <is>
          <t>Servicios externos</t>
        </is>
      </c>
      <c r="I1693" s="9" t="n">
        <v>2296.96</v>
      </c>
      <c r="J1693" s="9" t="n">
        <v>2222.3</v>
      </c>
      <c r="K1693" s="9" t="n">
        <v>2345.48</v>
      </c>
      <c r="L1693" s="9" t="n">
        <v>2604.39</v>
      </c>
      <c r="M1693" s="9" t="n">
        <v>2453.7</v>
      </c>
      <c r="N1693" s="9" t="n">
        <v>2150.93</v>
      </c>
      <c r="O1693" s="9" t="n">
        <v>2377.19</v>
      </c>
      <c r="P1693" s="9" t="n">
        <v>2330.85</v>
      </c>
      <c r="Q1693" s="9" t="n">
        <v>2279.21</v>
      </c>
      <c r="R1693" s="9" t="n">
        <v>2617.43</v>
      </c>
      <c r="S1693" s="9" t="n">
        <v>2333.96</v>
      </c>
      <c r="T1693" s="9" t="n">
        <v>2381.33</v>
      </c>
      <c r="U1693" s="10">
        <f>SUM(I1693:T1693)</f>
        <v/>
      </c>
    </row>
    <row r="1694">
      <c r="A1694" s="2" t="inlineStr">
        <is>
          <t>SN-3000-3400-3450-3450HT0077</t>
        </is>
      </c>
      <c r="B1694" s="2" t="inlineStr">
        <is>
          <t>3450HT0077</t>
        </is>
      </c>
      <c r="C1694" s="2" t="inlineStr">
        <is>
          <t>Tecle eléctrico tolva carbon</t>
        </is>
      </c>
      <c r="D1694" s="2" t="n">
        <v>565</v>
      </c>
      <c r="E1694" s="2" t="inlineStr">
        <is>
          <t>CC-3000</t>
        </is>
      </c>
      <c r="F1694" s="2" t="inlineStr">
        <is>
          <t>P01</t>
        </is>
      </c>
      <c r="G1694" s="2" t="n">
        <v>610000</v>
      </c>
      <c r="H1694" s="2" t="inlineStr">
        <is>
          <t>Mano obra interna</t>
        </is>
      </c>
      <c r="I1694" s="9" t="n">
        <v>2569.71</v>
      </c>
      <c r="J1694" s="9" t="n">
        <v>2531.62</v>
      </c>
      <c r="K1694" s="9" t="n">
        <v>2677.59</v>
      </c>
      <c r="L1694" s="9" t="n">
        <v>2301.78</v>
      </c>
      <c r="M1694" s="9" t="n">
        <v>2490.25</v>
      </c>
      <c r="N1694" s="9" t="n">
        <v>2400.77</v>
      </c>
      <c r="O1694" s="9" t="n">
        <v>2597.79</v>
      </c>
      <c r="P1694" s="9" t="n">
        <v>2325.72</v>
      </c>
      <c r="Q1694" s="9" t="n">
        <v>2343.17</v>
      </c>
      <c r="R1694" s="9" t="n">
        <v>2427.08</v>
      </c>
      <c r="S1694" s="9" t="n">
        <v>2395.13</v>
      </c>
      <c r="T1694" s="9" t="n">
        <v>2400.55</v>
      </c>
      <c r="U1694" s="10">
        <f>SUM(I1694:T1694)</f>
        <v/>
      </c>
    </row>
    <row r="1695">
      <c r="A1695" s="2" t="inlineStr">
        <is>
          <t>SN-3000-3400-3450-3450HT0077</t>
        </is>
      </c>
      <c r="B1695" s="2" t="inlineStr">
        <is>
          <t>3450HT0077</t>
        </is>
      </c>
      <c r="C1695" s="2" t="inlineStr">
        <is>
          <t>Tecle eléctrico tolva carbon</t>
        </is>
      </c>
      <c r="D1695" s="2" t="n">
        <v>565</v>
      </c>
      <c r="E1695" s="2" t="inlineStr">
        <is>
          <t>CC-3000</t>
        </is>
      </c>
      <c r="F1695" s="2" t="inlineStr">
        <is>
          <t>P01</t>
        </is>
      </c>
      <c r="G1695" s="2" t="n">
        <v>620000</v>
      </c>
      <c r="H1695" s="2" t="inlineStr">
        <is>
          <t>Materiales</t>
        </is>
      </c>
      <c r="I1695" s="9" t="n">
        <v>3107</v>
      </c>
      <c r="J1695" s="9" t="n">
        <v>2771.53</v>
      </c>
      <c r="K1695" s="9" t="n">
        <v>2979.51</v>
      </c>
      <c r="L1695" s="9" t="n">
        <v>2759.8</v>
      </c>
      <c r="M1695" s="9" t="n">
        <v>2808.76</v>
      </c>
      <c r="N1695" s="9" t="n">
        <v>2688.74</v>
      </c>
      <c r="O1695" s="9" t="n">
        <v>2731.76</v>
      </c>
      <c r="P1695" s="9" t="n">
        <v>3055.62</v>
      </c>
      <c r="Q1695" s="9" t="n">
        <v>2526.77</v>
      </c>
      <c r="R1695" s="9" t="n">
        <v>3169.3</v>
      </c>
      <c r="S1695" s="9" t="n">
        <v>2958.31</v>
      </c>
      <c r="T1695" s="9" t="n">
        <v>3111.47</v>
      </c>
      <c r="U1695" s="10">
        <f>SUM(I1695:T1695)</f>
        <v/>
      </c>
    </row>
    <row r="1696">
      <c r="A1696" s="2" t="inlineStr">
        <is>
          <t>SN-3000-3400-3450-3450HT0077</t>
        </is>
      </c>
      <c r="B1696" s="2" t="inlineStr">
        <is>
          <t>3450HT0077</t>
        </is>
      </c>
      <c r="C1696" s="2" t="inlineStr">
        <is>
          <t>Tecle eléctrico tolva carbon</t>
        </is>
      </c>
      <c r="D1696" s="2" t="n">
        <v>565</v>
      </c>
      <c r="E1696" s="2" t="inlineStr">
        <is>
          <t>CC-3000</t>
        </is>
      </c>
      <c r="F1696" s="2" t="inlineStr">
        <is>
          <t>P01</t>
        </is>
      </c>
      <c r="G1696" s="2" t="n">
        <v>630000</v>
      </c>
      <c r="H1696" s="2" t="inlineStr">
        <is>
          <t>Servicios externos</t>
        </is>
      </c>
      <c r="I1696" s="9" t="n">
        <v>2778.65</v>
      </c>
      <c r="J1696" s="9" t="n">
        <v>2970.79</v>
      </c>
      <c r="K1696" s="9" t="n">
        <v>2855.62</v>
      </c>
      <c r="L1696" s="9" t="n">
        <v>3132.23</v>
      </c>
      <c r="M1696" s="9" t="n">
        <v>2936.01</v>
      </c>
      <c r="N1696" s="9" t="n">
        <v>2869.82</v>
      </c>
      <c r="O1696" s="9" t="n">
        <v>2681.28</v>
      </c>
      <c r="P1696" s="9" t="n">
        <v>2906.5</v>
      </c>
      <c r="Q1696" s="9" t="n">
        <v>2809.54</v>
      </c>
      <c r="R1696" s="9" t="n">
        <v>3274.9</v>
      </c>
      <c r="S1696" s="9" t="n">
        <v>2569.4</v>
      </c>
      <c r="T1696" s="9" t="n">
        <v>3117.99</v>
      </c>
      <c r="U1696" s="10">
        <f>SUM(I1696:T1696)</f>
        <v/>
      </c>
    </row>
    <row r="1697">
      <c r="A1697" s="2" t="inlineStr">
        <is>
          <t>SN-3000-3400-3450-3450HT0078</t>
        </is>
      </c>
      <c r="B1697" s="2" t="inlineStr">
        <is>
          <t>3450HT0078</t>
        </is>
      </c>
      <c r="C1697" s="2" t="inlineStr">
        <is>
          <t>Carro mantención columna carbón</t>
        </is>
      </c>
      <c r="D1697" s="2" t="n">
        <v>566</v>
      </c>
      <c r="E1697" s="2" t="inlineStr">
        <is>
          <t>CC-3000</t>
        </is>
      </c>
      <c r="F1697" s="2" t="inlineStr">
        <is>
          <t>P01</t>
        </is>
      </c>
      <c r="G1697" s="2" t="n">
        <v>610000</v>
      </c>
      <c r="H1697" s="2" t="inlineStr">
        <is>
          <t>Mano obra interna</t>
        </is>
      </c>
      <c r="I1697" s="9" t="n">
        <v>1502.86</v>
      </c>
      <c r="J1697" s="9" t="n">
        <v>1467.85</v>
      </c>
      <c r="K1697" s="9" t="n">
        <v>1397.73</v>
      </c>
      <c r="L1697" s="9" t="n">
        <v>1370.7</v>
      </c>
      <c r="M1697" s="9" t="n">
        <v>1495.95</v>
      </c>
      <c r="N1697" s="9" t="n">
        <v>1356.67</v>
      </c>
      <c r="O1697" s="9" t="n">
        <v>1355.42</v>
      </c>
      <c r="P1697" s="9" t="n">
        <v>1505.32</v>
      </c>
      <c r="Q1697" s="9" t="n">
        <v>1420.94</v>
      </c>
      <c r="R1697" s="9" t="n">
        <v>1580.86</v>
      </c>
      <c r="S1697" s="9" t="n">
        <v>1323.66</v>
      </c>
      <c r="T1697" s="9" t="n">
        <v>1353.35</v>
      </c>
      <c r="U1697" s="10">
        <f>SUM(I1697:T1697)</f>
        <v/>
      </c>
    </row>
    <row r="1698">
      <c r="A1698" s="2" t="inlineStr">
        <is>
          <t>SN-3000-3400-3450-3450HT0078</t>
        </is>
      </c>
      <c r="B1698" s="2" t="inlineStr">
        <is>
          <t>3450HT0078</t>
        </is>
      </c>
      <c r="C1698" s="2" t="inlineStr">
        <is>
          <t>Carro mantención columna carbón</t>
        </is>
      </c>
      <c r="D1698" s="2" t="n">
        <v>566</v>
      </c>
      <c r="E1698" s="2" t="inlineStr">
        <is>
          <t>CC-3000</t>
        </is>
      </c>
      <c r="F1698" s="2" t="inlineStr">
        <is>
          <t>P01</t>
        </is>
      </c>
      <c r="G1698" s="2" t="n">
        <v>620000</v>
      </c>
      <c r="H1698" s="2" t="inlineStr">
        <is>
          <t>Materiales</t>
        </is>
      </c>
      <c r="I1698" s="9" t="n">
        <v>1720.08</v>
      </c>
      <c r="J1698" s="9" t="n">
        <v>1685.96</v>
      </c>
      <c r="K1698" s="9" t="n">
        <v>1810.85</v>
      </c>
      <c r="L1698" s="9" t="n">
        <v>1690.42</v>
      </c>
      <c r="M1698" s="9" t="n">
        <v>1554.88</v>
      </c>
      <c r="N1698" s="9" t="n">
        <v>1710.62</v>
      </c>
      <c r="O1698" s="9" t="n">
        <v>1684.42</v>
      </c>
      <c r="P1698" s="9" t="n">
        <v>1701.11</v>
      </c>
      <c r="Q1698" s="9" t="n">
        <v>1663.91</v>
      </c>
      <c r="R1698" s="9" t="n">
        <v>1927.12</v>
      </c>
      <c r="S1698" s="9" t="n">
        <v>1636.83</v>
      </c>
      <c r="T1698" s="9" t="n">
        <v>1641.44</v>
      </c>
      <c r="U1698" s="10">
        <f>SUM(I1698:T1698)</f>
        <v/>
      </c>
    </row>
    <row r="1699">
      <c r="A1699" s="2" t="inlineStr">
        <is>
          <t>SN-3000-3400-3450-3450HT0078</t>
        </is>
      </c>
      <c r="B1699" s="2" t="inlineStr">
        <is>
          <t>3450HT0078</t>
        </is>
      </c>
      <c r="C1699" s="2" t="inlineStr">
        <is>
          <t>Carro mantención columna carbón</t>
        </is>
      </c>
      <c r="D1699" s="2" t="n">
        <v>566</v>
      </c>
      <c r="E1699" s="2" t="inlineStr">
        <is>
          <t>CC-3000</t>
        </is>
      </c>
      <c r="F1699" s="2" t="inlineStr">
        <is>
          <t>P01</t>
        </is>
      </c>
      <c r="G1699" s="2" t="n">
        <v>630000</v>
      </c>
      <c r="H1699" s="2" t="inlineStr">
        <is>
          <t>Servicios externos</t>
        </is>
      </c>
      <c r="I1699" s="9" t="n">
        <v>1891.25</v>
      </c>
      <c r="J1699" s="9" t="n">
        <v>1747.29</v>
      </c>
      <c r="K1699" s="9" t="n">
        <v>1875.29</v>
      </c>
      <c r="L1699" s="9" t="n">
        <v>1815.45</v>
      </c>
      <c r="M1699" s="9" t="n">
        <v>1892.62</v>
      </c>
      <c r="N1699" s="9" t="n">
        <v>1716.61</v>
      </c>
      <c r="O1699" s="9" t="n">
        <v>1894.6</v>
      </c>
      <c r="P1699" s="9" t="n">
        <v>1897.12</v>
      </c>
      <c r="Q1699" s="9" t="n">
        <v>1763.05</v>
      </c>
      <c r="R1699" s="9" t="n">
        <v>2010.77</v>
      </c>
      <c r="S1699" s="9" t="n">
        <v>1842</v>
      </c>
      <c r="T1699" s="9" t="n">
        <v>1794.3</v>
      </c>
      <c r="U1699" s="10">
        <f>SUM(I1699:T1699)</f>
        <v/>
      </c>
    </row>
    <row r="1700">
      <c r="A1700" s="2" t="inlineStr">
        <is>
          <t>SN-3000-3400-3450-3450HT0079</t>
        </is>
      </c>
      <c r="B1700" s="2" t="inlineStr">
        <is>
          <t>3450HT0079</t>
        </is>
      </c>
      <c r="C1700" s="2" t="inlineStr">
        <is>
          <t xml:space="preserve">Tecle regeneración carbon </t>
        </is>
      </c>
      <c r="D1700" s="2" t="n">
        <v>567</v>
      </c>
      <c r="E1700" s="2" t="inlineStr">
        <is>
          <t>CC-3000</t>
        </is>
      </c>
      <c r="F1700" s="2" t="inlineStr">
        <is>
          <t>P01</t>
        </is>
      </c>
      <c r="G1700" s="2" t="n">
        <v>610000</v>
      </c>
      <c r="H1700" s="2" t="inlineStr">
        <is>
          <t>Mano obra interna</t>
        </is>
      </c>
      <c r="I1700" s="9" t="n">
        <v>441.66</v>
      </c>
      <c r="J1700" s="9" t="n">
        <v>403.84</v>
      </c>
      <c r="K1700" s="9" t="n">
        <v>397.92</v>
      </c>
      <c r="L1700" s="9" t="n">
        <v>393.41</v>
      </c>
      <c r="M1700" s="9" t="n">
        <v>383.8</v>
      </c>
      <c r="N1700" s="9" t="n">
        <v>407.9</v>
      </c>
      <c r="O1700" s="9" t="n">
        <v>424.2</v>
      </c>
      <c r="P1700" s="9" t="n">
        <v>390.44</v>
      </c>
      <c r="Q1700" s="9" t="n">
        <v>403.01</v>
      </c>
      <c r="R1700" s="9" t="n">
        <v>426.86</v>
      </c>
      <c r="S1700" s="9" t="n">
        <v>415.69</v>
      </c>
      <c r="T1700" s="9" t="n">
        <v>415.52</v>
      </c>
      <c r="U1700" s="10">
        <f>SUM(I1700:T1700)</f>
        <v/>
      </c>
    </row>
    <row r="1701">
      <c r="A1701" s="2" t="inlineStr">
        <is>
          <t>SN-3000-3400-3450-3450HT0079</t>
        </is>
      </c>
      <c r="B1701" s="2" t="inlineStr">
        <is>
          <t>3450HT0079</t>
        </is>
      </c>
      <c r="C1701" s="2" t="inlineStr">
        <is>
          <t xml:space="preserve">Tecle regeneración carbon </t>
        </is>
      </c>
      <c r="D1701" s="2" t="n">
        <v>567</v>
      </c>
      <c r="E1701" s="2" t="inlineStr">
        <is>
          <t>CC-3000</t>
        </is>
      </c>
      <c r="F1701" s="2" t="inlineStr">
        <is>
          <t>P01</t>
        </is>
      </c>
      <c r="G1701" s="2" t="n">
        <v>620000</v>
      </c>
      <c r="H1701" s="2" t="inlineStr">
        <is>
          <t>Materiales</t>
        </is>
      </c>
      <c r="I1701" s="9" t="n">
        <v>479.59</v>
      </c>
      <c r="J1701" s="9" t="n">
        <v>460.09</v>
      </c>
      <c r="K1701" s="9" t="n">
        <v>521.02</v>
      </c>
      <c r="L1701" s="9" t="n">
        <v>453.05</v>
      </c>
      <c r="M1701" s="9" t="n">
        <v>509.93</v>
      </c>
      <c r="N1701" s="9" t="n">
        <v>468.7</v>
      </c>
      <c r="O1701" s="9" t="n">
        <v>473.92</v>
      </c>
      <c r="P1701" s="9" t="n">
        <v>488.33</v>
      </c>
      <c r="Q1701" s="9" t="n">
        <v>418.87</v>
      </c>
      <c r="R1701" s="9" t="n">
        <v>517.6</v>
      </c>
      <c r="S1701" s="9" t="n">
        <v>499.57</v>
      </c>
      <c r="T1701" s="9" t="n">
        <v>465.41</v>
      </c>
      <c r="U1701" s="10">
        <f>SUM(I1701:T1701)</f>
        <v/>
      </c>
    </row>
    <row r="1702">
      <c r="A1702" s="2" t="inlineStr">
        <is>
          <t>SN-3000-3400-3450-3450HT0079</t>
        </is>
      </c>
      <c r="B1702" s="2" t="inlineStr">
        <is>
          <t>3450HT0079</t>
        </is>
      </c>
      <c r="C1702" s="2" t="inlineStr">
        <is>
          <t xml:space="preserve">Tecle regeneración carbon </t>
        </is>
      </c>
      <c r="D1702" s="2" t="n">
        <v>567</v>
      </c>
      <c r="E1702" s="2" t="inlineStr">
        <is>
          <t>CC-3000</t>
        </is>
      </c>
      <c r="F1702" s="2" t="inlineStr">
        <is>
          <t>P01</t>
        </is>
      </c>
      <c r="G1702" s="2" t="n">
        <v>630000</v>
      </c>
      <c r="H1702" s="2" t="inlineStr">
        <is>
          <t>Servicios externos</t>
        </is>
      </c>
      <c r="I1702" s="9" t="n">
        <v>484.46</v>
      </c>
      <c r="J1702" s="9" t="n">
        <v>483.81</v>
      </c>
      <c r="K1702" s="9" t="n">
        <v>471.37</v>
      </c>
      <c r="L1702" s="9" t="n">
        <v>487.81</v>
      </c>
      <c r="M1702" s="9" t="n">
        <v>511.05</v>
      </c>
      <c r="N1702" s="9" t="n">
        <v>436.13</v>
      </c>
      <c r="O1702" s="9" t="n">
        <v>490.25</v>
      </c>
      <c r="P1702" s="9" t="n">
        <v>484.99</v>
      </c>
      <c r="Q1702" s="9" t="n">
        <v>451.05</v>
      </c>
      <c r="R1702" s="9" t="n">
        <v>526.6900000000001</v>
      </c>
      <c r="S1702" s="9" t="n">
        <v>464.41</v>
      </c>
      <c r="T1702" s="9" t="n">
        <v>449.06</v>
      </c>
      <c r="U1702" s="10">
        <f>SUM(I1702:T1702)</f>
        <v/>
      </c>
    </row>
    <row r="1703">
      <c r="A1703" s="2" t="inlineStr">
        <is>
          <t>SN-3000-3400-3450-3450HT0080</t>
        </is>
      </c>
      <c r="B1703" s="2" t="inlineStr">
        <is>
          <t>3450HT0080</t>
        </is>
      </c>
      <c r="C1703" s="2" t="inlineStr">
        <is>
          <t xml:space="preserve">Carro mantención regeneración carbon </t>
        </is>
      </c>
      <c r="D1703" s="2" t="n">
        <v>568</v>
      </c>
      <c r="E1703" s="2" t="inlineStr">
        <is>
          <t>CC-3000</t>
        </is>
      </c>
      <c r="F1703" s="2" t="inlineStr">
        <is>
          <t>P01</t>
        </is>
      </c>
      <c r="G1703" s="2" t="n">
        <v>610000</v>
      </c>
      <c r="H1703" s="2" t="inlineStr">
        <is>
          <t>Mano obra interna</t>
        </is>
      </c>
      <c r="I1703" s="9" t="n">
        <v>2535.63</v>
      </c>
      <c r="J1703" s="9" t="n">
        <v>2203.44</v>
      </c>
      <c r="K1703" s="9" t="n">
        <v>2401.27</v>
      </c>
      <c r="L1703" s="9" t="n">
        <v>2516.83</v>
      </c>
      <c r="M1703" s="9" t="n">
        <v>2515.38</v>
      </c>
      <c r="N1703" s="9" t="n">
        <v>2419.56</v>
      </c>
      <c r="O1703" s="9" t="n">
        <v>2512.33</v>
      </c>
      <c r="P1703" s="9" t="n">
        <v>2229.68</v>
      </c>
      <c r="Q1703" s="9" t="n">
        <v>2342.92</v>
      </c>
      <c r="R1703" s="9" t="n">
        <v>2699.61</v>
      </c>
      <c r="S1703" s="9" t="n">
        <v>2240</v>
      </c>
      <c r="T1703" s="9" t="n">
        <v>2354.99</v>
      </c>
      <c r="U1703" s="10">
        <f>SUM(I1703:T1703)</f>
        <v/>
      </c>
    </row>
    <row r="1704">
      <c r="A1704" s="2" t="inlineStr">
        <is>
          <t>SN-3000-3400-3450-3450HT0080</t>
        </is>
      </c>
      <c r="B1704" s="2" t="inlineStr">
        <is>
          <t>3450HT0080</t>
        </is>
      </c>
      <c r="C1704" s="2" t="inlineStr">
        <is>
          <t xml:space="preserve">Carro mantención regeneración carbon </t>
        </is>
      </c>
      <c r="D1704" s="2" t="n">
        <v>568</v>
      </c>
      <c r="E1704" s="2" t="inlineStr">
        <is>
          <t>CC-3000</t>
        </is>
      </c>
      <c r="F1704" s="2" t="inlineStr">
        <is>
          <t>P01</t>
        </is>
      </c>
      <c r="G1704" s="2" t="n">
        <v>620000</v>
      </c>
      <c r="H1704" s="2" t="inlineStr">
        <is>
          <t>Materiales</t>
        </is>
      </c>
      <c r="I1704" s="9" t="n">
        <v>2159.82</v>
      </c>
      <c r="J1704" s="9" t="n">
        <v>1955.09</v>
      </c>
      <c r="K1704" s="9" t="n">
        <v>1966.92</v>
      </c>
      <c r="L1704" s="9" t="n">
        <v>1988.54</v>
      </c>
      <c r="M1704" s="9" t="n">
        <v>2023.22</v>
      </c>
      <c r="N1704" s="9" t="n">
        <v>1904.63</v>
      </c>
      <c r="O1704" s="9" t="n">
        <v>2152.47</v>
      </c>
      <c r="P1704" s="9" t="n">
        <v>1932.8</v>
      </c>
      <c r="Q1704" s="9" t="n">
        <v>2049.8</v>
      </c>
      <c r="R1704" s="9" t="n">
        <v>2366.82</v>
      </c>
      <c r="S1704" s="9" t="n">
        <v>2128.91</v>
      </c>
      <c r="T1704" s="9" t="n">
        <v>2175.1</v>
      </c>
      <c r="U1704" s="10">
        <f>SUM(I1704:T1704)</f>
        <v/>
      </c>
    </row>
    <row r="1705">
      <c r="A1705" s="2" t="inlineStr">
        <is>
          <t>SN-3000-3400-3450-3450HT0080</t>
        </is>
      </c>
      <c r="B1705" s="2" t="inlineStr">
        <is>
          <t>3450HT0080</t>
        </is>
      </c>
      <c r="C1705" s="2" t="inlineStr">
        <is>
          <t xml:space="preserve">Carro mantención regeneración carbon </t>
        </is>
      </c>
      <c r="D1705" s="2" t="n">
        <v>568</v>
      </c>
      <c r="E1705" s="2" t="inlineStr">
        <is>
          <t>CC-3000</t>
        </is>
      </c>
      <c r="F1705" s="2" t="inlineStr">
        <is>
          <t>P01</t>
        </is>
      </c>
      <c r="G1705" s="2" t="n">
        <v>630000</v>
      </c>
      <c r="H1705" s="2" t="inlineStr">
        <is>
          <t>Servicios externos</t>
        </is>
      </c>
      <c r="I1705" s="9" t="n">
        <v>1847.31</v>
      </c>
      <c r="J1705" s="9" t="n">
        <v>1693.85</v>
      </c>
      <c r="K1705" s="9" t="n">
        <v>2032.64</v>
      </c>
      <c r="L1705" s="9" t="n">
        <v>1818.07</v>
      </c>
      <c r="M1705" s="9" t="n">
        <v>1833.47</v>
      </c>
      <c r="N1705" s="9" t="n">
        <v>1825.5</v>
      </c>
      <c r="O1705" s="9" t="n">
        <v>1951.56</v>
      </c>
      <c r="P1705" s="9" t="n">
        <v>1900.99</v>
      </c>
      <c r="Q1705" s="9" t="n">
        <v>1748.85</v>
      </c>
      <c r="R1705" s="9" t="n">
        <v>1960.29</v>
      </c>
      <c r="S1705" s="9" t="n">
        <v>1799.15</v>
      </c>
      <c r="T1705" s="9" t="n">
        <v>1734.38</v>
      </c>
      <c r="U1705" s="10">
        <f>SUM(I1705:T1705)</f>
        <v/>
      </c>
    </row>
    <row r="1706">
      <c r="A1706" s="2" t="inlineStr">
        <is>
          <t>SN-3000-3400-3450-3450HT0081</t>
        </is>
      </c>
      <c r="B1706" s="2" t="inlineStr">
        <is>
          <t>3450HT0081</t>
        </is>
      </c>
      <c r="C1706" s="2" t="inlineStr">
        <is>
          <t>Tecle harnero carbon</t>
        </is>
      </c>
      <c r="D1706" s="2" t="n">
        <v>569</v>
      </c>
      <c r="E1706" s="2" t="inlineStr">
        <is>
          <t>CC-3000</t>
        </is>
      </c>
      <c r="F1706" s="2" t="inlineStr">
        <is>
          <t>P01</t>
        </is>
      </c>
      <c r="G1706" s="2" t="n">
        <v>610000</v>
      </c>
      <c r="H1706" s="2" t="inlineStr">
        <is>
          <t>Mano obra interna</t>
        </is>
      </c>
      <c r="I1706" s="9" t="n">
        <v>2907.18</v>
      </c>
      <c r="J1706" s="9" t="n">
        <v>2580.26</v>
      </c>
      <c r="K1706" s="9" t="n">
        <v>3113.5</v>
      </c>
      <c r="L1706" s="9" t="n">
        <v>2885.41</v>
      </c>
      <c r="M1706" s="9" t="n">
        <v>2963.81</v>
      </c>
      <c r="N1706" s="9" t="n">
        <v>2858.16</v>
      </c>
      <c r="O1706" s="9" t="n">
        <v>2972.23</v>
      </c>
      <c r="P1706" s="9" t="n">
        <v>2627.59</v>
      </c>
      <c r="Q1706" s="9" t="n">
        <v>2525.99</v>
      </c>
      <c r="R1706" s="9" t="n">
        <v>3233.05</v>
      </c>
      <c r="S1706" s="9" t="n">
        <v>2912.47</v>
      </c>
      <c r="T1706" s="9" t="n">
        <v>2850.75</v>
      </c>
      <c r="U1706" s="10">
        <f>SUM(I1706:T1706)</f>
        <v/>
      </c>
    </row>
    <row r="1707">
      <c r="A1707" s="2" t="inlineStr">
        <is>
          <t>SN-3000-3400-3450-3450HT0081</t>
        </is>
      </c>
      <c r="B1707" s="2" t="inlineStr">
        <is>
          <t>3450HT0081</t>
        </is>
      </c>
      <c r="C1707" s="2" t="inlineStr">
        <is>
          <t>Tecle harnero carbon</t>
        </is>
      </c>
      <c r="D1707" s="2" t="n">
        <v>569</v>
      </c>
      <c r="E1707" s="2" t="inlineStr">
        <is>
          <t>CC-3000</t>
        </is>
      </c>
      <c r="F1707" s="2" t="inlineStr">
        <is>
          <t>P01</t>
        </is>
      </c>
      <c r="G1707" s="2" t="n">
        <v>620000</v>
      </c>
      <c r="H1707" s="2" t="inlineStr">
        <is>
          <t>Materiales</t>
        </is>
      </c>
      <c r="I1707" s="9" t="n">
        <v>2419.9</v>
      </c>
      <c r="J1707" s="9" t="n">
        <v>2647.16</v>
      </c>
      <c r="K1707" s="9" t="n">
        <v>2461.18</v>
      </c>
      <c r="L1707" s="9" t="n">
        <v>2429.21</v>
      </c>
      <c r="M1707" s="9" t="n">
        <v>2538.23</v>
      </c>
      <c r="N1707" s="9" t="n">
        <v>2292.25</v>
      </c>
      <c r="O1707" s="9" t="n">
        <v>2677.21</v>
      </c>
      <c r="P1707" s="9" t="n">
        <v>2303.06</v>
      </c>
      <c r="Q1707" s="9" t="n">
        <v>2143.55</v>
      </c>
      <c r="R1707" s="9" t="n">
        <v>2698.66</v>
      </c>
      <c r="S1707" s="9" t="n">
        <v>2415.98</v>
      </c>
      <c r="T1707" s="9" t="n">
        <v>2400.91</v>
      </c>
      <c r="U1707" s="10">
        <f>SUM(I1707:T1707)</f>
        <v/>
      </c>
    </row>
    <row r="1708">
      <c r="A1708" s="2" t="inlineStr">
        <is>
          <t>SN-3000-3400-3450-3450HT0081</t>
        </is>
      </c>
      <c r="B1708" s="2" t="inlineStr">
        <is>
          <t>3450HT0081</t>
        </is>
      </c>
      <c r="C1708" s="2" t="inlineStr">
        <is>
          <t>Tecle harnero carbon</t>
        </is>
      </c>
      <c r="D1708" s="2" t="n">
        <v>569</v>
      </c>
      <c r="E1708" s="2" t="inlineStr">
        <is>
          <t>CC-3000</t>
        </is>
      </c>
      <c r="F1708" s="2" t="inlineStr">
        <is>
          <t>P01</t>
        </is>
      </c>
      <c r="G1708" s="2" t="n">
        <v>630000</v>
      </c>
      <c r="H1708" s="2" t="inlineStr">
        <is>
          <t>Servicios externos</t>
        </is>
      </c>
      <c r="I1708" s="9" t="n">
        <v>2540.4</v>
      </c>
      <c r="J1708" s="9" t="n">
        <v>2641.24</v>
      </c>
      <c r="K1708" s="9" t="n">
        <v>2399.6</v>
      </c>
      <c r="L1708" s="9" t="n">
        <v>2776.44</v>
      </c>
      <c r="M1708" s="9" t="n">
        <v>2547.81</v>
      </c>
      <c r="N1708" s="9" t="n">
        <v>2278.88</v>
      </c>
      <c r="O1708" s="9" t="n">
        <v>2342.21</v>
      </c>
      <c r="P1708" s="9" t="n">
        <v>2537.69</v>
      </c>
      <c r="Q1708" s="9" t="n">
        <v>2250.05</v>
      </c>
      <c r="R1708" s="9" t="n">
        <v>2635.56</v>
      </c>
      <c r="S1708" s="9" t="n">
        <v>2343.94</v>
      </c>
      <c r="T1708" s="9" t="n">
        <v>2623.23</v>
      </c>
      <c r="U1708" s="10">
        <f>SUM(I1708:T1708)</f>
        <v/>
      </c>
    </row>
    <row r="1709">
      <c r="A1709" s="2" t="inlineStr">
        <is>
          <t>SN-3000-3400-3450-3450HT0082</t>
        </is>
      </c>
      <c r="B1709" s="2" t="inlineStr">
        <is>
          <t>3450HT0082</t>
        </is>
      </c>
      <c r="C1709" s="2" t="inlineStr">
        <is>
          <t>Tecle harnero finos de carbon</t>
        </is>
      </c>
      <c r="D1709" s="2" t="n">
        <v>570</v>
      </c>
      <c r="E1709" s="2" t="inlineStr">
        <is>
          <t>CC-3000</t>
        </is>
      </c>
      <c r="F1709" s="2" t="inlineStr">
        <is>
          <t>P01</t>
        </is>
      </c>
      <c r="G1709" s="2" t="n">
        <v>610000</v>
      </c>
      <c r="H1709" s="2" t="inlineStr">
        <is>
          <t>Mano obra interna</t>
        </is>
      </c>
      <c r="I1709" s="9" t="n">
        <v>2712.03</v>
      </c>
      <c r="J1709" s="9" t="n">
        <v>2817.8</v>
      </c>
      <c r="K1709" s="9" t="n">
        <v>3076.12</v>
      </c>
      <c r="L1709" s="9" t="n">
        <v>2716.72</v>
      </c>
      <c r="M1709" s="9" t="n">
        <v>2995.38</v>
      </c>
      <c r="N1709" s="9" t="n">
        <v>2757.99</v>
      </c>
      <c r="O1709" s="9" t="n">
        <v>3055.83</v>
      </c>
      <c r="P1709" s="9" t="n">
        <v>2686.63</v>
      </c>
      <c r="Q1709" s="9" t="n">
        <v>2861.53</v>
      </c>
      <c r="R1709" s="9" t="n">
        <v>3143.39</v>
      </c>
      <c r="S1709" s="9" t="n">
        <v>2787.83</v>
      </c>
      <c r="T1709" s="9" t="n">
        <v>2898.4</v>
      </c>
      <c r="U1709" s="10">
        <f>SUM(I1709:T1709)</f>
        <v/>
      </c>
    </row>
    <row r="1710">
      <c r="A1710" s="2" t="inlineStr">
        <is>
          <t>SN-3000-3400-3450-3450HT0082</t>
        </is>
      </c>
      <c r="B1710" s="2" t="inlineStr">
        <is>
          <t>3450HT0082</t>
        </is>
      </c>
      <c r="C1710" s="2" t="inlineStr">
        <is>
          <t>Tecle harnero finos de carbon</t>
        </is>
      </c>
      <c r="D1710" s="2" t="n">
        <v>570</v>
      </c>
      <c r="E1710" s="2" t="inlineStr">
        <is>
          <t>CC-3000</t>
        </is>
      </c>
      <c r="F1710" s="2" t="inlineStr">
        <is>
          <t>P01</t>
        </is>
      </c>
      <c r="G1710" s="2" t="n">
        <v>620000</v>
      </c>
      <c r="H1710" s="2" t="inlineStr">
        <is>
          <t>Materiales</t>
        </is>
      </c>
      <c r="I1710" s="9" t="n">
        <v>2613.91</v>
      </c>
      <c r="J1710" s="9" t="n">
        <v>2410.32</v>
      </c>
      <c r="K1710" s="9" t="n">
        <v>2306.7</v>
      </c>
      <c r="L1710" s="9" t="n">
        <v>2257.59</v>
      </c>
      <c r="M1710" s="9" t="n">
        <v>2197.35</v>
      </c>
      <c r="N1710" s="9" t="n">
        <v>2327.19</v>
      </c>
      <c r="O1710" s="9" t="n">
        <v>2437</v>
      </c>
      <c r="P1710" s="9" t="n">
        <v>2390.34</v>
      </c>
      <c r="Q1710" s="9" t="n">
        <v>2158.05</v>
      </c>
      <c r="R1710" s="9" t="n">
        <v>2592.97</v>
      </c>
      <c r="S1710" s="9" t="n">
        <v>2321.9</v>
      </c>
      <c r="T1710" s="9" t="n">
        <v>2241.1</v>
      </c>
      <c r="U1710" s="10">
        <f>SUM(I1710:T1710)</f>
        <v/>
      </c>
    </row>
    <row r="1711">
      <c r="A1711" s="2" t="inlineStr">
        <is>
          <t>SN-3000-3400-3450-3450HT0082</t>
        </is>
      </c>
      <c r="B1711" s="2" t="inlineStr">
        <is>
          <t>3450HT0082</t>
        </is>
      </c>
      <c r="C1711" s="2" t="inlineStr">
        <is>
          <t>Tecle harnero finos de carbon</t>
        </is>
      </c>
      <c r="D1711" s="2" t="n">
        <v>570</v>
      </c>
      <c r="E1711" s="2" t="inlineStr">
        <is>
          <t>CC-3000</t>
        </is>
      </c>
      <c r="F1711" s="2" t="inlineStr">
        <is>
          <t>P01</t>
        </is>
      </c>
      <c r="G1711" s="2" t="n">
        <v>630000</v>
      </c>
      <c r="H1711" s="2" t="inlineStr">
        <is>
          <t>Servicios externos</t>
        </is>
      </c>
      <c r="I1711" s="9" t="n">
        <v>2401.85</v>
      </c>
      <c r="J1711" s="9" t="n">
        <v>2655.37</v>
      </c>
      <c r="K1711" s="9" t="n">
        <v>2708.34</v>
      </c>
      <c r="L1711" s="9" t="n">
        <v>2795.4</v>
      </c>
      <c r="M1711" s="9" t="n">
        <v>2428.37</v>
      </c>
      <c r="N1711" s="9" t="n">
        <v>2569.35</v>
      </c>
      <c r="O1711" s="9" t="n">
        <v>2576.91</v>
      </c>
      <c r="P1711" s="9" t="n">
        <v>2513.08</v>
      </c>
      <c r="Q1711" s="9" t="n">
        <v>2254.1</v>
      </c>
      <c r="R1711" s="9" t="n">
        <v>2836.92</v>
      </c>
      <c r="S1711" s="9" t="n">
        <v>2611.65</v>
      </c>
      <c r="T1711" s="9" t="n">
        <v>2462.67</v>
      </c>
      <c r="U1711" s="10">
        <f>SUM(I1711:T1711)</f>
        <v/>
      </c>
    </row>
    <row r="1712">
      <c r="A1712" s="2" t="inlineStr">
        <is>
          <t>SN-3000-3400-3450-3450HT0083</t>
        </is>
      </c>
      <c r="B1712" s="2" t="inlineStr">
        <is>
          <t>3450HT0083</t>
        </is>
      </c>
      <c r="C1712" s="2" t="inlineStr">
        <is>
          <t>Carro mantención bomba sumidero</t>
        </is>
      </c>
      <c r="D1712" s="2" t="n">
        <v>571</v>
      </c>
      <c r="E1712" s="2" t="inlineStr">
        <is>
          <t>CC-3000</t>
        </is>
      </c>
      <c r="F1712" s="2" t="inlineStr">
        <is>
          <t>P01</t>
        </is>
      </c>
      <c r="G1712" s="2" t="n">
        <v>610000</v>
      </c>
      <c r="H1712" s="2" t="inlineStr">
        <is>
          <t>Mano obra interna</t>
        </is>
      </c>
      <c r="I1712" s="9" t="n">
        <v>2011.72</v>
      </c>
      <c r="J1712" s="9" t="n">
        <v>2025.33</v>
      </c>
      <c r="K1712" s="9" t="n">
        <v>2049.94</v>
      </c>
      <c r="L1712" s="9" t="n">
        <v>1885.47</v>
      </c>
      <c r="M1712" s="9" t="n">
        <v>1866.67</v>
      </c>
      <c r="N1712" s="9" t="n">
        <v>1792.9</v>
      </c>
      <c r="O1712" s="9" t="n">
        <v>2019.2</v>
      </c>
      <c r="P1712" s="9" t="n">
        <v>1992.12</v>
      </c>
      <c r="Q1712" s="9" t="n">
        <v>1803.9</v>
      </c>
      <c r="R1712" s="9" t="n">
        <v>1986.3</v>
      </c>
      <c r="S1712" s="9" t="n">
        <v>1979.25</v>
      </c>
      <c r="T1712" s="9" t="n">
        <v>1986.59</v>
      </c>
      <c r="U1712" s="10">
        <f>SUM(I1712:T1712)</f>
        <v/>
      </c>
    </row>
    <row r="1713">
      <c r="A1713" s="2" t="inlineStr">
        <is>
          <t>SN-3000-3400-3450-3450HT0083</t>
        </is>
      </c>
      <c r="B1713" s="2" t="inlineStr">
        <is>
          <t>3450HT0083</t>
        </is>
      </c>
      <c r="C1713" s="2" t="inlineStr">
        <is>
          <t>Carro mantención bomba sumidero</t>
        </is>
      </c>
      <c r="D1713" s="2" t="n">
        <v>571</v>
      </c>
      <c r="E1713" s="2" t="inlineStr">
        <is>
          <t>CC-3000</t>
        </is>
      </c>
      <c r="F1713" s="2" t="inlineStr">
        <is>
          <t>P01</t>
        </is>
      </c>
      <c r="G1713" s="2" t="n">
        <v>620000</v>
      </c>
      <c r="H1713" s="2" t="inlineStr">
        <is>
          <t>Materiales</t>
        </is>
      </c>
      <c r="I1713" s="9" t="n">
        <v>2422</v>
      </c>
      <c r="J1713" s="9" t="n">
        <v>2425.61</v>
      </c>
      <c r="K1713" s="9" t="n">
        <v>2537.7</v>
      </c>
      <c r="L1713" s="9" t="n">
        <v>2331.84</v>
      </c>
      <c r="M1713" s="9" t="n">
        <v>2490.4</v>
      </c>
      <c r="N1713" s="9" t="n">
        <v>2068.3</v>
      </c>
      <c r="O1713" s="9" t="n">
        <v>2444.33</v>
      </c>
      <c r="P1713" s="9" t="n">
        <v>2515.13</v>
      </c>
      <c r="Q1713" s="9" t="n">
        <v>2124.39</v>
      </c>
      <c r="R1713" s="9" t="n">
        <v>2586.09</v>
      </c>
      <c r="S1713" s="9" t="n">
        <v>2290.28</v>
      </c>
      <c r="T1713" s="9" t="n">
        <v>2476.76</v>
      </c>
      <c r="U1713" s="10">
        <f>SUM(I1713:T1713)</f>
        <v/>
      </c>
    </row>
    <row r="1714">
      <c r="A1714" s="2" t="inlineStr">
        <is>
          <t>SN-3000-3400-3450-3450HT0083</t>
        </is>
      </c>
      <c r="B1714" s="2" t="inlineStr">
        <is>
          <t>3450HT0083</t>
        </is>
      </c>
      <c r="C1714" s="2" t="inlineStr">
        <is>
          <t>Carro mantención bomba sumidero</t>
        </is>
      </c>
      <c r="D1714" s="2" t="n">
        <v>571</v>
      </c>
      <c r="E1714" s="2" t="inlineStr">
        <is>
          <t>CC-3000</t>
        </is>
      </c>
      <c r="F1714" s="2" t="inlineStr">
        <is>
          <t>P01</t>
        </is>
      </c>
      <c r="G1714" s="2" t="n">
        <v>630000</v>
      </c>
      <c r="H1714" s="2" t="inlineStr">
        <is>
          <t>Servicios externos</t>
        </is>
      </c>
      <c r="I1714" s="9" t="n">
        <v>2420.05</v>
      </c>
      <c r="J1714" s="9" t="n">
        <v>2412.96</v>
      </c>
      <c r="K1714" s="9" t="n">
        <v>2333.71</v>
      </c>
      <c r="L1714" s="9" t="n">
        <v>2280.08</v>
      </c>
      <c r="M1714" s="9" t="n">
        <v>2282.45</v>
      </c>
      <c r="N1714" s="9" t="n">
        <v>2293.13</v>
      </c>
      <c r="O1714" s="9" t="n">
        <v>2216.48</v>
      </c>
      <c r="P1714" s="9" t="n">
        <v>2397.68</v>
      </c>
      <c r="Q1714" s="9" t="n">
        <v>2134.18</v>
      </c>
      <c r="R1714" s="9" t="n">
        <v>2634.02</v>
      </c>
      <c r="S1714" s="9" t="n">
        <v>2090.39</v>
      </c>
      <c r="T1714" s="9" t="n">
        <v>2430.42</v>
      </c>
      <c r="U1714" s="10">
        <f>SUM(I1714:T1714)</f>
        <v/>
      </c>
    </row>
    <row r="1715">
      <c r="A1715" s="2" t="inlineStr">
        <is>
          <t>SN-3000-3400-3450-3450HX0007</t>
        </is>
      </c>
      <c r="B1715" s="2" t="inlineStr">
        <is>
          <t>3450HX0007</t>
        </is>
      </c>
      <c r="C1715" s="2" t="inlineStr">
        <is>
          <t>Enfriador gases de horno</t>
        </is>
      </c>
      <c r="D1715" s="2" t="n">
        <v>572</v>
      </c>
      <c r="E1715" s="2" t="inlineStr">
        <is>
          <t>CC-3000</t>
        </is>
      </c>
      <c r="F1715" s="2" t="inlineStr">
        <is>
          <t>P01</t>
        </is>
      </c>
      <c r="G1715" s="2" t="n">
        <v>610000</v>
      </c>
      <c r="H1715" s="2" t="inlineStr">
        <is>
          <t>Mano obra interna</t>
        </is>
      </c>
      <c r="I1715" s="9" t="n">
        <v>2905.17</v>
      </c>
      <c r="J1715" s="9" t="n">
        <v>2707.43</v>
      </c>
      <c r="K1715" s="9" t="n">
        <v>2872.43</v>
      </c>
      <c r="L1715" s="9" t="n">
        <v>2892.79</v>
      </c>
      <c r="M1715" s="9" t="n">
        <v>2704.5</v>
      </c>
      <c r="N1715" s="9" t="n">
        <v>2456.19</v>
      </c>
      <c r="O1715" s="9" t="n">
        <v>2816.86</v>
      </c>
      <c r="P1715" s="9" t="n">
        <v>2761.55</v>
      </c>
      <c r="Q1715" s="9" t="n">
        <v>2444.64</v>
      </c>
      <c r="R1715" s="9" t="n">
        <v>2963.35</v>
      </c>
      <c r="S1715" s="9" t="n">
        <v>2724.81</v>
      </c>
      <c r="T1715" s="9" t="n">
        <v>2903.09</v>
      </c>
      <c r="U1715" s="10">
        <f>SUM(I1715:T1715)</f>
        <v/>
      </c>
    </row>
    <row r="1716">
      <c r="A1716" s="2" t="inlineStr">
        <is>
          <t>SN-3000-3400-3450-3450HX0007</t>
        </is>
      </c>
      <c r="B1716" s="2" t="inlineStr">
        <is>
          <t>3450HX0007</t>
        </is>
      </c>
      <c r="C1716" s="2" t="inlineStr">
        <is>
          <t>Enfriador gases de horno</t>
        </is>
      </c>
      <c r="D1716" s="2" t="n">
        <v>572</v>
      </c>
      <c r="E1716" s="2" t="inlineStr">
        <is>
          <t>CC-3000</t>
        </is>
      </c>
      <c r="F1716" s="2" t="inlineStr">
        <is>
          <t>P01</t>
        </is>
      </c>
      <c r="G1716" s="2" t="n">
        <v>620000</v>
      </c>
      <c r="H1716" s="2" t="inlineStr">
        <is>
          <t>Materiales</t>
        </is>
      </c>
      <c r="I1716" s="9" t="n">
        <v>2920.17</v>
      </c>
      <c r="J1716" s="9" t="n">
        <v>2861.91</v>
      </c>
      <c r="K1716" s="9" t="n">
        <v>2846.24</v>
      </c>
      <c r="L1716" s="9" t="n">
        <v>2886.17</v>
      </c>
      <c r="M1716" s="9" t="n">
        <v>3090.55</v>
      </c>
      <c r="N1716" s="9" t="n">
        <v>2750.86</v>
      </c>
      <c r="O1716" s="9" t="n">
        <v>3000.91</v>
      </c>
      <c r="P1716" s="9" t="n">
        <v>3018.67</v>
      </c>
      <c r="Q1716" s="9" t="n">
        <v>2862.9</v>
      </c>
      <c r="R1716" s="9" t="n">
        <v>3012.51</v>
      </c>
      <c r="S1716" s="9" t="n">
        <v>2759.84</v>
      </c>
      <c r="T1716" s="9" t="n">
        <v>2961.79</v>
      </c>
      <c r="U1716" s="10">
        <f>SUM(I1716:T1716)</f>
        <v/>
      </c>
    </row>
    <row r="1717">
      <c r="A1717" s="2" t="inlineStr">
        <is>
          <t>SN-3000-3400-3450-3450HX0007</t>
        </is>
      </c>
      <c r="B1717" s="2" t="inlineStr">
        <is>
          <t>3450HX0007</t>
        </is>
      </c>
      <c r="C1717" s="2" t="inlineStr">
        <is>
          <t>Enfriador gases de horno</t>
        </is>
      </c>
      <c r="D1717" s="2" t="n">
        <v>572</v>
      </c>
      <c r="E1717" s="2" t="inlineStr">
        <is>
          <t>CC-3000</t>
        </is>
      </c>
      <c r="F1717" s="2" t="inlineStr">
        <is>
          <t>P01</t>
        </is>
      </c>
      <c r="G1717" s="2" t="n">
        <v>630000</v>
      </c>
      <c r="H1717" s="2" t="inlineStr">
        <is>
          <t>Servicios externos</t>
        </is>
      </c>
      <c r="I1717" s="9" t="n">
        <v>2689.44</v>
      </c>
      <c r="J1717" s="9" t="n">
        <v>2537.61</v>
      </c>
      <c r="K1717" s="9" t="n">
        <v>2514.75</v>
      </c>
      <c r="L1717" s="9" t="n">
        <v>2651.15</v>
      </c>
      <c r="M1717" s="9" t="n">
        <v>2361.27</v>
      </c>
      <c r="N1717" s="9" t="n">
        <v>2445.06</v>
      </c>
      <c r="O1717" s="9" t="n">
        <v>2338.5</v>
      </c>
      <c r="P1717" s="9" t="n">
        <v>2550.22</v>
      </c>
      <c r="Q1717" s="9" t="n">
        <v>2260.66</v>
      </c>
      <c r="R1717" s="9" t="n">
        <v>2471.73</v>
      </c>
      <c r="S1717" s="9" t="n">
        <v>2281.58</v>
      </c>
      <c r="T1717" s="9" t="n">
        <v>2443.07</v>
      </c>
      <c r="U1717" s="10">
        <f>SUM(I1717:T1717)</f>
        <v/>
      </c>
    </row>
    <row r="1718">
      <c r="A1718" s="2" t="inlineStr">
        <is>
          <t>SN-3000-3400-3450-3450IO0001</t>
        </is>
      </c>
      <c r="B1718" s="2" t="inlineStr">
        <is>
          <t>3450IO0001</t>
        </is>
      </c>
      <c r="C1718" s="2" t="inlineStr">
        <is>
          <t xml:space="preserve">Gabinete RIO  </t>
        </is>
      </c>
      <c r="D1718" s="2" t="n">
        <v>573</v>
      </c>
      <c r="E1718" s="2" t="inlineStr">
        <is>
          <t>CC-3000</t>
        </is>
      </c>
      <c r="F1718" s="2" t="inlineStr">
        <is>
          <t>P01</t>
        </is>
      </c>
      <c r="G1718" s="2" t="n">
        <v>610000</v>
      </c>
      <c r="H1718" s="2" t="inlineStr">
        <is>
          <t>Mano obra interna</t>
        </is>
      </c>
      <c r="I1718" s="9" t="n">
        <v>565.89</v>
      </c>
      <c r="J1718" s="9" t="n">
        <v>600.9400000000001</v>
      </c>
      <c r="K1718" s="9" t="n">
        <v>635.03</v>
      </c>
      <c r="L1718" s="9" t="n">
        <v>623.08</v>
      </c>
      <c r="M1718" s="9" t="n">
        <v>613.39</v>
      </c>
      <c r="N1718" s="9" t="n">
        <v>539.5599999999999</v>
      </c>
      <c r="O1718" s="9" t="n">
        <v>603.55</v>
      </c>
      <c r="P1718" s="9" t="n">
        <v>636.51</v>
      </c>
      <c r="Q1718" s="9" t="n">
        <v>563.6799999999999</v>
      </c>
      <c r="R1718" s="9" t="n">
        <v>653.08</v>
      </c>
      <c r="S1718" s="9" t="n">
        <v>597.77</v>
      </c>
      <c r="T1718" s="9" t="n">
        <v>587.71</v>
      </c>
      <c r="U1718" s="10">
        <f>SUM(I1718:T1718)</f>
        <v/>
      </c>
    </row>
    <row r="1719">
      <c r="A1719" s="2" t="inlineStr">
        <is>
          <t>SN-3000-3400-3450-3450IO0001</t>
        </is>
      </c>
      <c r="B1719" s="2" t="inlineStr">
        <is>
          <t>3450IO0001</t>
        </is>
      </c>
      <c r="C1719" s="2" t="inlineStr">
        <is>
          <t xml:space="preserve">Gabinete RIO  </t>
        </is>
      </c>
      <c r="D1719" s="2" t="n">
        <v>573</v>
      </c>
      <c r="E1719" s="2" t="inlineStr">
        <is>
          <t>CC-3000</t>
        </is>
      </c>
      <c r="F1719" s="2" t="inlineStr">
        <is>
          <t>P01</t>
        </is>
      </c>
      <c r="G1719" s="2" t="n">
        <v>620000</v>
      </c>
      <c r="H1719" s="2" t="inlineStr">
        <is>
          <t>Materiales</t>
        </is>
      </c>
      <c r="I1719" s="9" t="n">
        <v>615.53</v>
      </c>
      <c r="J1719" s="9" t="n">
        <v>513.1900000000001</v>
      </c>
      <c r="K1719" s="9" t="n">
        <v>617.74</v>
      </c>
      <c r="L1719" s="9" t="n">
        <v>551.77</v>
      </c>
      <c r="M1719" s="9" t="n">
        <v>555.52</v>
      </c>
      <c r="N1719" s="9" t="n">
        <v>570.95</v>
      </c>
      <c r="O1719" s="9" t="n">
        <v>594.88</v>
      </c>
      <c r="P1719" s="9" t="n">
        <v>600.3200000000001</v>
      </c>
      <c r="Q1719" s="9" t="n">
        <v>563.3200000000001</v>
      </c>
      <c r="R1719" s="9" t="n">
        <v>604.5</v>
      </c>
      <c r="S1719" s="9" t="n">
        <v>560.95</v>
      </c>
      <c r="T1719" s="9" t="n">
        <v>563.66</v>
      </c>
      <c r="U1719" s="10">
        <f>SUM(I1719:T1719)</f>
        <v/>
      </c>
    </row>
    <row r="1720">
      <c r="A1720" s="2" t="inlineStr">
        <is>
          <t>SN-3000-3400-3450-3450IO0001</t>
        </is>
      </c>
      <c r="B1720" s="2" t="inlineStr">
        <is>
          <t>3450IO0001</t>
        </is>
      </c>
      <c r="C1720" s="2" t="inlineStr">
        <is>
          <t xml:space="preserve">Gabinete RIO  </t>
        </is>
      </c>
      <c r="D1720" s="2" t="n">
        <v>573</v>
      </c>
      <c r="E1720" s="2" t="inlineStr">
        <is>
          <t>CC-3000</t>
        </is>
      </c>
      <c r="F1720" s="2" t="inlineStr">
        <is>
          <t>P01</t>
        </is>
      </c>
      <c r="G1720" s="2" t="n">
        <v>630000</v>
      </c>
      <c r="H1720" s="2" t="inlineStr">
        <is>
          <t>Servicios externos</t>
        </is>
      </c>
      <c r="I1720" s="9" t="n">
        <v>516.7</v>
      </c>
      <c r="J1720" s="9" t="n">
        <v>523.6</v>
      </c>
      <c r="K1720" s="9" t="n">
        <v>528.0599999999999</v>
      </c>
      <c r="L1720" s="9" t="n">
        <v>549.3099999999999</v>
      </c>
      <c r="M1720" s="9" t="n">
        <v>526.33</v>
      </c>
      <c r="N1720" s="9" t="n">
        <v>451.73</v>
      </c>
      <c r="O1720" s="9" t="n">
        <v>522.65</v>
      </c>
      <c r="P1720" s="9" t="n">
        <v>506.18</v>
      </c>
      <c r="Q1720" s="9" t="n">
        <v>473.07</v>
      </c>
      <c r="R1720" s="9" t="n">
        <v>579.99</v>
      </c>
      <c r="S1720" s="9" t="n">
        <v>499.18</v>
      </c>
      <c r="T1720" s="9" t="n">
        <v>551.39</v>
      </c>
      <c r="U1720" s="10">
        <f>SUM(I1720:T1720)</f>
        <v/>
      </c>
    </row>
    <row r="1721">
      <c r="A1721" s="2" t="inlineStr">
        <is>
          <t>SN-3000-3400-3450-3450IO0002</t>
        </is>
      </c>
      <c r="B1721" s="2" t="inlineStr">
        <is>
          <t>3450IO0002</t>
        </is>
      </c>
      <c r="C1721" s="2" t="inlineStr">
        <is>
          <t xml:space="preserve">Gabinete RIO  </t>
        </is>
      </c>
      <c r="D1721" s="2" t="n">
        <v>574</v>
      </c>
      <c r="E1721" s="2" t="inlineStr">
        <is>
          <t>CC-3000</t>
        </is>
      </c>
      <c r="F1721" s="2" t="inlineStr">
        <is>
          <t>P01</t>
        </is>
      </c>
      <c r="G1721" s="2" t="n">
        <v>610000</v>
      </c>
      <c r="H1721" s="2" t="inlineStr">
        <is>
          <t>Mano obra interna</t>
        </is>
      </c>
      <c r="I1721" s="9" t="n">
        <v>265.89</v>
      </c>
      <c r="J1721" s="9" t="n">
        <v>264.73</v>
      </c>
      <c r="K1721" s="9" t="n">
        <v>246.77</v>
      </c>
      <c r="L1721" s="9" t="n">
        <v>244</v>
      </c>
      <c r="M1721" s="9" t="n">
        <v>238.57</v>
      </c>
      <c r="N1721" s="9" t="n">
        <v>244.47</v>
      </c>
      <c r="O1721" s="9" t="n">
        <v>247.46</v>
      </c>
      <c r="P1721" s="9" t="n">
        <v>278.08</v>
      </c>
      <c r="Q1721" s="9" t="n">
        <v>242.05</v>
      </c>
      <c r="R1721" s="9" t="n">
        <v>285.77</v>
      </c>
      <c r="S1721" s="9" t="n">
        <v>241.18</v>
      </c>
      <c r="T1721" s="9" t="n">
        <v>254.64</v>
      </c>
      <c r="U1721" s="10">
        <f>SUM(I1721:T1721)</f>
        <v/>
      </c>
    </row>
    <row r="1722">
      <c r="A1722" s="2" t="inlineStr">
        <is>
          <t>SN-3000-3400-3450-3450IO0002</t>
        </is>
      </c>
      <c r="B1722" s="2" t="inlineStr">
        <is>
          <t>3450IO0002</t>
        </is>
      </c>
      <c r="C1722" s="2" t="inlineStr">
        <is>
          <t xml:space="preserve">Gabinete RIO  </t>
        </is>
      </c>
      <c r="D1722" s="2" t="n">
        <v>574</v>
      </c>
      <c r="E1722" s="2" t="inlineStr">
        <is>
          <t>CC-3000</t>
        </is>
      </c>
      <c r="F1722" s="2" t="inlineStr">
        <is>
          <t>P01</t>
        </is>
      </c>
      <c r="G1722" s="2" t="n">
        <v>620000</v>
      </c>
      <c r="H1722" s="2" t="inlineStr">
        <is>
          <t>Materiales</t>
        </is>
      </c>
      <c r="I1722" s="9" t="n">
        <v>232.17</v>
      </c>
      <c r="J1722" s="9" t="n">
        <v>216.17</v>
      </c>
      <c r="K1722" s="9" t="n">
        <v>228.04</v>
      </c>
      <c r="L1722" s="9" t="n">
        <v>228.59</v>
      </c>
      <c r="M1722" s="9" t="n">
        <v>227.52</v>
      </c>
      <c r="N1722" s="9" t="n">
        <v>196.92</v>
      </c>
      <c r="O1722" s="9" t="n">
        <v>230.29</v>
      </c>
      <c r="P1722" s="9" t="n">
        <v>222.48</v>
      </c>
      <c r="Q1722" s="9" t="n">
        <v>210.73</v>
      </c>
      <c r="R1722" s="9" t="n">
        <v>231.15</v>
      </c>
      <c r="S1722" s="9" t="n">
        <v>210.29</v>
      </c>
      <c r="T1722" s="9" t="n">
        <v>214.07</v>
      </c>
      <c r="U1722" s="10">
        <f>SUM(I1722:T1722)</f>
        <v/>
      </c>
    </row>
    <row r="1723">
      <c r="A1723" s="2" t="inlineStr">
        <is>
          <t>SN-3000-3400-3450-3450IO0002</t>
        </is>
      </c>
      <c r="B1723" s="2" t="inlineStr">
        <is>
          <t>3450IO0002</t>
        </is>
      </c>
      <c r="C1723" s="2" t="inlineStr">
        <is>
          <t xml:space="preserve">Gabinete RIO  </t>
        </is>
      </c>
      <c r="D1723" s="2" t="n">
        <v>574</v>
      </c>
      <c r="E1723" s="2" t="inlineStr">
        <is>
          <t>CC-3000</t>
        </is>
      </c>
      <c r="F1723" s="2" t="inlineStr">
        <is>
          <t>P01</t>
        </is>
      </c>
      <c r="G1723" s="2" t="n">
        <v>630000</v>
      </c>
      <c r="H1723" s="2" t="inlineStr">
        <is>
          <t>Servicios externos</t>
        </is>
      </c>
      <c r="I1723" s="9" t="n">
        <v>266.09</v>
      </c>
      <c r="J1723" s="9" t="n">
        <v>277.22</v>
      </c>
      <c r="K1723" s="9" t="n">
        <v>268.59</v>
      </c>
      <c r="L1723" s="9" t="n">
        <v>254.58</v>
      </c>
      <c r="M1723" s="9" t="n">
        <v>258.39</v>
      </c>
      <c r="N1723" s="9" t="n">
        <v>230.96</v>
      </c>
      <c r="O1723" s="9" t="n">
        <v>277.79</v>
      </c>
      <c r="P1723" s="9" t="n">
        <v>273.87</v>
      </c>
      <c r="Q1723" s="9" t="n">
        <v>251.52</v>
      </c>
      <c r="R1723" s="9" t="n">
        <v>286.17</v>
      </c>
      <c r="S1723" s="9" t="n">
        <v>255.68</v>
      </c>
      <c r="T1723" s="9" t="n">
        <v>285.68</v>
      </c>
      <c r="U1723" s="10">
        <f>SUM(I1723:T1723)</f>
        <v/>
      </c>
    </row>
    <row r="1724">
      <c r="A1724" s="2" t="inlineStr">
        <is>
          <t>SN-3000-3400-3450-3450KI0001</t>
        </is>
      </c>
      <c r="B1724" s="2" t="inlineStr">
        <is>
          <t>3450KI0001</t>
        </is>
      </c>
      <c r="C1724" s="2" t="inlineStr">
        <is>
          <t>Horno reactivación carbón</t>
        </is>
      </c>
      <c r="D1724" s="2" t="n">
        <v>575</v>
      </c>
      <c r="E1724" s="2" t="inlineStr">
        <is>
          <t>CC-3000</t>
        </is>
      </c>
      <c r="F1724" s="2" t="inlineStr">
        <is>
          <t>P01</t>
        </is>
      </c>
      <c r="G1724" s="2" t="n">
        <v>610000</v>
      </c>
      <c r="H1724" s="2" t="inlineStr">
        <is>
          <t>Mano obra interna</t>
        </is>
      </c>
      <c r="I1724" s="9" t="n">
        <v>347.95</v>
      </c>
      <c r="J1724" s="9" t="n">
        <v>325.49</v>
      </c>
      <c r="K1724" s="9" t="n">
        <v>362.2</v>
      </c>
      <c r="L1724" s="9" t="n">
        <v>350.93</v>
      </c>
      <c r="M1724" s="9" t="n">
        <v>348.63</v>
      </c>
      <c r="N1724" s="9" t="n">
        <v>316.32</v>
      </c>
      <c r="O1724" s="9" t="n">
        <v>310.96</v>
      </c>
      <c r="P1724" s="9" t="n">
        <v>326.2</v>
      </c>
      <c r="Q1724" s="9" t="n">
        <v>313.95</v>
      </c>
      <c r="R1724" s="9" t="n">
        <v>367.28</v>
      </c>
      <c r="S1724" s="9" t="n">
        <v>290.59</v>
      </c>
      <c r="T1724" s="9" t="n">
        <v>331.36</v>
      </c>
      <c r="U1724" s="10">
        <f>SUM(I1724:T1724)</f>
        <v/>
      </c>
    </row>
    <row r="1725">
      <c r="A1725" s="2" t="inlineStr">
        <is>
          <t>SN-3000-3400-3450-3450KI0001</t>
        </is>
      </c>
      <c r="B1725" s="2" t="inlineStr">
        <is>
          <t>3450KI0001</t>
        </is>
      </c>
      <c r="C1725" s="2" t="inlineStr">
        <is>
          <t>Horno reactivación carbón</t>
        </is>
      </c>
      <c r="D1725" s="2" t="n">
        <v>575</v>
      </c>
      <c r="E1725" s="2" t="inlineStr">
        <is>
          <t>CC-3000</t>
        </is>
      </c>
      <c r="F1725" s="2" t="inlineStr">
        <is>
          <t>P01</t>
        </is>
      </c>
      <c r="G1725" s="2" t="n">
        <v>620000</v>
      </c>
      <c r="H1725" s="2" t="inlineStr">
        <is>
          <t>Materiales</t>
        </is>
      </c>
      <c r="I1725" s="9" t="n">
        <v>348.59</v>
      </c>
      <c r="J1725" s="9" t="n">
        <v>299.65</v>
      </c>
      <c r="K1725" s="9" t="n">
        <v>341.19</v>
      </c>
      <c r="L1725" s="9" t="n">
        <v>316.92</v>
      </c>
      <c r="M1725" s="9" t="n">
        <v>311.49</v>
      </c>
      <c r="N1725" s="9" t="n">
        <v>329.7</v>
      </c>
      <c r="O1725" s="9" t="n">
        <v>308.91</v>
      </c>
      <c r="P1725" s="9" t="n">
        <v>301.04</v>
      </c>
      <c r="Q1725" s="9" t="n">
        <v>279.21</v>
      </c>
      <c r="R1725" s="9" t="n">
        <v>347.67</v>
      </c>
      <c r="S1725" s="9" t="n">
        <v>318.93</v>
      </c>
      <c r="T1725" s="9" t="n">
        <v>317.89</v>
      </c>
      <c r="U1725" s="10">
        <f>SUM(I1725:T1725)</f>
        <v/>
      </c>
    </row>
    <row r="1726">
      <c r="A1726" s="2" t="inlineStr">
        <is>
          <t>SN-3000-3400-3450-3450KI0001</t>
        </is>
      </c>
      <c r="B1726" s="2" t="inlineStr">
        <is>
          <t>3450KI0001</t>
        </is>
      </c>
      <c r="C1726" s="2" t="inlineStr">
        <is>
          <t>Horno reactivación carbón</t>
        </is>
      </c>
      <c r="D1726" s="2" t="n">
        <v>575</v>
      </c>
      <c r="E1726" s="2" t="inlineStr">
        <is>
          <t>CC-3000</t>
        </is>
      </c>
      <c r="F1726" s="2" t="inlineStr">
        <is>
          <t>P01</t>
        </is>
      </c>
      <c r="G1726" s="2" t="n">
        <v>630000</v>
      </c>
      <c r="H1726" s="2" t="inlineStr">
        <is>
          <t>Servicios externos</t>
        </is>
      </c>
      <c r="I1726" s="9" t="n">
        <v>346.17</v>
      </c>
      <c r="J1726" s="9" t="n">
        <v>379.74</v>
      </c>
      <c r="K1726" s="9" t="n">
        <v>395.32</v>
      </c>
      <c r="L1726" s="9" t="n">
        <v>401.72</v>
      </c>
      <c r="M1726" s="9" t="n">
        <v>386.16</v>
      </c>
      <c r="N1726" s="9" t="n">
        <v>340.68</v>
      </c>
      <c r="O1726" s="9" t="n">
        <v>359.01</v>
      </c>
      <c r="P1726" s="9" t="n">
        <v>378.79</v>
      </c>
      <c r="Q1726" s="9" t="n">
        <v>319.63</v>
      </c>
      <c r="R1726" s="9" t="n">
        <v>381.62</v>
      </c>
      <c r="S1726" s="9" t="n">
        <v>331.52</v>
      </c>
      <c r="T1726" s="9" t="n">
        <v>367.46</v>
      </c>
      <c r="U1726" s="10">
        <f>SUM(I1726:T1726)</f>
        <v/>
      </c>
    </row>
    <row r="1727">
      <c r="A1727" s="2" t="inlineStr">
        <is>
          <t>SN-3000-3400-3450-3450PU0181</t>
        </is>
      </c>
      <c r="B1727" s="2" t="inlineStr">
        <is>
          <t>3450PU0181</t>
        </is>
      </c>
      <c r="C1727" s="2" t="inlineStr">
        <is>
          <t>Bomba carbón enfriador</t>
        </is>
      </c>
      <c r="D1727" s="2" t="n">
        <v>576</v>
      </c>
      <c r="E1727" s="2" t="inlineStr">
        <is>
          <t>CC-3000</t>
        </is>
      </c>
      <c r="F1727" s="2" t="inlineStr">
        <is>
          <t>P01</t>
        </is>
      </c>
      <c r="G1727" s="2" t="n">
        <v>610000</v>
      </c>
      <c r="H1727" s="2" t="inlineStr">
        <is>
          <t>Mano obra interna</t>
        </is>
      </c>
      <c r="I1727" s="9" t="n">
        <v>251.66</v>
      </c>
      <c r="J1727" s="9" t="n">
        <v>235.27</v>
      </c>
      <c r="K1727" s="9" t="n">
        <v>276</v>
      </c>
      <c r="L1727" s="9" t="n">
        <v>243.87</v>
      </c>
      <c r="M1727" s="9" t="n">
        <v>275.16</v>
      </c>
      <c r="N1727" s="9" t="n">
        <v>236.1</v>
      </c>
      <c r="O1727" s="9" t="n">
        <v>265.36</v>
      </c>
      <c r="P1727" s="9" t="n">
        <v>255.57</v>
      </c>
      <c r="Q1727" s="9" t="n">
        <v>223.65</v>
      </c>
      <c r="R1727" s="9" t="n">
        <v>277.49</v>
      </c>
      <c r="S1727" s="9" t="n">
        <v>250.88</v>
      </c>
      <c r="T1727" s="9" t="n">
        <v>277.19</v>
      </c>
      <c r="U1727" s="10">
        <f>SUM(I1727:T1727)</f>
        <v/>
      </c>
    </row>
    <row r="1728">
      <c r="A1728" s="2" t="inlineStr">
        <is>
          <t>SN-3000-3400-3450-3450PU0181</t>
        </is>
      </c>
      <c r="B1728" s="2" t="inlineStr">
        <is>
          <t>3450PU0181</t>
        </is>
      </c>
      <c r="C1728" s="2" t="inlineStr">
        <is>
          <t>Bomba carbón enfriador</t>
        </is>
      </c>
      <c r="D1728" s="2" t="n">
        <v>576</v>
      </c>
      <c r="E1728" s="2" t="inlineStr">
        <is>
          <t>CC-3000</t>
        </is>
      </c>
      <c r="F1728" s="2" t="inlineStr">
        <is>
          <t>P01</t>
        </is>
      </c>
      <c r="G1728" s="2" t="n">
        <v>620000</v>
      </c>
      <c r="H1728" s="2" t="inlineStr">
        <is>
          <t>Materiales</t>
        </is>
      </c>
      <c r="I1728" s="9" t="n">
        <v>249.25</v>
      </c>
      <c r="J1728" s="9" t="n">
        <v>245.82</v>
      </c>
      <c r="K1728" s="9" t="n">
        <v>261.94</v>
      </c>
      <c r="L1728" s="9" t="n">
        <v>251.13</v>
      </c>
      <c r="M1728" s="9" t="n">
        <v>257.29</v>
      </c>
      <c r="N1728" s="9" t="n">
        <v>269.67</v>
      </c>
      <c r="O1728" s="9" t="n">
        <v>262.51</v>
      </c>
      <c r="P1728" s="9" t="n">
        <v>271.71</v>
      </c>
      <c r="Q1728" s="9" t="n">
        <v>250.82</v>
      </c>
      <c r="R1728" s="9" t="n">
        <v>298.12</v>
      </c>
      <c r="S1728" s="9" t="n">
        <v>241.89</v>
      </c>
      <c r="T1728" s="9" t="n">
        <v>276.46</v>
      </c>
      <c r="U1728" s="10">
        <f>SUM(I1728:T1728)</f>
        <v/>
      </c>
    </row>
    <row r="1729">
      <c r="A1729" s="2" t="inlineStr">
        <is>
          <t>SN-3000-3400-3450-3450PU0181</t>
        </is>
      </c>
      <c r="B1729" s="2" t="inlineStr">
        <is>
          <t>3450PU0181</t>
        </is>
      </c>
      <c r="C1729" s="2" t="inlineStr">
        <is>
          <t>Bomba carbón enfriador</t>
        </is>
      </c>
      <c r="D1729" s="2" t="n">
        <v>576</v>
      </c>
      <c r="E1729" s="2" t="inlineStr">
        <is>
          <t>CC-3000</t>
        </is>
      </c>
      <c r="F1729" s="2" t="inlineStr">
        <is>
          <t>P01</t>
        </is>
      </c>
      <c r="G1729" s="2" t="n">
        <v>630000</v>
      </c>
      <c r="H1729" s="2" t="inlineStr">
        <is>
          <t>Servicios externos</t>
        </is>
      </c>
      <c r="I1729" s="9" t="n">
        <v>263.07</v>
      </c>
      <c r="J1729" s="9" t="n">
        <v>261.31</v>
      </c>
      <c r="K1729" s="9" t="n">
        <v>301.7</v>
      </c>
      <c r="L1729" s="9" t="n">
        <v>290.48</v>
      </c>
      <c r="M1729" s="9" t="n">
        <v>259.82</v>
      </c>
      <c r="N1729" s="9" t="n">
        <v>262.7</v>
      </c>
      <c r="O1729" s="9" t="n">
        <v>267.95</v>
      </c>
      <c r="P1729" s="9" t="n">
        <v>271.35</v>
      </c>
      <c r="Q1729" s="9" t="n">
        <v>247.32</v>
      </c>
      <c r="R1729" s="9" t="n">
        <v>282.97</v>
      </c>
      <c r="S1729" s="9" t="n">
        <v>270.67</v>
      </c>
      <c r="T1729" s="9" t="n">
        <v>288.33</v>
      </c>
      <c r="U1729" s="10">
        <f>SUM(I1729:T1729)</f>
        <v/>
      </c>
    </row>
    <row r="1730">
      <c r="A1730" s="2" t="inlineStr">
        <is>
          <t>SN-3000-3400-3450-3450PU0182</t>
        </is>
      </c>
      <c r="B1730" s="2" t="inlineStr">
        <is>
          <t>3450PU0182</t>
        </is>
      </c>
      <c r="C1730" s="2" t="inlineStr">
        <is>
          <t>Bomba finos carbón</t>
        </is>
      </c>
      <c r="D1730" s="2" t="n">
        <v>577</v>
      </c>
      <c r="E1730" s="2" t="inlineStr">
        <is>
          <t>CC-3000</t>
        </is>
      </c>
      <c r="F1730" s="2" t="inlineStr">
        <is>
          <t>P01</t>
        </is>
      </c>
      <c r="G1730" s="2" t="n">
        <v>610000</v>
      </c>
      <c r="H1730" s="2" t="inlineStr">
        <is>
          <t>Mano obra interna</t>
        </is>
      </c>
      <c r="I1730" s="9" t="n">
        <v>2192.08</v>
      </c>
      <c r="J1730" s="9" t="n">
        <v>2353.86</v>
      </c>
      <c r="K1730" s="9" t="n">
        <v>2252.58</v>
      </c>
      <c r="L1730" s="9" t="n">
        <v>2295.74</v>
      </c>
      <c r="M1730" s="9" t="n">
        <v>2393.61</v>
      </c>
      <c r="N1730" s="9" t="n">
        <v>2156.99</v>
      </c>
      <c r="O1730" s="9" t="n">
        <v>2163.47</v>
      </c>
      <c r="P1730" s="9" t="n">
        <v>2147.36</v>
      </c>
      <c r="Q1730" s="9" t="n">
        <v>2106.41</v>
      </c>
      <c r="R1730" s="9" t="n">
        <v>2553.89</v>
      </c>
      <c r="S1730" s="9" t="n">
        <v>2375.09</v>
      </c>
      <c r="T1730" s="9" t="n">
        <v>2412.45</v>
      </c>
      <c r="U1730" s="10">
        <f>SUM(I1730:T1730)</f>
        <v/>
      </c>
    </row>
    <row r="1731">
      <c r="A1731" s="2" t="inlineStr">
        <is>
          <t>SN-3000-3400-3450-3450PU0182</t>
        </is>
      </c>
      <c r="B1731" s="2" t="inlineStr">
        <is>
          <t>3450PU0182</t>
        </is>
      </c>
      <c r="C1731" s="2" t="inlineStr">
        <is>
          <t>Bomba finos carbón</t>
        </is>
      </c>
      <c r="D1731" s="2" t="n">
        <v>577</v>
      </c>
      <c r="E1731" s="2" t="inlineStr">
        <is>
          <t>CC-3000</t>
        </is>
      </c>
      <c r="F1731" s="2" t="inlineStr">
        <is>
          <t>P01</t>
        </is>
      </c>
      <c r="G1731" s="2" t="n">
        <v>620000</v>
      </c>
      <c r="H1731" s="2" t="inlineStr">
        <is>
          <t>Materiales</t>
        </is>
      </c>
      <c r="I1731" s="9" t="n">
        <v>2304.73</v>
      </c>
      <c r="J1731" s="9" t="n">
        <v>2274</v>
      </c>
      <c r="K1731" s="9" t="n">
        <v>2088.4</v>
      </c>
      <c r="L1731" s="9" t="n">
        <v>2372.11</v>
      </c>
      <c r="M1731" s="9" t="n">
        <v>2113.48</v>
      </c>
      <c r="N1731" s="9" t="n">
        <v>2216.22</v>
      </c>
      <c r="O1731" s="9" t="n">
        <v>2025.07</v>
      </c>
      <c r="P1731" s="9" t="n">
        <v>2244.67</v>
      </c>
      <c r="Q1731" s="9" t="n">
        <v>2097.69</v>
      </c>
      <c r="R1731" s="9" t="n">
        <v>2528.06</v>
      </c>
      <c r="S1731" s="9" t="n">
        <v>2192.64</v>
      </c>
      <c r="T1731" s="9" t="n">
        <v>2162.4</v>
      </c>
      <c r="U1731" s="10">
        <f>SUM(I1731:T1731)</f>
        <v/>
      </c>
    </row>
    <row r="1732">
      <c r="A1732" s="2" t="inlineStr">
        <is>
          <t>SN-3000-3400-3450-3450PU0182</t>
        </is>
      </c>
      <c r="B1732" s="2" t="inlineStr">
        <is>
          <t>3450PU0182</t>
        </is>
      </c>
      <c r="C1732" s="2" t="inlineStr">
        <is>
          <t>Bomba finos carbón</t>
        </is>
      </c>
      <c r="D1732" s="2" t="n">
        <v>577</v>
      </c>
      <c r="E1732" s="2" t="inlineStr">
        <is>
          <t>CC-3000</t>
        </is>
      </c>
      <c r="F1732" s="2" t="inlineStr">
        <is>
          <t>P01</t>
        </is>
      </c>
      <c r="G1732" s="2" t="n">
        <v>630000</v>
      </c>
      <c r="H1732" s="2" t="inlineStr">
        <is>
          <t>Servicios externos</t>
        </is>
      </c>
      <c r="I1732" s="9" t="n">
        <v>2078.03</v>
      </c>
      <c r="J1732" s="9" t="n">
        <v>1948.88</v>
      </c>
      <c r="K1732" s="9" t="n">
        <v>2059.48</v>
      </c>
      <c r="L1732" s="9" t="n">
        <v>2031.31</v>
      </c>
      <c r="M1732" s="9" t="n">
        <v>2074.57</v>
      </c>
      <c r="N1732" s="9" t="n">
        <v>2117.86</v>
      </c>
      <c r="O1732" s="9" t="n">
        <v>2218.37</v>
      </c>
      <c r="P1732" s="9" t="n">
        <v>1930.39</v>
      </c>
      <c r="Q1732" s="9" t="n">
        <v>1806.09</v>
      </c>
      <c r="R1732" s="9" t="n">
        <v>2151.66</v>
      </c>
      <c r="S1732" s="9" t="n">
        <v>1934.67</v>
      </c>
      <c r="T1732" s="9" t="n">
        <v>1974.07</v>
      </c>
      <c r="U1732" s="10">
        <f>SUM(I1732:T1732)</f>
        <v/>
      </c>
    </row>
    <row r="1733">
      <c r="A1733" s="2" t="inlineStr">
        <is>
          <t>SN-3000-3400-3450-3450PU0183</t>
        </is>
      </c>
      <c r="B1733" s="2" t="inlineStr">
        <is>
          <t>3450PU0183</t>
        </is>
      </c>
      <c r="C1733" s="2" t="inlineStr">
        <is>
          <t>Bomba filtrado finos de carbón</t>
        </is>
      </c>
      <c r="D1733" s="2" t="n">
        <v>578</v>
      </c>
      <c r="E1733" s="2" t="inlineStr">
        <is>
          <t>CC-3000</t>
        </is>
      </c>
      <c r="F1733" s="2" t="inlineStr">
        <is>
          <t>P01</t>
        </is>
      </c>
      <c r="G1733" s="2" t="n">
        <v>610000</v>
      </c>
      <c r="H1733" s="2" t="inlineStr">
        <is>
          <t>Mano obra interna</t>
        </is>
      </c>
      <c r="I1733" s="9" t="n">
        <v>2168.36</v>
      </c>
      <c r="J1733" s="9" t="n">
        <v>2088.76</v>
      </c>
      <c r="K1733" s="9" t="n">
        <v>2175.98</v>
      </c>
      <c r="L1733" s="9" t="n">
        <v>2085.6</v>
      </c>
      <c r="M1733" s="9" t="n">
        <v>2141.49</v>
      </c>
      <c r="N1733" s="9" t="n">
        <v>2107.27</v>
      </c>
      <c r="O1733" s="9" t="n">
        <v>2044.08</v>
      </c>
      <c r="P1733" s="9" t="n">
        <v>1954.31</v>
      </c>
      <c r="Q1733" s="9" t="n">
        <v>1886.35</v>
      </c>
      <c r="R1733" s="9" t="n">
        <v>2127.89</v>
      </c>
      <c r="S1733" s="9" t="n">
        <v>2017.19</v>
      </c>
      <c r="T1733" s="9" t="n">
        <v>2008.76</v>
      </c>
      <c r="U1733" s="10">
        <f>SUM(I1733:T1733)</f>
        <v/>
      </c>
    </row>
    <row r="1734">
      <c r="A1734" s="2" t="inlineStr">
        <is>
          <t>SN-3000-3400-3450-3450PU0183</t>
        </is>
      </c>
      <c r="B1734" s="2" t="inlineStr">
        <is>
          <t>3450PU0183</t>
        </is>
      </c>
      <c r="C1734" s="2" t="inlineStr">
        <is>
          <t>Bomba filtrado finos de carbón</t>
        </is>
      </c>
      <c r="D1734" s="2" t="n">
        <v>578</v>
      </c>
      <c r="E1734" s="2" t="inlineStr">
        <is>
          <t>CC-3000</t>
        </is>
      </c>
      <c r="F1734" s="2" t="inlineStr">
        <is>
          <t>P01</t>
        </is>
      </c>
      <c r="G1734" s="2" t="n">
        <v>620000</v>
      </c>
      <c r="H1734" s="2" t="inlineStr">
        <is>
          <t>Materiales</t>
        </is>
      </c>
      <c r="I1734" s="9" t="n">
        <v>2025.67</v>
      </c>
      <c r="J1734" s="9" t="n">
        <v>2123.7</v>
      </c>
      <c r="K1734" s="9" t="n">
        <v>1980.77</v>
      </c>
      <c r="L1734" s="9" t="n">
        <v>2141.4</v>
      </c>
      <c r="M1734" s="9" t="n">
        <v>1946.83</v>
      </c>
      <c r="N1734" s="9" t="n">
        <v>1827.22</v>
      </c>
      <c r="O1734" s="9" t="n">
        <v>2200.71</v>
      </c>
      <c r="P1734" s="9" t="n">
        <v>2132.43</v>
      </c>
      <c r="Q1734" s="9" t="n">
        <v>1809.38</v>
      </c>
      <c r="R1734" s="9" t="n">
        <v>2298.71</v>
      </c>
      <c r="S1734" s="9" t="n">
        <v>2046.61</v>
      </c>
      <c r="T1734" s="9" t="n">
        <v>2098.87</v>
      </c>
      <c r="U1734" s="10">
        <f>SUM(I1734:T1734)</f>
        <v/>
      </c>
    </row>
    <row r="1735">
      <c r="A1735" s="2" t="inlineStr">
        <is>
          <t>SN-3000-3400-3450-3450PU0183</t>
        </is>
      </c>
      <c r="B1735" s="2" t="inlineStr">
        <is>
          <t>3450PU0183</t>
        </is>
      </c>
      <c r="C1735" s="2" t="inlineStr">
        <is>
          <t>Bomba filtrado finos de carbón</t>
        </is>
      </c>
      <c r="D1735" s="2" t="n">
        <v>578</v>
      </c>
      <c r="E1735" s="2" t="inlineStr">
        <is>
          <t>CC-3000</t>
        </is>
      </c>
      <c r="F1735" s="2" t="inlineStr">
        <is>
          <t>P01</t>
        </is>
      </c>
      <c r="G1735" s="2" t="n">
        <v>630000</v>
      </c>
      <c r="H1735" s="2" t="inlineStr">
        <is>
          <t>Servicios externos</t>
        </is>
      </c>
      <c r="I1735" s="9" t="n">
        <v>2123.39</v>
      </c>
      <c r="J1735" s="9" t="n">
        <v>1850.4</v>
      </c>
      <c r="K1735" s="9" t="n">
        <v>1987.82</v>
      </c>
      <c r="L1735" s="9" t="n">
        <v>1947.17</v>
      </c>
      <c r="M1735" s="9" t="n">
        <v>2022.58</v>
      </c>
      <c r="N1735" s="9" t="n">
        <v>1997.46</v>
      </c>
      <c r="O1735" s="9" t="n">
        <v>2069.28</v>
      </c>
      <c r="P1735" s="9" t="n">
        <v>2050.49</v>
      </c>
      <c r="Q1735" s="9" t="n">
        <v>1965.34</v>
      </c>
      <c r="R1735" s="9" t="n">
        <v>2178.97</v>
      </c>
      <c r="S1735" s="9" t="n">
        <v>1972.33</v>
      </c>
      <c r="T1735" s="9" t="n">
        <v>2141.36</v>
      </c>
      <c r="U1735" s="10">
        <f>SUM(I1735:T1735)</f>
        <v/>
      </c>
    </row>
    <row r="1736">
      <c r="A1736" s="2" t="inlineStr">
        <is>
          <t>SN-3000-3400-3450-3450PU0184</t>
        </is>
      </c>
      <c r="B1736" s="2" t="inlineStr">
        <is>
          <t>3450PU0184</t>
        </is>
      </c>
      <c r="C1736" s="2" t="inlineStr">
        <is>
          <t>Bomba atrición carbón</t>
        </is>
      </c>
      <c r="D1736" s="2" t="n">
        <v>579</v>
      </c>
      <c r="E1736" s="2" t="inlineStr">
        <is>
          <t>CC-3000</t>
        </is>
      </c>
      <c r="F1736" s="2" t="inlineStr">
        <is>
          <t>P01</t>
        </is>
      </c>
      <c r="G1736" s="2" t="n">
        <v>610000</v>
      </c>
      <c r="H1736" s="2" t="inlineStr">
        <is>
          <t>Mano obra interna</t>
        </is>
      </c>
      <c r="I1736" s="9" t="n">
        <v>1699.71</v>
      </c>
      <c r="J1736" s="9" t="n">
        <v>1666.74</v>
      </c>
      <c r="K1736" s="9" t="n">
        <v>1794.03</v>
      </c>
      <c r="L1736" s="9" t="n">
        <v>1768.29</v>
      </c>
      <c r="M1736" s="9" t="n">
        <v>1701.44</v>
      </c>
      <c r="N1736" s="9" t="n">
        <v>1669.58</v>
      </c>
      <c r="O1736" s="9" t="n">
        <v>1640.53</v>
      </c>
      <c r="P1736" s="9" t="n">
        <v>1500.32</v>
      </c>
      <c r="Q1736" s="9" t="n">
        <v>1398.66</v>
      </c>
      <c r="R1736" s="9" t="n">
        <v>1770.43</v>
      </c>
      <c r="S1736" s="9" t="n">
        <v>1561.64</v>
      </c>
      <c r="T1736" s="9" t="n">
        <v>1641.33</v>
      </c>
      <c r="U1736" s="10">
        <f>SUM(I1736:T1736)</f>
        <v/>
      </c>
    </row>
    <row r="1737">
      <c r="A1737" s="2" t="inlineStr">
        <is>
          <t>SN-3000-3400-3450-3450PU0184</t>
        </is>
      </c>
      <c r="B1737" s="2" t="inlineStr">
        <is>
          <t>3450PU0184</t>
        </is>
      </c>
      <c r="C1737" s="2" t="inlineStr">
        <is>
          <t>Bomba atrición carbón</t>
        </is>
      </c>
      <c r="D1737" s="2" t="n">
        <v>579</v>
      </c>
      <c r="E1737" s="2" t="inlineStr">
        <is>
          <t>CC-3000</t>
        </is>
      </c>
      <c r="F1737" s="2" t="inlineStr">
        <is>
          <t>P01</t>
        </is>
      </c>
      <c r="G1737" s="2" t="n">
        <v>620000</v>
      </c>
      <c r="H1737" s="2" t="inlineStr">
        <is>
          <t>Materiales</t>
        </is>
      </c>
      <c r="I1737" s="9" t="n">
        <v>1979.69</v>
      </c>
      <c r="J1737" s="9" t="n">
        <v>1749.91</v>
      </c>
      <c r="K1737" s="9" t="n">
        <v>1982.18</v>
      </c>
      <c r="L1737" s="9" t="n">
        <v>1977.6</v>
      </c>
      <c r="M1737" s="9" t="n">
        <v>1798.83</v>
      </c>
      <c r="N1737" s="9" t="n">
        <v>1723.16</v>
      </c>
      <c r="O1737" s="9" t="n">
        <v>1894.55</v>
      </c>
      <c r="P1737" s="9" t="n">
        <v>1876.86</v>
      </c>
      <c r="Q1737" s="9" t="n">
        <v>1645.7</v>
      </c>
      <c r="R1737" s="9" t="n">
        <v>1835.67</v>
      </c>
      <c r="S1737" s="9" t="n">
        <v>1693.51</v>
      </c>
      <c r="T1737" s="9" t="n">
        <v>1735.86</v>
      </c>
      <c r="U1737" s="10">
        <f>SUM(I1737:T1737)</f>
        <v/>
      </c>
    </row>
    <row r="1738">
      <c r="A1738" s="2" t="inlineStr">
        <is>
          <t>SN-3000-3400-3450-3450PU0184</t>
        </is>
      </c>
      <c r="B1738" s="2" t="inlineStr">
        <is>
          <t>3450PU0184</t>
        </is>
      </c>
      <c r="C1738" s="2" t="inlineStr">
        <is>
          <t>Bomba atrición carbón</t>
        </is>
      </c>
      <c r="D1738" s="2" t="n">
        <v>579</v>
      </c>
      <c r="E1738" s="2" t="inlineStr">
        <is>
          <t>CC-3000</t>
        </is>
      </c>
      <c r="F1738" s="2" t="inlineStr">
        <is>
          <t>P01</t>
        </is>
      </c>
      <c r="G1738" s="2" t="n">
        <v>630000</v>
      </c>
      <c r="H1738" s="2" t="inlineStr">
        <is>
          <t>Servicios externos</t>
        </is>
      </c>
      <c r="I1738" s="9" t="n">
        <v>1689.66</v>
      </c>
      <c r="J1738" s="9" t="n">
        <v>1732.01</v>
      </c>
      <c r="K1738" s="9" t="n">
        <v>1904.27</v>
      </c>
      <c r="L1738" s="9" t="n">
        <v>1810.93</v>
      </c>
      <c r="M1738" s="9" t="n">
        <v>1819.18</v>
      </c>
      <c r="N1738" s="9" t="n">
        <v>1719.92</v>
      </c>
      <c r="O1738" s="9" t="n">
        <v>1784.27</v>
      </c>
      <c r="P1738" s="9" t="n">
        <v>1695.8</v>
      </c>
      <c r="Q1738" s="9" t="n">
        <v>1556.88</v>
      </c>
      <c r="R1738" s="9" t="n">
        <v>1958.49</v>
      </c>
      <c r="S1738" s="9" t="n">
        <v>1773.82</v>
      </c>
      <c r="T1738" s="9" t="n">
        <v>1732.83</v>
      </c>
      <c r="U1738" s="10">
        <f>SUM(I1738:T1738)</f>
        <v/>
      </c>
    </row>
    <row r="1739">
      <c r="A1739" s="2" t="inlineStr">
        <is>
          <t>SN-3000-3400-3450-3450PU0185</t>
        </is>
      </c>
      <c r="B1739" s="2" t="inlineStr">
        <is>
          <t>3450PU0185</t>
        </is>
      </c>
      <c r="C1739" s="2" t="inlineStr">
        <is>
          <t>Bomba transferencia carbón</t>
        </is>
      </c>
      <c r="D1739" s="2" t="n">
        <v>580</v>
      </c>
      <c r="E1739" s="2" t="inlineStr">
        <is>
          <t>CC-3000</t>
        </is>
      </c>
      <c r="F1739" s="2" t="inlineStr">
        <is>
          <t>P01</t>
        </is>
      </c>
      <c r="G1739" s="2" t="n">
        <v>610000</v>
      </c>
      <c r="H1739" s="2" t="inlineStr">
        <is>
          <t>Mano obra interna</t>
        </is>
      </c>
      <c r="I1739" s="9" t="n">
        <v>957.05</v>
      </c>
      <c r="J1739" s="9" t="n">
        <v>851.6900000000001</v>
      </c>
      <c r="K1739" s="9" t="n">
        <v>851.47</v>
      </c>
      <c r="L1739" s="9" t="n">
        <v>960</v>
      </c>
      <c r="M1739" s="9" t="n">
        <v>888.79</v>
      </c>
      <c r="N1739" s="9" t="n">
        <v>881.61</v>
      </c>
      <c r="O1739" s="9" t="n">
        <v>955.4400000000001</v>
      </c>
      <c r="P1739" s="9" t="n">
        <v>900.8099999999999</v>
      </c>
      <c r="Q1739" s="9" t="n">
        <v>834.11</v>
      </c>
      <c r="R1739" s="9" t="n">
        <v>933.47</v>
      </c>
      <c r="S1739" s="9" t="n">
        <v>839.96</v>
      </c>
      <c r="T1739" s="9" t="n">
        <v>952.01</v>
      </c>
      <c r="U1739" s="10">
        <f>SUM(I1739:T1739)</f>
        <v/>
      </c>
    </row>
    <row r="1740">
      <c r="A1740" s="2" t="inlineStr">
        <is>
          <t>SN-3000-3400-3450-3450PU0185</t>
        </is>
      </c>
      <c r="B1740" s="2" t="inlineStr">
        <is>
          <t>3450PU0185</t>
        </is>
      </c>
      <c r="C1740" s="2" t="inlineStr">
        <is>
          <t>Bomba transferencia carbón</t>
        </is>
      </c>
      <c r="D1740" s="2" t="n">
        <v>580</v>
      </c>
      <c r="E1740" s="2" t="inlineStr">
        <is>
          <t>CC-3000</t>
        </is>
      </c>
      <c r="F1740" s="2" t="inlineStr">
        <is>
          <t>P01</t>
        </is>
      </c>
      <c r="G1740" s="2" t="n">
        <v>620000</v>
      </c>
      <c r="H1740" s="2" t="inlineStr">
        <is>
          <t>Materiales</t>
        </is>
      </c>
      <c r="I1740" s="9" t="n">
        <v>984.88</v>
      </c>
      <c r="J1740" s="9" t="n">
        <v>939.08</v>
      </c>
      <c r="K1740" s="9" t="n">
        <v>1047.37</v>
      </c>
      <c r="L1740" s="9" t="n">
        <v>1036.3</v>
      </c>
      <c r="M1740" s="9" t="n">
        <v>1033.89</v>
      </c>
      <c r="N1740" s="9" t="n">
        <v>970.36</v>
      </c>
      <c r="O1740" s="9" t="n">
        <v>961.9299999999999</v>
      </c>
      <c r="P1740" s="9" t="n">
        <v>1020.18</v>
      </c>
      <c r="Q1740" s="9" t="n">
        <v>1010.96</v>
      </c>
      <c r="R1740" s="9" t="n">
        <v>1039.71</v>
      </c>
      <c r="S1740" s="9" t="n">
        <v>1017.07</v>
      </c>
      <c r="T1740" s="9" t="n">
        <v>1050.34</v>
      </c>
      <c r="U1740" s="10">
        <f>SUM(I1740:T1740)</f>
        <v/>
      </c>
    </row>
    <row r="1741">
      <c r="A1741" s="2" t="inlineStr">
        <is>
          <t>SN-3000-3400-3450-3450PU0185</t>
        </is>
      </c>
      <c r="B1741" s="2" t="inlineStr">
        <is>
          <t>3450PU0185</t>
        </is>
      </c>
      <c r="C1741" s="2" t="inlineStr">
        <is>
          <t>Bomba transferencia carbón</t>
        </is>
      </c>
      <c r="D1741" s="2" t="n">
        <v>580</v>
      </c>
      <c r="E1741" s="2" t="inlineStr">
        <is>
          <t>CC-3000</t>
        </is>
      </c>
      <c r="F1741" s="2" t="inlineStr">
        <is>
          <t>P01</t>
        </is>
      </c>
      <c r="G1741" s="2" t="n">
        <v>630000</v>
      </c>
      <c r="H1741" s="2" t="inlineStr">
        <is>
          <t>Servicios externos</t>
        </is>
      </c>
      <c r="I1741" s="9" t="n">
        <v>1053.08</v>
      </c>
      <c r="J1741" s="9" t="n">
        <v>1152.15</v>
      </c>
      <c r="K1741" s="9" t="n">
        <v>1149.05</v>
      </c>
      <c r="L1741" s="9" t="n">
        <v>1178.76</v>
      </c>
      <c r="M1741" s="9" t="n">
        <v>1037.52</v>
      </c>
      <c r="N1741" s="9" t="n">
        <v>1084.67</v>
      </c>
      <c r="O1741" s="9" t="n">
        <v>1142.31</v>
      </c>
      <c r="P1741" s="9" t="n">
        <v>1073.93</v>
      </c>
      <c r="Q1741" s="9" t="n">
        <v>998.25</v>
      </c>
      <c r="R1741" s="9" t="n">
        <v>1208.1</v>
      </c>
      <c r="S1741" s="9" t="n">
        <v>988.95</v>
      </c>
      <c r="T1741" s="9" t="n">
        <v>1150.69</v>
      </c>
      <c r="U1741" s="10">
        <f>SUM(I1741:T1741)</f>
        <v/>
      </c>
    </row>
    <row r="1742">
      <c r="A1742" s="2" t="inlineStr">
        <is>
          <t>SN-3000-3400-3450-3450PU0186</t>
        </is>
      </c>
      <c r="B1742" s="2" t="inlineStr">
        <is>
          <t>3450PU0186</t>
        </is>
      </c>
      <c r="C1742" s="2" t="inlineStr">
        <is>
          <t>Bomba sumidero regeneración carbón</t>
        </is>
      </c>
      <c r="D1742" s="2" t="n">
        <v>581</v>
      </c>
      <c r="E1742" s="2" t="inlineStr">
        <is>
          <t>CC-3000</t>
        </is>
      </c>
      <c r="F1742" s="2" t="inlineStr">
        <is>
          <t>P01</t>
        </is>
      </c>
      <c r="G1742" s="2" t="n">
        <v>610000</v>
      </c>
      <c r="H1742" s="2" t="inlineStr">
        <is>
          <t>Mano obra interna</t>
        </is>
      </c>
      <c r="I1742" s="9" t="n">
        <v>849.34</v>
      </c>
      <c r="J1742" s="9" t="n">
        <v>884.72</v>
      </c>
      <c r="K1742" s="9" t="n">
        <v>845</v>
      </c>
      <c r="L1742" s="9" t="n">
        <v>962.17</v>
      </c>
      <c r="M1742" s="9" t="n">
        <v>917.34</v>
      </c>
      <c r="N1742" s="9" t="n">
        <v>853.79</v>
      </c>
      <c r="O1742" s="9" t="n">
        <v>920.4400000000001</v>
      </c>
      <c r="P1742" s="9" t="n">
        <v>928.92</v>
      </c>
      <c r="Q1742" s="9" t="n">
        <v>783.47</v>
      </c>
      <c r="R1742" s="9" t="n">
        <v>996.76</v>
      </c>
      <c r="S1742" s="9" t="n">
        <v>806</v>
      </c>
      <c r="T1742" s="9" t="n">
        <v>876.01</v>
      </c>
      <c r="U1742" s="10">
        <f>SUM(I1742:T1742)</f>
        <v/>
      </c>
    </row>
    <row r="1743">
      <c r="A1743" s="2" t="inlineStr">
        <is>
          <t>SN-3000-3400-3450-3450PU0186</t>
        </is>
      </c>
      <c r="B1743" s="2" t="inlineStr">
        <is>
          <t>3450PU0186</t>
        </is>
      </c>
      <c r="C1743" s="2" t="inlineStr">
        <is>
          <t>Bomba sumidero regeneración carbón</t>
        </is>
      </c>
      <c r="D1743" s="2" t="n">
        <v>581</v>
      </c>
      <c r="E1743" s="2" t="inlineStr">
        <is>
          <t>CC-3000</t>
        </is>
      </c>
      <c r="F1743" s="2" t="inlineStr">
        <is>
          <t>P01</t>
        </is>
      </c>
      <c r="G1743" s="2" t="n">
        <v>620000</v>
      </c>
      <c r="H1743" s="2" t="inlineStr">
        <is>
          <t>Materiales</t>
        </is>
      </c>
      <c r="I1743" s="9" t="n">
        <v>1083.28</v>
      </c>
      <c r="J1743" s="9" t="n">
        <v>934.54</v>
      </c>
      <c r="K1743" s="9" t="n">
        <v>1023.03</v>
      </c>
      <c r="L1743" s="9" t="n">
        <v>1066.87</v>
      </c>
      <c r="M1743" s="9" t="n">
        <v>992.26</v>
      </c>
      <c r="N1743" s="9" t="n">
        <v>1024.14</v>
      </c>
      <c r="O1743" s="9" t="n">
        <v>1051.42</v>
      </c>
      <c r="P1743" s="9" t="n">
        <v>981.71</v>
      </c>
      <c r="Q1743" s="9" t="n">
        <v>901.01</v>
      </c>
      <c r="R1743" s="9" t="n">
        <v>1129.36</v>
      </c>
      <c r="S1743" s="9" t="n">
        <v>985.41</v>
      </c>
      <c r="T1743" s="9" t="n">
        <v>986.13</v>
      </c>
      <c r="U1743" s="10">
        <f>SUM(I1743:T1743)</f>
        <v/>
      </c>
    </row>
    <row r="1744">
      <c r="A1744" s="2" t="inlineStr">
        <is>
          <t>SN-3000-3400-3450-3450PU0186</t>
        </is>
      </c>
      <c r="B1744" s="2" t="inlineStr">
        <is>
          <t>3450PU0186</t>
        </is>
      </c>
      <c r="C1744" s="2" t="inlineStr">
        <is>
          <t>Bomba sumidero regeneración carbón</t>
        </is>
      </c>
      <c r="D1744" s="2" t="n">
        <v>581</v>
      </c>
      <c r="E1744" s="2" t="inlineStr">
        <is>
          <t>CC-3000</t>
        </is>
      </c>
      <c r="F1744" s="2" t="inlineStr">
        <is>
          <t>P01</t>
        </is>
      </c>
      <c r="G1744" s="2" t="n">
        <v>630000</v>
      </c>
      <c r="H1744" s="2" t="inlineStr">
        <is>
          <t>Servicios externos</t>
        </is>
      </c>
      <c r="I1744" s="9" t="n">
        <v>928.64</v>
      </c>
      <c r="J1744" s="9" t="n">
        <v>867.0599999999999</v>
      </c>
      <c r="K1744" s="9" t="n">
        <v>976.27</v>
      </c>
      <c r="L1744" s="9" t="n">
        <v>1000.48</v>
      </c>
      <c r="M1744" s="9" t="n">
        <v>940.79</v>
      </c>
      <c r="N1744" s="9" t="n">
        <v>944.9</v>
      </c>
      <c r="O1744" s="9" t="n">
        <v>883.71</v>
      </c>
      <c r="P1744" s="9" t="n">
        <v>928.91</v>
      </c>
      <c r="Q1744" s="9" t="n">
        <v>889.66</v>
      </c>
      <c r="R1744" s="9" t="n">
        <v>1041.47</v>
      </c>
      <c r="S1744" s="9" t="n">
        <v>937.77</v>
      </c>
      <c r="T1744" s="9" t="n">
        <v>988.15</v>
      </c>
      <c r="U1744" s="10">
        <f>SUM(I1744:T1744)</f>
        <v/>
      </c>
    </row>
    <row r="1745">
      <c r="A1745" s="2" t="inlineStr">
        <is>
          <t>SN-3000-3400-3450-3450PU0527</t>
        </is>
      </c>
      <c r="B1745" s="2" t="inlineStr">
        <is>
          <t>3450PU0527</t>
        </is>
      </c>
      <c r="C1745" s="2" t="inlineStr">
        <is>
          <t>Bomba agua rechazos</t>
        </is>
      </c>
      <c r="D1745" s="2" t="n">
        <v>582</v>
      </c>
      <c r="E1745" s="2" t="inlineStr">
        <is>
          <t>CC-3000</t>
        </is>
      </c>
      <c r="F1745" s="2" t="inlineStr">
        <is>
          <t>P01</t>
        </is>
      </c>
      <c r="G1745" s="2" t="n">
        <v>610000</v>
      </c>
      <c r="H1745" s="2" t="inlineStr">
        <is>
          <t>Mano obra interna</t>
        </is>
      </c>
      <c r="I1745" s="9" t="n">
        <v>1364.78</v>
      </c>
      <c r="J1745" s="9" t="n">
        <v>1452.08</v>
      </c>
      <c r="K1745" s="9" t="n">
        <v>1528.02</v>
      </c>
      <c r="L1745" s="9" t="n">
        <v>1576.63</v>
      </c>
      <c r="M1745" s="9" t="n">
        <v>1458.72</v>
      </c>
      <c r="N1745" s="9" t="n">
        <v>1407.78</v>
      </c>
      <c r="O1745" s="9" t="n">
        <v>1433.77</v>
      </c>
      <c r="P1745" s="9" t="n">
        <v>1512.77</v>
      </c>
      <c r="Q1745" s="9" t="n">
        <v>1436.7</v>
      </c>
      <c r="R1745" s="9" t="n">
        <v>1610.7</v>
      </c>
      <c r="S1745" s="9" t="n">
        <v>1408.99</v>
      </c>
      <c r="T1745" s="9" t="n">
        <v>1353.21</v>
      </c>
      <c r="U1745" s="10">
        <f>SUM(I1745:T1745)</f>
        <v/>
      </c>
    </row>
    <row r="1746">
      <c r="A1746" s="2" t="inlineStr">
        <is>
          <t>SN-3000-3400-3450-3450PU0527</t>
        </is>
      </c>
      <c r="B1746" s="2" t="inlineStr">
        <is>
          <t>3450PU0527</t>
        </is>
      </c>
      <c r="C1746" s="2" t="inlineStr">
        <is>
          <t>Bomba agua rechazos</t>
        </is>
      </c>
      <c r="D1746" s="2" t="n">
        <v>582</v>
      </c>
      <c r="E1746" s="2" t="inlineStr">
        <is>
          <t>CC-3000</t>
        </is>
      </c>
      <c r="F1746" s="2" t="inlineStr">
        <is>
          <t>P01</t>
        </is>
      </c>
      <c r="G1746" s="2" t="n">
        <v>620000</v>
      </c>
      <c r="H1746" s="2" t="inlineStr">
        <is>
          <t>Materiales</t>
        </is>
      </c>
      <c r="I1746" s="9" t="n">
        <v>1545.3</v>
      </c>
      <c r="J1746" s="9" t="n">
        <v>1506.29</v>
      </c>
      <c r="K1746" s="9" t="n">
        <v>1420.43</v>
      </c>
      <c r="L1746" s="9" t="n">
        <v>1533.98</v>
      </c>
      <c r="M1746" s="9" t="n">
        <v>1402.33</v>
      </c>
      <c r="N1746" s="9" t="n">
        <v>1458.83</v>
      </c>
      <c r="O1746" s="9" t="n">
        <v>1404.65</v>
      </c>
      <c r="P1746" s="9" t="n">
        <v>1506.86</v>
      </c>
      <c r="Q1746" s="9" t="n">
        <v>1318.88</v>
      </c>
      <c r="R1746" s="9" t="n">
        <v>1455.64</v>
      </c>
      <c r="S1746" s="9" t="n">
        <v>1448.34</v>
      </c>
      <c r="T1746" s="9" t="n">
        <v>1394.62</v>
      </c>
      <c r="U1746" s="10">
        <f>SUM(I1746:T1746)</f>
        <v/>
      </c>
    </row>
    <row r="1747">
      <c r="A1747" s="2" t="inlineStr">
        <is>
          <t>SN-3000-3400-3450-3450PU0527</t>
        </is>
      </c>
      <c r="B1747" s="2" t="inlineStr">
        <is>
          <t>3450PU0527</t>
        </is>
      </c>
      <c r="C1747" s="2" t="inlineStr">
        <is>
          <t>Bomba agua rechazos</t>
        </is>
      </c>
      <c r="D1747" s="2" t="n">
        <v>582</v>
      </c>
      <c r="E1747" s="2" t="inlineStr">
        <is>
          <t>CC-3000</t>
        </is>
      </c>
      <c r="F1747" s="2" t="inlineStr">
        <is>
          <t>P01</t>
        </is>
      </c>
      <c r="G1747" s="2" t="n">
        <v>630000</v>
      </c>
      <c r="H1747" s="2" t="inlineStr">
        <is>
          <t>Servicios externos</t>
        </is>
      </c>
      <c r="I1747" s="9" t="n">
        <v>1531.44</v>
      </c>
      <c r="J1747" s="9" t="n">
        <v>1487.11</v>
      </c>
      <c r="K1747" s="9" t="n">
        <v>1387.74</v>
      </c>
      <c r="L1747" s="9" t="n">
        <v>1506.51</v>
      </c>
      <c r="M1747" s="9" t="n">
        <v>1357.42</v>
      </c>
      <c r="N1747" s="9" t="n">
        <v>1428.86</v>
      </c>
      <c r="O1747" s="9" t="n">
        <v>1469.79</v>
      </c>
      <c r="P1747" s="9" t="n">
        <v>1307.79</v>
      </c>
      <c r="Q1747" s="9" t="n">
        <v>1288.01</v>
      </c>
      <c r="R1747" s="9" t="n">
        <v>1475.25</v>
      </c>
      <c r="S1747" s="9" t="n">
        <v>1421.71</v>
      </c>
      <c r="T1747" s="9" t="n">
        <v>1404.92</v>
      </c>
      <c r="U1747" s="10">
        <f>SUM(I1747:T1747)</f>
        <v/>
      </c>
    </row>
    <row r="1748">
      <c r="A1748" s="2" t="inlineStr">
        <is>
          <t>SN-3000-3400-3450-3450SK0001</t>
        </is>
      </c>
      <c r="B1748" s="2" t="inlineStr">
        <is>
          <t>3450SK0001</t>
        </is>
      </c>
      <c r="C1748" s="2" t="inlineStr">
        <is>
          <t>Lavador gases horno</t>
        </is>
      </c>
      <c r="D1748" s="2" t="n">
        <v>583</v>
      </c>
      <c r="E1748" s="2" t="inlineStr">
        <is>
          <t>CC-3000</t>
        </is>
      </c>
      <c r="F1748" s="2" t="inlineStr">
        <is>
          <t>P01</t>
        </is>
      </c>
      <c r="G1748" s="2" t="n">
        <v>610000</v>
      </c>
      <c r="H1748" s="2" t="inlineStr">
        <is>
          <t>Mano obra interna</t>
        </is>
      </c>
      <c r="I1748" s="9" t="n">
        <v>2232.98</v>
      </c>
      <c r="J1748" s="9" t="n">
        <v>2280.82</v>
      </c>
      <c r="K1748" s="9" t="n">
        <v>2375.72</v>
      </c>
      <c r="L1748" s="9" t="n">
        <v>2174.11</v>
      </c>
      <c r="M1748" s="9" t="n">
        <v>2206.04</v>
      </c>
      <c r="N1748" s="9" t="n">
        <v>2166.03</v>
      </c>
      <c r="O1748" s="9" t="n">
        <v>2290.5</v>
      </c>
      <c r="P1748" s="9" t="n">
        <v>2001.91</v>
      </c>
      <c r="Q1748" s="9" t="n">
        <v>1939.91</v>
      </c>
      <c r="R1748" s="9" t="n">
        <v>2254.14</v>
      </c>
      <c r="S1748" s="9" t="n">
        <v>2061.53</v>
      </c>
      <c r="T1748" s="9" t="n">
        <v>2068.49</v>
      </c>
      <c r="U1748" s="10">
        <f>SUM(I1748:T1748)</f>
        <v/>
      </c>
    </row>
    <row r="1749">
      <c r="A1749" s="2" t="inlineStr">
        <is>
          <t>SN-3000-3400-3450-3450SK0001</t>
        </is>
      </c>
      <c r="B1749" s="2" t="inlineStr">
        <is>
          <t>3450SK0001</t>
        </is>
      </c>
      <c r="C1749" s="2" t="inlineStr">
        <is>
          <t>Lavador gases horno</t>
        </is>
      </c>
      <c r="D1749" s="2" t="n">
        <v>583</v>
      </c>
      <c r="E1749" s="2" t="inlineStr">
        <is>
          <t>CC-3000</t>
        </is>
      </c>
      <c r="F1749" s="2" t="inlineStr">
        <is>
          <t>P01</t>
        </is>
      </c>
      <c r="G1749" s="2" t="n">
        <v>620000</v>
      </c>
      <c r="H1749" s="2" t="inlineStr">
        <is>
          <t>Materiales</t>
        </is>
      </c>
      <c r="I1749" s="9" t="n">
        <v>2070.29</v>
      </c>
      <c r="J1749" s="9" t="n">
        <v>1945.66</v>
      </c>
      <c r="K1749" s="9" t="n">
        <v>2093.03</v>
      </c>
      <c r="L1749" s="9" t="n">
        <v>1879.85</v>
      </c>
      <c r="M1749" s="9" t="n">
        <v>2073.63</v>
      </c>
      <c r="N1749" s="9" t="n">
        <v>2022.32</v>
      </c>
      <c r="O1749" s="9" t="n">
        <v>2014.6</v>
      </c>
      <c r="P1749" s="9" t="n">
        <v>2095.44</v>
      </c>
      <c r="Q1749" s="9" t="n">
        <v>1731.3</v>
      </c>
      <c r="R1749" s="9" t="n">
        <v>2232.84</v>
      </c>
      <c r="S1749" s="9" t="n">
        <v>1796.7</v>
      </c>
      <c r="T1749" s="9" t="n">
        <v>1976.23</v>
      </c>
      <c r="U1749" s="10">
        <f>SUM(I1749:T1749)</f>
        <v/>
      </c>
    </row>
    <row r="1750">
      <c r="A1750" s="2" t="inlineStr">
        <is>
          <t>SN-3000-3400-3450-3450SK0001</t>
        </is>
      </c>
      <c r="B1750" s="2" t="inlineStr">
        <is>
          <t>3450SK0001</t>
        </is>
      </c>
      <c r="C1750" s="2" t="inlineStr">
        <is>
          <t>Lavador gases horno</t>
        </is>
      </c>
      <c r="D1750" s="2" t="n">
        <v>583</v>
      </c>
      <c r="E1750" s="2" t="inlineStr">
        <is>
          <t>CC-3000</t>
        </is>
      </c>
      <c r="F1750" s="2" t="inlineStr">
        <is>
          <t>P01</t>
        </is>
      </c>
      <c r="G1750" s="2" t="n">
        <v>630000</v>
      </c>
      <c r="H1750" s="2" t="inlineStr">
        <is>
          <t>Servicios externos</t>
        </is>
      </c>
      <c r="I1750" s="9" t="n">
        <v>1949.06</v>
      </c>
      <c r="J1750" s="9" t="n">
        <v>1796.04</v>
      </c>
      <c r="K1750" s="9" t="n">
        <v>1985.75</v>
      </c>
      <c r="L1750" s="9" t="n">
        <v>1884.14</v>
      </c>
      <c r="M1750" s="9" t="n">
        <v>1971.58</v>
      </c>
      <c r="N1750" s="9" t="n">
        <v>1839.29</v>
      </c>
      <c r="O1750" s="9" t="n">
        <v>1798.48</v>
      </c>
      <c r="P1750" s="9" t="n">
        <v>1832.71</v>
      </c>
      <c r="Q1750" s="9" t="n">
        <v>1850.73</v>
      </c>
      <c r="R1750" s="9" t="n">
        <v>1994.28</v>
      </c>
      <c r="S1750" s="9" t="n">
        <v>1833.76</v>
      </c>
      <c r="T1750" s="9" t="n">
        <v>1956.98</v>
      </c>
      <c r="U1750" s="10">
        <f>SUM(I1750:T1750)</f>
        <v/>
      </c>
    </row>
    <row r="1751">
      <c r="A1751" s="2" t="inlineStr">
        <is>
          <t>SN-3000-3400-3450-3450SN0031</t>
        </is>
      </c>
      <c r="B1751" s="2" t="inlineStr">
        <is>
          <t>3450SN0031</t>
        </is>
      </c>
      <c r="C1751" s="2" t="inlineStr">
        <is>
          <t>Harnero carbón descargado</t>
        </is>
      </c>
      <c r="D1751" s="2" t="n">
        <v>584</v>
      </c>
      <c r="E1751" s="2" t="inlineStr">
        <is>
          <t>CC-3000</t>
        </is>
      </c>
      <c r="F1751" s="2" t="inlineStr">
        <is>
          <t>P01</t>
        </is>
      </c>
      <c r="G1751" s="2" t="n">
        <v>610000</v>
      </c>
      <c r="H1751" s="2" t="inlineStr">
        <is>
          <t>Mano obra interna</t>
        </is>
      </c>
      <c r="I1751" s="9" t="n">
        <v>388.55</v>
      </c>
      <c r="J1751" s="9" t="n">
        <v>386.1</v>
      </c>
      <c r="K1751" s="9" t="n">
        <v>387.52</v>
      </c>
      <c r="L1751" s="9" t="n">
        <v>388.38</v>
      </c>
      <c r="M1751" s="9" t="n">
        <v>362.23</v>
      </c>
      <c r="N1751" s="9" t="n">
        <v>364.5</v>
      </c>
      <c r="O1751" s="9" t="n">
        <v>382.48</v>
      </c>
      <c r="P1751" s="9" t="n">
        <v>422.36</v>
      </c>
      <c r="Q1751" s="9" t="n">
        <v>371.65</v>
      </c>
      <c r="R1751" s="9" t="n">
        <v>443.98</v>
      </c>
      <c r="S1751" s="9" t="n">
        <v>353.31</v>
      </c>
      <c r="T1751" s="9" t="n">
        <v>374.29</v>
      </c>
      <c r="U1751" s="10">
        <f>SUM(I1751:T1751)</f>
        <v/>
      </c>
    </row>
    <row r="1752">
      <c r="A1752" s="2" t="inlineStr">
        <is>
          <t>SN-3000-3400-3450-3450SN0031</t>
        </is>
      </c>
      <c r="B1752" s="2" t="inlineStr">
        <is>
          <t>3450SN0031</t>
        </is>
      </c>
      <c r="C1752" s="2" t="inlineStr">
        <is>
          <t>Harnero carbón descargado</t>
        </is>
      </c>
      <c r="D1752" s="2" t="n">
        <v>584</v>
      </c>
      <c r="E1752" s="2" t="inlineStr">
        <is>
          <t>CC-3000</t>
        </is>
      </c>
      <c r="F1752" s="2" t="inlineStr">
        <is>
          <t>P01</t>
        </is>
      </c>
      <c r="G1752" s="2" t="n">
        <v>620000</v>
      </c>
      <c r="H1752" s="2" t="inlineStr">
        <is>
          <t>Materiales</t>
        </is>
      </c>
      <c r="I1752" s="9" t="n">
        <v>442.18</v>
      </c>
      <c r="J1752" s="9" t="n">
        <v>397.64</v>
      </c>
      <c r="K1752" s="9" t="n">
        <v>431.51</v>
      </c>
      <c r="L1752" s="9" t="n">
        <v>436.8</v>
      </c>
      <c r="M1752" s="9" t="n">
        <v>443.47</v>
      </c>
      <c r="N1752" s="9" t="n">
        <v>377.53</v>
      </c>
      <c r="O1752" s="9" t="n">
        <v>431.52</v>
      </c>
      <c r="P1752" s="9" t="n">
        <v>439.17</v>
      </c>
      <c r="Q1752" s="9" t="n">
        <v>425.62</v>
      </c>
      <c r="R1752" s="9" t="n">
        <v>480.57</v>
      </c>
      <c r="S1752" s="9" t="n">
        <v>396.46</v>
      </c>
      <c r="T1752" s="9" t="n">
        <v>445.51</v>
      </c>
      <c r="U1752" s="10">
        <f>SUM(I1752:T1752)</f>
        <v/>
      </c>
    </row>
    <row r="1753">
      <c r="A1753" s="2" t="inlineStr">
        <is>
          <t>SN-3000-3400-3450-3450SN0031</t>
        </is>
      </c>
      <c r="B1753" s="2" t="inlineStr">
        <is>
          <t>3450SN0031</t>
        </is>
      </c>
      <c r="C1753" s="2" t="inlineStr">
        <is>
          <t>Harnero carbón descargado</t>
        </is>
      </c>
      <c r="D1753" s="2" t="n">
        <v>584</v>
      </c>
      <c r="E1753" s="2" t="inlineStr">
        <is>
          <t>CC-3000</t>
        </is>
      </c>
      <c r="F1753" s="2" t="inlineStr">
        <is>
          <t>P01</t>
        </is>
      </c>
      <c r="G1753" s="2" t="n">
        <v>630000</v>
      </c>
      <c r="H1753" s="2" t="inlineStr">
        <is>
          <t>Servicios externos</t>
        </is>
      </c>
      <c r="I1753" s="9" t="n">
        <v>448.82</v>
      </c>
      <c r="J1753" s="9" t="n">
        <v>439.03</v>
      </c>
      <c r="K1753" s="9" t="n">
        <v>465.74</v>
      </c>
      <c r="L1753" s="9" t="n">
        <v>405.56</v>
      </c>
      <c r="M1753" s="9" t="n">
        <v>393.14</v>
      </c>
      <c r="N1753" s="9" t="n">
        <v>424.66</v>
      </c>
      <c r="O1753" s="9" t="n">
        <v>407.45</v>
      </c>
      <c r="P1753" s="9" t="n">
        <v>393.82</v>
      </c>
      <c r="Q1753" s="9" t="n">
        <v>388.51</v>
      </c>
      <c r="R1753" s="9" t="n">
        <v>480.73</v>
      </c>
      <c r="S1753" s="9" t="n">
        <v>385.99</v>
      </c>
      <c r="T1753" s="9" t="n">
        <v>442.19</v>
      </c>
      <c r="U1753" s="10">
        <f>SUM(I1753:T1753)</f>
        <v/>
      </c>
    </row>
    <row r="1754">
      <c r="A1754" s="2" t="inlineStr">
        <is>
          <t>SN-3000-3400-3450-3450SN0032</t>
        </is>
      </c>
      <c r="B1754" s="2" t="inlineStr">
        <is>
          <t>3450SN0032</t>
        </is>
      </c>
      <c r="C1754" s="2" t="inlineStr">
        <is>
          <t>Harnero finos de carbón</t>
        </is>
      </c>
      <c r="D1754" s="2" t="n">
        <v>585</v>
      </c>
      <c r="E1754" s="2" t="inlineStr">
        <is>
          <t>CC-3000</t>
        </is>
      </c>
      <c r="F1754" s="2" t="inlineStr">
        <is>
          <t>P01</t>
        </is>
      </c>
      <c r="G1754" s="2" t="n">
        <v>610000</v>
      </c>
      <c r="H1754" s="2" t="inlineStr">
        <is>
          <t>Mano obra interna</t>
        </is>
      </c>
      <c r="I1754" s="9" t="n">
        <v>569.3</v>
      </c>
      <c r="J1754" s="9" t="n">
        <v>571.83</v>
      </c>
      <c r="K1754" s="9" t="n">
        <v>572.75</v>
      </c>
      <c r="L1754" s="9" t="n">
        <v>641.5700000000001</v>
      </c>
      <c r="M1754" s="9" t="n">
        <v>622.95</v>
      </c>
      <c r="N1754" s="9" t="n">
        <v>591.9400000000001</v>
      </c>
      <c r="O1754" s="9" t="n">
        <v>570.5599999999999</v>
      </c>
      <c r="P1754" s="9" t="n">
        <v>596.58</v>
      </c>
      <c r="Q1754" s="9" t="n">
        <v>525.72</v>
      </c>
      <c r="R1754" s="9" t="n">
        <v>619.01</v>
      </c>
      <c r="S1754" s="9" t="n">
        <v>577.29</v>
      </c>
      <c r="T1754" s="9" t="n">
        <v>626.34</v>
      </c>
      <c r="U1754" s="10">
        <f>SUM(I1754:T1754)</f>
        <v/>
      </c>
    </row>
    <row r="1755">
      <c r="A1755" s="2" t="inlineStr">
        <is>
          <t>SN-3000-3400-3450-3450SN0032</t>
        </is>
      </c>
      <c r="B1755" s="2" t="inlineStr">
        <is>
          <t>3450SN0032</t>
        </is>
      </c>
      <c r="C1755" s="2" t="inlineStr">
        <is>
          <t>Harnero finos de carbón</t>
        </is>
      </c>
      <c r="D1755" s="2" t="n">
        <v>585</v>
      </c>
      <c r="E1755" s="2" t="inlineStr">
        <is>
          <t>CC-3000</t>
        </is>
      </c>
      <c r="F1755" s="2" t="inlineStr">
        <is>
          <t>P01</t>
        </is>
      </c>
      <c r="G1755" s="2" t="n">
        <v>620000</v>
      </c>
      <c r="H1755" s="2" t="inlineStr">
        <is>
          <t>Materiales</t>
        </is>
      </c>
      <c r="I1755" s="9" t="n">
        <v>578.16</v>
      </c>
      <c r="J1755" s="9" t="n">
        <v>615.88</v>
      </c>
      <c r="K1755" s="9" t="n">
        <v>597.0700000000001</v>
      </c>
      <c r="L1755" s="9" t="n">
        <v>640.3099999999999</v>
      </c>
      <c r="M1755" s="9" t="n">
        <v>624.89</v>
      </c>
      <c r="N1755" s="9" t="n">
        <v>562.0599999999999</v>
      </c>
      <c r="O1755" s="9" t="n">
        <v>565.8</v>
      </c>
      <c r="P1755" s="9" t="n">
        <v>612.17</v>
      </c>
      <c r="Q1755" s="9" t="n">
        <v>515.23</v>
      </c>
      <c r="R1755" s="9" t="n">
        <v>606.26</v>
      </c>
      <c r="S1755" s="9" t="n">
        <v>592.53</v>
      </c>
      <c r="T1755" s="9" t="n">
        <v>587.78</v>
      </c>
      <c r="U1755" s="10">
        <f>SUM(I1755:T1755)</f>
        <v/>
      </c>
    </row>
    <row r="1756">
      <c r="A1756" s="2" t="inlineStr">
        <is>
          <t>SN-3000-3400-3450-3450SN0032</t>
        </is>
      </c>
      <c r="B1756" s="2" t="inlineStr">
        <is>
          <t>3450SN0032</t>
        </is>
      </c>
      <c r="C1756" s="2" t="inlineStr">
        <is>
          <t>Harnero finos de carbón</t>
        </is>
      </c>
      <c r="D1756" s="2" t="n">
        <v>585</v>
      </c>
      <c r="E1756" s="2" t="inlineStr">
        <is>
          <t>CC-3000</t>
        </is>
      </c>
      <c r="F1756" s="2" t="inlineStr">
        <is>
          <t>P01</t>
        </is>
      </c>
      <c r="G1756" s="2" t="n">
        <v>630000</v>
      </c>
      <c r="H1756" s="2" t="inlineStr">
        <is>
          <t>Servicios externos</t>
        </is>
      </c>
      <c r="I1756" s="9" t="n">
        <v>651.1900000000001</v>
      </c>
      <c r="J1756" s="9" t="n">
        <v>636.25</v>
      </c>
      <c r="K1756" s="9" t="n">
        <v>604</v>
      </c>
      <c r="L1756" s="9" t="n">
        <v>613.85</v>
      </c>
      <c r="M1756" s="9" t="n">
        <v>588.9</v>
      </c>
      <c r="N1756" s="9" t="n">
        <v>584.03</v>
      </c>
      <c r="O1756" s="9" t="n">
        <v>649.38</v>
      </c>
      <c r="P1756" s="9" t="n">
        <v>643.65</v>
      </c>
      <c r="Q1756" s="9" t="n">
        <v>594.86</v>
      </c>
      <c r="R1756" s="9" t="n">
        <v>618.62</v>
      </c>
      <c r="S1756" s="9" t="n">
        <v>568.42</v>
      </c>
      <c r="T1756" s="9" t="n">
        <v>604.1</v>
      </c>
      <c r="U1756" s="10">
        <f>SUM(I1756:T1756)</f>
        <v/>
      </c>
    </row>
    <row r="1757">
      <c r="A1757" s="2" t="inlineStr">
        <is>
          <t>SN-3000-3400-3450-3450SV0003</t>
        </is>
      </c>
      <c r="B1757" s="2" t="inlineStr">
        <is>
          <t>3450SV0003</t>
        </is>
      </c>
      <c r="C1757" s="2" t="inlineStr">
        <is>
          <t>Puerta corrediza</t>
        </is>
      </c>
      <c r="D1757" s="2" t="n">
        <v>586</v>
      </c>
      <c r="E1757" s="2" t="inlineStr">
        <is>
          <t>CC-3000</t>
        </is>
      </c>
      <c r="F1757" s="2" t="inlineStr">
        <is>
          <t>P01</t>
        </is>
      </c>
      <c r="G1757" s="2" t="n">
        <v>610000</v>
      </c>
      <c r="H1757" s="2" t="inlineStr">
        <is>
          <t>Mano obra interna</t>
        </is>
      </c>
      <c r="I1757" s="9" t="n">
        <v>277.07</v>
      </c>
      <c r="J1757" s="9" t="n">
        <v>279.27</v>
      </c>
      <c r="K1757" s="9" t="n">
        <v>276.62</v>
      </c>
      <c r="L1757" s="9" t="n">
        <v>305.8</v>
      </c>
      <c r="M1757" s="9" t="n">
        <v>297.82</v>
      </c>
      <c r="N1757" s="9" t="n">
        <v>278.32</v>
      </c>
      <c r="O1757" s="9" t="n">
        <v>268.93</v>
      </c>
      <c r="P1757" s="9" t="n">
        <v>305.42</v>
      </c>
      <c r="Q1757" s="9" t="n">
        <v>287.76</v>
      </c>
      <c r="R1757" s="9" t="n">
        <v>295.48</v>
      </c>
      <c r="S1757" s="9" t="n">
        <v>287.62</v>
      </c>
      <c r="T1757" s="9" t="n">
        <v>307.94</v>
      </c>
      <c r="U1757" s="10">
        <f>SUM(I1757:T1757)</f>
        <v/>
      </c>
    </row>
    <row r="1758">
      <c r="A1758" s="2" t="inlineStr">
        <is>
          <t>SN-3000-3400-3450-3450SV0003</t>
        </is>
      </c>
      <c r="B1758" s="2" t="inlineStr">
        <is>
          <t>3450SV0003</t>
        </is>
      </c>
      <c r="C1758" s="2" t="inlineStr">
        <is>
          <t>Puerta corrediza</t>
        </is>
      </c>
      <c r="D1758" s="2" t="n">
        <v>586</v>
      </c>
      <c r="E1758" s="2" t="inlineStr">
        <is>
          <t>CC-3000</t>
        </is>
      </c>
      <c r="F1758" s="2" t="inlineStr">
        <is>
          <t>P01</t>
        </is>
      </c>
      <c r="G1758" s="2" t="n">
        <v>620000</v>
      </c>
      <c r="H1758" s="2" t="inlineStr">
        <is>
          <t>Materiales</t>
        </is>
      </c>
      <c r="I1758" s="9" t="n">
        <v>301.3</v>
      </c>
      <c r="J1758" s="9" t="n">
        <v>298.11</v>
      </c>
      <c r="K1758" s="9" t="n">
        <v>313.96</v>
      </c>
      <c r="L1758" s="9" t="n">
        <v>305.5</v>
      </c>
      <c r="M1758" s="9" t="n">
        <v>321.27</v>
      </c>
      <c r="N1758" s="9" t="n">
        <v>301.73</v>
      </c>
      <c r="O1758" s="9" t="n">
        <v>291.3</v>
      </c>
      <c r="P1758" s="9" t="n">
        <v>307.67</v>
      </c>
      <c r="Q1758" s="9" t="n">
        <v>291.28</v>
      </c>
      <c r="R1758" s="9" t="n">
        <v>308.7</v>
      </c>
      <c r="S1758" s="9" t="n">
        <v>287.38</v>
      </c>
      <c r="T1758" s="9" t="n">
        <v>328.25</v>
      </c>
      <c r="U1758" s="10">
        <f>SUM(I1758:T1758)</f>
        <v/>
      </c>
    </row>
    <row r="1759">
      <c r="A1759" s="2" t="inlineStr">
        <is>
          <t>SN-3000-3400-3450-3450SV0003</t>
        </is>
      </c>
      <c r="B1759" s="2" t="inlineStr">
        <is>
          <t>3450SV0003</t>
        </is>
      </c>
      <c r="C1759" s="2" t="inlineStr">
        <is>
          <t>Puerta corrediza</t>
        </is>
      </c>
      <c r="D1759" s="2" t="n">
        <v>586</v>
      </c>
      <c r="E1759" s="2" t="inlineStr">
        <is>
          <t>CC-3000</t>
        </is>
      </c>
      <c r="F1759" s="2" t="inlineStr">
        <is>
          <t>P01</t>
        </is>
      </c>
      <c r="G1759" s="2" t="n">
        <v>630000</v>
      </c>
      <c r="H1759" s="2" t="inlineStr">
        <is>
          <t>Servicios externos</t>
        </is>
      </c>
      <c r="I1759" s="9" t="n">
        <v>306.99</v>
      </c>
      <c r="J1759" s="9" t="n">
        <v>291.49</v>
      </c>
      <c r="K1759" s="9" t="n">
        <v>325.9</v>
      </c>
      <c r="L1759" s="9" t="n">
        <v>324.39</v>
      </c>
      <c r="M1759" s="9" t="n">
        <v>303.47</v>
      </c>
      <c r="N1759" s="9" t="n">
        <v>307.43</v>
      </c>
      <c r="O1759" s="9" t="n">
        <v>293.38</v>
      </c>
      <c r="P1759" s="9" t="n">
        <v>296.88</v>
      </c>
      <c r="Q1759" s="9" t="n">
        <v>295.38</v>
      </c>
      <c r="R1759" s="9" t="n">
        <v>315.87</v>
      </c>
      <c r="S1759" s="9" t="n">
        <v>323.51</v>
      </c>
      <c r="T1759" s="9" t="n">
        <v>301.36</v>
      </c>
      <c r="U1759" s="10">
        <f>SUM(I1759:T1759)</f>
        <v/>
      </c>
    </row>
    <row r="1760">
      <c r="A1760" s="2" t="inlineStr">
        <is>
          <t>SN-3000-3400-3450-3450TA0021</t>
        </is>
      </c>
      <c r="B1760" s="2" t="inlineStr">
        <is>
          <t>3450TA0021</t>
        </is>
      </c>
      <c r="C1760" s="2" t="inlineStr">
        <is>
          <t>Estanque atrición carbón</t>
        </is>
      </c>
      <c r="D1760" s="2" t="n">
        <v>587</v>
      </c>
      <c r="E1760" s="2" t="inlineStr">
        <is>
          <t>CC-3000</t>
        </is>
      </c>
      <c r="F1760" s="2" t="inlineStr">
        <is>
          <t>P01</t>
        </is>
      </c>
      <c r="G1760" s="2" t="n">
        <v>610000</v>
      </c>
      <c r="H1760" s="2" t="inlineStr">
        <is>
          <t>Mano obra interna</t>
        </is>
      </c>
      <c r="I1760" s="9" t="n">
        <v>1896.29</v>
      </c>
      <c r="J1760" s="9" t="n">
        <v>1832</v>
      </c>
      <c r="K1760" s="9" t="n">
        <v>2032.96</v>
      </c>
      <c r="L1760" s="9" t="n">
        <v>1931.99</v>
      </c>
      <c r="M1760" s="9" t="n">
        <v>1938.47</v>
      </c>
      <c r="N1760" s="9" t="n">
        <v>1808.93</v>
      </c>
      <c r="O1760" s="9" t="n">
        <v>1919.45</v>
      </c>
      <c r="P1760" s="9" t="n">
        <v>1967.87</v>
      </c>
      <c r="Q1760" s="9" t="n">
        <v>1790.02</v>
      </c>
      <c r="R1760" s="9" t="n">
        <v>2076.45</v>
      </c>
      <c r="S1760" s="9" t="n">
        <v>1914.79</v>
      </c>
      <c r="T1760" s="9" t="n">
        <v>2056.4</v>
      </c>
      <c r="U1760" s="10">
        <f>SUM(I1760:T1760)</f>
        <v/>
      </c>
    </row>
    <row r="1761">
      <c r="A1761" s="2" t="inlineStr">
        <is>
          <t>SN-3000-3400-3450-3450TA0021</t>
        </is>
      </c>
      <c r="B1761" s="2" t="inlineStr">
        <is>
          <t>3450TA0021</t>
        </is>
      </c>
      <c r="C1761" s="2" t="inlineStr">
        <is>
          <t>Estanque atrición carbón</t>
        </is>
      </c>
      <c r="D1761" s="2" t="n">
        <v>587</v>
      </c>
      <c r="E1761" s="2" t="inlineStr">
        <is>
          <t>CC-3000</t>
        </is>
      </c>
      <c r="F1761" s="2" t="inlineStr">
        <is>
          <t>P01</t>
        </is>
      </c>
      <c r="G1761" s="2" t="n">
        <v>620000</v>
      </c>
      <c r="H1761" s="2" t="inlineStr">
        <is>
          <t>Materiales</t>
        </is>
      </c>
      <c r="I1761" s="9" t="n">
        <v>1792.1</v>
      </c>
      <c r="J1761" s="9" t="n">
        <v>1594.8</v>
      </c>
      <c r="K1761" s="9" t="n">
        <v>1748.57</v>
      </c>
      <c r="L1761" s="9" t="n">
        <v>1747.4</v>
      </c>
      <c r="M1761" s="9" t="n">
        <v>1808.23</v>
      </c>
      <c r="N1761" s="9" t="n">
        <v>1661.48</v>
      </c>
      <c r="O1761" s="9" t="n">
        <v>1799.04</v>
      </c>
      <c r="P1761" s="9" t="n">
        <v>1599.46</v>
      </c>
      <c r="Q1761" s="9" t="n">
        <v>1605.07</v>
      </c>
      <c r="R1761" s="9" t="n">
        <v>1990.19</v>
      </c>
      <c r="S1761" s="9" t="n">
        <v>1604.68</v>
      </c>
      <c r="T1761" s="9" t="n">
        <v>1627.95</v>
      </c>
      <c r="U1761" s="10">
        <f>SUM(I1761:T1761)</f>
        <v/>
      </c>
    </row>
    <row r="1762">
      <c r="A1762" s="2" t="inlineStr">
        <is>
          <t>SN-3000-3400-3450-3450TA0021</t>
        </is>
      </c>
      <c r="B1762" s="2" t="inlineStr">
        <is>
          <t>3450TA0021</t>
        </is>
      </c>
      <c r="C1762" s="2" t="inlineStr">
        <is>
          <t>Estanque atrición carbón</t>
        </is>
      </c>
      <c r="D1762" s="2" t="n">
        <v>587</v>
      </c>
      <c r="E1762" s="2" t="inlineStr">
        <is>
          <t>CC-3000</t>
        </is>
      </c>
      <c r="F1762" s="2" t="inlineStr">
        <is>
          <t>P01</t>
        </is>
      </c>
      <c r="G1762" s="2" t="n">
        <v>630000</v>
      </c>
      <c r="H1762" s="2" t="inlineStr">
        <is>
          <t>Servicios externos</t>
        </is>
      </c>
      <c r="I1762" s="9" t="n">
        <v>1819.7</v>
      </c>
      <c r="J1762" s="9" t="n">
        <v>1687.56</v>
      </c>
      <c r="K1762" s="9" t="n">
        <v>1769.3</v>
      </c>
      <c r="L1762" s="9" t="n">
        <v>1812.07</v>
      </c>
      <c r="M1762" s="9" t="n">
        <v>1641.1</v>
      </c>
      <c r="N1762" s="9" t="n">
        <v>1716.76</v>
      </c>
      <c r="O1762" s="9" t="n">
        <v>1631.02</v>
      </c>
      <c r="P1762" s="9" t="n">
        <v>1696.03</v>
      </c>
      <c r="Q1762" s="9" t="n">
        <v>1646.88</v>
      </c>
      <c r="R1762" s="9" t="n">
        <v>1959.25</v>
      </c>
      <c r="S1762" s="9" t="n">
        <v>1748.9</v>
      </c>
      <c r="T1762" s="9" t="n">
        <v>1813.85</v>
      </c>
      <c r="U1762" s="10">
        <f>SUM(I1762:T1762)</f>
        <v/>
      </c>
    </row>
    <row r="1763">
      <c r="A1763" s="2" t="inlineStr">
        <is>
          <t>SN-3000-3400-3450-3450TK0021</t>
        </is>
      </c>
      <c r="B1763" s="2" t="inlineStr">
        <is>
          <t>3450TK0021</t>
        </is>
      </c>
      <c r="C1763" s="2" t="inlineStr">
        <is>
          <t>Estanque colección finos carbón</t>
        </is>
      </c>
      <c r="D1763" s="2" t="n">
        <v>588</v>
      </c>
      <c r="E1763" s="2" t="inlineStr">
        <is>
          <t>CC-3000</t>
        </is>
      </c>
      <c r="F1763" s="2" t="inlineStr">
        <is>
          <t>P01</t>
        </is>
      </c>
      <c r="G1763" s="2" t="n">
        <v>610000</v>
      </c>
      <c r="H1763" s="2" t="inlineStr">
        <is>
          <t>Mano obra interna</t>
        </is>
      </c>
      <c r="I1763" s="9" t="n">
        <v>2106.9</v>
      </c>
      <c r="J1763" s="9" t="n">
        <v>2065.35</v>
      </c>
      <c r="K1763" s="9" t="n">
        <v>2398.41</v>
      </c>
      <c r="L1763" s="9" t="n">
        <v>2373.41</v>
      </c>
      <c r="M1763" s="9" t="n">
        <v>2330.97</v>
      </c>
      <c r="N1763" s="9" t="n">
        <v>1957.65</v>
      </c>
      <c r="O1763" s="9" t="n">
        <v>2210.56</v>
      </c>
      <c r="P1763" s="9" t="n">
        <v>2247.2</v>
      </c>
      <c r="Q1763" s="9" t="n">
        <v>2113.71</v>
      </c>
      <c r="R1763" s="9" t="n">
        <v>2423.43</v>
      </c>
      <c r="S1763" s="9" t="n">
        <v>2218.34</v>
      </c>
      <c r="T1763" s="9" t="n">
        <v>2179.12</v>
      </c>
      <c r="U1763" s="10">
        <f>SUM(I1763:T1763)</f>
        <v/>
      </c>
    </row>
    <row r="1764">
      <c r="A1764" s="2" t="inlineStr">
        <is>
          <t>SN-3000-3400-3450-3450TK0021</t>
        </is>
      </c>
      <c r="B1764" s="2" t="inlineStr">
        <is>
          <t>3450TK0021</t>
        </is>
      </c>
      <c r="C1764" s="2" t="inlineStr">
        <is>
          <t>Estanque colección finos carbón</t>
        </is>
      </c>
      <c r="D1764" s="2" t="n">
        <v>588</v>
      </c>
      <c r="E1764" s="2" t="inlineStr">
        <is>
          <t>CC-3000</t>
        </is>
      </c>
      <c r="F1764" s="2" t="inlineStr">
        <is>
          <t>P01</t>
        </is>
      </c>
      <c r="G1764" s="2" t="n">
        <v>620000</v>
      </c>
      <c r="H1764" s="2" t="inlineStr">
        <is>
          <t>Materiales</t>
        </is>
      </c>
      <c r="I1764" s="9" t="n">
        <v>2007.02</v>
      </c>
      <c r="J1764" s="9" t="n">
        <v>1873.63</v>
      </c>
      <c r="K1764" s="9" t="n">
        <v>2077.88</v>
      </c>
      <c r="L1764" s="9" t="n">
        <v>1971.3</v>
      </c>
      <c r="M1764" s="9" t="n">
        <v>1983.9</v>
      </c>
      <c r="N1764" s="9" t="n">
        <v>2013.39</v>
      </c>
      <c r="O1764" s="9" t="n">
        <v>2194.81</v>
      </c>
      <c r="P1764" s="9" t="n">
        <v>2174.07</v>
      </c>
      <c r="Q1764" s="9" t="n">
        <v>1844.92</v>
      </c>
      <c r="R1764" s="9" t="n">
        <v>2095.12</v>
      </c>
      <c r="S1764" s="9" t="n">
        <v>1899.57</v>
      </c>
      <c r="T1764" s="9" t="n">
        <v>2252.03</v>
      </c>
      <c r="U1764" s="10">
        <f>SUM(I1764:T1764)</f>
        <v/>
      </c>
    </row>
    <row r="1765">
      <c r="A1765" s="2" t="inlineStr">
        <is>
          <t>SN-3000-3400-3450-3450TK0021</t>
        </is>
      </c>
      <c r="B1765" s="2" t="inlineStr">
        <is>
          <t>3450TK0021</t>
        </is>
      </c>
      <c r="C1765" s="2" t="inlineStr">
        <is>
          <t>Estanque colección finos carbón</t>
        </is>
      </c>
      <c r="D1765" s="2" t="n">
        <v>588</v>
      </c>
      <c r="E1765" s="2" t="inlineStr">
        <is>
          <t>CC-3000</t>
        </is>
      </c>
      <c r="F1765" s="2" t="inlineStr">
        <is>
          <t>P01</t>
        </is>
      </c>
      <c r="G1765" s="2" t="n">
        <v>630000</v>
      </c>
      <c r="H1765" s="2" t="inlineStr">
        <is>
          <t>Servicios externos</t>
        </is>
      </c>
      <c r="I1765" s="9" t="n">
        <v>2199.21</v>
      </c>
      <c r="J1765" s="9" t="n">
        <v>2357.09</v>
      </c>
      <c r="K1765" s="9" t="n">
        <v>2302.15</v>
      </c>
      <c r="L1765" s="9" t="n">
        <v>2467.8</v>
      </c>
      <c r="M1765" s="9" t="n">
        <v>2160.11</v>
      </c>
      <c r="N1765" s="9" t="n">
        <v>2132.82</v>
      </c>
      <c r="O1765" s="9" t="n">
        <v>2272.42</v>
      </c>
      <c r="P1765" s="9" t="n">
        <v>2410.37</v>
      </c>
      <c r="Q1765" s="9" t="n">
        <v>2237.37</v>
      </c>
      <c r="R1765" s="9" t="n">
        <v>2476.71</v>
      </c>
      <c r="S1765" s="9" t="n">
        <v>2099.31</v>
      </c>
      <c r="T1765" s="9" t="n">
        <v>2267.68</v>
      </c>
      <c r="U1765" s="10">
        <f>SUM(I1765:T1765)</f>
        <v/>
      </c>
    </row>
    <row r="1766">
      <c r="A1766" s="2" t="inlineStr">
        <is>
          <t>SN-3000-3400-3450-3450TK0022</t>
        </is>
      </c>
      <c r="B1766" s="2" t="inlineStr">
        <is>
          <t>3450TK0022</t>
        </is>
      </c>
      <c r="C1766" s="2" t="inlineStr">
        <is>
          <t>Estanque enfriador carbón</t>
        </is>
      </c>
      <c r="D1766" s="2" t="n">
        <v>589</v>
      </c>
      <c r="E1766" s="2" t="inlineStr">
        <is>
          <t>CC-3000</t>
        </is>
      </c>
      <c r="F1766" s="2" t="inlineStr">
        <is>
          <t>P01</t>
        </is>
      </c>
      <c r="G1766" s="2" t="n">
        <v>610000</v>
      </c>
      <c r="H1766" s="2" t="inlineStr">
        <is>
          <t>Mano obra interna</t>
        </is>
      </c>
      <c r="I1766" s="9" t="n">
        <v>2977.35</v>
      </c>
      <c r="J1766" s="9" t="n">
        <v>2950.69</v>
      </c>
      <c r="K1766" s="9" t="n">
        <v>2934.1</v>
      </c>
      <c r="L1766" s="9" t="n">
        <v>2945.32</v>
      </c>
      <c r="M1766" s="9" t="n">
        <v>2805.2</v>
      </c>
      <c r="N1766" s="9" t="n">
        <v>2830.15</v>
      </c>
      <c r="O1766" s="9" t="n">
        <v>3029.71</v>
      </c>
      <c r="P1766" s="9" t="n">
        <v>2868.34</v>
      </c>
      <c r="Q1766" s="9" t="n">
        <v>2660.76</v>
      </c>
      <c r="R1766" s="9" t="n">
        <v>3012.95</v>
      </c>
      <c r="S1766" s="9" t="n">
        <v>2632.15</v>
      </c>
      <c r="T1766" s="9" t="n">
        <v>3114.17</v>
      </c>
      <c r="U1766" s="10">
        <f>SUM(I1766:T1766)</f>
        <v/>
      </c>
    </row>
    <row r="1767">
      <c r="A1767" s="2" t="inlineStr">
        <is>
          <t>SN-3000-3400-3450-3450TK0022</t>
        </is>
      </c>
      <c r="B1767" s="2" t="inlineStr">
        <is>
          <t>3450TK0022</t>
        </is>
      </c>
      <c r="C1767" s="2" t="inlineStr">
        <is>
          <t>Estanque enfriador carbón</t>
        </is>
      </c>
      <c r="D1767" s="2" t="n">
        <v>589</v>
      </c>
      <c r="E1767" s="2" t="inlineStr">
        <is>
          <t>CC-3000</t>
        </is>
      </c>
      <c r="F1767" s="2" t="inlineStr">
        <is>
          <t>P01</t>
        </is>
      </c>
      <c r="G1767" s="2" t="n">
        <v>620000</v>
      </c>
      <c r="H1767" s="2" t="inlineStr">
        <is>
          <t>Materiales</t>
        </is>
      </c>
      <c r="I1767" s="9" t="n">
        <v>2420.64</v>
      </c>
      <c r="J1767" s="9" t="n">
        <v>2304.88</v>
      </c>
      <c r="K1767" s="9" t="n">
        <v>2442.59</v>
      </c>
      <c r="L1767" s="9" t="n">
        <v>2473.82</v>
      </c>
      <c r="M1767" s="9" t="n">
        <v>2283.16</v>
      </c>
      <c r="N1767" s="9" t="n">
        <v>2300.69</v>
      </c>
      <c r="O1767" s="9" t="n">
        <v>2143.05</v>
      </c>
      <c r="P1767" s="9" t="n">
        <v>2306.51</v>
      </c>
      <c r="Q1767" s="9" t="n">
        <v>2197.73</v>
      </c>
      <c r="R1767" s="9" t="n">
        <v>2350.65</v>
      </c>
      <c r="S1767" s="9" t="n">
        <v>2274.48</v>
      </c>
      <c r="T1767" s="9" t="n">
        <v>2398.25</v>
      </c>
      <c r="U1767" s="10">
        <f>SUM(I1767:T1767)</f>
        <v/>
      </c>
    </row>
    <row r="1768">
      <c r="A1768" s="2" t="inlineStr">
        <is>
          <t>SN-3000-3400-3450-3450TK0022</t>
        </is>
      </c>
      <c r="B1768" s="2" t="inlineStr">
        <is>
          <t>3450TK0022</t>
        </is>
      </c>
      <c r="C1768" s="2" t="inlineStr">
        <is>
          <t>Estanque enfriador carbón</t>
        </is>
      </c>
      <c r="D1768" s="2" t="n">
        <v>589</v>
      </c>
      <c r="E1768" s="2" t="inlineStr">
        <is>
          <t>CC-3000</t>
        </is>
      </c>
      <c r="F1768" s="2" t="inlineStr">
        <is>
          <t>P01</t>
        </is>
      </c>
      <c r="G1768" s="2" t="n">
        <v>630000</v>
      </c>
      <c r="H1768" s="2" t="inlineStr">
        <is>
          <t>Servicios externos</t>
        </is>
      </c>
      <c r="I1768" s="9" t="n">
        <v>2701.72</v>
      </c>
      <c r="J1768" s="9" t="n">
        <v>2765</v>
      </c>
      <c r="K1768" s="9" t="n">
        <v>2726.41</v>
      </c>
      <c r="L1768" s="9" t="n">
        <v>2895.02</v>
      </c>
      <c r="M1768" s="9" t="n">
        <v>2684.02</v>
      </c>
      <c r="N1768" s="9" t="n">
        <v>2649.09</v>
      </c>
      <c r="O1768" s="9" t="n">
        <v>2692.72</v>
      </c>
      <c r="P1768" s="9" t="n">
        <v>2578.76</v>
      </c>
      <c r="Q1768" s="9" t="n">
        <v>2408.82</v>
      </c>
      <c r="R1768" s="9" t="n">
        <v>2743.34</v>
      </c>
      <c r="S1768" s="9" t="n">
        <v>2691</v>
      </c>
      <c r="T1768" s="9" t="n">
        <v>2923.19</v>
      </c>
      <c r="U1768" s="10">
        <f>SUM(I1768:T1768)</f>
        <v/>
      </c>
    </row>
    <row r="1769">
      <c r="A1769" s="2" t="inlineStr">
        <is>
          <t>SN-3000-3400-3450-3450TK0023</t>
        </is>
      </c>
      <c r="B1769" s="2" t="inlineStr">
        <is>
          <t>3450TK0023</t>
        </is>
      </c>
      <c r="C1769" s="2" t="inlineStr">
        <is>
          <t>Estanque filtrado finos carbón</t>
        </is>
      </c>
      <c r="D1769" s="2" t="n">
        <v>590</v>
      </c>
      <c r="E1769" s="2" t="inlineStr">
        <is>
          <t>CC-3000</t>
        </is>
      </c>
      <c r="F1769" s="2" t="inlineStr">
        <is>
          <t>P01</t>
        </is>
      </c>
      <c r="G1769" s="2" t="n">
        <v>610000</v>
      </c>
      <c r="H1769" s="2" t="inlineStr">
        <is>
          <t>Mano obra interna</t>
        </is>
      </c>
      <c r="I1769" s="9" t="n">
        <v>1489.48</v>
      </c>
      <c r="J1769" s="9" t="n">
        <v>1533.63</v>
      </c>
      <c r="K1769" s="9" t="n">
        <v>1679.01</v>
      </c>
      <c r="L1769" s="9" t="n">
        <v>1514.68</v>
      </c>
      <c r="M1769" s="9" t="n">
        <v>1494.97</v>
      </c>
      <c r="N1769" s="9" t="n">
        <v>1434.72</v>
      </c>
      <c r="O1769" s="9" t="n">
        <v>1543.25</v>
      </c>
      <c r="P1769" s="9" t="n">
        <v>1497.77</v>
      </c>
      <c r="Q1769" s="9" t="n">
        <v>1425.08</v>
      </c>
      <c r="R1769" s="9" t="n">
        <v>1752.67</v>
      </c>
      <c r="S1769" s="9" t="n">
        <v>1544.76</v>
      </c>
      <c r="T1769" s="9" t="n">
        <v>1484.53</v>
      </c>
      <c r="U1769" s="10">
        <f>SUM(I1769:T1769)</f>
        <v/>
      </c>
    </row>
    <row r="1770">
      <c r="A1770" s="2" t="inlineStr">
        <is>
          <t>SN-3000-3400-3450-3450TK0023</t>
        </is>
      </c>
      <c r="B1770" s="2" t="inlineStr">
        <is>
          <t>3450TK0023</t>
        </is>
      </c>
      <c r="C1770" s="2" t="inlineStr">
        <is>
          <t>Estanque filtrado finos carbón</t>
        </is>
      </c>
      <c r="D1770" s="2" t="n">
        <v>590</v>
      </c>
      <c r="E1770" s="2" t="inlineStr">
        <is>
          <t>CC-3000</t>
        </is>
      </c>
      <c r="F1770" s="2" t="inlineStr">
        <is>
          <t>P01</t>
        </is>
      </c>
      <c r="G1770" s="2" t="n">
        <v>620000</v>
      </c>
      <c r="H1770" s="2" t="inlineStr">
        <is>
          <t>Materiales</t>
        </is>
      </c>
      <c r="I1770" s="9" t="n">
        <v>1830.69</v>
      </c>
      <c r="J1770" s="9" t="n">
        <v>1895.91</v>
      </c>
      <c r="K1770" s="9" t="n">
        <v>1794.27</v>
      </c>
      <c r="L1770" s="9" t="n">
        <v>1906.16</v>
      </c>
      <c r="M1770" s="9" t="n">
        <v>1847.09</v>
      </c>
      <c r="N1770" s="9" t="n">
        <v>1644.16</v>
      </c>
      <c r="O1770" s="9" t="n">
        <v>1916.9</v>
      </c>
      <c r="P1770" s="9" t="n">
        <v>1796.03</v>
      </c>
      <c r="Q1770" s="9" t="n">
        <v>1723.45</v>
      </c>
      <c r="R1770" s="9" t="n">
        <v>1831.08</v>
      </c>
      <c r="S1770" s="9" t="n">
        <v>1674.91</v>
      </c>
      <c r="T1770" s="9" t="n">
        <v>1851.8</v>
      </c>
      <c r="U1770" s="10">
        <f>SUM(I1770:T1770)</f>
        <v/>
      </c>
    </row>
    <row r="1771">
      <c r="A1771" s="2" t="inlineStr">
        <is>
          <t>SN-3000-3400-3450-3450TK0023</t>
        </is>
      </c>
      <c r="B1771" s="2" t="inlineStr">
        <is>
          <t>3450TK0023</t>
        </is>
      </c>
      <c r="C1771" s="2" t="inlineStr">
        <is>
          <t>Estanque filtrado finos carbón</t>
        </is>
      </c>
      <c r="D1771" s="2" t="n">
        <v>590</v>
      </c>
      <c r="E1771" s="2" t="inlineStr">
        <is>
          <t>CC-3000</t>
        </is>
      </c>
      <c r="F1771" s="2" t="inlineStr">
        <is>
          <t>P01</t>
        </is>
      </c>
      <c r="G1771" s="2" t="n">
        <v>630000</v>
      </c>
      <c r="H1771" s="2" t="inlineStr">
        <is>
          <t>Servicios externos</t>
        </is>
      </c>
      <c r="I1771" s="9" t="n">
        <v>1702.36</v>
      </c>
      <c r="J1771" s="9" t="n">
        <v>1609.31</v>
      </c>
      <c r="K1771" s="9" t="n">
        <v>1759.13</v>
      </c>
      <c r="L1771" s="9" t="n">
        <v>1700.93</v>
      </c>
      <c r="M1771" s="9" t="n">
        <v>1519.61</v>
      </c>
      <c r="N1771" s="9" t="n">
        <v>1632.6</v>
      </c>
      <c r="O1771" s="9" t="n">
        <v>1647.64</v>
      </c>
      <c r="P1771" s="9" t="n">
        <v>1624.22</v>
      </c>
      <c r="Q1771" s="9" t="n">
        <v>1451.59</v>
      </c>
      <c r="R1771" s="9" t="n">
        <v>1718</v>
      </c>
      <c r="S1771" s="9" t="n">
        <v>1543.07</v>
      </c>
      <c r="T1771" s="9" t="n">
        <v>1810.33</v>
      </c>
      <c r="U1771" s="10">
        <f>SUM(I1771:T1771)</f>
        <v/>
      </c>
    </row>
    <row r="1772">
      <c r="A1772" s="2" t="inlineStr">
        <is>
          <t>SN-3000-3400-3450-3450TK0084</t>
        </is>
      </c>
      <c r="B1772" s="2" t="inlineStr">
        <is>
          <t>3450TK0084</t>
        </is>
      </c>
      <c r="C1772" s="2" t="inlineStr">
        <is>
          <t>Estanque carbón</t>
        </is>
      </c>
      <c r="D1772" s="2" t="n">
        <v>591</v>
      </c>
      <c r="E1772" s="2" t="inlineStr">
        <is>
          <t>CC-3000</t>
        </is>
      </c>
      <c r="F1772" s="2" t="inlineStr">
        <is>
          <t>P01</t>
        </is>
      </c>
      <c r="G1772" s="2" t="n">
        <v>610000</v>
      </c>
      <c r="H1772" s="2" t="inlineStr">
        <is>
          <t>Mano obra interna</t>
        </is>
      </c>
      <c r="I1772" s="9" t="n">
        <v>2002.67</v>
      </c>
      <c r="J1772" s="9" t="n">
        <v>1964.35</v>
      </c>
      <c r="K1772" s="9" t="n">
        <v>2036.77</v>
      </c>
      <c r="L1772" s="9" t="n">
        <v>2194.31</v>
      </c>
      <c r="M1772" s="9" t="n">
        <v>1989.94</v>
      </c>
      <c r="N1772" s="9" t="n">
        <v>2023.41</v>
      </c>
      <c r="O1772" s="9" t="n">
        <v>2073.81</v>
      </c>
      <c r="P1772" s="9" t="n">
        <v>2218.15</v>
      </c>
      <c r="Q1772" s="9" t="n">
        <v>1913.96</v>
      </c>
      <c r="R1772" s="9" t="n">
        <v>2267.65</v>
      </c>
      <c r="S1772" s="9" t="n">
        <v>2121.83</v>
      </c>
      <c r="T1772" s="9" t="n">
        <v>2125.4</v>
      </c>
      <c r="U1772" s="10">
        <f>SUM(I1772:T1772)</f>
        <v/>
      </c>
    </row>
    <row r="1773">
      <c r="A1773" s="2" t="inlineStr">
        <is>
          <t>SN-3000-3400-3450-3450TK0084</t>
        </is>
      </c>
      <c r="B1773" s="2" t="inlineStr">
        <is>
          <t>3450TK0084</t>
        </is>
      </c>
      <c r="C1773" s="2" t="inlineStr">
        <is>
          <t>Estanque carbón</t>
        </is>
      </c>
      <c r="D1773" s="2" t="n">
        <v>591</v>
      </c>
      <c r="E1773" s="2" t="inlineStr">
        <is>
          <t>CC-3000</t>
        </is>
      </c>
      <c r="F1773" s="2" t="inlineStr">
        <is>
          <t>P01</t>
        </is>
      </c>
      <c r="G1773" s="2" t="n">
        <v>620000</v>
      </c>
      <c r="H1773" s="2" t="inlineStr">
        <is>
          <t>Materiales</t>
        </is>
      </c>
      <c r="I1773" s="9" t="n">
        <v>2314.81</v>
      </c>
      <c r="J1773" s="9" t="n">
        <v>2145.73</v>
      </c>
      <c r="K1773" s="9" t="n">
        <v>2281.76</v>
      </c>
      <c r="L1773" s="9" t="n">
        <v>2427.96</v>
      </c>
      <c r="M1773" s="9" t="n">
        <v>2244.06</v>
      </c>
      <c r="N1773" s="9" t="n">
        <v>2250.2</v>
      </c>
      <c r="O1773" s="9" t="n">
        <v>2097.7</v>
      </c>
      <c r="P1773" s="9" t="n">
        <v>2202.79</v>
      </c>
      <c r="Q1773" s="9" t="n">
        <v>2192.11</v>
      </c>
      <c r="R1773" s="9" t="n">
        <v>2316.06</v>
      </c>
      <c r="S1773" s="9" t="n">
        <v>2299.88</v>
      </c>
      <c r="T1773" s="9" t="n">
        <v>2098.57</v>
      </c>
      <c r="U1773" s="10">
        <f>SUM(I1773:T1773)</f>
        <v/>
      </c>
    </row>
    <row r="1774">
      <c r="A1774" s="2" t="inlineStr">
        <is>
          <t>SN-3000-3400-3450-3450TK0084</t>
        </is>
      </c>
      <c r="B1774" s="2" t="inlineStr">
        <is>
          <t>3450TK0084</t>
        </is>
      </c>
      <c r="C1774" s="2" t="inlineStr">
        <is>
          <t>Estanque carbón</t>
        </is>
      </c>
      <c r="D1774" s="2" t="n">
        <v>591</v>
      </c>
      <c r="E1774" s="2" t="inlineStr">
        <is>
          <t>CC-3000</t>
        </is>
      </c>
      <c r="F1774" s="2" t="inlineStr">
        <is>
          <t>P01</t>
        </is>
      </c>
      <c r="G1774" s="2" t="n">
        <v>630000</v>
      </c>
      <c r="H1774" s="2" t="inlineStr">
        <is>
          <t>Servicios externos</t>
        </is>
      </c>
      <c r="I1774" s="9" t="n">
        <v>2366</v>
      </c>
      <c r="J1774" s="9" t="n">
        <v>2145.73</v>
      </c>
      <c r="K1774" s="9" t="n">
        <v>2558.64</v>
      </c>
      <c r="L1774" s="9" t="n">
        <v>2294.88</v>
      </c>
      <c r="M1774" s="9" t="n">
        <v>2137.12</v>
      </c>
      <c r="N1774" s="9" t="n">
        <v>2105.2</v>
      </c>
      <c r="O1774" s="9" t="n">
        <v>2398.8</v>
      </c>
      <c r="P1774" s="9" t="n">
        <v>2515.06</v>
      </c>
      <c r="Q1774" s="9" t="n">
        <v>2041.25</v>
      </c>
      <c r="R1774" s="9" t="n">
        <v>2506.21</v>
      </c>
      <c r="S1774" s="9" t="n">
        <v>2147.85</v>
      </c>
      <c r="T1774" s="9" t="n">
        <v>2465.93</v>
      </c>
      <c r="U1774" s="10">
        <f>SUM(I1774:T1774)</f>
        <v/>
      </c>
    </row>
    <row r="1775">
      <c r="A1775" s="2" t="inlineStr">
        <is>
          <t>SN-3000-3400-3450-3450TK0103</t>
        </is>
      </c>
      <c r="B1775" s="2" t="inlineStr">
        <is>
          <t>3450TK0103</t>
        </is>
      </c>
      <c r="C1775" s="2" t="inlineStr">
        <is>
          <t>Estanque agua rechazos</t>
        </is>
      </c>
      <c r="D1775" s="2" t="n">
        <v>592</v>
      </c>
      <c r="E1775" s="2" t="inlineStr">
        <is>
          <t>CC-3000</t>
        </is>
      </c>
      <c r="F1775" s="2" t="inlineStr">
        <is>
          <t>P01</t>
        </is>
      </c>
      <c r="G1775" s="2" t="n">
        <v>610000</v>
      </c>
      <c r="H1775" s="2" t="inlineStr">
        <is>
          <t>Mano obra interna</t>
        </is>
      </c>
      <c r="I1775" s="9" t="n">
        <v>2202.13</v>
      </c>
      <c r="J1775" s="9" t="n">
        <v>2109.09</v>
      </c>
      <c r="K1775" s="9" t="n">
        <v>2341.59</v>
      </c>
      <c r="L1775" s="9" t="n">
        <v>2437.83</v>
      </c>
      <c r="M1775" s="9" t="n">
        <v>2231.52</v>
      </c>
      <c r="N1775" s="9" t="n">
        <v>1999.87</v>
      </c>
      <c r="O1775" s="9" t="n">
        <v>2274.71</v>
      </c>
      <c r="P1775" s="9" t="n">
        <v>2356.24</v>
      </c>
      <c r="Q1775" s="9" t="n">
        <v>1971.95</v>
      </c>
      <c r="R1775" s="9" t="n">
        <v>2261.43</v>
      </c>
      <c r="S1775" s="9" t="n">
        <v>2070.13</v>
      </c>
      <c r="T1775" s="9" t="n">
        <v>2374.21</v>
      </c>
      <c r="U1775" s="10">
        <f>SUM(I1775:T1775)</f>
        <v/>
      </c>
    </row>
    <row r="1776">
      <c r="A1776" s="2" t="inlineStr">
        <is>
          <t>SN-3000-3400-3450-3450TK0103</t>
        </is>
      </c>
      <c r="B1776" s="2" t="inlineStr">
        <is>
          <t>3450TK0103</t>
        </is>
      </c>
      <c r="C1776" s="2" t="inlineStr">
        <is>
          <t>Estanque agua rechazos</t>
        </is>
      </c>
      <c r="D1776" s="2" t="n">
        <v>592</v>
      </c>
      <c r="E1776" s="2" t="inlineStr">
        <is>
          <t>CC-3000</t>
        </is>
      </c>
      <c r="F1776" s="2" t="inlineStr">
        <is>
          <t>P01</t>
        </is>
      </c>
      <c r="G1776" s="2" t="n">
        <v>620000</v>
      </c>
      <c r="H1776" s="2" t="inlineStr">
        <is>
          <t>Materiales</t>
        </is>
      </c>
      <c r="I1776" s="9" t="n">
        <v>2546.09</v>
      </c>
      <c r="J1776" s="9" t="n">
        <v>2342.66</v>
      </c>
      <c r="K1776" s="9" t="n">
        <v>2487.79</v>
      </c>
      <c r="L1776" s="9" t="n">
        <v>2721.41</v>
      </c>
      <c r="M1776" s="9" t="n">
        <v>2350.6</v>
      </c>
      <c r="N1776" s="9" t="n">
        <v>2521.39</v>
      </c>
      <c r="O1776" s="9" t="n">
        <v>2511.07</v>
      </c>
      <c r="P1776" s="9" t="n">
        <v>2326.91</v>
      </c>
      <c r="Q1776" s="9" t="n">
        <v>2294.65</v>
      </c>
      <c r="R1776" s="9" t="n">
        <v>2864.13</v>
      </c>
      <c r="S1776" s="9" t="n">
        <v>2367.61</v>
      </c>
      <c r="T1776" s="9" t="n">
        <v>2661.01</v>
      </c>
      <c r="U1776" s="10">
        <f>SUM(I1776:T1776)</f>
        <v/>
      </c>
    </row>
    <row r="1777">
      <c r="A1777" s="2" t="inlineStr">
        <is>
          <t>SN-3000-3400-3450-3450TK0103</t>
        </is>
      </c>
      <c r="B1777" s="2" t="inlineStr">
        <is>
          <t>3450TK0103</t>
        </is>
      </c>
      <c r="C1777" s="2" t="inlineStr">
        <is>
          <t>Estanque agua rechazos</t>
        </is>
      </c>
      <c r="D1777" s="2" t="n">
        <v>592</v>
      </c>
      <c r="E1777" s="2" t="inlineStr">
        <is>
          <t>CC-3000</t>
        </is>
      </c>
      <c r="F1777" s="2" t="inlineStr">
        <is>
          <t>P01</t>
        </is>
      </c>
      <c r="G1777" s="2" t="n">
        <v>630000</v>
      </c>
      <c r="H1777" s="2" t="inlineStr">
        <is>
          <t>Servicios externos</t>
        </is>
      </c>
      <c r="I1777" s="9" t="n">
        <v>2337.61</v>
      </c>
      <c r="J1777" s="9" t="n">
        <v>2352.58</v>
      </c>
      <c r="K1777" s="9" t="n">
        <v>2493.05</v>
      </c>
      <c r="L1777" s="9" t="n">
        <v>2308.85</v>
      </c>
      <c r="M1777" s="9" t="n">
        <v>2290.85</v>
      </c>
      <c r="N1777" s="9" t="n">
        <v>1992.57</v>
      </c>
      <c r="O1777" s="9" t="n">
        <v>2175.77</v>
      </c>
      <c r="P1777" s="9" t="n">
        <v>2182.39</v>
      </c>
      <c r="Q1777" s="9" t="n">
        <v>1970.59</v>
      </c>
      <c r="R1777" s="9" t="n">
        <v>2355.69</v>
      </c>
      <c r="S1777" s="9" t="n">
        <v>2129.14</v>
      </c>
      <c r="T1777" s="9" t="n">
        <v>2470.15</v>
      </c>
      <c r="U1777" s="10">
        <f>SUM(I1777:T1777)</f>
        <v/>
      </c>
    </row>
    <row r="1778">
      <c r="A1778" s="2" t="inlineStr">
        <is>
          <t>SN-3000-3400-3450-3450VE0006</t>
        </is>
      </c>
      <c r="B1778" s="2" t="inlineStr">
        <is>
          <t>3450VE0006</t>
        </is>
      </c>
      <c r="C1778" s="2" t="inlineStr">
        <is>
          <t>Columna de carbón gases horno</t>
        </is>
      </c>
      <c r="D1778" s="2" t="n">
        <v>593</v>
      </c>
      <c r="E1778" s="2" t="inlineStr">
        <is>
          <t>CC-3000</t>
        </is>
      </c>
      <c r="F1778" s="2" t="inlineStr">
        <is>
          <t>P01</t>
        </is>
      </c>
      <c r="G1778" s="2" t="n">
        <v>610000</v>
      </c>
      <c r="H1778" s="2" t="inlineStr">
        <is>
          <t>Mano obra interna</t>
        </is>
      </c>
      <c r="I1778" s="9" t="n">
        <v>669.8200000000001</v>
      </c>
      <c r="J1778" s="9" t="n">
        <v>705.02</v>
      </c>
      <c r="K1778" s="9" t="n">
        <v>647.01</v>
      </c>
      <c r="L1778" s="9" t="n">
        <v>676.04</v>
      </c>
      <c r="M1778" s="9" t="n">
        <v>672.6</v>
      </c>
      <c r="N1778" s="9" t="n">
        <v>589.6900000000001</v>
      </c>
      <c r="O1778" s="9" t="n">
        <v>687.37</v>
      </c>
      <c r="P1778" s="9" t="n">
        <v>621.03</v>
      </c>
      <c r="Q1778" s="9" t="n">
        <v>582.53</v>
      </c>
      <c r="R1778" s="9" t="n">
        <v>677.09</v>
      </c>
      <c r="S1778" s="9" t="n">
        <v>686.91</v>
      </c>
      <c r="T1778" s="9" t="n">
        <v>693.62</v>
      </c>
      <c r="U1778" s="10">
        <f>SUM(I1778:T1778)</f>
        <v/>
      </c>
    </row>
    <row r="1779">
      <c r="A1779" s="2" t="inlineStr">
        <is>
          <t>SN-3000-3400-3450-3450VE0006</t>
        </is>
      </c>
      <c r="B1779" s="2" t="inlineStr">
        <is>
          <t>3450VE0006</t>
        </is>
      </c>
      <c r="C1779" s="2" t="inlineStr">
        <is>
          <t>Columna de carbón gases horno</t>
        </is>
      </c>
      <c r="D1779" s="2" t="n">
        <v>593</v>
      </c>
      <c r="E1779" s="2" t="inlineStr">
        <is>
          <t>CC-3000</t>
        </is>
      </c>
      <c r="F1779" s="2" t="inlineStr">
        <is>
          <t>P01</t>
        </is>
      </c>
      <c r="G1779" s="2" t="n">
        <v>620000</v>
      </c>
      <c r="H1779" s="2" t="inlineStr">
        <is>
          <t>Materiales</t>
        </is>
      </c>
      <c r="I1779" s="9" t="n">
        <v>660.47</v>
      </c>
      <c r="J1779" s="9" t="n">
        <v>610.64</v>
      </c>
      <c r="K1779" s="9" t="n">
        <v>674.38</v>
      </c>
      <c r="L1779" s="9" t="n">
        <v>646.01</v>
      </c>
      <c r="M1779" s="9" t="n">
        <v>598.65</v>
      </c>
      <c r="N1779" s="9" t="n">
        <v>631.72</v>
      </c>
      <c r="O1779" s="9" t="n">
        <v>603.5599999999999</v>
      </c>
      <c r="P1779" s="9" t="n">
        <v>609.1</v>
      </c>
      <c r="Q1779" s="9" t="n">
        <v>627.3099999999999</v>
      </c>
      <c r="R1779" s="9" t="n">
        <v>709.3</v>
      </c>
      <c r="S1779" s="9" t="n">
        <v>633.8200000000001</v>
      </c>
      <c r="T1779" s="9" t="n">
        <v>642.3</v>
      </c>
      <c r="U1779" s="10">
        <f>SUM(I1779:T1779)</f>
        <v/>
      </c>
    </row>
    <row r="1780">
      <c r="A1780" s="2" t="inlineStr">
        <is>
          <t>SN-3000-3400-3450-3450VE0006</t>
        </is>
      </c>
      <c r="B1780" s="2" t="inlineStr">
        <is>
          <t>3450VE0006</t>
        </is>
      </c>
      <c r="C1780" s="2" t="inlineStr">
        <is>
          <t>Columna de carbón gases horno</t>
        </is>
      </c>
      <c r="D1780" s="2" t="n">
        <v>593</v>
      </c>
      <c r="E1780" s="2" t="inlineStr">
        <is>
          <t>CC-3000</t>
        </is>
      </c>
      <c r="F1780" s="2" t="inlineStr">
        <is>
          <t>P01</t>
        </is>
      </c>
      <c r="G1780" s="2" t="n">
        <v>630000</v>
      </c>
      <c r="H1780" s="2" t="inlineStr">
        <is>
          <t>Servicios externos</t>
        </is>
      </c>
      <c r="I1780" s="9" t="n">
        <v>607.26</v>
      </c>
      <c r="J1780" s="9" t="n">
        <v>590.38</v>
      </c>
      <c r="K1780" s="9" t="n">
        <v>596.53</v>
      </c>
      <c r="L1780" s="9" t="n">
        <v>634.3200000000001</v>
      </c>
      <c r="M1780" s="9" t="n">
        <v>612.97</v>
      </c>
      <c r="N1780" s="9" t="n">
        <v>544.2</v>
      </c>
      <c r="O1780" s="9" t="n">
        <v>607.1799999999999</v>
      </c>
      <c r="P1780" s="9" t="n">
        <v>580.85</v>
      </c>
      <c r="Q1780" s="9" t="n">
        <v>538.4</v>
      </c>
      <c r="R1780" s="9" t="n">
        <v>578.23</v>
      </c>
      <c r="S1780" s="9" t="n">
        <v>565.47</v>
      </c>
      <c r="T1780" s="9" t="n">
        <v>623.41</v>
      </c>
      <c r="U1780" s="10">
        <f>SUM(I1780:T1780)</f>
        <v/>
      </c>
    </row>
    <row r="1781">
      <c r="A1781" s="2" t="inlineStr">
        <is>
          <t>SN-3000-3400-3450-3450XM0050</t>
        </is>
      </c>
      <c r="B1781" s="2" t="inlineStr">
        <is>
          <t>3450XM0050</t>
        </is>
      </c>
      <c r="C1781" s="2" t="inlineStr">
        <is>
          <t>Celosía regeneración de carbón</t>
        </is>
      </c>
      <c r="D1781" s="2" t="n">
        <v>594</v>
      </c>
      <c r="E1781" s="2" t="inlineStr">
        <is>
          <t>CC-3000</t>
        </is>
      </c>
      <c r="F1781" s="2" t="inlineStr">
        <is>
          <t>P01</t>
        </is>
      </c>
      <c r="G1781" s="2" t="n">
        <v>610000</v>
      </c>
      <c r="H1781" s="2" t="inlineStr">
        <is>
          <t>Mano obra interna</t>
        </is>
      </c>
      <c r="I1781" s="9" t="n">
        <v>933.36</v>
      </c>
      <c r="J1781" s="9" t="n">
        <v>814.16</v>
      </c>
      <c r="K1781" s="9" t="n">
        <v>881.48</v>
      </c>
      <c r="L1781" s="9" t="n">
        <v>855.38</v>
      </c>
      <c r="M1781" s="9" t="n">
        <v>839.72</v>
      </c>
      <c r="N1781" s="9" t="n">
        <v>846.48</v>
      </c>
      <c r="O1781" s="9" t="n">
        <v>855.72</v>
      </c>
      <c r="P1781" s="9" t="n">
        <v>882.08</v>
      </c>
      <c r="Q1781" s="9" t="n">
        <v>805.8099999999999</v>
      </c>
      <c r="R1781" s="9" t="n">
        <v>910.62</v>
      </c>
      <c r="S1781" s="9" t="n">
        <v>791.54</v>
      </c>
      <c r="T1781" s="9" t="n">
        <v>942.85</v>
      </c>
      <c r="U1781" s="10">
        <f>SUM(I1781:T1781)</f>
        <v/>
      </c>
    </row>
    <row r="1782">
      <c r="A1782" s="2" t="inlineStr">
        <is>
          <t>SN-3000-3400-3450-3450XM0050</t>
        </is>
      </c>
      <c r="B1782" s="2" t="inlineStr">
        <is>
          <t>3450XM0050</t>
        </is>
      </c>
      <c r="C1782" s="2" t="inlineStr">
        <is>
          <t>Celosía regeneración de carbón</t>
        </is>
      </c>
      <c r="D1782" s="2" t="n">
        <v>594</v>
      </c>
      <c r="E1782" s="2" t="inlineStr">
        <is>
          <t>CC-3000</t>
        </is>
      </c>
      <c r="F1782" s="2" t="inlineStr">
        <is>
          <t>P01</t>
        </is>
      </c>
      <c r="G1782" s="2" t="n">
        <v>620000</v>
      </c>
      <c r="H1782" s="2" t="inlineStr">
        <is>
          <t>Materiales</t>
        </is>
      </c>
      <c r="I1782" s="9" t="n">
        <v>624.67</v>
      </c>
      <c r="J1782" s="9" t="n">
        <v>689.11</v>
      </c>
      <c r="K1782" s="9" t="n">
        <v>740.5</v>
      </c>
      <c r="L1782" s="9" t="n">
        <v>704.29</v>
      </c>
      <c r="M1782" s="9" t="n">
        <v>607.02</v>
      </c>
      <c r="N1782" s="9" t="n">
        <v>607.92</v>
      </c>
      <c r="O1782" s="9" t="n">
        <v>715.45</v>
      </c>
      <c r="P1782" s="9" t="n">
        <v>697.24</v>
      </c>
      <c r="Q1782" s="9" t="n">
        <v>625.59</v>
      </c>
      <c r="R1782" s="9" t="n">
        <v>686.89</v>
      </c>
      <c r="S1782" s="9" t="n">
        <v>593.6799999999999</v>
      </c>
      <c r="T1782" s="9" t="n">
        <v>623.0700000000001</v>
      </c>
      <c r="U1782" s="10">
        <f>SUM(I1782:T1782)</f>
        <v/>
      </c>
    </row>
    <row r="1783">
      <c r="A1783" s="2" t="inlineStr">
        <is>
          <t>SN-3000-3400-3450-3450XM0050</t>
        </is>
      </c>
      <c r="B1783" s="2" t="inlineStr">
        <is>
          <t>3450XM0050</t>
        </is>
      </c>
      <c r="C1783" s="2" t="inlineStr">
        <is>
          <t>Celosía regeneración de carbón</t>
        </is>
      </c>
      <c r="D1783" s="2" t="n">
        <v>594</v>
      </c>
      <c r="E1783" s="2" t="inlineStr">
        <is>
          <t>CC-3000</t>
        </is>
      </c>
      <c r="F1783" s="2" t="inlineStr">
        <is>
          <t>P01</t>
        </is>
      </c>
      <c r="G1783" s="2" t="n">
        <v>630000</v>
      </c>
      <c r="H1783" s="2" t="inlineStr">
        <is>
          <t>Servicios externos</t>
        </is>
      </c>
      <c r="I1783" s="9" t="n">
        <v>758.91</v>
      </c>
      <c r="J1783" s="9" t="n">
        <v>855.4299999999999</v>
      </c>
      <c r="K1783" s="9" t="n">
        <v>788.4</v>
      </c>
      <c r="L1783" s="9" t="n">
        <v>850.49</v>
      </c>
      <c r="M1783" s="9" t="n">
        <v>752.71</v>
      </c>
      <c r="N1783" s="9" t="n">
        <v>774.58</v>
      </c>
      <c r="O1783" s="9" t="n">
        <v>751.33</v>
      </c>
      <c r="P1783" s="9" t="n">
        <v>838.74</v>
      </c>
      <c r="Q1783" s="9" t="n">
        <v>759.54</v>
      </c>
      <c r="R1783" s="9" t="n">
        <v>810.65</v>
      </c>
      <c r="S1783" s="9" t="n">
        <v>822.76</v>
      </c>
      <c r="T1783" s="9" t="n">
        <v>823.1</v>
      </c>
      <c r="U1783" s="10">
        <f>SUM(I1783:T1783)</f>
        <v/>
      </c>
    </row>
    <row r="1784">
      <c r="A1784" s="2" t="inlineStr">
        <is>
          <t>SN-3000-3400-3450-3450XM0052</t>
        </is>
      </c>
      <c r="B1784" s="2" t="inlineStr">
        <is>
          <t>3450XM0052</t>
        </is>
      </c>
      <c r="C1784" s="2" t="inlineStr">
        <is>
          <t>Celosía regeneración de carbón</t>
        </is>
      </c>
      <c r="D1784" s="2" t="n">
        <v>595</v>
      </c>
      <c r="E1784" s="2" t="inlineStr">
        <is>
          <t>CC-3000</t>
        </is>
      </c>
      <c r="F1784" s="2" t="inlineStr">
        <is>
          <t>P01</t>
        </is>
      </c>
      <c r="G1784" s="2" t="n">
        <v>610000</v>
      </c>
      <c r="H1784" s="2" t="inlineStr">
        <is>
          <t>Mano obra interna</t>
        </is>
      </c>
      <c r="I1784" s="9" t="n">
        <v>975.25</v>
      </c>
      <c r="J1784" s="9" t="n">
        <v>941.42</v>
      </c>
      <c r="K1784" s="9" t="n">
        <v>861.5599999999999</v>
      </c>
      <c r="L1784" s="9" t="n">
        <v>859.86</v>
      </c>
      <c r="M1784" s="9" t="n">
        <v>955.54</v>
      </c>
      <c r="N1784" s="9" t="n">
        <v>854.59</v>
      </c>
      <c r="O1784" s="9" t="n">
        <v>858.51</v>
      </c>
      <c r="P1784" s="9" t="n">
        <v>933.58</v>
      </c>
      <c r="Q1784" s="9" t="n">
        <v>802.28</v>
      </c>
      <c r="R1784" s="9" t="n">
        <v>1000.99</v>
      </c>
      <c r="S1784" s="9" t="n">
        <v>913.8200000000001</v>
      </c>
      <c r="T1784" s="9" t="n">
        <v>950.27</v>
      </c>
      <c r="U1784" s="10">
        <f>SUM(I1784:T1784)</f>
        <v/>
      </c>
    </row>
    <row r="1785">
      <c r="A1785" s="2" t="inlineStr">
        <is>
          <t>SN-3000-3400-3450-3450XM0052</t>
        </is>
      </c>
      <c r="B1785" s="2" t="inlineStr">
        <is>
          <t>3450XM0052</t>
        </is>
      </c>
      <c r="C1785" s="2" t="inlineStr">
        <is>
          <t>Celosía regeneración de carbón</t>
        </is>
      </c>
      <c r="D1785" s="2" t="n">
        <v>595</v>
      </c>
      <c r="E1785" s="2" t="inlineStr">
        <is>
          <t>CC-3000</t>
        </is>
      </c>
      <c r="F1785" s="2" t="inlineStr">
        <is>
          <t>P01</t>
        </is>
      </c>
      <c r="G1785" s="2" t="n">
        <v>620000</v>
      </c>
      <c r="H1785" s="2" t="inlineStr">
        <is>
          <t>Materiales</t>
        </is>
      </c>
      <c r="I1785" s="9" t="n">
        <v>734.1</v>
      </c>
      <c r="J1785" s="9" t="n">
        <v>709.5599999999999</v>
      </c>
      <c r="K1785" s="9" t="n">
        <v>752.6799999999999</v>
      </c>
      <c r="L1785" s="9" t="n">
        <v>706.98</v>
      </c>
      <c r="M1785" s="9" t="n">
        <v>717.5599999999999</v>
      </c>
      <c r="N1785" s="9" t="n">
        <v>699.72</v>
      </c>
      <c r="O1785" s="9" t="n">
        <v>734.65</v>
      </c>
      <c r="P1785" s="9" t="n">
        <v>767.4299999999999</v>
      </c>
      <c r="Q1785" s="9" t="n">
        <v>682</v>
      </c>
      <c r="R1785" s="9" t="n">
        <v>753.97</v>
      </c>
      <c r="S1785" s="9" t="n">
        <v>725.74</v>
      </c>
      <c r="T1785" s="9" t="n">
        <v>776.73</v>
      </c>
      <c r="U1785" s="10">
        <f>SUM(I1785:T1785)</f>
        <v/>
      </c>
    </row>
    <row r="1786">
      <c r="A1786" s="2" t="inlineStr">
        <is>
          <t>SN-3000-3400-3450-3450XM0052</t>
        </is>
      </c>
      <c r="B1786" s="2" t="inlineStr">
        <is>
          <t>3450XM0052</t>
        </is>
      </c>
      <c r="C1786" s="2" t="inlineStr">
        <is>
          <t>Celosía regeneración de carbón</t>
        </is>
      </c>
      <c r="D1786" s="2" t="n">
        <v>595</v>
      </c>
      <c r="E1786" s="2" t="inlineStr">
        <is>
          <t>CC-3000</t>
        </is>
      </c>
      <c r="F1786" s="2" t="inlineStr">
        <is>
          <t>P01</t>
        </is>
      </c>
      <c r="G1786" s="2" t="n">
        <v>630000</v>
      </c>
      <c r="H1786" s="2" t="inlineStr">
        <is>
          <t>Servicios externos</t>
        </is>
      </c>
      <c r="I1786" s="9" t="n">
        <v>758.97</v>
      </c>
      <c r="J1786" s="9" t="n">
        <v>675.15</v>
      </c>
      <c r="K1786" s="9" t="n">
        <v>730.61</v>
      </c>
      <c r="L1786" s="9" t="n">
        <v>791.21</v>
      </c>
      <c r="M1786" s="9" t="n">
        <v>766.38</v>
      </c>
      <c r="N1786" s="9" t="n">
        <v>703.03</v>
      </c>
      <c r="O1786" s="9" t="n">
        <v>750.4400000000001</v>
      </c>
      <c r="P1786" s="9" t="n">
        <v>767.16</v>
      </c>
      <c r="Q1786" s="9" t="n">
        <v>725.98</v>
      </c>
      <c r="R1786" s="9" t="n">
        <v>782.29</v>
      </c>
      <c r="S1786" s="9" t="n">
        <v>710.3</v>
      </c>
      <c r="T1786" s="9" t="n">
        <v>727.41</v>
      </c>
      <c r="U1786" s="10">
        <f>SUM(I1786:T1786)</f>
        <v/>
      </c>
    </row>
    <row r="1787">
      <c r="A1787" s="2" t="inlineStr">
        <is>
          <t>SN-3000-3400-3450-3450XM0053</t>
        </is>
      </c>
      <c r="B1787" s="2" t="inlineStr">
        <is>
          <t>3450XM0053</t>
        </is>
      </c>
      <c r="C1787" s="2" t="inlineStr">
        <is>
          <t>Celosía regeneración de carbón</t>
        </is>
      </c>
      <c r="D1787" s="2" t="n">
        <v>596</v>
      </c>
      <c r="E1787" s="2" t="inlineStr">
        <is>
          <t>CC-3000</t>
        </is>
      </c>
      <c r="F1787" s="2" t="inlineStr">
        <is>
          <t>P01</t>
        </is>
      </c>
      <c r="G1787" s="2" t="n">
        <v>610000</v>
      </c>
      <c r="H1787" s="2" t="inlineStr">
        <is>
          <t>Mano obra interna</t>
        </is>
      </c>
      <c r="I1787" s="9" t="n">
        <v>2149.3</v>
      </c>
      <c r="J1787" s="9" t="n">
        <v>2197.09</v>
      </c>
      <c r="K1787" s="9" t="n">
        <v>2306.47</v>
      </c>
      <c r="L1787" s="9" t="n">
        <v>2315.52</v>
      </c>
      <c r="M1787" s="9" t="n">
        <v>1958.29</v>
      </c>
      <c r="N1787" s="9" t="n">
        <v>2046.94</v>
      </c>
      <c r="O1787" s="9" t="n">
        <v>1998.75</v>
      </c>
      <c r="P1787" s="9" t="n">
        <v>2028.15</v>
      </c>
      <c r="Q1787" s="9" t="n">
        <v>2111.46</v>
      </c>
      <c r="R1787" s="9" t="n">
        <v>2297.74</v>
      </c>
      <c r="S1787" s="9" t="n">
        <v>2149.03</v>
      </c>
      <c r="T1787" s="9" t="n">
        <v>2012.61</v>
      </c>
      <c r="U1787" s="10">
        <f>SUM(I1787:T1787)</f>
        <v/>
      </c>
    </row>
    <row r="1788">
      <c r="A1788" s="2" t="inlineStr">
        <is>
          <t>SN-3000-3400-3450-3450XM0053</t>
        </is>
      </c>
      <c r="B1788" s="2" t="inlineStr">
        <is>
          <t>3450XM0053</t>
        </is>
      </c>
      <c r="C1788" s="2" t="inlineStr">
        <is>
          <t>Celosía regeneración de carbón</t>
        </is>
      </c>
      <c r="D1788" s="2" t="n">
        <v>596</v>
      </c>
      <c r="E1788" s="2" t="inlineStr">
        <is>
          <t>CC-3000</t>
        </is>
      </c>
      <c r="F1788" s="2" t="inlineStr">
        <is>
          <t>P01</t>
        </is>
      </c>
      <c r="G1788" s="2" t="n">
        <v>620000</v>
      </c>
      <c r="H1788" s="2" t="inlineStr">
        <is>
          <t>Materiales</t>
        </is>
      </c>
      <c r="I1788" s="9" t="n">
        <v>2384.2</v>
      </c>
      <c r="J1788" s="9" t="n">
        <v>2106.51</v>
      </c>
      <c r="K1788" s="9" t="n">
        <v>2278.74</v>
      </c>
      <c r="L1788" s="9" t="n">
        <v>2160.46</v>
      </c>
      <c r="M1788" s="9" t="n">
        <v>2303.12</v>
      </c>
      <c r="N1788" s="9" t="n">
        <v>2336.02</v>
      </c>
      <c r="O1788" s="9" t="n">
        <v>2392.15</v>
      </c>
      <c r="P1788" s="9" t="n">
        <v>2442.89</v>
      </c>
      <c r="Q1788" s="9" t="n">
        <v>2232.07</v>
      </c>
      <c r="R1788" s="9" t="n">
        <v>2589.62</v>
      </c>
      <c r="S1788" s="9" t="n">
        <v>2226.76</v>
      </c>
      <c r="T1788" s="9" t="n">
        <v>2312.64</v>
      </c>
      <c r="U1788" s="10">
        <f>SUM(I1788:T1788)</f>
        <v/>
      </c>
    </row>
    <row r="1789">
      <c r="A1789" s="2" t="inlineStr">
        <is>
          <t>SN-3000-3400-3450-3450XM0053</t>
        </is>
      </c>
      <c r="B1789" s="2" t="inlineStr">
        <is>
          <t>3450XM0053</t>
        </is>
      </c>
      <c r="C1789" s="2" t="inlineStr">
        <is>
          <t>Celosía regeneración de carbón</t>
        </is>
      </c>
      <c r="D1789" s="2" t="n">
        <v>596</v>
      </c>
      <c r="E1789" s="2" t="inlineStr">
        <is>
          <t>CC-3000</t>
        </is>
      </c>
      <c r="F1789" s="2" t="inlineStr">
        <is>
          <t>P01</t>
        </is>
      </c>
      <c r="G1789" s="2" t="n">
        <v>630000</v>
      </c>
      <c r="H1789" s="2" t="inlineStr">
        <is>
          <t>Servicios externos</t>
        </is>
      </c>
      <c r="I1789" s="9" t="n">
        <v>2455.45</v>
      </c>
      <c r="J1789" s="9" t="n">
        <v>2139.49</v>
      </c>
      <c r="K1789" s="9" t="n">
        <v>2193.58</v>
      </c>
      <c r="L1789" s="9" t="n">
        <v>2506.92</v>
      </c>
      <c r="M1789" s="9" t="n">
        <v>2085.3</v>
      </c>
      <c r="N1789" s="9" t="n">
        <v>2355.22</v>
      </c>
      <c r="O1789" s="9" t="n">
        <v>2373.7</v>
      </c>
      <c r="P1789" s="9" t="n">
        <v>2224.35</v>
      </c>
      <c r="Q1789" s="9" t="n">
        <v>2198.04</v>
      </c>
      <c r="R1789" s="9" t="n">
        <v>2593.86</v>
      </c>
      <c r="S1789" s="9" t="n">
        <v>2125.45</v>
      </c>
      <c r="T1789" s="9" t="n">
        <v>2423.48</v>
      </c>
      <c r="U1789" s="10">
        <f>SUM(I1789:T1789)</f>
        <v/>
      </c>
    </row>
    <row r="1790">
      <c r="A1790" s="2" t="inlineStr">
        <is>
          <t>SN-3000-3400-3450-3450XM0054</t>
        </is>
      </c>
      <c r="B1790" s="2" t="inlineStr">
        <is>
          <t>3450XM0054</t>
        </is>
      </c>
      <c r="C1790" s="2" t="inlineStr">
        <is>
          <t>Celosía regeneración de carbón</t>
        </is>
      </c>
      <c r="D1790" s="2" t="n">
        <v>597</v>
      </c>
      <c r="E1790" s="2" t="inlineStr">
        <is>
          <t>CC-3000</t>
        </is>
      </c>
      <c r="F1790" s="2" t="inlineStr">
        <is>
          <t>P01</t>
        </is>
      </c>
      <c r="G1790" s="2" t="n">
        <v>610000</v>
      </c>
      <c r="H1790" s="2" t="inlineStr">
        <is>
          <t>Mano obra interna</t>
        </is>
      </c>
      <c r="I1790" s="9" t="n">
        <v>2878.9</v>
      </c>
      <c r="J1790" s="9" t="n">
        <v>2681.38</v>
      </c>
      <c r="K1790" s="9" t="n">
        <v>2887.41</v>
      </c>
      <c r="L1790" s="9" t="n">
        <v>2858.88</v>
      </c>
      <c r="M1790" s="9" t="n">
        <v>2705.29</v>
      </c>
      <c r="N1790" s="9" t="n">
        <v>2910.44</v>
      </c>
      <c r="O1790" s="9" t="n">
        <v>2882.82</v>
      </c>
      <c r="P1790" s="9" t="n">
        <v>3116.29</v>
      </c>
      <c r="Q1790" s="9" t="n">
        <v>2626.41</v>
      </c>
      <c r="R1790" s="9" t="n">
        <v>3144.64</v>
      </c>
      <c r="S1790" s="9" t="n">
        <v>2907.37</v>
      </c>
      <c r="T1790" s="9" t="n">
        <v>3161.63</v>
      </c>
      <c r="U1790" s="10">
        <f>SUM(I1790:T1790)</f>
        <v/>
      </c>
    </row>
    <row r="1791">
      <c r="A1791" s="2" t="inlineStr">
        <is>
          <t>SN-3000-3400-3450-3450XM0054</t>
        </is>
      </c>
      <c r="B1791" s="2" t="inlineStr">
        <is>
          <t>3450XM0054</t>
        </is>
      </c>
      <c r="C1791" s="2" t="inlineStr">
        <is>
          <t>Celosía regeneración de carbón</t>
        </is>
      </c>
      <c r="D1791" s="2" t="n">
        <v>597</v>
      </c>
      <c r="E1791" s="2" t="inlineStr">
        <is>
          <t>CC-3000</t>
        </is>
      </c>
      <c r="F1791" s="2" t="inlineStr">
        <is>
          <t>P01</t>
        </is>
      </c>
      <c r="G1791" s="2" t="n">
        <v>620000</v>
      </c>
      <c r="H1791" s="2" t="inlineStr">
        <is>
          <t>Materiales</t>
        </is>
      </c>
      <c r="I1791" s="9" t="n">
        <v>2611.82</v>
      </c>
      <c r="J1791" s="9" t="n">
        <v>2722.81</v>
      </c>
      <c r="K1791" s="9" t="n">
        <v>2612.17</v>
      </c>
      <c r="L1791" s="9" t="n">
        <v>2489.3</v>
      </c>
      <c r="M1791" s="9" t="n">
        <v>2561.59</v>
      </c>
      <c r="N1791" s="9" t="n">
        <v>2610.49</v>
      </c>
      <c r="O1791" s="9" t="n">
        <v>2416.38</v>
      </c>
      <c r="P1791" s="9" t="n">
        <v>2645.23</v>
      </c>
      <c r="Q1791" s="9" t="n">
        <v>2467.57</v>
      </c>
      <c r="R1791" s="9" t="n">
        <v>3009.22</v>
      </c>
      <c r="S1791" s="9" t="n">
        <v>2441.56</v>
      </c>
      <c r="T1791" s="9" t="n">
        <v>2556.32</v>
      </c>
      <c r="U1791" s="10">
        <f>SUM(I1791:T1791)</f>
        <v/>
      </c>
    </row>
    <row r="1792">
      <c r="A1792" s="2" t="inlineStr">
        <is>
          <t>SN-3000-3400-3450-3450XM0054</t>
        </is>
      </c>
      <c r="B1792" s="2" t="inlineStr">
        <is>
          <t>3450XM0054</t>
        </is>
      </c>
      <c r="C1792" s="2" t="inlineStr">
        <is>
          <t>Celosía regeneración de carbón</t>
        </is>
      </c>
      <c r="D1792" s="2" t="n">
        <v>597</v>
      </c>
      <c r="E1792" s="2" t="inlineStr">
        <is>
          <t>CC-3000</t>
        </is>
      </c>
      <c r="F1792" s="2" t="inlineStr">
        <is>
          <t>P01</t>
        </is>
      </c>
      <c r="G1792" s="2" t="n">
        <v>630000</v>
      </c>
      <c r="H1792" s="2" t="inlineStr">
        <is>
          <t>Servicios externos</t>
        </is>
      </c>
      <c r="I1792" s="9" t="n">
        <v>2460.43</v>
      </c>
      <c r="J1792" s="9" t="n">
        <v>2521.17</v>
      </c>
      <c r="K1792" s="9" t="n">
        <v>2602.42</v>
      </c>
      <c r="L1792" s="9" t="n">
        <v>2625.47</v>
      </c>
      <c r="M1792" s="9" t="n">
        <v>2566.14</v>
      </c>
      <c r="N1792" s="9" t="n">
        <v>2517.89</v>
      </c>
      <c r="O1792" s="9" t="n">
        <v>2440.5</v>
      </c>
      <c r="P1792" s="9" t="n">
        <v>2655.96</v>
      </c>
      <c r="Q1792" s="9" t="n">
        <v>2191.69</v>
      </c>
      <c r="R1792" s="9" t="n">
        <v>2751.34</v>
      </c>
      <c r="S1792" s="9" t="n">
        <v>2400.87</v>
      </c>
      <c r="T1792" s="9" t="n">
        <v>2630.21</v>
      </c>
      <c r="U1792" s="10">
        <f>SUM(I1792:T1792)</f>
        <v/>
      </c>
    </row>
    <row r="1793">
      <c r="A1793" s="2" t="inlineStr">
        <is>
          <t>SN-3000-3400-3450-3450XM0055</t>
        </is>
      </c>
      <c r="B1793" s="2" t="inlineStr">
        <is>
          <t>3450XM0055</t>
        </is>
      </c>
      <c r="C1793" s="2" t="inlineStr">
        <is>
          <t>Celosía regeneración de carbón</t>
        </is>
      </c>
      <c r="D1793" s="2" t="n">
        <v>598</v>
      </c>
      <c r="E1793" s="2" t="inlineStr">
        <is>
          <t>CC-3000</t>
        </is>
      </c>
      <c r="F1793" s="2" t="inlineStr">
        <is>
          <t>P01</t>
        </is>
      </c>
      <c r="G1793" s="2" t="n">
        <v>610000</v>
      </c>
      <c r="H1793" s="2" t="inlineStr">
        <is>
          <t>Mano obra interna</t>
        </is>
      </c>
      <c r="I1793" s="9" t="n">
        <v>1242.96</v>
      </c>
      <c r="J1793" s="9" t="n">
        <v>1225.98</v>
      </c>
      <c r="K1793" s="9" t="n">
        <v>1246.18</v>
      </c>
      <c r="L1793" s="9" t="n">
        <v>1242.93</v>
      </c>
      <c r="M1793" s="9" t="n">
        <v>1072.8</v>
      </c>
      <c r="N1793" s="9" t="n">
        <v>1060.94</v>
      </c>
      <c r="O1793" s="9" t="n">
        <v>1253.62</v>
      </c>
      <c r="P1793" s="9" t="n">
        <v>1199.77</v>
      </c>
      <c r="Q1793" s="9" t="n">
        <v>1094.82</v>
      </c>
      <c r="R1793" s="9" t="n">
        <v>1229.27</v>
      </c>
      <c r="S1793" s="9" t="n">
        <v>1045.28</v>
      </c>
      <c r="T1793" s="9" t="n">
        <v>1157.21</v>
      </c>
      <c r="U1793" s="10">
        <f>SUM(I1793:T1793)</f>
        <v/>
      </c>
    </row>
    <row r="1794">
      <c r="A1794" s="2" t="inlineStr">
        <is>
          <t>SN-3000-3400-3450-3450XM0055</t>
        </is>
      </c>
      <c r="B1794" s="2" t="inlineStr">
        <is>
          <t>3450XM0055</t>
        </is>
      </c>
      <c r="C1794" s="2" t="inlineStr">
        <is>
          <t>Celosía regeneración de carbón</t>
        </is>
      </c>
      <c r="D1794" s="2" t="n">
        <v>598</v>
      </c>
      <c r="E1794" s="2" t="inlineStr">
        <is>
          <t>CC-3000</t>
        </is>
      </c>
      <c r="F1794" s="2" t="inlineStr">
        <is>
          <t>P01</t>
        </is>
      </c>
      <c r="G1794" s="2" t="n">
        <v>620000</v>
      </c>
      <c r="H1794" s="2" t="inlineStr">
        <is>
          <t>Materiales</t>
        </is>
      </c>
      <c r="I1794" s="9" t="n">
        <v>1120.89</v>
      </c>
      <c r="J1794" s="9" t="n">
        <v>1074.42</v>
      </c>
      <c r="K1794" s="9" t="n">
        <v>1189.16</v>
      </c>
      <c r="L1794" s="9" t="n">
        <v>1192.69</v>
      </c>
      <c r="M1794" s="9" t="n">
        <v>1091.83</v>
      </c>
      <c r="N1794" s="9" t="n">
        <v>1115.96</v>
      </c>
      <c r="O1794" s="9" t="n">
        <v>1225.43</v>
      </c>
      <c r="P1794" s="9" t="n">
        <v>1145.34</v>
      </c>
      <c r="Q1794" s="9" t="n">
        <v>1132.85</v>
      </c>
      <c r="R1794" s="9" t="n">
        <v>1326.29</v>
      </c>
      <c r="S1794" s="9" t="n">
        <v>1041.7</v>
      </c>
      <c r="T1794" s="9" t="n">
        <v>1092.68</v>
      </c>
      <c r="U1794" s="10">
        <f>SUM(I1794:T1794)</f>
        <v/>
      </c>
    </row>
    <row r="1795">
      <c r="A1795" s="2" t="inlineStr">
        <is>
          <t>SN-3000-3400-3450-3450XM0055</t>
        </is>
      </c>
      <c r="B1795" s="2" t="inlineStr">
        <is>
          <t>3450XM0055</t>
        </is>
      </c>
      <c r="C1795" s="2" t="inlineStr">
        <is>
          <t>Celosía regeneración de carbón</t>
        </is>
      </c>
      <c r="D1795" s="2" t="n">
        <v>598</v>
      </c>
      <c r="E1795" s="2" t="inlineStr">
        <is>
          <t>CC-3000</t>
        </is>
      </c>
      <c r="F1795" s="2" t="inlineStr">
        <is>
          <t>P01</t>
        </is>
      </c>
      <c r="G1795" s="2" t="n">
        <v>630000</v>
      </c>
      <c r="H1795" s="2" t="inlineStr">
        <is>
          <t>Servicios externos</t>
        </is>
      </c>
      <c r="I1795" s="9" t="n">
        <v>1183.25</v>
      </c>
      <c r="J1795" s="9" t="n">
        <v>1112.32</v>
      </c>
      <c r="K1795" s="9" t="n">
        <v>1146.4</v>
      </c>
      <c r="L1795" s="9" t="n">
        <v>1194.52</v>
      </c>
      <c r="M1795" s="9" t="n">
        <v>1041.04</v>
      </c>
      <c r="N1795" s="9" t="n">
        <v>1174.6</v>
      </c>
      <c r="O1795" s="9" t="n">
        <v>1094.47</v>
      </c>
      <c r="P1795" s="9" t="n">
        <v>1218.34</v>
      </c>
      <c r="Q1795" s="9" t="n">
        <v>997.41</v>
      </c>
      <c r="R1795" s="9" t="n">
        <v>1180.96</v>
      </c>
      <c r="S1795" s="9" t="n">
        <v>1059.54</v>
      </c>
      <c r="T1795" s="9" t="n">
        <v>1252.03</v>
      </c>
      <c r="U1795" s="10">
        <f>SUM(I1795:T1795)</f>
        <v/>
      </c>
    </row>
    <row r="1796">
      <c r="A1796" s="2" t="inlineStr">
        <is>
          <t>SN-3000-3400-3450-3450XM0115</t>
        </is>
      </c>
      <c r="B1796" s="2" t="inlineStr">
        <is>
          <t>3450XM0115</t>
        </is>
      </c>
      <c r="C1796" s="2" t="inlineStr">
        <is>
          <t>Celosía regeneración de carbón</t>
        </is>
      </c>
      <c r="D1796" s="2" t="n">
        <v>599</v>
      </c>
      <c r="E1796" s="2" t="inlineStr">
        <is>
          <t>CC-3000</t>
        </is>
      </c>
      <c r="F1796" s="2" t="inlineStr">
        <is>
          <t>P01</t>
        </is>
      </c>
      <c r="G1796" s="2" t="n">
        <v>610000</v>
      </c>
      <c r="H1796" s="2" t="inlineStr">
        <is>
          <t>Mano obra interna</t>
        </is>
      </c>
      <c r="I1796" s="9" t="n">
        <v>1447.23</v>
      </c>
      <c r="J1796" s="9" t="n">
        <v>1446.48</v>
      </c>
      <c r="K1796" s="9" t="n">
        <v>1470.01</v>
      </c>
      <c r="L1796" s="9" t="n">
        <v>1386.14</v>
      </c>
      <c r="M1796" s="9" t="n">
        <v>1472.99</v>
      </c>
      <c r="N1796" s="9" t="n">
        <v>1409.25</v>
      </c>
      <c r="O1796" s="9" t="n">
        <v>1372.67</v>
      </c>
      <c r="P1796" s="9" t="n">
        <v>1401.92</v>
      </c>
      <c r="Q1796" s="9" t="n">
        <v>1387.4</v>
      </c>
      <c r="R1796" s="9" t="n">
        <v>1610.91</v>
      </c>
      <c r="S1796" s="9" t="n">
        <v>1331.64</v>
      </c>
      <c r="T1796" s="9" t="n">
        <v>1485.5</v>
      </c>
      <c r="U1796" s="10">
        <f>SUM(I1796:T1796)</f>
        <v/>
      </c>
    </row>
    <row r="1797">
      <c r="A1797" s="2" t="inlineStr">
        <is>
          <t>SN-3000-3400-3450-3450XM0115</t>
        </is>
      </c>
      <c r="B1797" s="2" t="inlineStr">
        <is>
          <t>3450XM0115</t>
        </is>
      </c>
      <c r="C1797" s="2" t="inlineStr">
        <is>
          <t>Celosía regeneración de carbón</t>
        </is>
      </c>
      <c r="D1797" s="2" t="n">
        <v>599</v>
      </c>
      <c r="E1797" s="2" t="inlineStr">
        <is>
          <t>CC-3000</t>
        </is>
      </c>
      <c r="F1797" s="2" t="inlineStr">
        <is>
          <t>P01</t>
        </is>
      </c>
      <c r="G1797" s="2" t="n">
        <v>620000</v>
      </c>
      <c r="H1797" s="2" t="inlineStr">
        <is>
          <t>Materiales</t>
        </is>
      </c>
      <c r="I1797" s="9" t="n">
        <v>1537.62</v>
      </c>
      <c r="J1797" s="9" t="n">
        <v>1433.26</v>
      </c>
      <c r="K1797" s="9" t="n">
        <v>1512.6</v>
      </c>
      <c r="L1797" s="9" t="n">
        <v>1611.11</v>
      </c>
      <c r="M1797" s="9" t="n">
        <v>1524.48</v>
      </c>
      <c r="N1797" s="9" t="n">
        <v>1406.96</v>
      </c>
      <c r="O1797" s="9" t="n">
        <v>1514.56</v>
      </c>
      <c r="P1797" s="9" t="n">
        <v>1505.43</v>
      </c>
      <c r="Q1797" s="9" t="n">
        <v>1543.09</v>
      </c>
      <c r="R1797" s="9" t="n">
        <v>1752.18</v>
      </c>
      <c r="S1797" s="9" t="n">
        <v>1461.97</v>
      </c>
      <c r="T1797" s="9" t="n">
        <v>1663.95</v>
      </c>
      <c r="U1797" s="10">
        <f>SUM(I1797:T1797)</f>
        <v/>
      </c>
    </row>
    <row r="1798">
      <c r="A1798" s="2" t="inlineStr">
        <is>
          <t>SN-3000-3400-3450-3450XM0115</t>
        </is>
      </c>
      <c r="B1798" s="2" t="inlineStr">
        <is>
          <t>3450XM0115</t>
        </is>
      </c>
      <c r="C1798" s="2" t="inlineStr">
        <is>
          <t>Celosía regeneración de carbón</t>
        </is>
      </c>
      <c r="D1798" s="2" t="n">
        <v>599</v>
      </c>
      <c r="E1798" s="2" t="inlineStr">
        <is>
          <t>CC-3000</t>
        </is>
      </c>
      <c r="F1798" s="2" t="inlineStr">
        <is>
          <t>P01</t>
        </is>
      </c>
      <c r="G1798" s="2" t="n">
        <v>630000</v>
      </c>
      <c r="H1798" s="2" t="inlineStr">
        <is>
          <t>Servicios externos</t>
        </is>
      </c>
      <c r="I1798" s="9" t="n">
        <v>1604.39</v>
      </c>
      <c r="J1798" s="9" t="n">
        <v>1619.88</v>
      </c>
      <c r="K1798" s="9" t="n">
        <v>1551.22</v>
      </c>
      <c r="L1798" s="9" t="n">
        <v>1609.28</v>
      </c>
      <c r="M1798" s="9" t="n">
        <v>1465.23</v>
      </c>
      <c r="N1798" s="9" t="n">
        <v>1408.56</v>
      </c>
      <c r="O1798" s="9" t="n">
        <v>1549.38</v>
      </c>
      <c r="P1798" s="9" t="n">
        <v>1646.65</v>
      </c>
      <c r="Q1798" s="9" t="n">
        <v>1414.04</v>
      </c>
      <c r="R1798" s="9" t="n">
        <v>1766.12</v>
      </c>
      <c r="S1798" s="9" t="n">
        <v>1579.87</v>
      </c>
      <c r="T1798" s="9" t="n">
        <v>1492.04</v>
      </c>
      <c r="U1798" s="10">
        <f>SUM(I1798:T1798)</f>
        <v/>
      </c>
    </row>
    <row r="1799">
      <c r="A1799" s="2" t="inlineStr">
        <is>
          <t>SN-3000-3500-3500-3500BH0006</t>
        </is>
      </c>
      <c r="B1799" s="2" t="inlineStr">
        <is>
          <t>3500BH0006</t>
        </is>
      </c>
      <c r="C1799" s="2" t="inlineStr">
        <is>
          <t>Colector polvo horno fundición</t>
        </is>
      </c>
      <c r="D1799" s="2" t="n">
        <v>600</v>
      </c>
      <c r="E1799" s="2" t="inlineStr">
        <is>
          <t>CC-3000</t>
        </is>
      </c>
      <c r="F1799" s="2" t="inlineStr">
        <is>
          <t>P01</t>
        </is>
      </c>
      <c r="G1799" s="2" t="n">
        <v>610000</v>
      </c>
      <c r="H1799" s="2" t="inlineStr">
        <is>
          <t>Mano obra interna</t>
        </is>
      </c>
      <c r="I1799" s="9" t="n">
        <v>614.26</v>
      </c>
      <c r="J1799" s="9" t="n">
        <v>581</v>
      </c>
      <c r="K1799" s="9" t="n">
        <v>567.61</v>
      </c>
      <c r="L1799" s="9" t="n">
        <v>648.6900000000001</v>
      </c>
      <c r="M1799" s="9" t="n">
        <v>605.6799999999999</v>
      </c>
      <c r="N1799" s="9" t="n">
        <v>556.78</v>
      </c>
      <c r="O1799" s="9" t="n">
        <v>599.62</v>
      </c>
      <c r="P1799" s="9" t="n">
        <v>549</v>
      </c>
      <c r="Q1799" s="9" t="n">
        <v>547.16</v>
      </c>
      <c r="R1799" s="9" t="n">
        <v>678.09</v>
      </c>
      <c r="S1799" s="9" t="n">
        <v>605.58</v>
      </c>
      <c r="T1799" s="9" t="n">
        <v>581.4299999999999</v>
      </c>
      <c r="U1799" s="10">
        <f>SUM(I1799:T1799)</f>
        <v/>
      </c>
    </row>
    <row r="1800">
      <c r="A1800" s="2" t="inlineStr">
        <is>
          <t>SN-3000-3500-3500-3500BH0006</t>
        </is>
      </c>
      <c r="B1800" s="2" t="inlineStr">
        <is>
          <t>3500BH0006</t>
        </is>
      </c>
      <c r="C1800" s="2" t="inlineStr">
        <is>
          <t>Colector polvo horno fundición</t>
        </is>
      </c>
      <c r="D1800" s="2" t="n">
        <v>600</v>
      </c>
      <c r="E1800" s="2" t="inlineStr">
        <is>
          <t>CC-3000</t>
        </is>
      </c>
      <c r="F1800" s="2" t="inlineStr">
        <is>
          <t>P01</t>
        </is>
      </c>
      <c r="G1800" s="2" t="n">
        <v>620000</v>
      </c>
      <c r="H1800" s="2" t="inlineStr">
        <is>
          <t>Materiales</t>
        </is>
      </c>
      <c r="I1800" s="9" t="n">
        <v>649.47</v>
      </c>
      <c r="J1800" s="9" t="n">
        <v>591.85</v>
      </c>
      <c r="K1800" s="9" t="n">
        <v>591.95</v>
      </c>
      <c r="L1800" s="9" t="n">
        <v>630.88</v>
      </c>
      <c r="M1800" s="9" t="n">
        <v>620.28</v>
      </c>
      <c r="N1800" s="9" t="n">
        <v>543.02</v>
      </c>
      <c r="O1800" s="9" t="n">
        <v>577.09</v>
      </c>
      <c r="P1800" s="9" t="n">
        <v>587.41</v>
      </c>
      <c r="Q1800" s="9" t="n">
        <v>560.14</v>
      </c>
      <c r="R1800" s="9" t="n">
        <v>669.47</v>
      </c>
      <c r="S1800" s="9" t="n">
        <v>577.34</v>
      </c>
      <c r="T1800" s="9" t="n">
        <v>603.48</v>
      </c>
      <c r="U1800" s="10">
        <f>SUM(I1800:T1800)</f>
        <v/>
      </c>
    </row>
    <row r="1801">
      <c r="A1801" s="2" t="inlineStr">
        <is>
          <t>SN-3000-3500-3500-3500BH0006</t>
        </is>
      </c>
      <c r="B1801" s="2" t="inlineStr">
        <is>
          <t>3500BH0006</t>
        </is>
      </c>
      <c r="C1801" s="2" t="inlineStr">
        <is>
          <t>Colector polvo horno fundición</t>
        </is>
      </c>
      <c r="D1801" s="2" t="n">
        <v>600</v>
      </c>
      <c r="E1801" s="2" t="inlineStr">
        <is>
          <t>CC-3000</t>
        </is>
      </c>
      <c r="F1801" s="2" t="inlineStr">
        <is>
          <t>P01</t>
        </is>
      </c>
      <c r="G1801" s="2" t="n">
        <v>630000</v>
      </c>
      <c r="H1801" s="2" t="inlineStr">
        <is>
          <t>Servicios externos</t>
        </is>
      </c>
      <c r="I1801" s="9" t="n">
        <v>635.01</v>
      </c>
      <c r="J1801" s="9" t="n">
        <v>649.04</v>
      </c>
      <c r="K1801" s="9" t="n">
        <v>729.66</v>
      </c>
      <c r="L1801" s="9" t="n">
        <v>687.52</v>
      </c>
      <c r="M1801" s="9" t="n">
        <v>675.36</v>
      </c>
      <c r="N1801" s="9" t="n">
        <v>623.59</v>
      </c>
      <c r="O1801" s="9" t="n">
        <v>609.12</v>
      </c>
      <c r="P1801" s="9" t="n">
        <v>674.42</v>
      </c>
      <c r="Q1801" s="9" t="n">
        <v>626.87</v>
      </c>
      <c r="R1801" s="9" t="n">
        <v>666.89</v>
      </c>
      <c r="S1801" s="9" t="n">
        <v>634.5700000000001</v>
      </c>
      <c r="T1801" s="9" t="n">
        <v>713.77</v>
      </c>
      <c r="U1801" s="10">
        <f>SUM(I1801:T1801)</f>
        <v/>
      </c>
    </row>
    <row r="1802">
      <c r="A1802" s="2" t="inlineStr">
        <is>
          <t>SN-3000-3500-3500-3500CN0017</t>
        </is>
      </c>
      <c r="B1802" s="2" t="inlineStr">
        <is>
          <t>3500CN0017</t>
        </is>
      </c>
      <c r="C1802" s="2" t="inlineStr">
        <is>
          <t>Puente grúa refinería</t>
        </is>
      </c>
      <c r="D1802" s="2" t="n">
        <v>601</v>
      </c>
      <c r="E1802" s="2" t="inlineStr">
        <is>
          <t>CC-3000</t>
        </is>
      </c>
      <c r="F1802" s="2" t="inlineStr">
        <is>
          <t>P01</t>
        </is>
      </c>
      <c r="G1802" s="2" t="n">
        <v>610000</v>
      </c>
      <c r="H1802" s="2" t="inlineStr">
        <is>
          <t>Mano obra interna</t>
        </is>
      </c>
      <c r="I1802" s="9" t="n">
        <v>1999.88</v>
      </c>
      <c r="J1802" s="9" t="n">
        <v>1929.38</v>
      </c>
      <c r="K1802" s="9" t="n">
        <v>2134.8</v>
      </c>
      <c r="L1802" s="9" t="n">
        <v>2119.4</v>
      </c>
      <c r="M1802" s="9" t="n">
        <v>2031.85</v>
      </c>
      <c r="N1802" s="9" t="n">
        <v>1844.13</v>
      </c>
      <c r="O1802" s="9" t="n">
        <v>1837.16</v>
      </c>
      <c r="P1802" s="9" t="n">
        <v>1922.4</v>
      </c>
      <c r="Q1802" s="9" t="n">
        <v>1887.83</v>
      </c>
      <c r="R1802" s="9" t="n">
        <v>2194.87</v>
      </c>
      <c r="S1802" s="9" t="n">
        <v>2050.33</v>
      </c>
      <c r="T1802" s="9" t="n">
        <v>1985.74</v>
      </c>
      <c r="U1802" s="10">
        <f>SUM(I1802:T1802)</f>
        <v/>
      </c>
    </row>
    <row r="1803">
      <c r="A1803" s="2" t="inlineStr">
        <is>
          <t>SN-3000-3500-3500-3500CN0017</t>
        </is>
      </c>
      <c r="B1803" s="2" t="inlineStr">
        <is>
          <t>3500CN0017</t>
        </is>
      </c>
      <c r="C1803" s="2" t="inlineStr">
        <is>
          <t>Puente grúa refinería</t>
        </is>
      </c>
      <c r="D1803" s="2" t="n">
        <v>601</v>
      </c>
      <c r="E1803" s="2" t="inlineStr">
        <is>
          <t>CC-3000</t>
        </is>
      </c>
      <c r="F1803" s="2" t="inlineStr">
        <is>
          <t>P01</t>
        </is>
      </c>
      <c r="G1803" s="2" t="n">
        <v>620000</v>
      </c>
      <c r="H1803" s="2" t="inlineStr">
        <is>
          <t>Materiales</t>
        </is>
      </c>
      <c r="I1803" s="9" t="n">
        <v>2282.1</v>
      </c>
      <c r="J1803" s="9" t="n">
        <v>2065.62</v>
      </c>
      <c r="K1803" s="9" t="n">
        <v>2277.64</v>
      </c>
      <c r="L1803" s="9" t="n">
        <v>2286.83</v>
      </c>
      <c r="M1803" s="9" t="n">
        <v>2357.15</v>
      </c>
      <c r="N1803" s="9" t="n">
        <v>2078.62</v>
      </c>
      <c r="O1803" s="9" t="n">
        <v>2393.3</v>
      </c>
      <c r="P1803" s="9" t="n">
        <v>2234.93</v>
      </c>
      <c r="Q1803" s="9" t="n">
        <v>1982.8</v>
      </c>
      <c r="R1803" s="9" t="n">
        <v>2277.6</v>
      </c>
      <c r="S1803" s="9" t="n">
        <v>2027.33</v>
      </c>
      <c r="T1803" s="9" t="n">
        <v>2237.58</v>
      </c>
      <c r="U1803" s="10">
        <f>SUM(I1803:T1803)</f>
        <v/>
      </c>
    </row>
    <row r="1804">
      <c r="A1804" s="2" t="inlineStr">
        <is>
          <t>SN-3000-3500-3500-3500CN0017</t>
        </is>
      </c>
      <c r="B1804" s="2" t="inlineStr">
        <is>
          <t>3500CN0017</t>
        </is>
      </c>
      <c r="C1804" s="2" t="inlineStr">
        <is>
          <t>Puente grúa refinería</t>
        </is>
      </c>
      <c r="D1804" s="2" t="n">
        <v>601</v>
      </c>
      <c r="E1804" s="2" t="inlineStr">
        <is>
          <t>CC-3000</t>
        </is>
      </c>
      <c r="F1804" s="2" t="inlineStr">
        <is>
          <t>P01</t>
        </is>
      </c>
      <c r="G1804" s="2" t="n">
        <v>630000</v>
      </c>
      <c r="H1804" s="2" t="inlineStr">
        <is>
          <t>Servicios externos</t>
        </is>
      </c>
      <c r="I1804" s="9" t="n">
        <v>1831.68</v>
      </c>
      <c r="J1804" s="9" t="n">
        <v>1922.09</v>
      </c>
      <c r="K1804" s="9" t="n">
        <v>1918.29</v>
      </c>
      <c r="L1804" s="9" t="n">
        <v>1927</v>
      </c>
      <c r="M1804" s="9" t="n">
        <v>1682.26</v>
      </c>
      <c r="N1804" s="9" t="n">
        <v>1723.22</v>
      </c>
      <c r="O1804" s="9" t="n">
        <v>1749.06</v>
      </c>
      <c r="P1804" s="9" t="n">
        <v>1922.89</v>
      </c>
      <c r="Q1804" s="9" t="n">
        <v>1599.14</v>
      </c>
      <c r="R1804" s="9" t="n">
        <v>1939.27</v>
      </c>
      <c r="S1804" s="9" t="n">
        <v>1777.07</v>
      </c>
      <c r="T1804" s="9" t="n">
        <v>1841.19</v>
      </c>
      <c r="U1804" s="10">
        <f>SUM(I1804:T1804)</f>
        <v/>
      </c>
    </row>
    <row r="1805">
      <c r="A1805" s="2" t="inlineStr">
        <is>
          <t>SN-3000-3500-3500-3500CO0001</t>
        </is>
      </c>
      <c r="B1805" s="2" t="inlineStr">
        <is>
          <t>3500CO0001</t>
        </is>
      </c>
      <c r="C1805" s="2" t="inlineStr">
        <is>
          <t>Colector de mercurio</t>
        </is>
      </c>
      <c r="D1805" s="2" t="n">
        <v>602</v>
      </c>
      <c r="E1805" s="2" t="inlineStr">
        <is>
          <t>CC-3000</t>
        </is>
      </c>
      <c r="F1805" s="2" t="inlineStr">
        <is>
          <t>P01</t>
        </is>
      </c>
      <c r="G1805" s="2" t="n">
        <v>610000</v>
      </c>
      <c r="H1805" s="2" t="inlineStr">
        <is>
          <t>Mano obra interna</t>
        </is>
      </c>
      <c r="I1805" s="9" t="n">
        <v>2715.58</v>
      </c>
      <c r="J1805" s="9" t="n">
        <v>2683.76</v>
      </c>
      <c r="K1805" s="9" t="n">
        <v>3001.51</v>
      </c>
      <c r="L1805" s="9" t="n">
        <v>2853.59</v>
      </c>
      <c r="M1805" s="9" t="n">
        <v>2707.72</v>
      </c>
      <c r="N1805" s="9" t="n">
        <v>2457.37</v>
      </c>
      <c r="O1805" s="9" t="n">
        <v>2893.55</v>
      </c>
      <c r="P1805" s="9" t="n">
        <v>2987.31</v>
      </c>
      <c r="Q1805" s="9" t="n">
        <v>2637.22</v>
      </c>
      <c r="R1805" s="9" t="n">
        <v>3168.54</v>
      </c>
      <c r="S1805" s="9" t="n">
        <v>2698.05</v>
      </c>
      <c r="T1805" s="9" t="n">
        <v>2699.72</v>
      </c>
      <c r="U1805" s="10">
        <f>SUM(I1805:T1805)</f>
        <v/>
      </c>
    </row>
    <row r="1806">
      <c r="A1806" s="2" t="inlineStr">
        <is>
          <t>SN-3000-3500-3500-3500CO0001</t>
        </is>
      </c>
      <c r="B1806" s="2" t="inlineStr">
        <is>
          <t>3500CO0001</t>
        </is>
      </c>
      <c r="C1806" s="2" t="inlineStr">
        <is>
          <t>Colector de mercurio</t>
        </is>
      </c>
      <c r="D1806" s="2" t="n">
        <v>602</v>
      </c>
      <c r="E1806" s="2" t="inlineStr">
        <is>
          <t>CC-3000</t>
        </is>
      </c>
      <c r="F1806" s="2" t="inlineStr">
        <is>
          <t>P01</t>
        </is>
      </c>
      <c r="G1806" s="2" t="n">
        <v>620000</v>
      </c>
      <c r="H1806" s="2" t="inlineStr">
        <is>
          <t>Materiales</t>
        </is>
      </c>
      <c r="I1806" s="9" t="n">
        <v>2167</v>
      </c>
      <c r="J1806" s="9" t="n">
        <v>2038.27</v>
      </c>
      <c r="K1806" s="9" t="n">
        <v>2233.93</v>
      </c>
      <c r="L1806" s="9" t="n">
        <v>2183.53</v>
      </c>
      <c r="M1806" s="9" t="n">
        <v>2210.55</v>
      </c>
      <c r="N1806" s="9" t="n">
        <v>1984.14</v>
      </c>
      <c r="O1806" s="9" t="n">
        <v>2048.68</v>
      </c>
      <c r="P1806" s="9" t="n">
        <v>1999.7</v>
      </c>
      <c r="Q1806" s="9" t="n">
        <v>1921.54</v>
      </c>
      <c r="R1806" s="9" t="n">
        <v>2367.69</v>
      </c>
      <c r="S1806" s="9" t="n">
        <v>1858.89</v>
      </c>
      <c r="T1806" s="9" t="n">
        <v>2263.43</v>
      </c>
      <c r="U1806" s="10">
        <f>SUM(I1806:T1806)</f>
        <v/>
      </c>
    </row>
    <row r="1807">
      <c r="A1807" s="2" t="inlineStr">
        <is>
          <t>SN-3000-3500-3500-3500CO0001</t>
        </is>
      </c>
      <c r="B1807" s="2" t="inlineStr">
        <is>
          <t>3500CO0001</t>
        </is>
      </c>
      <c r="C1807" s="2" t="inlineStr">
        <is>
          <t>Colector de mercurio</t>
        </is>
      </c>
      <c r="D1807" s="2" t="n">
        <v>602</v>
      </c>
      <c r="E1807" s="2" t="inlineStr">
        <is>
          <t>CC-3000</t>
        </is>
      </c>
      <c r="F1807" s="2" t="inlineStr">
        <is>
          <t>P01</t>
        </is>
      </c>
      <c r="G1807" s="2" t="n">
        <v>630000</v>
      </c>
      <c r="H1807" s="2" t="inlineStr">
        <is>
          <t>Servicios externos</t>
        </is>
      </c>
      <c r="I1807" s="9" t="n">
        <v>2982.91</v>
      </c>
      <c r="J1807" s="9" t="n">
        <v>2757.04</v>
      </c>
      <c r="K1807" s="9" t="n">
        <v>2836.48</v>
      </c>
      <c r="L1807" s="9" t="n">
        <v>2835.24</v>
      </c>
      <c r="M1807" s="9" t="n">
        <v>2642.26</v>
      </c>
      <c r="N1807" s="9" t="n">
        <v>2739.62</v>
      </c>
      <c r="O1807" s="9" t="n">
        <v>2674.41</v>
      </c>
      <c r="P1807" s="9" t="n">
        <v>2975.31</v>
      </c>
      <c r="Q1807" s="9" t="n">
        <v>2623.22</v>
      </c>
      <c r="R1807" s="9" t="n">
        <v>2953.35</v>
      </c>
      <c r="S1807" s="9" t="n">
        <v>2805.08</v>
      </c>
      <c r="T1807" s="9" t="n">
        <v>3141</v>
      </c>
      <c r="U1807" s="10">
        <f>SUM(I1807:T1807)</f>
        <v/>
      </c>
    </row>
    <row r="1808">
      <c r="A1808" s="2" t="inlineStr">
        <is>
          <t>SN-3000-3500-3500-3500CO0002</t>
        </is>
      </c>
      <c r="B1808" s="2" t="inlineStr">
        <is>
          <t>3500CO0002</t>
        </is>
      </c>
      <c r="C1808" s="2" t="inlineStr">
        <is>
          <t>Colector de mercurio</t>
        </is>
      </c>
      <c r="D1808" s="2" t="n">
        <v>603</v>
      </c>
      <c r="E1808" s="2" t="inlineStr">
        <is>
          <t>CC-3000</t>
        </is>
      </c>
      <c r="F1808" s="2" t="inlineStr">
        <is>
          <t>P01</t>
        </is>
      </c>
      <c r="G1808" s="2" t="n">
        <v>610000</v>
      </c>
      <c r="H1808" s="2" t="inlineStr">
        <is>
          <t>Mano obra interna</t>
        </is>
      </c>
      <c r="I1808" s="9" t="n">
        <v>2461.77</v>
      </c>
      <c r="J1808" s="9" t="n">
        <v>2483.49</v>
      </c>
      <c r="K1808" s="9" t="n">
        <v>2585.74</v>
      </c>
      <c r="L1808" s="9" t="n">
        <v>2622.6</v>
      </c>
      <c r="M1808" s="9" t="n">
        <v>2276.79</v>
      </c>
      <c r="N1808" s="9" t="n">
        <v>2441.16</v>
      </c>
      <c r="O1808" s="9" t="n">
        <v>2338.87</v>
      </c>
      <c r="P1808" s="9" t="n">
        <v>2583.13</v>
      </c>
      <c r="Q1808" s="9" t="n">
        <v>2169.04</v>
      </c>
      <c r="R1808" s="9" t="n">
        <v>2781.9</v>
      </c>
      <c r="S1808" s="9" t="n">
        <v>2511.03</v>
      </c>
      <c r="T1808" s="9" t="n">
        <v>2311.54</v>
      </c>
      <c r="U1808" s="10">
        <f>SUM(I1808:T1808)</f>
        <v/>
      </c>
    </row>
    <row r="1809">
      <c r="A1809" s="2" t="inlineStr">
        <is>
          <t>SN-3000-3500-3500-3500CO0002</t>
        </is>
      </c>
      <c r="B1809" s="2" t="inlineStr">
        <is>
          <t>3500CO0002</t>
        </is>
      </c>
      <c r="C1809" s="2" t="inlineStr">
        <is>
          <t>Colector de mercurio</t>
        </is>
      </c>
      <c r="D1809" s="2" t="n">
        <v>603</v>
      </c>
      <c r="E1809" s="2" t="inlineStr">
        <is>
          <t>CC-3000</t>
        </is>
      </c>
      <c r="F1809" s="2" t="inlineStr">
        <is>
          <t>P01</t>
        </is>
      </c>
      <c r="G1809" s="2" t="n">
        <v>620000</v>
      </c>
      <c r="H1809" s="2" t="inlineStr">
        <is>
          <t>Materiales</t>
        </is>
      </c>
      <c r="I1809" s="9" t="n">
        <v>2466.71</v>
      </c>
      <c r="J1809" s="9" t="n">
        <v>2433.93</v>
      </c>
      <c r="K1809" s="9" t="n">
        <v>2645.91</v>
      </c>
      <c r="L1809" s="9" t="n">
        <v>2853.81</v>
      </c>
      <c r="M1809" s="9" t="n">
        <v>2556.42</v>
      </c>
      <c r="N1809" s="9" t="n">
        <v>2494.14</v>
      </c>
      <c r="O1809" s="9" t="n">
        <v>2669.59</v>
      </c>
      <c r="P1809" s="9" t="n">
        <v>2779.7</v>
      </c>
      <c r="Q1809" s="9" t="n">
        <v>2518.21</v>
      </c>
      <c r="R1809" s="9" t="n">
        <v>2667.66</v>
      </c>
      <c r="S1809" s="9" t="n">
        <v>2426.26</v>
      </c>
      <c r="T1809" s="9" t="n">
        <v>2457.22</v>
      </c>
      <c r="U1809" s="10">
        <f>SUM(I1809:T1809)</f>
        <v/>
      </c>
    </row>
    <row r="1810">
      <c r="A1810" s="2" t="inlineStr">
        <is>
          <t>SN-3000-3500-3500-3500CO0002</t>
        </is>
      </c>
      <c r="B1810" s="2" t="inlineStr">
        <is>
          <t>3500CO0002</t>
        </is>
      </c>
      <c r="C1810" s="2" t="inlineStr">
        <is>
          <t>Colector de mercurio</t>
        </is>
      </c>
      <c r="D1810" s="2" t="n">
        <v>603</v>
      </c>
      <c r="E1810" s="2" t="inlineStr">
        <is>
          <t>CC-3000</t>
        </is>
      </c>
      <c r="F1810" s="2" t="inlineStr">
        <is>
          <t>P01</t>
        </is>
      </c>
      <c r="G1810" s="2" t="n">
        <v>630000</v>
      </c>
      <c r="H1810" s="2" t="inlineStr">
        <is>
          <t>Servicios externos</t>
        </is>
      </c>
      <c r="I1810" s="9" t="n">
        <v>2311.26</v>
      </c>
      <c r="J1810" s="9" t="n">
        <v>2258.61</v>
      </c>
      <c r="K1810" s="9" t="n">
        <v>2614.29</v>
      </c>
      <c r="L1810" s="9" t="n">
        <v>2370.95</v>
      </c>
      <c r="M1810" s="9" t="n">
        <v>2386.45</v>
      </c>
      <c r="N1810" s="9" t="n">
        <v>2243.74</v>
      </c>
      <c r="O1810" s="9" t="n">
        <v>2224.34</v>
      </c>
      <c r="P1810" s="9" t="n">
        <v>2331.85</v>
      </c>
      <c r="Q1810" s="9" t="n">
        <v>2188.35</v>
      </c>
      <c r="R1810" s="9" t="n">
        <v>2735.97</v>
      </c>
      <c r="S1810" s="9" t="n">
        <v>2244.87</v>
      </c>
      <c r="T1810" s="9" t="n">
        <v>2374.59</v>
      </c>
      <c r="U1810" s="10">
        <f>SUM(I1810:T1810)</f>
        <v/>
      </c>
    </row>
    <row r="1811">
      <c r="A1811" s="2" t="inlineStr">
        <is>
          <t>SN-3000-3500-3500-3500CP0001</t>
        </is>
      </c>
      <c r="B1811" s="2" t="inlineStr">
        <is>
          <t>3500CP0001</t>
        </is>
      </c>
      <c r="C1811" s="2" t="inlineStr">
        <is>
          <t>Gabinete PLC retorta mercurio 1</t>
        </is>
      </c>
      <c r="D1811" s="2" t="n">
        <v>604</v>
      </c>
      <c r="E1811" s="2" t="inlineStr">
        <is>
          <t>CC-3000</t>
        </is>
      </c>
      <c r="F1811" s="2" t="inlineStr">
        <is>
          <t>P01</t>
        </is>
      </c>
      <c r="G1811" s="2" t="n">
        <v>610000</v>
      </c>
      <c r="H1811" s="2" t="inlineStr">
        <is>
          <t>Mano obra interna</t>
        </is>
      </c>
      <c r="I1811" s="9" t="n">
        <v>2141.06</v>
      </c>
      <c r="J1811" s="9" t="n">
        <v>2078.06</v>
      </c>
      <c r="K1811" s="9" t="n">
        <v>2228.46</v>
      </c>
      <c r="L1811" s="9" t="n">
        <v>2155.62</v>
      </c>
      <c r="M1811" s="9" t="n">
        <v>1963.6</v>
      </c>
      <c r="N1811" s="9" t="n">
        <v>2024.47</v>
      </c>
      <c r="O1811" s="9" t="n">
        <v>2017.6</v>
      </c>
      <c r="P1811" s="9" t="n">
        <v>1940.82</v>
      </c>
      <c r="Q1811" s="9" t="n">
        <v>1815.57</v>
      </c>
      <c r="R1811" s="9" t="n">
        <v>2075.87</v>
      </c>
      <c r="S1811" s="9" t="n">
        <v>1838.84</v>
      </c>
      <c r="T1811" s="9" t="n">
        <v>1940.62</v>
      </c>
      <c r="U1811" s="10">
        <f>SUM(I1811:T1811)</f>
        <v/>
      </c>
    </row>
    <row r="1812">
      <c r="A1812" s="2" t="inlineStr">
        <is>
          <t>SN-3000-3500-3500-3500CP0001</t>
        </is>
      </c>
      <c r="B1812" s="2" t="inlineStr">
        <is>
          <t>3500CP0001</t>
        </is>
      </c>
      <c r="C1812" s="2" t="inlineStr">
        <is>
          <t>Gabinete PLC retorta mercurio 1</t>
        </is>
      </c>
      <c r="D1812" s="2" t="n">
        <v>604</v>
      </c>
      <c r="E1812" s="2" t="inlineStr">
        <is>
          <t>CC-3000</t>
        </is>
      </c>
      <c r="F1812" s="2" t="inlineStr">
        <is>
          <t>P01</t>
        </is>
      </c>
      <c r="G1812" s="2" t="n">
        <v>620000</v>
      </c>
      <c r="H1812" s="2" t="inlineStr">
        <is>
          <t>Materiales</t>
        </is>
      </c>
      <c r="I1812" s="9" t="n">
        <v>1708.01</v>
      </c>
      <c r="J1812" s="9" t="n">
        <v>1658.36</v>
      </c>
      <c r="K1812" s="9" t="n">
        <v>1647.63</v>
      </c>
      <c r="L1812" s="9" t="n">
        <v>1697.66</v>
      </c>
      <c r="M1812" s="9" t="n">
        <v>1480.01</v>
      </c>
      <c r="N1812" s="9" t="n">
        <v>1602.81</v>
      </c>
      <c r="O1812" s="9" t="n">
        <v>1577.54</v>
      </c>
      <c r="P1812" s="9" t="n">
        <v>1465.04</v>
      </c>
      <c r="Q1812" s="9" t="n">
        <v>1382.19</v>
      </c>
      <c r="R1812" s="9" t="n">
        <v>1646.85</v>
      </c>
      <c r="S1812" s="9" t="n">
        <v>1413.55</v>
      </c>
      <c r="T1812" s="9" t="n">
        <v>1549.84</v>
      </c>
      <c r="U1812" s="10">
        <f>SUM(I1812:T1812)</f>
        <v/>
      </c>
    </row>
    <row r="1813">
      <c r="A1813" s="2" t="inlineStr">
        <is>
          <t>SN-3000-3500-3500-3500CP0001</t>
        </is>
      </c>
      <c r="B1813" s="2" t="inlineStr">
        <is>
          <t>3500CP0001</t>
        </is>
      </c>
      <c r="C1813" s="2" t="inlineStr">
        <is>
          <t>Gabinete PLC retorta mercurio 1</t>
        </is>
      </c>
      <c r="D1813" s="2" t="n">
        <v>604</v>
      </c>
      <c r="E1813" s="2" t="inlineStr">
        <is>
          <t>CC-3000</t>
        </is>
      </c>
      <c r="F1813" s="2" t="inlineStr">
        <is>
          <t>P01</t>
        </is>
      </c>
      <c r="G1813" s="2" t="n">
        <v>630000</v>
      </c>
      <c r="H1813" s="2" t="inlineStr">
        <is>
          <t>Servicios externos</t>
        </is>
      </c>
      <c r="I1813" s="9" t="n">
        <v>1540.69</v>
      </c>
      <c r="J1813" s="9" t="n">
        <v>1493.74</v>
      </c>
      <c r="K1813" s="9" t="n">
        <v>1754.24</v>
      </c>
      <c r="L1813" s="9" t="n">
        <v>1542.38</v>
      </c>
      <c r="M1813" s="9" t="n">
        <v>1494.41</v>
      </c>
      <c r="N1813" s="9" t="n">
        <v>1551.59</v>
      </c>
      <c r="O1813" s="9" t="n">
        <v>1667.15</v>
      </c>
      <c r="P1813" s="9" t="n">
        <v>1546.16</v>
      </c>
      <c r="Q1813" s="9" t="n">
        <v>1555.02</v>
      </c>
      <c r="R1813" s="9" t="n">
        <v>1655.9</v>
      </c>
      <c r="S1813" s="9" t="n">
        <v>1451.51</v>
      </c>
      <c r="T1813" s="9" t="n">
        <v>1555.59</v>
      </c>
      <c r="U1813" s="10">
        <f>SUM(I1813:T1813)</f>
        <v/>
      </c>
    </row>
    <row r="1814">
      <c r="A1814" s="2" t="inlineStr">
        <is>
          <t>SN-3000-3500-3500-3500CP0002</t>
        </is>
      </c>
      <c r="B1814" s="2" t="inlineStr">
        <is>
          <t>3500CP0002</t>
        </is>
      </c>
      <c r="C1814" s="2" t="inlineStr">
        <is>
          <t>Gabinete PLC retorta mercurio 2</t>
        </is>
      </c>
      <c r="D1814" s="2" t="n">
        <v>605</v>
      </c>
      <c r="E1814" s="2" t="inlineStr">
        <is>
          <t>CC-3000</t>
        </is>
      </c>
      <c r="F1814" s="2" t="inlineStr">
        <is>
          <t>P01</t>
        </is>
      </c>
      <c r="G1814" s="2" t="n">
        <v>610000</v>
      </c>
      <c r="H1814" s="2" t="inlineStr">
        <is>
          <t>Mano obra interna</t>
        </is>
      </c>
      <c r="I1814" s="9" t="n">
        <v>2158.68</v>
      </c>
      <c r="J1814" s="9" t="n">
        <v>2186.67</v>
      </c>
      <c r="K1814" s="9" t="n">
        <v>2135.08</v>
      </c>
      <c r="L1814" s="9" t="n">
        <v>2279.17</v>
      </c>
      <c r="M1814" s="9" t="n">
        <v>2085.99</v>
      </c>
      <c r="N1814" s="9" t="n">
        <v>2051.03</v>
      </c>
      <c r="O1814" s="9" t="n">
        <v>2181.48</v>
      </c>
      <c r="P1814" s="9" t="n">
        <v>2223.24</v>
      </c>
      <c r="Q1814" s="9" t="n">
        <v>1927.11</v>
      </c>
      <c r="R1814" s="9" t="n">
        <v>2455.21</v>
      </c>
      <c r="S1814" s="9" t="n">
        <v>2165.77</v>
      </c>
      <c r="T1814" s="9" t="n">
        <v>2099.32</v>
      </c>
      <c r="U1814" s="10">
        <f>SUM(I1814:T1814)</f>
        <v/>
      </c>
    </row>
    <row r="1815">
      <c r="A1815" s="2" t="inlineStr">
        <is>
          <t>SN-3000-3500-3500-3500CP0002</t>
        </is>
      </c>
      <c r="B1815" s="2" t="inlineStr">
        <is>
          <t>3500CP0002</t>
        </is>
      </c>
      <c r="C1815" s="2" t="inlineStr">
        <is>
          <t>Gabinete PLC retorta mercurio 2</t>
        </is>
      </c>
      <c r="D1815" s="2" t="n">
        <v>605</v>
      </c>
      <c r="E1815" s="2" t="inlineStr">
        <is>
          <t>CC-3000</t>
        </is>
      </c>
      <c r="F1815" s="2" t="inlineStr">
        <is>
          <t>P01</t>
        </is>
      </c>
      <c r="G1815" s="2" t="n">
        <v>620000</v>
      </c>
      <c r="H1815" s="2" t="inlineStr">
        <is>
          <t>Materiales</t>
        </is>
      </c>
      <c r="I1815" s="9" t="n">
        <v>2453.9</v>
      </c>
      <c r="J1815" s="9" t="n">
        <v>2289.02</v>
      </c>
      <c r="K1815" s="9" t="n">
        <v>2283.75</v>
      </c>
      <c r="L1815" s="9" t="n">
        <v>2406.39</v>
      </c>
      <c r="M1815" s="9" t="n">
        <v>2193.49</v>
      </c>
      <c r="N1815" s="9" t="n">
        <v>2213.89</v>
      </c>
      <c r="O1815" s="9" t="n">
        <v>2308.87</v>
      </c>
      <c r="P1815" s="9" t="n">
        <v>2422.64</v>
      </c>
      <c r="Q1815" s="9" t="n">
        <v>2072.84</v>
      </c>
      <c r="R1815" s="9" t="n">
        <v>2655.79</v>
      </c>
      <c r="S1815" s="9" t="n">
        <v>2204.17</v>
      </c>
      <c r="T1815" s="9" t="n">
        <v>2355.51</v>
      </c>
      <c r="U1815" s="10">
        <f>SUM(I1815:T1815)</f>
        <v/>
      </c>
    </row>
    <row r="1816">
      <c r="A1816" s="2" t="inlineStr">
        <is>
          <t>SN-3000-3500-3500-3500CP0002</t>
        </is>
      </c>
      <c r="B1816" s="2" t="inlineStr">
        <is>
          <t>3500CP0002</t>
        </is>
      </c>
      <c r="C1816" s="2" t="inlineStr">
        <is>
          <t>Gabinete PLC retorta mercurio 2</t>
        </is>
      </c>
      <c r="D1816" s="2" t="n">
        <v>605</v>
      </c>
      <c r="E1816" s="2" t="inlineStr">
        <is>
          <t>CC-3000</t>
        </is>
      </c>
      <c r="F1816" s="2" t="inlineStr">
        <is>
          <t>P01</t>
        </is>
      </c>
      <c r="G1816" s="2" t="n">
        <v>630000</v>
      </c>
      <c r="H1816" s="2" t="inlineStr">
        <is>
          <t>Servicios externos</t>
        </is>
      </c>
      <c r="I1816" s="9" t="n">
        <v>2322.18</v>
      </c>
      <c r="J1816" s="9" t="n">
        <v>2128.79</v>
      </c>
      <c r="K1816" s="9" t="n">
        <v>2258.69</v>
      </c>
      <c r="L1816" s="9" t="n">
        <v>2208.36</v>
      </c>
      <c r="M1816" s="9" t="n">
        <v>2240.42</v>
      </c>
      <c r="N1816" s="9" t="n">
        <v>2074.95</v>
      </c>
      <c r="O1816" s="9" t="n">
        <v>2311.59</v>
      </c>
      <c r="P1816" s="9" t="n">
        <v>2256.8</v>
      </c>
      <c r="Q1816" s="9" t="n">
        <v>1958.2</v>
      </c>
      <c r="R1816" s="9" t="n">
        <v>2331.9</v>
      </c>
      <c r="S1816" s="9" t="n">
        <v>2062.59</v>
      </c>
      <c r="T1816" s="9" t="n">
        <v>2223.41</v>
      </c>
      <c r="U1816" s="10">
        <f>SUM(I1816:T1816)</f>
        <v/>
      </c>
    </row>
    <row r="1817">
      <c r="A1817" s="2" t="inlineStr">
        <is>
          <t>SN-3000-3500-3500-3500CP0003</t>
        </is>
      </c>
      <c r="B1817" s="2" t="inlineStr">
        <is>
          <t>3500CP0003</t>
        </is>
      </c>
      <c r="C1817" s="2" t="inlineStr">
        <is>
          <t>Gabinete PLC horno fundición 1</t>
        </is>
      </c>
      <c r="D1817" s="2" t="n">
        <v>606</v>
      </c>
      <c r="E1817" s="2" t="inlineStr">
        <is>
          <t>CC-3000</t>
        </is>
      </c>
      <c r="F1817" s="2" t="inlineStr">
        <is>
          <t>P01</t>
        </is>
      </c>
      <c r="G1817" s="2" t="n">
        <v>610000</v>
      </c>
      <c r="H1817" s="2" t="inlineStr">
        <is>
          <t>Mano obra interna</t>
        </is>
      </c>
      <c r="I1817" s="9" t="n">
        <v>908.83</v>
      </c>
      <c r="J1817" s="9" t="n">
        <v>911.51</v>
      </c>
      <c r="K1817" s="9" t="n">
        <v>871.8200000000001</v>
      </c>
      <c r="L1817" s="9" t="n">
        <v>973.84</v>
      </c>
      <c r="M1817" s="9" t="n">
        <v>857.98</v>
      </c>
      <c r="N1817" s="9" t="n">
        <v>823.0599999999999</v>
      </c>
      <c r="O1817" s="9" t="n">
        <v>916.0700000000001</v>
      </c>
      <c r="P1817" s="9" t="n">
        <v>932.08</v>
      </c>
      <c r="Q1817" s="9" t="n">
        <v>811.74</v>
      </c>
      <c r="R1817" s="9" t="n">
        <v>996.9299999999999</v>
      </c>
      <c r="S1817" s="9" t="n">
        <v>913.76</v>
      </c>
      <c r="T1817" s="9" t="n">
        <v>941.04</v>
      </c>
      <c r="U1817" s="10">
        <f>SUM(I1817:T1817)</f>
        <v/>
      </c>
    </row>
    <row r="1818">
      <c r="A1818" s="2" t="inlineStr">
        <is>
          <t>SN-3000-3500-3500-3500CP0003</t>
        </is>
      </c>
      <c r="B1818" s="2" t="inlineStr">
        <is>
          <t>3500CP0003</t>
        </is>
      </c>
      <c r="C1818" s="2" t="inlineStr">
        <is>
          <t>Gabinete PLC horno fundición 1</t>
        </is>
      </c>
      <c r="D1818" s="2" t="n">
        <v>606</v>
      </c>
      <c r="E1818" s="2" t="inlineStr">
        <is>
          <t>CC-3000</t>
        </is>
      </c>
      <c r="F1818" s="2" t="inlineStr">
        <is>
          <t>P01</t>
        </is>
      </c>
      <c r="G1818" s="2" t="n">
        <v>620000</v>
      </c>
      <c r="H1818" s="2" t="inlineStr">
        <is>
          <t>Materiales</t>
        </is>
      </c>
      <c r="I1818" s="9" t="n">
        <v>805.5599999999999</v>
      </c>
      <c r="J1818" s="9" t="n">
        <v>770.92</v>
      </c>
      <c r="K1818" s="9" t="n">
        <v>794.52</v>
      </c>
      <c r="L1818" s="9" t="n">
        <v>798.25</v>
      </c>
      <c r="M1818" s="9" t="n">
        <v>799.01</v>
      </c>
      <c r="N1818" s="9" t="n">
        <v>709</v>
      </c>
      <c r="O1818" s="9" t="n">
        <v>698.23</v>
      </c>
      <c r="P1818" s="9" t="n">
        <v>744.59</v>
      </c>
      <c r="Q1818" s="9" t="n">
        <v>647.35</v>
      </c>
      <c r="R1818" s="9" t="n">
        <v>782.02</v>
      </c>
      <c r="S1818" s="9" t="n">
        <v>735.98</v>
      </c>
      <c r="T1818" s="9" t="n">
        <v>737.79</v>
      </c>
      <c r="U1818" s="10">
        <f>SUM(I1818:T1818)</f>
        <v/>
      </c>
    </row>
    <row r="1819">
      <c r="A1819" s="2" t="inlineStr">
        <is>
          <t>SN-3000-3500-3500-3500CP0003</t>
        </is>
      </c>
      <c r="B1819" s="2" t="inlineStr">
        <is>
          <t>3500CP0003</t>
        </is>
      </c>
      <c r="C1819" s="2" t="inlineStr">
        <is>
          <t>Gabinete PLC horno fundición 1</t>
        </is>
      </c>
      <c r="D1819" s="2" t="n">
        <v>606</v>
      </c>
      <c r="E1819" s="2" t="inlineStr">
        <is>
          <t>CC-3000</t>
        </is>
      </c>
      <c r="F1819" s="2" t="inlineStr">
        <is>
          <t>P01</t>
        </is>
      </c>
      <c r="G1819" s="2" t="n">
        <v>630000</v>
      </c>
      <c r="H1819" s="2" t="inlineStr">
        <is>
          <t>Servicios externos</t>
        </is>
      </c>
      <c r="I1819" s="9" t="n">
        <v>980.14</v>
      </c>
      <c r="J1819" s="9" t="n">
        <v>887.8099999999999</v>
      </c>
      <c r="K1819" s="9" t="n">
        <v>1002.29</v>
      </c>
      <c r="L1819" s="9" t="n">
        <v>870.48</v>
      </c>
      <c r="M1819" s="9" t="n">
        <v>952.8200000000001</v>
      </c>
      <c r="N1819" s="9" t="n">
        <v>918.87</v>
      </c>
      <c r="O1819" s="9" t="n">
        <v>887.48</v>
      </c>
      <c r="P1819" s="9" t="n">
        <v>883.02</v>
      </c>
      <c r="Q1819" s="9" t="n">
        <v>823.46</v>
      </c>
      <c r="R1819" s="9" t="n">
        <v>1033.76</v>
      </c>
      <c r="S1819" s="9" t="n">
        <v>930.83</v>
      </c>
      <c r="T1819" s="9" t="n">
        <v>901.4</v>
      </c>
      <c r="U1819" s="10">
        <f>SUM(I1819:T1819)</f>
        <v/>
      </c>
    </row>
    <row r="1820">
      <c r="A1820" s="2" t="inlineStr">
        <is>
          <t>SN-3000-3500-3500-3500CP0004</t>
        </is>
      </c>
      <c r="B1820" s="2" t="inlineStr">
        <is>
          <t>3500CP0004</t>
        </is>
      </c>
      <c r="C1820" s="2" t="inlineStr">
        <is>
          <t>Gabinete PLC horno fundición 2</t>
        </is>
      </c>
      <c r="D1820" s="2" t="n">
        <v>607</v>
      </c>
      <c r="E1820" s="2" t="inlineStr">
        <is>
          <t>CC-3000</t>
        </is>
      </c>
      <c r="F1820" s="2" t="inlineStr">
        <is>
          <t>P01</t>
        </is>
      </c>
      <c r="G1820" s="2" t="n">
        <v>610000</v>
      </c>
      <c r="H1820" s="2" t="inlineStr">
        <is>
          <t>Mano obra interna</t>
        </is>
      </c>
      <c r="I1820" s="9" t="n">
        <v>2111.44</v>
      </c>
      <c r="J1820" s="9" t="n">
        <v>2151.11</v>
      </c>
      <c r="K1820" s="9" t="n">
        <v>2445.33</v>
      </c>
      <c r="L1820" s="9" t="n">
        <v>2121.07</v>
      </c>
      <c r="M1820" s="9" t="n">
        <v>2328.01</v>
      </c>
      <c r="N1820" s="9" t="n">
        <v>2207.59</v>
      </c>
      <c r="O1820" s="9" t="n">
        <v>2362.07</v>
      </c>
      <c r="P1820" s="9" t="n">
        <v>2081.05</v>
      </c>
      <c r="Q1820" s="9" t="n">
        <v>1949.74</v>
      </c>
      <c r="R1820" s="9" t="n">
        <v>2184.3</v>
      </c>
      <c r="S1820" s="9" t="n">
        <v>2201.44</v>
      </c>
      <c r="T1820" s="9" t="n">
        <v>2279.1</v>
      </c>
      <c r="U1820" s="10">
        <f>SUM(I1820:T1820)</f>
        <v/>
      </c>
    </row>
    <row r="1821">
      <c r="A1821" s="2" t="inlineStr">
        <is>
          <t>SN-3000-3500-3500-3500CP0004</t>
        </is>
      </c>
      <c r="B1821" s="2" t="inlineStr">
        <is>
          <t>3500CP0004</t>
        </is>
      </c>
      <c r="C1821" s="2" t="inlineStr">
        <is>
          <t>Gabinete PLC horno fundición 2</t>
        </is>
      </c>
      <c r="D1821" s="2" t="n">
        <v>607</v>
      </c>
      <c r="E1821" s="2" t="inlineStr">
        <is>
          <t>CC-3000</t>
        </is>
      </c>
      <c r="F1821" s="2" t="inlineStr">
        <is>
          <t>P01</t>
        </is>
      </c>
      <c r="G1821" s="2" t="n">
        <v>620000</v>
      </c>
      <c r="H1821" s="2" t="inlineStr">
        <is>
          <t>Materiales</t>
        </is>
      </c>
      <c r="I1821" s="9" t="n">
        <v>2014.67</v>
      </c>
      <c r="J1821" s="9" t="n">
        <v>1797.47</v>
      </c>
      <c r="K1821" s="9" t="n">
        <v>1831.75</v>
      </c>
      <c r="L1821" s="9" t="n">
        <v>1903.38</v>
      </c>
      <c r="M1821" s="9" t="n">
        <v>1744.05</v>
      </c>
      <c r="N1821" s="9" t="n">
        <v>1734.55</v>
      </c>
      <c r="O1821" s="9" t="n">
        <v>1847.7</v>
      </c>
      <c r="P1821" s="9" t="n">
        <v>1990.36</v>
      </c>
      <c r="Q1821" s="9" t="n">
        <v>1837.51</v>
      </c>
      <c r="R1821" s="9" t="n">
        <v>2014.95</v>
      </c>
      <c r="S1821" s="9" t="n">
        <v>1891.06</v>
      </c>
      <c r="T1821" s="9" t="n">
        <v>1934.71</v>
      </c>
      <c r="U1821" s="10">
        <f>SUM(I1821:T1821)</f>
        <v/>
      </c>
    </row>
    <row r="1822">
      <c r="A1822" s="2" t="inlineStr">
        <is>
          <t>SN-3000-3500-3500-3500CP0004</t>
        </is>
      </c>
      <c r="B1822" s="2" t="inlineStr">
        <is>
          <t>3500CP0004</t>
        </is>
      </c>
      <c r="C1822" s="2" t="inlineStr">
        <is>
          <t>Gabinete PLC horno fundición 2</t>
        </is>
      </c>
      <c r="D1822" s="2" t="n">
        <v>607</v>
      </c>
      <c r="E1822" s="2" t="inlineStr">
        <is>
          <t>CC-3000</t>
        </is>
      </c>
      <c r="F1822" s="2" t="inlineStr">
        <is>
          <t>P01</t>
        </is>
      </c>
      <c r="G1822" s="2" t="n">
        <v>630000</v>
      </c>
      <c r="H1822" s="2" t="inlineStr">
        <is>
          <t>Servicios externos</t>
        </is>
      </c>
      <c r="I1822" s="9" t="n">
        <v>2075.99</v>
      </c>
      <c r="J1822" s="9" t="n">
        <v>1989.7</v>
      </c>
      <c r="K1822" s="9" t="n">
        <v>2063.35</v>
      </c>
      <c r="L1822" s="9" t="n">
        <v>2043.79</v>
      </c>
      <c r="M1822" s="9" t="n">
        <v>1999.23</v>
      </c>
      <c r="N1822" s="9" t="n">
        <v>1841.78</v>
      </c>
      <c r="O1822" s="9" t="n">
        <v>2079.5</v>
      </c>
      <c r="P1822" s="9" t="n">
        <v>1855.23</v>
      </c>
      <c r="Q1822" s="9" t="n">
        <v>1939.22</v>
      </c>
      <c r="R1822" s="9" t="n">
        <v>2063.18</v>
      </c>
      <c r="S1822" s="9" t="n">
        <v>1786</v>
      </c>
      <c r="T1822" s="9" t="n">
        <v>2023.68</v>
      </c>
      <c r="U1822" s="10">
        <f>SUM(I1822:T1822)</f>
        <v/>
      </c>
    </row>
    <row r="1823">
      <c r="A1823" s="2" t="inlineStr">
        <is>
          <t>SN-3000-3500-3500-3500CP0005</t>
        </is>
      </c>
      <c r="B1823" s="2" t="inlineStr">
        <is>
          <t>3500CP0005</t>
        </is>
      </c>
      <c r="C1823" s="2" t="inlineStr">
        <is>
          <t>Gabinete PLC enfriador 1</t>
        </is>
      </c>
      <c r="D1823" s="2" t="n">
        <v>608</v>
      </c>
      <c r="E1823" s="2" t="inlineStr">
        <is>
          <t>CC-3000</t>
        </is>
      </c>
      <c r="F1823" s="2" t="inlineStr">
        <is>
          <t>P01</t>
        </is>
      </c>
      <c r="G1823" s="2" t="n">
        <v>610000</v>
      </c>
      <c r="H1823" s="2" t="inlineStr">
        <is>
          <t>Mano obra interna</t>
        </is>
      </c>
      <c r="I1823" s="9" t="n">
        <v>2721.12</v>
      </c>
      <c r="J1823" s="9" t="n">
        <v>2471.36</v>
      </c>
      <c r="K1823" s="9" t="n">
        <v>2688.35</v>
      </c>
      <c r="L1823" s="9" t="n">
        <v>2513.84</v>
      </c>
      <c r="M1823" s="9" t="n">
        <v>2394.47</v>
      </c>
      <c r="N1823" s="9" t="n">
        <v>2382.53</v>
      </c>
      <c r="O1823" s="9" t="n">
        <v>2581.99</v>
      </c>
      <c r="P1823" s="9" t="n">
        <v>2599.24</v>
      </c>
      <c r="Q1823" s="9" t="n">
        <v>2391.62</v>
      </c>
      <c r="R1823" s="9" t="n">
        <v>2950.15</v>
      </c>
      <c r="S1823" s="9" t="n">
        <v>2531.53</v>
      </c>
      <c r="T1823" s="9" t="n">
        <v>2752.93</v>
      </c>
      <c r="U1823" s="10">
        <f>SUM(I1823:T1823)</f>
        <v/>
      </c>
    </row>
    <row r="1824">
      <c r="A1824" s="2" t="inlineStr">
        <is>
          <t>SN-3000-3500-3500-3500CP0005</t>
        </is>
      </c>
      <c r="B1824" s="2" t="inlineStr">
        <is>
          <t>3500CP0005</t>
        </is>
      </c>
      <c r="C1824" s="2" t="inlineStr">
        <is>
          <t>Gabinete PLC enfriador 1</t>
        </is>
      </c>
      <c r="D1824" s="2" t="n">
        <v>608</v>
      </c>
      <c r="E1824" s="2" t="inlineStr">
        <is>
          <t>CC-3000</t>
        </is>
      </c>
      <c r="F1824" s="2" t="inlineStr">
        <is>
          <t>P01</t>
        </is>
      </c>
      <c r="G1824" s="2" t="n">
        <v>620000</v>
      </c>
      <c r="H1824" s="2" t="inlineStr">
        <is>
          <t>Materiales</t>
        </is>
      </c>
      <c r="I1824" s="9" t="n">
        <v>2206.49</v>
      </c>
      <c r="J1824" s="9" t="n">
        <v>2220.14</v>
      </c>
      <c r="K1824" s="9" t="n">
        <v>2258.69</v>
      </c>
      <c r="L1824" s="9" t="n">
        <v>2385.65</v>
      </c>
      <c r="M1824" s="9" t="n">
        <v>2307.52</v>
      </c>
      <c r="N1824" s="9" t="n">
        <v>2249.14</v>
      </c>
      <c r="O1824" s="9" t="n">
        <v>2416.88</v>
      </c>
      <c r="P1824" s="9" t="n">
        <v>2498.01</v>
      </c>
      <c r="Q1824" s="9" t="n">
        <v>2294.85</v>
      </c>
      <c r="R1824" s="9" t="n">
        <v>2353.81</v>
      </c>
      <c r="S1824" s="9" t="n">
        <v>2192.19</v>
      </c>
      <c r="T1824" s="9" t="n">
        <v>2266.92</v>
      </c>
      <c r="U1824" s="10">
        <f>SUM(I1824:T1824)</f>
        <v/>
      </c>
    </row>
    <row r="1825">
      <c r="A1825" s="2" t="inlineStr">
        <is>
          <t>SN-3000-3500-3500-3500CP0005</t>
        </is>
      </c>
      <c r="B1825" s="2" t="inlineStr">
        <is>
          <t>3500CP0005</t>
        </is>
      </c>
      <c r="C1825" s="2" t="inlineStr">
        <is>
          <t>Gabinete PLC enfriador 1</t>
        </is>
      </c>
      <c r="D1825" s="2" t="n">
        <v>608</v>
      </c>
      <c r="E1825" s="2" t="inlineStr">
        <is>
          <t>CC-3000</t>
        </is>
      </c>
      <c r="F1825" s="2" t="inlineStr">
        <is>
          <t>P01</t>
        </is>
      </c>
      <c r="G1825" s="2" t="n">
        <v>630000</v>
      </c>
      <c r="H1825" s="2" t="inlineStr">
        <is>
          <t>Servicios externos</t>
        </is>
      </c>
      <c r="I1825" s="9" t="n">
        <v>2434.88</v>
      </c>
      <c r="J1825" s="9" t="n">
        <v>2352.23</v>
      </c>
      <c r="K1825" s="9" t="n">
        <v>2336.52</v>
      </c>
      <c r="L1825" s="9" t="n">
        <v>2502.48</v>
      </c>
      <c r="M1825" s="9" t="n">
        <v>2431.05</v>
      </c>
      <c r="N1825" s="9" t="n">
        <v>2090.64</v>
      </c>
      <c r="O1825" s="9" t="n">
        <v>2329.76</v>
      </c>
      <c r="P1825" s="9" t="n">
        <v>2514.16</v>
      </c>
      <c r="Q1825" s="9" t="n">
        <v>2211.68</v>
      </c>
      <c r="R1825" s="9" t="n">
        <v>2491.67</v>
      </c>
      <c r="S1825" s="9" t="n">
        <v>2202.22</v>
      </c>
      <c r="T1825" s="9" t="n">
        <v>2304.68</v>
      </c>
      <c r="U1825" s="10">
        <f>SUM(I1825:T1825)</f>
        <v/>
      </c>
    </row>
    <row r="1826">
      <c r="A1826" s="2" t="inlineStr">
        <is>
          <t>SN-3000-3500-3500-3500CP0006</t>
        </is>
      </c>
      <c r="B1826" s="2" t="inlineStr">
        <is>
          <t>3500CP0006</t>
        </is>
      </c>
      <c r="C1826" s="2" t="inlineStr">
        <is>
          <t>Gabinete PLC enfriador 2</t>
        </is>
      </c>
      <c r="D1826" s="2" t="n">
        <v>609</v>
      </c>
      <c r="E1826" s="2" t="inlineStr">
        <is>
          <t>CC-3000</t>
        </is>
      </c>
      <c r="F1826" s="2" t="inlineStr">
        <is>
          <t>P01</t>
        </is>
      </c>
      <c r="G1826" s="2" t="n">
        <v>610000</v>
      </c>
      <c r="H1826" s="2" t="inlineStr">
        <is>
          <t>Mano obra interna</t>
        </is>
      </c>
      <c r="I1826" s="9" t="n">
        <v>2318.87</v>
      </c>
      <c r="J1826" s="9" t="n">
        <v>1988.26</v>
      </c>
      <c r="K1826" s="9" t="n">
        <v>2156.08</v>
      </c>
      <c r="L1826" s="9" t="n">
        <v>2048.84</v>
      </c>
      <c r="M1826" s="9" t="n">
        <v>2235.75</v>
      </c>
      <c r="N1826" s="9" t="n">
        <v>1914.47</v>
      </c>
      <c r="O1826" s="9" t="n">
        <v>2096.44</v>
      </c>
      <c r="P1826" s="9" t="n">
        <v>2185.51</v>
      </c>
      <c r="Q1826" s="9" t="n">
        <v>1983.24</v>
      </c>
      <c r="R1826" s="9" t="n">
        <v>2250.12</v>
      </c>
      <c r="S1826" s="9" t="n">
        <v>2017.48</v>
      </c>
      <c r="T1826" s="9" t="n">
        <v>2298.42</v>
      </c>
      <c r="U1826" s="10">
        <f>SUM(I1826:T1826)</f>
        <v/>
      </c>
    </row>
    <row r="1827">
      <c r="A1827" s="2" t="inlineStr">
        <is>
          <t>SN-3000-3500-3500-3500CP0006</t>
        </is>
      </c>
      <c r="B1827" s="2" t="inlineStr">
        <is>
          <t>3500CP0006</t>
        </is>
      </c>
      <c r="C1827" s="2" t="inlineStr">
        <is>
          <t>Gabinete PLC enfriador 2</t>
        </is>
      </c>
      <c r="D1827" s="2" t="n">
        <v>609</v>
      </c>
      <c r="E1827" s="2" t="inlineStr">
        <is>
          <t>CC-3000</t>
        </is>
      </c>
      <c r="F1827" s="2" t="inlineStr">
        <is>
          <t>P01</t>
        </is>
      </c>
      <c r="G1827" s="2" t="n">
        <v>620000</v>
      </c>
      <c r="H1827" s="2" t="inlineStr">
        <is>
          <t>Materiales</t>
        </is>
      </c>
      <c r="I1827" s="9" t="n">
        <v>2646.9</v>
      </c>
      <c r="J1827" s="9" t="n">
        <v>2424.24</v>
      </c>
      <c r="K1827" s="9" t="n">
        <v>2538.27</v>
      </c>
      <c r="L1827" s="9" t="n">
        <v>2828.7</v>
      </c>
      <c r="M1827" s="9" t="n">
        <v>2652.02</v>
      </c>
      <c r="N1827" s="9" t="n">
        <v>2656</v>
      </c>
      <c r="O1827" s="9" t="n">
        <v>2742.68</v>
      </c>
      <c r="P1827" s="9" t="n">
        <v>2828.62</v>
      </c>
      <c r="Q1827" s="9" t="n">
        <v>2626.48</v>
      </c>
      <c r="R1827" s="9" t="n">
        <v>2998.09</v>
      </c>
      <c r="S1827" s="9" t="n">
        <v>2562.39</v>
      </c>
      <c r="T1827" s="9" t="n">
        <v>2614.13</v>
      </c>
      <c r="U1827" s="10">
        <f>SUM(I1827:T1827)</f>
        <v/>
      </c>
    </row>
    <row r="1828">
      <c r="A1828" s="2" t="inlineStr">
        <is>
          <t>SN-3000-3500-3500-3500CP0006</t>
        </is>
      </c>
      <c r="B1828" s="2" t="inlineStr">
        <is>
          <t>3500CP0006</t>
        </is>
      </c>
      <c r="C1828" s="2" t="inlineStr">
        <is>
          <t>Gabinete PLC enfriador 2</t>
        </is>
      </c>
      <c r="D1828" s="2" t="n">
        <v>609</v>
      </c>
      <c r="E1828" s="2" t="inlineStr">
        <is>
          <t>CC-3000</t>
        </is>
      </c>
      <c r="F1828" s="2" t="inlineStr">
        <is>
          <t>P01</t>
        </is>
      </c>
      <c r="G1828" s="2" t="n">
        <v>630000</v>
      </c>
      <c r="H1828" s="2" t="inlineStr">
        <is>
          <t>Servicios externos</t>
        </is>
      </c>
      <c r="I1828" s="9" t="n">
        <v>2413.55</v>
      </c>
      <c r="J1828" s="9" t="n">
        <v>2368.76</v>
      </c>
      <c r="K1828" s="9" t="n">
        <v>2315.81</v>
      </c>
      <c r="L1828" s="9" t="n">
        <v>2475.73</v>
      </c>
      <c r="M1828" s="9" t="n">
        <v>2322.79</v>
      </c>
      <c r="N1828" s="9" t="n">
        <v>2303.11</v>
      </c>
      <c r="O1828" s="9" t="n">
        <v>2266.04</v>
      </c>
      <c r="P1828" s="9" t="n">
        <v>2336.92</v>
      </c>
      <c r="Q1828" s="9" t="n">
        <v>2098.1</v>
      </c>
      <c r="R1828" s="9" t="n">
        <v>2701.89</v>
      </c>
      <c r="S1828" s="9" t="n">
        <v>2283.59</v>
      </c>
      <c r="T1828" s="9" t="n">
        <v>2293.03</v>
      </c>
      <c r="U1828" s="10">
        <f>SUM(I1828:T1828)</f>
        <v/>
      </c>
    </row>
    <row r="1829">
      <c r="A1829" s="2" t="inlineStr">
        <is>
          <t>SN-3000-3500-3500-3500CP0007</t>
        </is>
      </c>
      <c r="B1829" s="2" t="inlineStr">
        <is>
          <t>3500CP0007</t>
        </is>
      </c>
      <c r="C1829" s="2" t="inlineStr">
        <is>
          <t>Gabinete PLC enfriador 3</t>
        </is>
      </c>
      <c r="D1829" s="2" t="n">
        <v>610</v>
      </c>
      <c r="E1829" s="2" t="inlineStr">
        <is>
          <t>CC-3000</t>
        </is>
      </c>
      <c r="F1829" s="2" t="inlineStr">
        <is>
          <t>P01</t>
        </is>
      </c>
      <c r="G1829" s="2" t="n">
        <v>610000</v>
      </c>
      <c r="H1829" s="2" t="inlineStr">
        <is>
          <t>Mano obra interna</t>
        </is>
      </c>
      <c r="I1829" s="9" t="n">
        <v>581.58</v>
      </c>
      <c r="J1829" s="9" t="n">
        <v>520.8200000000001</v>
      </c>
      <c r="K1829" s="9" t="n">
        <v>616.4400000000001</v>
      </c>
      <c r="L1829" s="9" t="n">
        <v>569.39</v>
      </c>
      <c r="M1829" s="9" t="n">
        <v>529.88</v>
      </c>
      <c r="N1829" s="9" t="n">
        <v>543.14</v>
      </c>
      <c r="O1829" s="9" t="n">
        <v>534.4400000000001</v>
      </c>
      <c r="P1829" s="9" t="n">
        <v>582.08</v>
      </c>
      <c r="Q1829" s="9" t="n">
        <v>499.99</v>
      </c>
      <c r="R1829" s="9" t="n">
        <v>644.26</v>
      </c>
      <c r="S1829" s="9" t="n">
        <v>545.45</v>
      </c>
      <c r="T1829" s="9" t="n">
        <v>593.34</v>
      </c>
      <c r="U1829" s="10">
        <f>SUM(I1829:T1829)</f>
        <v/>
      </c>
    </row>
    <row r="1830">
      <c r="A1830" s="2" t="inlineStr">
        <is>
          <t>SN-3000-3500-3500-3500CP0007</t>
        </is>
      </c>
      <c r="B1830" s="2" t="inlineStr">
        <is>
          <t>3500CP0007</t>
        </is>
      </c>
      <c r="C1830" s="2" t="inlineStr">
        <is>
          <t>Gabinete PLC enfriador 3</t>
        </is>
      </c>
      <c r="D1830" s="2" t="n">
        <v>610</v>
      </c>
      <c r="E1830" s="2" t="inlineStr">
        <is>
          <t>CC-3000</t>
        </is>
      </c>
      <c r="F1830" s="2" t="inlineStr">
        <is>
          <t>P01</t>
        </is>
      </c>
      <c r="G1830" s="2" t="n">
        <v>620000</v>
      </c>
      <c r="H1830" s="2" t="inlineStr">
        <is>
          <t>Materiales</t>
        </is>
      </c>
      <c r="I1830" s="9" t="n">
        <v>561.09</v>
      </c>
      <c r="J1830" s="9" t="n">
        <v>575.85</v>
      </c>
      <c r="K1830" s="9" t="n">
        <v>595.55</v>
      </c>
      <c r="L1830" s="9" t="n">
        <v>547.5599999999999</v>
      </c>
      <c r="M1830" s="9" t="n">
        <v>544.65</v>
      </c>
      <c r="N1830" s="9" t="n">
        <v>518.17</v>
      </c>
      <c r="O1830" s="9" t="n">
        <v>573.78</v>
      </c>
      <c r="P1830" s="9" t="n">
        <v>548.88</v>
      </c>
      <c r="Q1830" s="9" t="n">
        <v>508.35</v>
      </c>
      <c r="R1830" s="9" t="n">
        <v>579.04</v>
      </c>
      <c r="S1830" s="9" t="n">
        <v>537.38</v>
      </c>
      <c r="T1830" s="9" t="n">
        <v>543.8200000000001</v>
      </c>
      <c r="U1830" s="10">
        <f>SUM(I1830:T1830)</f>
        <v/>
      </c>
    </row>
    <row r="1831">
      <c r="A1831" s="2" t="inlineStr">
        <is>
          <t>SN-3000-3500-3500-3500CP0007</t>
        </is>
      </c>
      <c r="B1831" s="2" t="inlineStr">
        <is>
          <t>3500CP0007</t>
        </is>
      </c>
      <c r="C1831" s="2" t="inlineStr">
        <is>
          <t>Gabinete PLC enfriador 3</t>
        </is>
      </c>
      <c r="D1831" s="2" t="n">
        <v>610</v>
      </c>
      <c r="E1831" s="2" t="inlineStr">
        <is>
          <t>CC-3000</t>
        </is>
      </c>
      <c r="F1831" s="2" t="inlineStr">
        <is>
          <t>P01</t>
        </is>
      </c>
      <c r="G1831" s="2" t="n">
        <v>630000</v>
      </c>
      <c r="H1831" s="2" t="inlineStr">
        <is>
          <t>Servicios externos</t>
        </is>
      </c>
      <c r="I1831" s="9" t="n">
        <v>693.75</v>
      </c>
      <c r="J1831" s="9" t="n">
        <v>755.3099999999999</v>
      </c>
      <c r="K1831" s="9" t="n">
        <v>733.62</v>
      </c>
      <c r="L1831" s="9" t="n">
        <v>720.84</v>
      </c>
      <c r="M1831" s="9" t="n">
        <v>681.3</v>
      </c>
      <c r="N1831" s="9" t="n">
        <v>702.6900000000001</v>
      </c>
      <c r="O1831" s="9" t="n">
        <v>741.04</v>
      </c>
      <c r="P1831" s="9" t="n">
        <v>715.08</v>
      </c>
      <c r="Q1831" s="9" t="n">
        <v>622.02</v>
      </c>
      <c r="R1831" s="9" t="n">
        <v>827.71</v>
      </c>
      <c r="S1831" s="9" t="n">
        <v>749.89</v>
      </c>
      <c r="T1831" s="9" t="n">
        <v>721.98</v>
      </c>
      <c r="U1831" s="10">
        <f>SUM(I1831:T1831)</f>
        <v/>
      </c>
    </row>
    <row r="1832">
      <c r="A1832" s="2" t="inlineStr">
        <is>
          <t>SN-3000-3500-3500-3500CT0001</t>
        </is>
      </c>
      <c r="B1832" s="2" t="inlineStr">
        <is>
          <t>3500CT0001</t>
        </is>
      </c>
      <c r="C1832" s="2" t="inlineStr">
        <is>
          <t>Sistema CCTV Refinería</t>
        </is>
      </c>
      <c r="D1832" s="2" t="n">
        <v>611</v>
      </c>
      <c r="E1832" s="2" t="inlineStr">
        <is>
          <t>CC-3000</t>
        </is>
      </c>
      <c r="F1832" s="2" t="inlineStr">
        <is>
          <t>P01</t>
        </is>
      </c>
      <c r="G1832" s="2" t="n">
        <v>610000</v>
      </c>
      <c r="H1832" s="2" t="inlineStr">
        <is>
          <t>Mano obra interna</t>
        </is>
      </c>
      <c r="I1832" s="9" t="n">
        <v>1191.16</v>
      </c>
      <c r="J1832" s="9" t="n">
        <v>1125.37</v>
      </c>
      <c r="K1832" s="9" t="n">
        <v>1131.35</v>
      </c>
      <c r="L1832" s="9" t="n">
        <v>1193.67</v>
      </c>
      <c r="M1832" s="9" t="n">
        <v>1223.33</v>
      </c>
      <c r="N1832" s="9" t="n">
        <v>1037.62</v>
      </c>
      <c r="O1832" s="9" t="n">
        <v>1192.19</v>
      </c>
      <c r="P1832" s="9" t="n">
        <v>1246.92</v>
      </c>
      <c r="Q1832" s="9" t="n">
        <v>1045.41</v>
      </c>
      <c r="R1832" s="9" t="n">
        <v>1204.16</v>
      </c>
      <c r="S1832" s="9" t="n">
        <v>1188.24</v>
      </c>
      <c r="T1832" s="9" t="n">
        <v>1146.88</v>
      </c>
      <c r="U1832" s="10">
        <f>SUM(I1832:T1832)</f>
        <v/>
      </c>
    </row>
    <row r="1833">
      <c r="A1833" s="2" t="inlineStr">
        <is>
          <t>SN-3000-3500-3500-3500CT0001</t>
        </is>
      </c>
      <c r="B1833" s="2" t="inlineStr">
        <is>
          <t>3500CT0001</t>
        </is>
      </c>
      <c r="C1833" s="2" t="inlineStr">
        <is>
          <t>Sistema CCTV Refinería</t>
        </is>
      </c>
      <c r="D1833" s="2" t="n">
        <v>611</v>
      </c>
      <c r="E1833" s="2" t="inlineStr">
        <is>
          <t>CC-3000</t>
        </is>
      </c>
      <c r="F1833" s="2" t="inlineStr">
        <is>
          <t>P01</t>
        </is>
      </c>
      <c r="G1833" s="2" t="n">
        <v>620000</v>
      </c>
      <c r="H1833" s="2" t="inlineStr">
        <is>
          <t>Materiales</t>
        </is>
      </c>
      <c r="I1833" s="9" t="n">
        <v>981.5599999999999</v>
      </c>
      <c r="J1833" s="9" t="n">
        <v>949.2</v>
      </c>
      <c r="K1833" s="9" t="n">
        <v>1072.24</v>
      </c>
      <c r="L1833" s="9" t="n">
        <v>1021.27</v>
      </c>
      <c r="M1833" s="9" t="n">
        <v>955.91</v>
      </c>
      <c r="N1833" s="9" t="n">
        <v>942.73</v>
      </c>
      <c r="O1833" s="9" t="n">
        <v>1052.36</v>
      </c>
      <c r="P1833" s="9" t="n">
        <v>919.28</v>
      </c>
      <c r="Q1833" s="9" t="n">
        <v>870.1799999999999</v>
      </c>
      <c r="R1833" s="9" t="n">
        <v>1135.83</v>
      </c>
      <c r="S1833" s="9" t="n">
        <v>1018.8</v>
      </c>
      <c r="T1833" s="9" t="n">
        <v>943.8099999999999</v>
      </c>
      <c r="U1833" s="10">
        <f>SUM(I1833:T1833)</f>
        <v/>
      </c>
    </row>
    <row r="1834">
      <c r="A1834" s="2" t="inlineStr">
        <is>
          <t>SN-3000-3500-3500-3500CT0001</t>
        </is>
      </c>
      <c r="B1834" s="2" t="inlineStr">
        <is>
          <t>3500CT0001</t>
        </is>
      </c>
      <c r="C1834" s="2" t="inlineStr">
        <is>
          <t>Sistema CCTV Refinería</t>
        </is>
      </c>
      <c r="D1834" s="2" t="n">
        <v>611</v>
      </c>
      <c r="E1834" s="2" t="inlineStr">
        <is>
          <t>CC-3000</t>
        </is>
      </c>
      <c r="F1834" s="2" t="inlineStr">
        <is>
          <t>P01</t>
        </is>
      </c>
      <c r="G1834" s="2" t="n">
        <v>630000</v>
      </c>
      <c r="H1834" s="2" t="inlineStr">
        <is>
          <t>Servicios externos</t>
        </is>
      </c>
      <c r="I1834" s="9" t="n">
        <v>988.58</v>
      </c>
      <c r="J1834" s="9" t="n">
        <v>896.34</v>
      </c>
      <c r="K1834" s="9" t="n">
        <v>1036.89</v>
      </c>
      <c r="L1834" s="9" t="n">
        <v>934.64</v>
      </c>
      <c r="M1834" s="9" t="n">
        <v>902</v>
      </c>
      <c r="N1834" s="9" t="n">
        <v>935.47</v>
      </c>
      <c r="O1834" s="9" t="n">
        <v>1053.1</v>
      </c>
      <c r="P1834" s="9" t="n">
        <v>968.5700000000001</v>
      </c>
      <c r="Q1834" s="9" t="n">
        <v>892.02</v>
      </c>
      <c r="R1834" s="9" t="n">
        <v>1141.97</v>
      </c>
      <c r="S1834" s="9" t="n">
        <v>954.3200000000001</v>
      </c>
      <c r="T1834" s="9" t="n">
        <v>975.48</v>
      </c>
      <c r="U1834" s="10">
        <f>SUM(I1834:T1834)</f>
        <v/>
      </c>
    </row>
    <row r="1835">
      <c r="A1835" s="2" t="inlineStr">
        <is>
          <t>SN-3000-3500-3500-3500DL0001</t>
        </is>
      </c>
      <c r="B1835" s="2" t="inlineStr">
        <is>
          <t>3500DL0001</t>
        </is>
      </c>
      <c r="C1835" s="2" t="inlineStr">
        <is>
          <t>Línea diesel 4500-8679-AA1A-1"-FO-N</t>
        </is>
      </c>
      <c r="D1835" s="2" t="n">
        <v>612</v>
      </c>
      <c r="E1835" s="2" t="inlineStr">
        <is>
          <t>CC-3000</t>
        </is>
      </c>
      <c r="F1835" s="2" t="inlineStr">
        <is>
          <t>P01</t>
        </is>
      </c>
      <c r="G1835" s="2" t="n">
        <v>610000</v>
      </c>
      <c r="H1835" s="2" t="inlineStr">
        <is>
          <t>Mano obra interna</t>
        </is>
      </c>
      <c r="I1835" s="9" t="n">
        <v>1384.65</v>
      </c>
      <c r="J1835" s="9" t="n">
        <v>1407.13</v>
      </c>
      <c r="K1835" s="9" t="n">
        <v>1456.7</v>
      </c>
      <c r="L1835" s="9" t="n">
        <v>1403.96</v>
      </c>
      <c r="M1835" s="9" t="n">
        <v>1334.57</v>
      </c>
      <c r="N1835" s="9" t="n">
        <v>1322.15</v>
      </c>
      <c r="O1835" s="9" t="n">
        <v>1428.6</v>
      </c>
      <c r="P1835" s="9" t="n">
        <v>1324.21</v>
      </c>
      <c r="Q1835" s="9" t="n">
        <v>1253.86</v>
      </c>
      <c r="R1835" s="9" t="n">
        <v>1647.95</v>
      </c>
      <c r="S1835" s="9" t="n">
        <v>1389.9</v>
      </c>
      <c r="T1835" s="9" t="n">
        <v>1346.06</v>
      </c>
      <c r="U1835" s="10">
        <f>SUM(I1835:T1835)</f>
        <v/>
      </c>
    </row>
    <row r="1836">
      <c r="A1836" s="2" t="inlineStr">
        <is>
          <t>SN-3000-3500-3500-3500DL0001</t>
        </is>
      </c>
      <c r="B1836" s="2" t="inlineStr">
        <is>
          <t>3500DL0001</t>
        </is>
      </c>
      <c r="C1836" s="2" t="inlineStr">
        <is>
          <t>Línea diesel 4500-8679-AA1A-1"-FO-N</t>
        </is>
      </c>
      <c r="D1836" s="2" t="n">
        <v>612</v>
      </c>
      <c r="E1836" s="2" t="inlineStr">
        <is>
          <t>CC-3000</t>
        </is>
      </c>
      <c r="F1836" s="2" t="inlineStr">
        <is>
          <t>P01</t>
        </is>
      </c>
      <c r="G1836" s="2" t="n">
        <v>620000</v>
      </c>
      <c r="H1836" s="2" t="inlineStr">
        <is>
          <t>Materiales</t>
        </is>
      </c>
      <c r="I1836" s="9" t="n">
        <v>1391.82</v>
      </c>
      <c r="J1836" s="9" t="n">
        <v>1499.19</v>
      </c>
      <c r="K1836" s="9" t="n">
        <v>1573.09</v>
      </c>
      <c r="L1836" s="9" t="n">
        <v>1534.74</v>
      </c>
      <c r="M1836" s="9" t="n">
        <v>1504.94</v>
      </c>
      <c r="N1836" s="9" t="n">
        <v>1309.37</v>
      </c>
      <c r="O1836" s="9" t="n">
        <v>1520.09</v>
      </c>
      <c r="P1836" s="9" t="n">
        <v>1379.94</v>
      </c>
      <c r="Q1836" s="9" t="n">
        <v>1329.8</v>
      </c>
      <c r="R1836" s="9" t="n">
        <v>1693.2</v>
      </c>
      <c r="S1836" s="9" t="n">
        <v>1420.03</v>
      </c>
      <c r="T1836" s="9" t="n">
        <v>1599.25</v>
      </c>
      <c r="U1836" s="10">
        <f>SUM(I1836:T1836)</f>
        <v/>
      </c>
    </row>
    <row r="1837">
      <c r="A1837" s="2" t="inlineStr">
        <is>
          <t>SN-3000-3500-3500-3500DL0001</t>
        </is>
      </c>
      <c r="B1837" s="2" t="inlineStr">
        <is>
          <t>3500DL0001</t>
        </is>
      </c>
      <c r="C1837" s="2" t="inlineStr">
        <is>
          <t>Línea diesel 4500-8679-AA1A-1"-FO-N</t>
        </is>
      </c>
      <c r="D1837" s="2" t="n">
        <v>612</v>
      </c>
      <c r="E1837" s="2" t="inlineStr">
        <is>
          <t>CC-3000</t>
        </is>
      </c>
      <c r="F1837" s="2" t="inlineStr">
        <is>
          <t>P01</t>
        </is>
      </c>
      <c r="G1837" s="2" t="n">
        <v>630000</v>
      </c>
      <c r="H1837" s="2" t="inlineStr">
        <is>
          <t>Servicios externos</t>
        </is>
      </c>
      <c r="I1837" s="9" t="n">
        <v>1282.03</v>
      </c>
      <c r="J1837" s="9" t="n">
        <v>1154.38</v>
      </c>
      <c r="K1837" s="9" t="n">
        <v>1327.35</v>
      </c>
      <c r="L1837" s="9" t="n">
        <v>1201.33</v>
      </c>
      <c r="M1837" s="9" t="n">
        <v>1182.55</v>
      </c>
      <c r="N1837" s="9" t="n">
        <v>1158.51</v>
      </c>
      <c r="O1837" s="9" t="n">
        <v>1311.13</v>
      </c>
      <c r="P1837" s="9" t="n">
        <v>1191.72</v>
      </c>
      <c r="Q1837" s="9" t="n">
        <v>1238.33</v>
      </c>
      <c r="R1837" s="9" t="n">
        <v>1279.17</v>
      </c>
      <c r="S1837" s="9" t="n">
        <v>1129.4</v>
      </c>
      <c r="T1837" s="9" t="n">
        <v>1257.61</v>
      </c>
      <c r="U1837" s="10">
        <f>SUM(I1837:T1837)</f>
        <v/>
      </c>
    </row>
    <row r="1838">
      <c r="A1838" s="2" t="inlineStr">
        <is>
          <t>SN-3000-3500-3500-3500FA0052</t>
        </is>
      </c>
      <c r="B1838" s="2" t="inlineStr">
        <is>
          <t>3500FA0052</t>
        </is>
      </c>
      <c r="C1838" s="2" t="inlineStr">
        <is>
          <t>Ventilador edificio</t>
        </is>
      </c>
      <c r="D1838" s="2" t="n">
        <v>613</v>
      </c>
      <c r="E1838" s="2" t="inlineStr">
        <is>
          <t>CC-3000</t>
        </is>
      </c>
      <c r="F1838" s="2" t="inlineStr">
        <is>
          <t>P01</t>
        </is>
      </c>
      <c r="G1838" s="2" t="n">
        <v>610000</v>
      </c>
      <c r="H1838" s="2" t="inlineStr">
        <is>
          <t>Mano obra interna</t>
        </is>
      </c>
      <c r="I1838" s="9" t="n">
        <v>292.22</v>
      </c>
      <c r="J1838" s="9" t="n">
        <v>281.51</v>
      </c>
      <c r="K1838" s="9" t="n">
        <v>327.61</v>
      </c>
      <c r="L1838" s="9" t="n">
        <v>302.64</v>
      </c>
      <c r="M1838" s="9" t="n">
        <v>312.64</v>
      </c>
      <c r="N1838" s="9" t="n">
        <v>277.87</v>
      </c>
      <c r="O1838" s="9" t="n">
        <v>303.48</v>
      </c>
      <c r="P1838" s="9" t="n">
        <v>293.61</v>
      </c>
      <c r="Q1838" s="9" t="n">
        <v>281.98</v>
      </c>
      <c r="R1838" s="9" t="n">
        <v>343.41</v>
      </c>
      <c r="S1838" s="9" t="n">
        <v>307.93</v>
      </c>
      <c r="T1838" s="9" t="n">
        <v>310.6</v>
      </c>
      <c r="U1838" s="10">
        <f>SUM(I1838:T1838)</f>
        <v/>
      </c>
    </row>
    <row r="1839">
      <c r="A1839" s="2" t="inlineStr">
        <is>
          <t>SN-3000-3500-3500-3500FA0052</t>
        </is>
      </c>
      <c r="B1839" s="2" t="inlineStr">
        <is>
          <t>3500FA0052</t>
        </is>
      </c>
      <c r="C1839" s="2" t="inlineStr">
        <is>
          <t>Ventilador edificio</t>
        </is>
      </c>
      <c r="D1839" s="2" t="n">
        <v>613</v>
      </c>
      <c r="E1839" s="2" t="inlineStr">
        <is>
          <t>CC-3000</t>
        </is>
      </c>
      <c r="F1839" s="2" t="inlineStr">
        <is>
          <t>P01</t>
        </is>
      </c>
      <c r="G1839" s="2" t="n">
        <v>620000</v>
      </c>
      <c r="H1839" s="2" t="inlineStr">
        <is>
          <t>Materiales</t>
        </is>
      </c>
      <c r="I1839" s="9" t="n">
        <v>286.87</v>
      </c>
      <c r="J1839" s="9" t="n">
        <v>275.68</v>
      </c>
      <c r="K1839" s="9" t="n">
        <v>306.78</v>
      </c>
      <c r="L1839" s="9" t="n">
        <v>304.28</v>
      </c>
      <c r="M1839" s="9" t="n">
        <v>268.06</v>
      </c>
      <c r="N1839" s="9" t="n">
        <v>284.04</v>
      </c>
      <c r="O1839" s="9" t="n">
        <v>286.31</v>
      </c>
      <c r="P1839" s="9" t="n">
        <v>303.39</v>
      </c>
      <c r="Q1839" s="9" t="n">
        <v>285.27</v>
      </c>
      <c r="R1839" s="9" t="n">
        <v>317.58</v>
      </c>
      <c r="S1839" s="9" t="n">
        <v>260.18</v>
      </c>
      <c r="T1839" s="9" t="n">
        <v>302.85</v>
      </c>
      <c r="U1839" s="10">
        <f>SUM(I1839:T1839)</f>
        <v/>
      </c>
    </row>
    <row r="1840">
      <c r="A1840" s="2" t="inlineStr">
        <is>
          <t>SN-3000-3500-3500-3500FA0052</t>
        </is>
      </c>
      <c r="B1840" s="2" t="inlineStr">
        <is>
          <t>3500FA0052</t>
        </is>
      </c>
      <c r="C1840" s="2" t="inlineStr">
        <is>
          <t>Ventilador edificio</t>
        </is>
      </c>
      <c r="D1840" s="2" t="n">
        <v>613</v>
      </c>
      <c r="E1840" s="2" t="inlineStr">
        <is>
          <t>CC-3000</t>
        </is>
      </c>
      <c r="F1840" s="2" t="inlineStr">
        <is>
          <t>P01</t>
        </is>
      </c>
      <c r="G1840" s="2" t="n">
        <v>630000</v>
      </c>
      <c r="H1840" s="2" t="inlineStr">
        <is>
          <t>Servicios externos</t>
        </is>
      </c>
      <c r="I1840" s="9" t="n">
        <v>270.44</v>
      </c>
      <c r="J1840" s="9" t="n">
        <v>270.28</v>
      </c>
      <c r="K1840" s="9" t="n">
        <v>305.95</v>
      </c>
      <c r="L1840" s="9" t="n">
        <v>272.97</v>
      </c>
      <c r="M1840" s="9" t="n">
        <v>261.05</v>
      </c>
      <c r="N1840" s="9" t="n">
        <v>251.67</v>
      </c>
      <c r="O1840" s="9" t="n">
        <v>278.72</v>
      </c>
      <c r="P1840" s="9" t="n">
        <v>295.64</v>
      </c>
      <c r="Q1840" s="9" t="n">
        <v>261.39</v>
      </c>
      <c r="R1840" s="9" t="n">
        <v>288.28</v>
      </c>
      <c r="S1840" s="9" t="n">
        <v>273.11</v>
      </c>
      <c r="T1840" s="9" t="n">
        <v>285.69</v>
      </c>
      <c r="U1840" s="10">
        <f>SUM(I1840:T1840)</f>
        <v/>
      </c>
    </row>
    <row r="1841">
      <c r="A1841" s="2" t="inlineStr">
        <is>
          <t>SN-3000-3500-3500-3500FA0065</t>
        </is>
      </c>
      <c r="B1841" s="2" t="inlineStr">
        <is>
          <t>3500FA0065</t>
        </is>
      </c>
      <c r="C1841" s="2" t="inlineStr">
        <is>
          <t>Ventilador extractor edificio</t>
        </is>
      </c>
      <c r="D1841" s="2" t="n">
        <v>614</v>
      </c>
      <c r="E1841" s="2" t="inlineStr">
        <is>
          <t>CC-3000</t>
        </is>
      </c>
      <c r="F1841" s="2" t="inlineStr">
        <is>
          <t>P01</t>
        </is>
      </c>
      <c r="G1841" s="2" t="n">
        <v>610000</v>
      </c>
      <c r="H1841" s="2" t="inlineStr">
        <is>
          <t>Mano obra interna</t>
        </is>
      </c>
      <c r="I1841" s="9" t="n">
        <v>2114.26</v>
      </c>
      <c r="J1841" s="9" t="n">
        <v>2203.73</v>
      </c>
      <c r="K1841" s="9" t="n">
        <v>2234.51</v>
      </c>
      <c r="L1841" s="9" t="n">
        <v>2066.3</v>
      </c>
      <c r="M1841" s="9" t="n">
        <v>2181.59</v>
      </c>
      <c r="N1841" s="9" t="n">
        <v>2258.16</v>
      </c>
      <c r="O1841" s="9" t="n">
        <v>2138.76</v>
      </c>
      <c r="P1841" s="9" t="n">
        <v>2351.86</v>
      </c>
      <c r="Q1841" s="9" t="n">
        <v>1907.3</v>
      </c>
      <c r="R1841" s="9" t="n">
        <v>2450.1</v>
      </c>
      <c r="S1841" s="9" t="n">
        <v>1989.65</v>
      </c>
      <c r="T1841" s="9" t="n">
        <v>2142.44</v>
      </c>
      <c r="U1841" s="10">
        <f>SUM(I1841:T1841)</f>
        <v/>
      </c>
    </row>
    <row r="1842">
      <c r="A1842" s="2" t="inlineStr">
        <is>
          <t>SN-3000-3500-3500-3500FA0065</t>
        </is>
      </c>
      <c r="B1842" s="2" t="inlineStr">
        <is>
          <t>3500FA0065</t>
        </is>
      </c>
      <c r="C1842" s="2" t="inlineStr">
        <is>
          <t>Ventilador extractor edificio</t>
        </is>
      </c>
      <c r="D1842" s="2" t="n">
        <v>614</v>
      </c>
      <c r="E1842" s="2" t="inlineStr">
        <is>
          <t>CC-3000</t>
        </is>
      </c>
      <c r="F1842" s="2" t="inlineStr">
        <is>
          <t>P01</t>
        </is>
      </c>
      <c r="G1842" s="2" t="n">
        <v>620000</v>
      </c>
      <c r="H1842" s="2" t="inlineStr">
        <is>
          <t>Materiales</t>
        </is>
      </c>
      <c r="I1842" s="9" t="n">
        <v>2176.08</v>
      </c>
      <c r="J1842" s="9" t="n">
        <v>2159.75</v>
      </c>
      <c r="K1842" s="9" t="n">
        <v>2206.9</v>
      </c>
      <c r="L1842" s="9" t="n">
        <v>2178.92</v>
      </c>
      <c r="M1842" s="9" t="n">
        <v>2215.88</v>
      </c>
      <c r="N1842" s="9" t="n">
        <v>1992.81</v>
      </c>
      <c r="O1842" s="9" t="n">
        <v>2009.04</v>
      </c>
      <c r="P1842" s="9" t="n">
        <v>1985.31</v>
      </c>
      <c r="Q1842" s="9" t="n">
        <v>1923.98</v>
      </c>
      <c r="R1842" s="9" t="n">
        <v>2342.3</v>
      </c>
      <c r="S1842" s="9" t="n">
        <v>1884.55</v>
      </c>
      <c r="T1842" s="9" t="n">
        <v>2005.13</v>
      </c>
      <c r="U1842" s="10">
        <f>SUM(I1842:T1842)</f>
        <v/>
      </c>
    </row>
    <row r="1843">
      <c r="A1843" s="2" t="inlineStr">
        <is>
          <t>SN-3000-3500-3500-3500FA0065</t>
        </is>
      </c>
      <c r="B1843" s="2" t="inlineStr">
        <is>
          <t>3500FA0065</t>
        </is>
      </c>
      <c r="C1843" s="2" t="inlineStr">
        <is>
          <t>Ventilador extractor edificio</t>
        </is>
      </c>
      <c r="D1843" s="2" t="n">
        <v>614</v>
      </c>
      <c r="E1843" s="2" t="inlineStr">
        <is>
          <t>CC-3000</t>
        </is>
      </c>
      <c r="F1843" s="2" t="inlineStr">
        <is>
          <t>P01</t>
        </is>
      </c>
      <c r="G1843" s="2" t="n">
        <v>630000</v>
      </c>
      <c r="H1843" s="2" t="inlineStr">
        <is>
          <t>Servicios externos</t>
        </is>
      </c>
      <c r="I1843" s="9" t="n">
        <v>1854.2</v>
      </c>
      <c r="J1843" s="9" t="n">
        <v>1692.16</v>
      </c>
      <c r="K1843" s="9" t="n">
        <v>1749.88</v>
      </c>
      <c r="L1843" s="9" t="n">
        <v>1858.58</v>
      </c>
      <c r="M1843" s="9" t="n">
        <v>1847.5</v>
      </c>
      <c r="N1843" s="9" t="n">
        <v>1667.17</v>
      </c>
      <c r="O1843" s="9" t="n">
        <v>1815.14</v>
      </c>
      <c r="P1843" s="9" t="n">
        <v>1675.42</v>
      </c>
      <c r="Q1843" s="9" t="n">
        <v>1784.18</v>
      </c>
      <c r="R1843" s="9" t="n">
        <v>1881.99</v>
      </c>
      <c r="S1843" s="9" t="n">
        <v>1872.75</v>
      </c>
      <c r="T1843" s="9" t="n">
        <v>1957.75</v>
      </c>
      <c r="U1843" s="10">
        <f>SUM(I1843:T1843)</f>
        <v/>
      </c>
    </row>
    <row r="1844">
      <c r="A1844" s="2" t="inlineStr">
        <is>
          <t>SN-3000-3500-3500-3500FA0066</t>
        </is>
      </c>
      <c r="B1844" s="2" t="inlineStr">
        <is>
          <t>3500FA0066</t>
        </is>
      </c>
      <c r="C1844" s="2" t="inlineStr">
        <is>
          <t>Ventilador extractor edificio</t>
        </is>
      </c>
      <c r="D1844" s="2" t="n">
        <v>615</v>
      </c>
      <c r="E1844" s="2" t="inlineStr">
        <is>
          <t>CC-3000</t>
        </is>
      </c>
      <c r="F1844" s="2" t="inlineStr">
        <is>
          <t>P01</t>
        </is>
      </c>
      <c r="G1844" s="2" t="n">
        <v>610000</v>
      </c>
      <c r="H1844" s="2" t="inlineStr">
        <is>
          <t>Mano obra interna</t>
        </is>
      </c>
      <c r="I1844" s="9" t="n">
        <v>774.16</v>
      </c>
      <c r="J1844" s="9" t="n">
        <v>814.62</v>
      </c>
      <c r="K1844" s="9" t="n">
        <v>791.4</v>
      </c>
      <c r="L1844" s="9" t="n">
        <v>892.61</v>
      </c>
      <c r="M1844" s="9" t="n">
        <v>850.6</v>
      </c>
      <c r="N1844" s="9" t="n">
        <v>844.6900000000001</v>
      </c>
      <c r="O1844" s="9" t="n">
        <v>836.05</v>
      </c>
      <c r="P1844" s="9" t="n">
        <v>823.73</v>
      </c>
      <c r="Q1844" s="9" t="n">
        <v>766.97</v>
      </c>
      <c r="R1844" s="9" t="n">
        <v>869.76</v>
      </c>
      <c r="S1844" s="9" t="n">
        <v>791.21</v>
      </c>
      <c r="T1844" s="9" t="n">
        <v>851.6900000000001</v>
      </c>
      <c r="U1844" s="10">
        <f>SUM(I1844:T1844)</f>
        <v/>
      </c>
    </row>
    <row r="1845">
      <c r="A1845" s="2" t="inlineStr">
        <is>
          <t>SN-3000-3500-3500-3500FA0066</t>
        </is>
      </c>
      <c r="B1845" s="2" t="inlineStr">
        <is>
          <t>3500FA0066</t>
        </is>
      </c>
      <c r="C1845" s="2" t="inlineStr">
        <is>
          <t>Ventilador extractor edificio</t>
        </is>
      </c>
      <c r="D1845" s="2" t="n">
        <v>615</v>
      </c>
      <c r="E1845" s="2" t="inlineStr">
        <is>
          <t>CC-3000</t>
        </is>
      </c>
      <c r="F1845" s="2" t="inlineStr">
        <is>
          <t>P01</t>
        </is>
      </c>
      <c r="G1845" s="2" t="n">
        <v>620000</v>
      </c>
      <c r="H1845" s="2" t="inlineStr">
        <is>
          <t>Materiales</t>
        </is>
      </c>
      <c r="I1845" s="9" t="n">
        <v>860.12</v>
      </c>
      <c r="J1845" s="9" t="n">
        <v>863.95</v>
      </c>
      <c r="K1845" s="9" t="n">
        <v>905.77</v>
      </c>
      <c r="L1845" s="9" t="n">
        <v>850.67</v>
      </c>
      <c r="M1845" s="9" t="n">
        <v>801.2</v>
      </c>
      <c r="N1845" s="9" t="n">
        <v>811.08</v>
      </c>
      <c r="O1845" s="9" t="n">
        <v>823.01</v>
      </c>
      <c r="P1845" s="9" t="n">
        <v>773.67</v>
      </c>
      <c r="Q1845" s="9" t="n">
        <v>757.36</v>
      </c>
      <c r="R1845" s="9" t="n">
        <v>965.64</v>
      </c>
      <c r="S1845" s="9" t="n">
        <v>745.29</v>
      </c>
      <c r="T1845" s="9" t="n">
        <v>868.64</v>
      </c>
      <c r="U1845" s="10">
        <f>SUM(I1845:T1845)</f>
        <v/>
      </c>
    </row>
    <row r="1846">
      <c r="A1846" s="2" t="inlineStr">
        <is>
          <t>SN-3000-3500-3500-3500FA0066</t>
        </is>
      </c>
      <c r="B1846" s="2" t="inlineStr">
        <is>
          <t>3500FA0066</t>
        </is>
      </c>
      <c r="C1846" s="2" t="inlineStr">
        <is>
          <t>Ventilador extractor edificio</t>
        </is>
      </c>
      <c r="D1846" s="2" t="n">
        <v>615</v>
      </c>
      <c r="E1846" s="2" t="inlineStr">
        <is>
          <t>CC-3000</t>
        </is>
      </c>
      <c r="F1846" s="2" t="inlineStr">
        <is>
          <t>P01</t>
        </is>
      </c>
      <c r="G1846" s="2" t="n">
        <v>630000</v>
      </c>
      <c r="H1846" s="2" t="inlineStr">
        <is>
          <t>Servicios externos</t>
        </is>
      </c>
      <c r="I1846" s="9" t="n">
        <v>843.39</v>
      </c>
      <c r="J1846" s="9" t="n">
        <v>803.62</v>
      </c>
      <c r="K1846" s="9" t="n">
        <v>860.15</v>
      </c>
      <c r="L1846" s="9" t="n">
        <v>815.4299999999999</v>
      </c>
      <c r="M1846" s="9" t="n">
        <v>746.4</v>
      </c>
      <c r="N1846" s="9" t="n">
        <v>828.59</v>
      </c>
      <c r="O1846" s="9" t="n">
        <v>798.59</v>
      </c>
      <c r="P1846" s="9" t="n">
        <v>827.7</v>
      </c>
      <c r="Q1846" s="9" t="n">
        <v>754.95</v>
      </c>
      <c r="R1846" s="9" t="n">
        <v>808.25</v>
      </c>
      <c r="S1846" s="9" t="n">
        <v>837.78</v>
      </c>
      <c r="T1846" s="9" t="n">
        <v>857.28</v>
      </c>
      <c r="U1846" s="10">
        <f>SUM(I1846:T1846)</f>
        <v/>
      </c>
    </row>
    <row r="1847">
      <c r="A1847" s="2" t="inlineStr">
        <is>
          <t>SN-3000-3500-3500-3500FA0074</t>
        </is>
      </c>
      <c r="B1847" s="2" t="inlineStr">
        <is>
          <t>3500FA0074</t>
        </is>
      </c>
      <c r="C1847" s="2" t="inlineStr">
        <is>
          <t>Ventilador extractor edificio</t>
        </is>
      </c>
      <c r="D1847" s="2" t="n">
        <v>616</v>
      </c>
      <c r="E1847" s="2" t="inlineStr">
        <is>
          <t>CC-3000</t>
        </is>
      </c>
      <c r="F1847" s="2" t="inlineStr">
        <is>
          <t>P01</t>
        </is>
      </c>
      <c r="G1847" s="2" t="n">
        <v>610000</v>
      </c>
      <c r="H1847" s="2" t="inlineStr">
        <is>
          <t>Mano obra interna</t>
        </is>
      </c>
      <c r="I1847" s="9" t="n">
        <v>1811.36</v>
      </c>
      <c r="J1847" s="9" t="n">
        <v>1683.97</v>
      </c>
      <c r="K1847" s="9" t="n">
        <v>1692.02</v>
      </c>
      <c r="L1847" s="9" t="n">
        <v>1713.74</v>
      </c>
      <c r="M1847" s="9" t="n">
        <v>1527.79</v>
      </c>
      <c r="N1847" s="9" t="n">
        <v>1590.27</v>
      </c>
      <c r="O1847" s="9" t="n">
        <v>1535.74</v>
      </c>
      <c r="P1847" s="9" t="n">
        <v>1658</v>
      </c>
      <c r="Q1847" s="9" t="n">
        <v>1546.47</v>
      </c>
      <c r="R1847" s="9" t="n">
        <v>1883.06</v>
      </c>
      <c r="S1847" s="9" t="n">
        <v>1652.23</v>
      </c>
      <c r="T1847" s="9" t="n">
        <v>1604.88</v>
      </c>
      <c r="U1847" s="10">
        <f>SUM(I1847:T1847)</f>
        <v/>
      </c>
    </row>
    <row r="1848">
      <c r="A1848" s="2" t="inlineStr">
        <is>
          <t>SN-3000-3500-3500-3500FA0074</t>
        </is>
      </c>
      <c r="B1848" s="2" t="inlineStr">
        <is>
          <t>3500FA0074</t>
        </is>
      </c>
      <c r="C1848" s="2" t="inlineStr">
        <is>
          <t>Ventilador extractor edificio</t>
        </is>
      </c>
      <c r="D1848" s="2" t="n">
        <v>616</v>
      </c>
      <c r="E1848" s="2" t="inlineStr">
        <is>
          <t>CC-3000</t>
        </is>
      </c>
      <c r="F1848" s="2" t="inlineStr">
        <is>
          <t>P01</t>
        </is>
      </c>
      <c r="G1848" s="2" t="n">
        <v>620000</v>
      </c>
      <c r="H1848" s="2" t="inlineStr">
        <is>
          <t>Materiales</t>
        </is>
      </c>
      <c r="I1848" s="9" t="n">
        <v>2039.38</v>
      </c>
      <c r="J1848" s="9" t="n">
        <v>1977.8</v>
      </c>
      <c r="K1848" s="9" t="n">
        <v>1929.19</v>
      </c>
      <c r="L1848" s="9" t="n">
        <v>2133.65</v>
      </c>
      <c r="M1848" s="9" t="n">
        <v>2088.92</v>
      </c>
      <c r="N1848" s="9" t="n">
        <v>1970.91</v>
      </c>
      <c r="O1848" s="9" t="n">
        <v>2114.81</v>
      </c>
      <c r="P1848" s="9" t="n">
        <v>1910.71</v>
      </c>
      <c r="Q1848" s="9" t="n">
        <v>1944.31</v>
      </c>
      <c r="R1848" s="9" t="n">
        <v>2125.67</v>
      </c>
      <c r="S1848" s="9" t="n">
        <v>1808.75</v>
      </c>
      <c r="T1848" s="9" t="n">
        <v>2058.04</v>
      </c>
      <c r="U1848" s="10">
        <f>SUM(I1848:T1848)</f>
        <v/>
      </c>
    </row>
    <row r="1849">
      <c r="A1849" s="2" t="inlineStr">
        <is>
          <t>SN-3000-3500-3500-3500FA0074</t>
        </is>
      </c>
      <c r="B1849" s="2" t="inlineStr">
        <is>
          <t>3500FA0074</t>
        </is>
      </c>
      <c r="C1849" s="2" t="inlineStr">
        <is>
          <t>Ventilador extractor edificio</t>
        </is>
      </c>
      <c r="D1849" s="2" t="n">
        <v>616</v>
      </c>
      <c r="E1849" s="2" t="inlineStr">
        <is>
          <t>CC-3000</t>
        </is>
      </c>
      <c r="F1849" s="2" t="inlineStr">
        <is>
          <t>P01</t>
        </is>
      </c>
      <c r="G1849" s="2" t="n">
        <v>630000</v>
      </c>
      <c r="H1849" s="2" t="inlineStr">
        <is>
          <t>Servicios externos</t>
        </is>
      </c>
      <c r="I1849" s="9" t="n">
        <v>1890.56</v>
      </c>
      <c r="J1849" s="9" t="n">
        <v>1745.53</v>
      </c>
      <c r="K1849" s="9" t="n">
        <v>1882.99</v>
      </c>
      <c r="L1849" s="9" t="n">
        <v>1928.16</v>
      </c>
      <c r="M1849" s="9" t="n">
        <v>1796.56</v>
      </c>
      <c r="N1849" s="9" t="n">
        <v>1743.35</v>
      </c>
      <c r="O1849" s="9" t="n">
        <v>1884.85</v>
      </c>
      <c r="P1849" s="9" t="n">
        <v>2057.44</v>
      </c>
      <c r="Q1849" s="9" t="n">
        <v>1860.25</v>
      </c>
      <c r="R1849" s="9" t="n">
        <v>2008.05</v>
      </c>
      <c r="S1849" s="9" t="n">
        <v>1990.2</v>
      </c>
      <c r="T1849" s="9" t="n">
        <v>1991.13</v>
      </c>
      <c r="U1849" s="10">
        <f>SUM(I1849:T1849)</f>
        <v/>
      </c>
    </row>
    <row r="1850">
      <c r="A1850" s="2" t="inlineStr">
        <is>
          <t>SN-3000-3500-3500-3500FE0013</t>
        </is>
      </c>
      <c r="B1850" s="2" t="inlineStr">
        <is>
          <t>3500FE0013</t>
        </is>
      </c>
      <c r="C1850" s="2" t="inlineStr">
        <is>
          <t>Transportador volumetrico fundente</t>
        </is>
      </c>
      <c r="D1850" s="2" t="n">
        <v>617</v>
      </c>
      <c r="E1850" s="2" t="inlineStr">
        <is>
          <t>CC-3000</t>
        </is>
      </c>
      <c r="F1850" s="2" t="inlineStr">
        <is>
          <t>P01</t>
        </is>
      </c>
      <c r="G1850" s="2" t="n">
        <v>610000</v>
      </c>
      <c r="H1850" s="2" t="inlineStr">
        <is>
          <t>Mano obra interna</t>
        </is>
      </c>
      <c r="I1850" s="9" t="n">
        <v>1591.72</v>
      </c>
      <c r="J1850" s="9" t="n">
        <v>1521.39</v>
      </c>
      <c r="K1850" s="9" t="n">
        <v>1547.68</v>
      </c>
      <c r="L1850" s="9" t="n">
        <v>1572.66</v>
      </c>
      <c r="M1850" s="9" t="n">
        <v>1557.88</v>
      </c>
      <c r="N1850" s="9" t="n">
        <v>1505.03</v>
      </c>
      <c r="O1850" s="9" t="n">
        <v>1633.53</v>
      </c>
      <c r="P1850" s="9" t="n">
        <v>1530.61</v>
      </c>
      <c r="Q1850" s="9" t="n">
        <v>1509.44</v>
      </c>
      <c r="R1850" s="9" t="n">
        <v>1711.19</v>
      </c>
      <c r="S1850" s="9" t="n">
        <v>1629.22</v>
      </c>
      <c r="T1850" s="9" t="n">
        <v>1561.24</v>
      </c>
      <c r="U1850" s="10">
        <f>SUM(I1850:T1850)</f>
        <v/>
      </c>
    </row>
    <row r="1851">
      <c r="A1851" s="2" t="inlineStr">
        <is>
          <t>SN-3000-3500-3500-3500FE0013</t>
        </is>
      </c>
      <c r="B1851" s="2" t="inlineStr">
        <is>
          <t>3500FE0013</t>
        </is>
      </c>
      <c r="C1851" s="2" t="inlineStr">
        <is>
          <t>Transportador volumetrico fundente</t>
        </is>
      </c>
      <c r="D1851" s="2" t="n">
        <v>617</v>
      </c>
      <c r="E1851" s="2" t="inlineStr">
        <is>
          <t>CC-3000</t>
        </is>
      </c>
      <c r="F1851" s="2" t="inlineStr">
        <is>
          <t>P01</t>
        </is>
      </c>
      <c r="G1851" s="2" t="n">
        <v>620000</v>
      </c>
      <c r="H1851" s="2" t="inlineStr">
        <is>
          <t>Materiales</t>
        </is>
      </c>
      <c r="I1851" s="9" t="n">
        <v>1846.66</v>
      </c>
      <c r="J1851" s="9" t="n">
        <v>1731.95</v>
      </c>
      <c r="K1851" s="9" t="n">
        <v>1819.01</v>
      </c>
      <c r="L1851" s="9" t="n">
        <v>1641.74</v>
      </c>
      <c r="M1851" s="9" t="n">
        <v>1825.55</v>
      </c>
      <c r="N1851" s="9" t="n">
        <v>1541.63</v>
      </c>
      <c r="O1851" s="9" t="n">
        <v>1738.87</v>
      </c>
      <c r="P1851" s="9" t="n">
        <v>1672.64</v>
      </c>
      <c r="Q1851" s="9" t="n">
        <v>1583.76</v>
      </c>
      <c r="R1851" s="9" t="n">
        <v>1888.34</v>
      </c>
      <c r="S1851" s="9" t="n">
        <v>1774.69</v>
      </c>
      <c r="T1851" s="9" t="n">
        <v>1734.37</v>
      </c>
      <c r="U1851" s="10">
        <f>SUM(I1851:T1851)</f>
        <v/>
      </c>
    </row>
    <row r="1852">
      <c r="A1852" s="2" t="inlineStr">
        <is>
          <t>SN-3000-3500-3500-3500FE0013</t>
        </is>
      </c>
      <c r="B1852" s="2" t="inlineStr">
        <is>
          <t>3500FE0013</t>
        </is>
      </c>
      <c r="C1852" s="2" t="inlineStr">
        <is>
          <t>Transportador volumetrico fundente</t>
        </is>
      </c>
      <c r="D1852" s="2" t="n">
        <v>617</v>
      </c>
      <c r="E1852" s="2" t="inlineStr">
        <is>
          <t>CC-3000</t>
        </is>
      </c>
      <c r="F1852" s="2" t="inlineStr">
        <is>
          <t>P01</t>
        </is>
      </c>
      <c r="G1852" s="2" t="n">
        <v>630000</v>
      </c>
      <c r="H1852" s="2" t="inlineStr">
        <is>
          <t>Servicios externos</t>
        </is>
      </c>
      <c r="I1852" s="9" t="n">
        <v>1878.06</v>
      </c>
      <c r="J1852" s="9" t="n">
        <v>1688.37</v>
      </c>
      <c r="K1852" s="9" t="n">
        <v>1777.39</v>
      </c>
      <c r="L1852" s="9" t="n">
        <v>1916.82</v>
      </c>
      <c r="M1852" s="9" t="n">
        <v>1664.98</v>
      </c>
      <c r="N1852" s="9" t="n">
        <v>1727.7</v>
      </c>
      <c r="O1852" s="9" t="n">
        <v>1711.53</v>
      </c>
      <c r="P1852" s="9" t="n">
        <v>1792.08</v>
      </c>
      <c r="Q1852" s="9" t="n">
        <v>1754.96</v>
      </c>
      <c r="R1852" s="9" t="n">
        <v>1942.07</v>
      </c>
      <c r="S1852" s="9" t="n">
        <v>1660.4</v>
      </c>
      <c r="T1852" s="9" t="n">
        <v>1766.68</v>
      </c>
      <c r="U1852" s="10">
        <f>SUM(I1852:T1852)</f>
        <v/>
      </c>
    </row>
    <row r="1853">
      <c r="A1853" s="2" t="inlineStr">
        <is>
          <t>SN-3000-3500-3500-3500FE0014</t>
        </is>
      </c>
      <c r="B1853" s="2" t="inlineStr">
        <is>
          <t>3500FE0014</t>
        </is>
      </c>
      <c r="C1853" s="2" t="inlineStr">
        <is>
          <t>Transportador tornillo fundente/ precipitado</t>
        </is>
      </c>
      <c r="D1853" s="2" t="n">
        <v>618</v>
      </c>
      <c r="E1853" s="2" t="inlineStr">
        <is>
          <t>CC-3000</t>
        </is>
      </c>
      <c r="F1853" s="2" t="inlineStr">
        <is>
          <t>P01</t>
        </is>
      </c>
      <c r="G1853" s="2" t="n">
        <v>610000</v>
      </c>
      <c r="H1853" s="2" t="inlineStr">
        <is>
          <t>Mano obra interna</t>
        </is>
      </c>
      <c r="I1853" s="9" t="n">
        <v>1451.7</v>
      </c>
      <c r="J1853" s="9" t="n">
        <v>1524.41</v>
      </c>
      <c r="K1853" s="9" t="n">
        <v>1602.67</v>
      </c>
      <c r="L1853" s="9" t="n">
        <v>1451.55</v>
      </c>
      <c r="M1853" s="9" t="n">
        <v>1487.81</v>
      </c>
      <c r="N1853" s="9" t="n">
        <v>1440.05</v>
      </c>
      <c r="O1853" s="9" t="n">
        <v>1487.3</v>
      </c>
      <c r="P1853" s="9" t="n">
        <v>1540.19</v>
      </c>
      <c r="Q1853" s="9" t="n">
        <v>1386.63</v>
      </c>
      <c r="R1853" s="9" t="n">
        <v>1624.98</v>
      </c>
      <c r="S1853" s="9" t="n">
        <v>1548.84</v>
      </c>
      <c r="T1853" s="9" t="n">
        <v>1466.12</v>
      </c>
      <c r="U1853" s="10">
        <f>SUM(I1853:T1853)</f>
        <v/>
      </c>
    </row>
    <row r="1854">
      <c r="A1854" s="2" t="inlineStr">
        <is>
          <t>SN-3000-3500-3500-3500FE0014</t>
        </is>
      </c>
      <c r="B1854" s="2" t="inlineStr">
        <is>
          <t>3500FE0014</t>
        </is>
      </c>
      <c r="C1854" s="2" t="inlineStr">
        <is>
          <t>Transportador tornillo fundente/ precipitado</t>
        </is>
      </c>
      <c r="D1854" s="2" t="n">
        <v>618</v>
      </c>
      <c r="E1854" s="2" t="inlineStr">
        <is>
          <t>CC-3000</t>
        </is>
      </c>
      <c r="F1854" s="2" t="inlineStr">
        <is>
          <t>P01</t>
        </is>
      </c>
      <c r="G1854" s="2" t="n">
        <v>620000</v>
      </c>
      <c r="H1854" s="2" t="inlineStr">
        <is>
          <t>Materiales</t>
        </is>
      </c>
      <c r="I1854" s="9" t="n">
        <v>1583.05</v>
      </c>
      <c r="J1854" s="9" t="n">
        <v>1478.29</v>
      </c>
      <c r="K1854" s="9" t="n">
        <v>1656.55</v>
      </c>
      <c r="L1854" s="9" t="n">
        <v>1596.46</v>
      </c>
      <c r="M1854" s="9" t="n">
        <v>1527.76</v>
      </c>
      <c r="N1854" s="9" t="n">
        <v>1521.01</v>
      </c>
      <c r="O1854" s="9" t="n">
        <v>1625.01</v>
      </c>
      <c r="P1854" s="9" t="n">
        <v>1665.26</v>
      </c>
      <c r="Q1854" s="9" t="n">
        <v>1472.09</v>
      </c>
      <c r="R1854" s="9" t="n">
        <v>1770.95</v>
      </c>
      <c r="S1854" s="9" t="n">
        <v>1380.13</v>
      </c>
      <c r="T1854" s="9" t="n">
        <v>1579.95</v>
      </c>
      <c r="U1854" s="10">
        <f>SUM(I1854:T1854)</f>
        <v/>
      </c>
    </row>
    <row r="1855">
      <c r="A1855" s="2" t="inlineStr">
        <is>
          <t>SN-3000-3500-3500-3500FE0014</t>
        </is>
      </c>
      <c r="B1855" s="2" t="inlineStr">
        <is>
          <t>3500FE0014</t>
        </is>
      </c>
      <c r="C1855" s="2" t="inlineStr">
        <is>
          <t>Transportador tornillo fundente/ precipitado</t>
        </is>
      </c>
      <c r="D1855" s="2" t="n">
        <v>618</v>
      </c>
      <c r="E1855" s="2" t="inlineStr">
        <is>
          <t>CC-3000</t>
        </is>
      </c>
      <c r="F1855" s="2" t="inlineStr">
        <is>
          <t>P01</t>
        </is>
      </c>
      <c r="G1855" s="2" t="n">
        <v>630000</v>
      </c>
      <c r="H1855" s="2" t="inlineStr">
        <is>
          <t>Servicios externos</t>
        </is>
      </c>
      <c r="I1855" s="9" t="n">
        <v>1339.79</v>
      </c>
      <c r="J1855" s="9" t="n">
        <v>1389.38</v>
      </c>
      <c r="K1855" s="9" t="n">
        <v>1505.16</v>
      </c>
      <c r="L1855" s="9" t="n">
        <v>1414.37</v>
      </c>
      <c r="M1855" s="9" t="n">
        <v>1426.85</v>
      </c>
      <c r="N1855" s="9" t="n">
        <v>1339.69</v>
      </c>
      <c r="O1855" s="9" t="n">
        <v>1390.06</v>
      </c>
      <c r="P1855" s="9" t="n">
        <v>1355.45</v>
      </c>
      <c r="Q1855" s="9" t="n">
        <v>1282</v>
      </c>
      <c r="R1855" s="9" t="n">
        <v>1477.26</v>
      </c>
      <c r="S1855" s="9" t="n">
        <v>1390.52</v>
      </c>
      <c r="T1855" s="9" t="n">
        <v>1336.89</v>
      </c>
      <c r="U1855" s="10">
        <f>SUM(I1855:T1855)</f>
        <v/>
      </c>
    </row>
    <row r="1856">
      <c r="A1856" s="2" t="inlineStr">
        <is>
          <t>SN-3000-3500-3500-3500FE0015</t>
        </is>
      </c>
      <c r="B1856" s="2" t="inlineStr">
        <is>
          <t>3500FE0015</t>
        </is>
      </c>
      <c r="C1856" s="2" t="inlineStr">
        <is>
          <t>Transportador tornillo fundente/ precipitado</t>
        </is>
      </c>
      <c r="D1856" s="2" t="n">
        <v>619</v>
      </c>
      <c r="E1856" s="2" t="inlineStr">
        <is>
          <t>CC-3000</t>
        </is>
      </c>
      <c r="F1856" s="2" t="inlineStr">
        <is>
          <t>P01</t>
        </is>
      </c>
      <c r="G1856" s="2" t="n">
        <v>610000</v>
      </c>
      <c r="H1856" s="2" t="inlineStr">
        <is>
          <t>Mano obra interna</t>
        </is>
      </c>
      <c r="I1856" s="9" t="n">
        <v>796.63</v>
      </c>
      <c r="J1856" s="9" t="n">
        <v>754.91</v>
      </c>
      <c r="K1856" s="9" t="n">
        <v>776.1900000000001</v>
      </c>
      <c r="L1856" s="9" t="n">
        <v>734.41</v>
      </c>
      <c r="M1856" s="9" t="n">
        <v>742.29</v>
      </c>
      <c r="N1856" s="9" t="n">
        <v>761.1799999999999</v>
      </c>
      <c r="O1856" s="9" t="n">
        <v>808.6799999999999</v>
      </c>
      <c r="P1856" s="9" t="n">
        <v>784.96</v>
      </c>
      <c r="Q1856" s="9" t="n">
        <v>658.41</v>
      </c>
      <c r="R1856" s="9" t="n">
        <v>842.9299999999999</v>
      </c>
      <c r="S1856" s="9" t="n">
        <v>706.0599999999999</v>
      </c>
      <c r="T1856" s="9" t="n">
        <v>749.35</v>
      </c>
      <c r="U1856" s="10">
        <f>SUM(I1856:T1856)</f>
        <v/>
      </c>
    </row>
    <row r="1857">
      <c r="A1857" s="2" t="inlineStr">
        <is>
          <t>SN-3000-3500-3500-3500FE0015</t>
        </is>
      </c>
      <c r="B1857" s="2" t="inlineStr">
        <is>
          <t>3500FE0015</t>
        </is>
      </c>
      <c r="C1857" s="2" t="inlineStr">
        <is>
          <t>Transportador tornillo fundente/ precipitado</t>
        </is>
      </c>
      <c r="D1857" s="2" t="n">
        <v>619</v>
      </c>
      <c r="E1857" s="2" t="inlineStr">
        <is>
          <t>CC-3000</t>
        </is>
      </c>
      <c r="F1857" s="2" t="inlineStr">
        <is>
          <t>P01</t>
        </is>
      </c>
      <c r="G1857" s="2" t="n">
        <v>620000</v>
      </c>
      <c r="H1857" s="2" t="inlineStr">
        <is>
          <t>Materiales</t>
        </is>
      </c>
      <c r="I1857" s="9" t="n">
        <v>804.03</v>
      </c>
      <c r="J1857" s="9" t="n">
        <v>760.5700000000001</v>
      </c>
      <c r="K1857" s="9" t="n">
        <v>792.12</v>
      </c>
      <c r="L1857" s="9" t="n">
        <v>791.6799999999999</v>
      </c>
      <c r="M1857" s="9" t="n">
        <v>715.08</v>
      </c>
      <c r="N1857" s="9" t="n">
        <v>714.8</v>
      </c>
      <c r="O1857" s="9" t="n">
        <v>770.76</v>
      </c>
      <c r="P1857" s="9" t="n">
        <v>770.24</v>
      </c>
      <c r="Q1857" s="9" t="n">
        <v>734.98</v>
      </c>
      <c r="R1857" s="9" t="n">
        <v>785.78</v>
      </c>
      <c r="S1857" s="9" t="n">
        <v>761.8200000000001</v>
      </c>
      <c r="T1857" s="9" t="n">
        <v>758.2</v>
      </c>
      <c r="U1857" s="10">
        <f>SUM(I1857:T1857)</f>
        <v/>
      </c>
    </row>
    <row r="1858">
      <c r="A1858" s="2" t="inlineStr">
        <is>
          <t>SN-3000-3500-3500-3500FE0015</t>
        </is>
      </c>
      <c r="B1858" s="2" t="inlineStr">
        <is>
          <t>3500FE0015</t>
        </is>
      </c>
      <c r="C1858" s="2" t="inlineStr">
        <is>
          <t>Transportador tornillo fundente/ precipitado</t>
        </is>
      </c>
      <c r="D1858" s="2" t="n">
        <v>619</v>
      </c>
      <c r="E1858" s="2" t="inlineStr">
        <is>
          <t>CC-3000</t>
        </is>
      </c>
      <c r="F1858" s="2" t="inlineStr">
        <is>
          <t>P01</t>
        </is>
      </c>
      <c r="G1858" s="2" t="n">
        <v>630000</v>
      </c>
      <c r="H1858" s="2" t="inlineStr">
        <is>
          <t>Servicios externos</t>
        </is>
      </c>
      <c r="I1858" s="9" t="n">
        <v>896.3099999999999</v>
      </c>
      <c r="J1858" s="9" t="n">
        <v>933.39</v>
      </c>
      <c r="K1858" s="9" t="n">
        <v>865.4400000000001</v>
      </c>
      <c r="L1858" s="9" t="n">
        <v>929.0700000000001</v>
      </c>
      <c r="M1858" s="9" t="n">
        <v>885.84</v>
      </c>
      <c r="N1858" s="9" t="n">
        <v>801.15</v>
      </c>
      <c r="O1858" s="9" t="n">
        <v>823.24</v>
      </c>
      <c r="P1858" s="9" t="n">
        <v>925.9</v>
      </c>
      <c r="Q1858" s="9" t="n">
        <v>778.03</v>
      </c>
      <c r="R1858" s="9" t="n">
        <v>905.78</v>
      </c>
      <c r="S1858" s="9" t="n">
        <v>921.5599999999999</v>
      </c>
      <c r="T1858" s="9" t="n">
        <v>928.59</v>
      </c>
      <c r="U1858" s="10">
        <f>SUM(I1858:T1858)</f>
        <v/>
      </c>
    </row>
    <row r="1859">
      <c r="A1859" s="2" t="inlineStr">
        <is>
          <t>SN-3000-3500-3500-3500FE0023</t>
        </is>
      </c>
      <c r="B1859" s="2" t="inlineStr">
        <is>
          <t>3500FE0023</t>
        </is>
      </c>
      <c r="C1859" s="2" t="inlineStr">
        <is>
          <t>Transportador volumetrico fundente</t>
        </is>
      </c>
      <c r="D1859" s="2" t="n">
        <v>620</v>
      </c>
      <c r="E1859" s="2" t="inlineStr">
        <is>
          <t>CC-3000</t>
        </is>
      </c>
      <c r="F1859" s="2" t="inlineStr">
        <is>
          <t>P01</t>
        </is>
      </c>
      <c r="G1859" s="2" t="n">
        <v>610000</v>
      </c>
      <c r="H1859" s="2" t="inlineStr">
        <is>
          <t>Mano obra interna</t>
        </is>
      </c>
      <c r="I1859" s="9" t="n">
        <v>494.17</v>
      </c>
      <c r="J1859" s="9" t="n">
        <v>472.48</v>
      </c>
      <c r="K1859" s="9" t="n">
        <v>519.37</v>
      </c>
      <c r="L1859" s="9" t="n">
        <v>505.55</v>
      </c>
      <c r="M1859" s="9" t="n">
        <v>497.27</v>
      </c>
      <c r="N1859" s="9" t="n">
        <v>435.12</v>
      </c>
      <c r="O1859" s="9" t="n">
        <v>488.07</v>
      </c>
      <c r="P1859" s="9" t="n">
        <v>441.71</v>
      </c>
      <c r="Q1859" s="9" t="n">
        <v>413.52</v>
      </c>
      <c r="R1859" s="9" t="n">
        <v>532.14</v>
      </c>
      <c r="S1859" s="9" t="n">
        <v>426.75</v>
      </c>
      <c r="T1859" s="9" t="n">
        <v>490.4</v>
      </c>
      <c r="U1859" s="10">
        <f>SUM(I1859:T1859)</f>
        <v/>
      </c>
    </row>
    <row r="1860">
      <c r="A1860" s="2" t="inlineStr">
        <is>
          <t>SN-3000-3500-3500-3500FE0023</t>
        </is>
      </c>
      <c r="B1860" s="2" t="inlineStr">
        <is>
          <t>3500FE0023</t>
        </is>
      </c>
      <c r="C1860" s="2" t="inlineStr">
        <is>
          <t>Transportador volumetrico fundente</t>
        </is>
      </c>
      <c r="D1860" s="2" t="n">
        <v>620</v>
      </c>
      <c r="E1860" s="2" t="inlineStr">
        <is>
          <t>CC-3000</t>
        </is>
      </c>
      <c r="F1860" s="2" t="inlineStr">
        <is>
          <t>P01</t>
        </is>
      </c>
      <c r="G1860" s="2" t="n">
        <v>620000</v>
      </c>
      <c r="H1860" s="2" t="inlineStr">
        <is>
          <t>Materiales</t>
        </is>
      </c>
      <c r="I1860" s="9" t="n">
        <v>552.9</v>
      </c>
      <c r="J1860" s="9" t="n">
        <v>504.25</v>
      </c>
      <c r="K1860" s="9" t="n">
        <v>589.1799999999999</v>
      </c>
      <c r="L1860" s="9" t="n">
        <v>603.1900000000001</v>
      </c>
      <c r="M1860" s="9" t="n">
        <v>565.5</v>
      </c>
      <c r="N1860" s="9" t="n">
        <v>534.59</v>
      </c>
      <c r="O1860" s="9" t="n">
        <v>528.6</v>
      </c>
      <c r="P1860" s="9" t="n">
        <v>509.02</v>
      </c>
      <c r="Q1860" s="9" t="n">
        <v>530.0599999999999</v>
      </c>
      <c r="R1860" s="9" t="n">
        <v>569.9</v>
      </c>
      <c r="S1860" s="9" t="n">
        <v>565.22</v>
      </c>
      <c r="T1860" s="9" t="n">
        <v>557.4</v>
      </c>
      <c r="U1860" s="10">
        <f>SUM(I1860:T1860)</f>
        <v/>
      </c>
    </row>
    <row r="1861">
      <c r="A1861" s="2" t="inlineStr">
        <is>
          <t>SN-3000-3500-3500-3500FE0023</t>
        </is>
      </c>
      <c r="B1861" s="2" t="inlineStr">
        <is>
          <t>3500FE0023</t>
        </is>
      </c>
      <c r="C1861" s="2" t="inlineStr">
        <is>
          <t>Transportador volumetrico fundente</t>
        </is>
      </c>
      <c r="D1861" s="2" t="n">
        <v>620</v>
      </c>
      <c r="E1861" s="2" t="inlineStr">
        <is>
          <t>CC-3000</t>
        </is>
      </c>
      <c r="F1861" s="2" t="inlineStr">
        <is>
          <t>P01</t>
        </is>
      </c>
      <c r="G1861" s="2" t="n">
        <v>630000</v>
      </c>
      <c r="H1861" s="2" t="inlineStr">
        <is>
          <t>Servicios externos</t>
        </is>
      </c>
      <c r="I1861" s="9" t="n">
        <v>524.98</v>
      </c>
      <c r="J1861" s="9" t="n">
        <v>508.45</v>
      </c>
      <c r="K1861" s="9" t="n">
        <v>521.45</v>
      </c>
      <c r="L1861" s="9" t="n">
        <v>540.5</v>
      </c>
      <c r="M1861" s="9" t="n">
        <v>526.8099999999999</v>
      </c>
      <c r="N1861" s="9" t="n">
        <v>506.25</v>
      </c>
      <c r="O1861" s="9" t="n">
        <v>520.04</v>
      </c>
      <c r="P1861" s="9" t="n">
        <v>510.05</v>
      </c>
      <c r="Q1861" s="9" t="n">
        <v>472.04</v>
      </c>
      <c r="R1861" s="9" t="n">
        <v>499.15</v>
      </c>
      <c r="S1861" s="9" t="n">
        <v>460.9</v>
      </c>
      <c r="T1861" s="9" t="n">
        <v>461.85</v>
      </c>
      <c r="U1861" s="10">
        <f>SUM(I1861:T1861)</f>
        <v/>
      </c>
    </row>
    <row r="1862">
      <c r="A1862" s="2" t="inlineStr">
        <is>
          <t>SN-3000-3500-3500-3500FE0024</t>
        </is>
      </c>
      <c r="B1862" s="2" t="inlineStr">
        <is>
          <t>3500FE0024</t>
        </is>
      </c>
      <c r="C1862" s="2" t="inlineStr">
        <is>
          <t>Transportador volumetrico fundente</t>
        </is>
      </c>
      <c r="D1862" s="2" t="n">
        <v>621</v>
      </c>
      <c r="E1862" s="2" t="inlineStr">
        <is>
          <t>CC-3000</t>
        </is>
      </c>
      <c r="F1862" s="2" t="inlineStr">
        <is>
          <t>P01</t>
        </is>
      </c>
      <c r="G1862" s="2" t="n">
        <v>610000</v>
      </c>
      <c r="H1862" s="2" t="inlineStr">
        <is>
          <t>Mano obra interna</t>
        </is>
      </c>
      <c r="I1862" s="9" t="n">
        <v>2043.37</v>
      </c>
      <c r="J1862" s="9" t="n">
        <v>1878.11</v>
      </c>
      <c r="K1862" s="9" t="n">
        <v>2219.26</v>
      </c>
      <c r="L1862" s="9" t="n">
        <v>2166.9</v>
      </c>
      <c r="M1862" s="9" t="n">
        <v>1863.28</v>
      </c>
      <c r="N1862" s="9" t="n">
        <v>1854.86</v>
      </c>
      <c r="O1862" s="9" t="n">
        <v>2125.45</v>
      </c>
      <c r="P1862" s="9" t="n">
        <v>2117.72</v>
      </c>
      <c r="Q1862" s="9" t="n">
        <v>2015.68</v>
      </c>
      <c r="R1862" s="9" t="n">
        <v>2353.35</v>
      </c>
      <c r="S1862" s="9" t="n">
        <v>2105.85</v>
      </c>
      <c r="T1862" s="9" t="n">
        <v>2021.81</v>
      </c>
      <c r="U1862" s="10">
        <f>SUM(I1862:T1862)</f>
        <v/>
      </c>
    </row>
    <row r="1863">
      <c r="A1863" s="2" t="inlineStr">
        <is>
          <t>SN-3000-3500-3500-3500FE0024</t>
        </is>
      </c>
      <c r="B1863" s="2" t="inlineStr">
        <is>
          <t>3500FE0024</t>
        </is>
      </c>
      <c r="C1863" s="2" t="inlineStr">
        <is>
          <t>Transportador volumetrico fundente</t>
        </is>
      </c>
      <c r="D1863" s="2" t="n">
        <v>621</v>
      </c>
      <c r="E1863" s="2" t="inlineStr">
        <is>
          <t>CC-3000</t>
        </is>
      </c>
      <c r="F1863" s="2" t="inlineStr">
        <is>
          <t>P01</t>
        </is>
      </c>
      <c r="G1863" s="2" t="n">
        <v>620000</v>
      </c>
      <c r="H1863" s="2" t="inlineStr">
        <is>
          <t>Materiales</t>
        </is>
      </c>
      <c r="I1863" s="9" t="n">
        <v>2168.71</v>
      </c>
      <c r="J1863" s="9" t="n">
        <v>1944.66</v>
      </c>
      <c r="K1863" s="9" t="n">
        <v>2207.8</v>
      </c>
      <c r="L1863" s="9" t="n">
        <v>2096.38</v>
      </c>
      <c r="M1863" s="9" t="n">
        <v>2113.92</v>
      </c>
      <c r="N1863" s="9" t="n">
        <v>1880.51</v>
      </c>
      <c r="O1863" s="9" t="n">
        <v>2043.62</v>
      </c>
      <c r="P1863" s="9" t="n">
        <v>2059.43</v>
      </c>
      <c r="Q1863" s="9" t="n">
        <v>2033.7</v>
      </c>
      <c r="R1863" s="9" t="n">
        <v>2117.91</v>
      </c>
      <c r="S1863" s="9" t="n">
        <v>2112.91</v>
      </c>
      <c r="T1863" s="9" t="n">
        <v>2171.35</v>
      </c>
      <c r="U1863" s="10">
        <f>SUM(I1863:T1863)</f>
        <v/>
      </c>
    </row>
    <row r="1864">
      <c r="A1864" s="2" t="inlineStr">
        <is>
          <t>SN-3000-3500-3500-3500FE0024</t>
        </is>
      </c>
      <c r="B1864" s="2" t="inlineStr">
        <is>
          <t>3500FE0024</t>
        </is>
      </c>
      <c r="C1864" s="2" t="inlineStr">
        <is>
          <t>Transportador volumetrico fundente</t>
        </is>
      </c>
      <c r="D1864" s="2" t="n">
        <v>621</v>
      </c>
      <c r="E1864" s="2" t="inlineStr">
        <is>
          <t>CC-3000</t>
        </is>
      </c>
      <c r="F1864" s="2" t="inlineStr">
        <is>
          <t>P01</t>
        </is>
      </c>
      <c r="G1864" s="2" t="n">
        <v>630000</v>
      </c>
      <c r="H1864" s="2" t="inlineStr">
        <is>
          <t>Servicios externos</t>
        </is>
      </c>
      <c r="I1864" s="9" t="n">
        <v>2579.92</v>
      </c>
      <c r="J1864" s="9" t="n">
        <v>2419.88</v>
      </c>
      <c r="K1864" s="9" t="n">
        <v>2390.71</v>
      </c>
      <c r="L1864" s="9" t="n">
        <v>2346.91</v>
      </c>
      <c r="M1864" s="9" t="n">
        <v>2531.5</v>
      </c>
      <c r="N1864" s="9" t="n">
        <v>2393.39</v>
      </c>
      <c r="O1864" s="9" t="n">
        <v>2306.49</v>
      </c>
      <c r="P1864" s="9" t="n">
        <v>2458.99</v>
      </c>
      <c r="Q1864" s="9" t="n">
        <v>2230.43</v>
      </c>
      <c r="R1864" s="9" t="n">
        <v>2463.51</v>
      </c>
      <c r="S1864" s="9" t="n">
        <v>2351.08</v>
      </c>
      <c r="T1864" s="9" t="n">
        <v>2366.48</v>
      </c>
      <c r="U1864" s="10">
        <f>SUM(I1864:T1864)</f>
        <v/>
      </c>
    </row>
    <row r="1865">
      <c r="A1865" s="2" t="inlineStr">
        <is>
          <t>SN-3000-3500-3500-3500FE0025</t>
        </is>
      </c>
      <c r="B1865" s="2" t="inlineStr">
        <is>
          <t>3500FE0025</t>
        </is>
      </c>
      <c r="C1865" s="2" t="inlineStr">
        <is>
          <t>Transportador volumetrico fundente</t>
        </is>
      </c>
      <c r="D1865" s="2" t="n">
        <v>622</v>
      </c>
      <c r="E1865" s="2" t="inlineStr">
        <is>
          <t>CC-3000</t>
        </is>
      </c>
      <c r="F1865" s="2" t="inlineStr">
        <is>
          <t>P01</t>
        </is>
      </c>
      <c r="G1865" s="2" t="n">
        <v>610000</v>
      </c>
      <c r="H1865" s="2" t="inlineStr">
        <is>
          <t>Mano obra interna</t>
        </is>
      </c>
      <c r="I1865" s="9" t="n">
        <v>2282.06</v>
      </c>
      <c r="J1865" s="9" t="n">
        <v>2245.23</v>
      </c>
      <c r="K1865" s="9" t="n">
        <v>2150.38</v>
      </c>
      <c r="L1865" s="9" t="n">
        <v>2260.91</v>
      </c>
      <c r="M1865" s="9" t="n">
        <v>2137.86</v>
      </c>
      <c r="N1865" s="9" t="n">
        <v>1987.26</v>
      </c>
      <c r="O1865" s="9" t="n">
        <v>2113.7</v>
      </c>
      <c r="P1865" s="9" t="n">
        <v>2115.97</v>
      </c>
      <c r="Q1865" s="9" t="n">
        <v>1985.85</v>
      </c>
      <c r="R1865" s="9" t="n">
        <v>2541.24</v>
      </c>
      <c r="S1865" s="9" t="n">
        <v>2154.51</v>
      </c>
      <c r="T1865" s="9" t="n">
        <v>2151.93</v>
      </c>
      <c r="U1865" s="10">
        <f>SUM(I1865:T1865)</f>
        <v/>
      </c>
    </row>
    <row r="1866">
      <c r="A1866" s="2" t="inlineStr">
        <is>
          <t>SN-3000-3500-3500-3500FE0025</t>
        </is>
      </c>
      <c r="B1866" s="2" t="inlineStr">
        <is>
          <t>3500FE0025</t>
        </is>
      </c>
      <c r="C1866" s="2" t="inlineStr">
        <is>
          <t>Transportador volumetrico fundente</t>
        </is>
      </c>
      <c r="D1866" s="2" t="n">
        <v>622</v>
      </c>
      <c r="E1866" s="2" t="inlineStr">
        <is>
          <t>CC-3000</t>
        </is>
      </c>
      <c r="F1866" s="2" t="inlineStr">
        <is>
          <t>P01</t>
        </is>
      </c>
      <c r="G1866" s="2" t="n">
        <v>620000</v>
      </c>
      <c r="H1866" s="2" t="inlineStr">
        <is>
          <t>Materiales</t>
        </is>
      </c>
      <c r="I1866" s="9" t="n">
        <v>2119.98</v>
      </c>
      <c r="J1866" s="9" t="n">
        <v>2214.35</v>
      </c>
      <c r="K1866" s="9" t="n">
        <v>2165.96</v>
      </c>
      <c r="L1866" s="9" t="n">
        <v>2074.02</v>
      </c>
      <c r="M1866" s="9" t="n">
        <v>2091.29</v>
      </c>
      <c r="N1866" s="9" t="n">
        <v>2069.95</v>
      </c>
      <c r="O1866" s="9" t="n">
        <v>1985.44</v>
      </c>
      <c r="P1866" s="9" t="n">
        <v>2188.26</v>
      </c>
      <c r="Q1866" s="9" t="n">
        <v>1964.2</v>
      </c>
      <c r="R1866" s="9" t="n">
        <v>2132.83</v>
      </c>
      <c r="S1866" s="9" t="n">
        <v>2135.33</v>
      </c>
      <c r="T1866" s="9" t="n">
        <v>2251.94</v>
      </c>
      <c r="U1866" s="10">
        <f>SUM(I1866:T1866)</f>
        <v/>
      </c>
    </row>
    <row r="1867">
      <c r="A1867" s="2" t="inlineStr">
        <is>
          <t>SN-3000-3500-3500-3500FE0025</t>
        </is>
      </c>
      <c r="B1867" s="2" t="inlineStr">
        <is>
          <t>3500FE0025</t>
        </is>
      </c>
      <c r="C1867" s="2" t="inlineStr">
        <is>
          <t>Transportador volumetrico fundente</t>
        </is>
      </c>
      <c r="D1867" s="2" t="n">
        <v>622</v>
      </c>
      <c r="E1867" s="2" t="inlineStr">
        <is>
          <t>CC-3000</t>
        </is>
      </c>
      <c r="F1867" s="2" t="inlineStr">
        <is>
          <t>P01</t>
        </is>
      </c>
      <c r="G1867" s="2" t="n">
        <v>630000</v>
      </c>
      <c r="H1867" s="2" t="inlineStr">
        <is>
          <t>Servicios externos</t>
        </is>
      </c>
      <c r="I1867" s="9" t="n">
        <v>2477.1</v>
      </c>
      <c r="J1867" s="9" t="n">
        <v>2463.39</v>
      </c>
      <c r="K1867" s="9" t="n">
        <v>2521.88</v>
      </c>
      <c r="L1867" s="9" t="n">
        <v>2626.03</v>
      </c>
      <c r="M1867" s="9" t="n">
        <v>2496.67</v>
      </c>
      <c r="N1867" s="9" t="n">
        <v>2220.85</v>
      </c>
      <c r="O1867" s="9" t="n">
        <v>2547.62</v>
      </c>
      <c r="P1867" s="9" t="n">
        <v>2562.14</v>
      </c>
      <c r="Q1867" s="9" t="n">
        <v>2269.45</v>
      </c>
      <c r="R1867" s="9" t="n">
        <v>2846.13</v>
      </c>
      <c r="S1867" s="9" t="n">
        <v>2542.24</v>
      </c>
      <c r="T1867" s="9" t="n">
        <v>2395.13</v>
      </c>
      <c r="U1867" s="10">
        <f>SUM(I1867:T1867)</f>
        <v/>
      </c>
    </row>
    <row r="1868">
      <c r="A1868" s="2" t="inlineStr">
        <is>
          <t>SN-3000-3500-3500-3500FE0026</t>
        </is>
      </c>
      <c r="B1868" s="2" t="inlineStr">
        <is>
          <t>3500FE0026</t>
        </is>
      </c>
      <c r="C1868" s="2" t="inlineStr">
        <is>
          <t>Transportador volumetrico fundente</t>
        </is>
      </c>
      <c r="D1868" s="2" t="n">
        <v>623</v>
      </c>
      <c r="E1868" s="2" t="inlineStr">
        <is>
          <t>CC-3000</t>
        </is>
      </c>
      <c r="F1868" s="2" t="inlineStr">
        <is>
          <t>P01</t>
        </is>
      </c>
      <c r="G1868" s="2" t="n">
        <v>610000</v>
      </c>
      <c r="H1868" s="2" t="inlineStr">
        <is>
          <t>Mano obra interna</t>
        </is>
      </c>
      <c r="I1868" s="9" t="n">
        <v>437.92</v>
      </c>
      <c r="J1868" s="9" t="n">
        <v>441.79</v>
      </c>
      <c r="K1868" s="9" t="n">
        <v>469.23</v>
      </c>
      <c r="L1868" s="9" t="n">
        <v>442.99</v>
      </c>
      <c r="M1868" s="9" t="n">
        <v>421.68</v>
      </c>
      <c r="N1868" s="9" t="n">
        <v>441.57</v>
      </c>
      <c r="O1868" s="9" t="n">
        <v>414.61</v>
      </c>
      <c r="P1868" s="9" t="n">
        <v>415.93</v>
      </c>
      <c r="Q1868" s="9" t="n">
        <v>394.21</v>
      </c>
      <c r="R1868" s="9" t="n">
        <v>493.9</v>
      </c>
      <c r="S1868" s="9" t="n">
        <v>448.68</v>
      </c>
      <c r="T1868" s="9" t="n">
        <v>419.82</v>
      </c>
      <c r="U1868" s="10">
        <f>SUM(I1868:T1868)</f>
        <v/>
      </c>
    </row>
    <row r="1869">
      <c r="A1869" s="2" t="inlineStr">
        <is>
          <t>SN-3000-3500-3500-3500FE0026</t>
        </is>
      </c>
      <c r="B1869" s="2" t="inlineStr">
        <is>
          <t>3500FE0026</t>
        </is>
      </c>
      <c r="C1869" s="2" t="inlineStr">
        <is>
          <t>Transportador volumetrico fundente</t>
        </is>
      </c>
      <c r="D1869" s="2" t="n">
        <v>623</v>
      </c>
      <c r="E1869" s="2" t="inlineStr">
        <is>
          <t>CC-3000</t>
        </is>
      </c>
      <c r="F1869" s="2" t="inlineStr">
        <is>
          <t>P01</t>
        </is>
      </c>
      <c r="G1869" s="2" t="n">
        <v>620000</v>
      </c>
      <c r="H1869" s="2" t="inlineStr">
        <is>
          <t>Materiales</t>
        </is>
      </c>
      <c r="I1869" s="9" t="n">
        <v>414.22</v>
      </c>
      <c r="J1869" s="9" t="n">
        <v>447.01</v>
      </c>
      <c r="K1869" s="9" t="n">
        <v>442.24</v>
      </c>
      <c r="L1869" s="9" t="n">
        <v>397.38</v>
      </c>
      <c r="M1869" s="9" t="n">
        <v>386.59</v>
      </c>
      <c r="N1869" s="9" t="n">
        <v>380.79</v>
      </c>
      <c r="O1869" s="9" t="n">
        <v>401.18</v>
      </c>
      <c r="P1869" s="9" t="n">
        <v>439.84</v>
      </c>
      <c r="Q1869" s="9" t="n">
        <v>375.49</v>
      </c>
      <c r="R1869" s="9" t="n">
        <v>489.36</v>
      </c>
      <c r="S1869" s="9" t="n">
        <v>417.51</v>
      </c>
      <c r="T1869" s="9" t="n">
        <v>441.56</v>
      </c>
      <c r="U1869" s="10">
        <f>SUM(I1869:T1869)</f>
        <v/>
      </c>
    </row>
    <row r="1870">
      <c r="A1870" s="2" t="inlineStr">
        <is>
          <t>SN-3000-3500-3500-3500FE0026</t>
        </is>
      </c>
      <c r="B1870" s="2" t="inlineStr">
        <is>
          <t>3500FE0026</t>
        </is>
      </c>
      <c r="C1870" s="2" t="inlineStr">
        <is>
          <t>Transportador volumetrico fundente</t>
        </is>
      </c>
      <c r="D1870" s="2" t="n">
        <v>623</v>
      </c>
      <c r="E1870" s="2" t="inlineStr">
        <is>
          <t>CC-3000</t>
        </is>
      </c>
      <c r="F1870" s="2" t="inlineStr">
        <is>
          <t>P01</t>
        </is>
      </c>
      <c r="G1870" s="2" t="n">
        <v>630000</v>
      </c>
      <c r="H1870" s="2" t="inlineStr">
        <is>
          <t>Servicios externos</t>
        </is>
      </c>
      <c r="I1870" s="9" t="n">
        <v>369.7</v>
      </c>
      <c r="J1870" s="9" t="n">
        <v>344.59</v>
      </c>
      <c r="K1870" s="9" t="n">
        <v>372.02</v>
      </c>
      <c r="L1870" s="9" t="n">
        <v>373.69</v>
      </c>
      <c r="M1870" s="9" t="n">
        <v>317.02</v>
      </c>
      <c r="N1870" s="9" t="n">
        <v>304.75</v>
      </c>
      <c r="O1870" s="9" t="n">
        <v>357.45</v>
      </c>
      <c r="P1870" s="9" t="n">
        <v>360.44</v>
      </c>
      <c r="Q1870" s="9" t="n">
        <v>321.44</v>
      </c>
      <c r="R1870" s="9" t="n">
        <v>359.59</v>
      </c>
      <c r="S1870" s="9" t="n">
        <v>337.92</v>
      </c>
      <c r="T1870" s="9" t="n">
        <v>335.05</v>
      </c>
      <c r="U1870" s="10">
        <f>SUM(I1870:T1870)</f>
        <v/>
      </c>
    </row>
    <row r="1871">
      <c r="A1871" s="2" t="inlineStr">
        <is>
          <t>SN-3000-3500-3500-3500FE0027</t>
        </is>
      </c>
      <c r="B1871" s="2" t="inlineStr">
        <is>
          <t>3500FE0027</t>
        </is>
      </c>
      <c r="C1871" s="2" t="inlineStr">
        <is>
          <t>Transportador de tornillo fundente</t>
        </is>
      </c>
      <c r="D1871" s="2" t="n">
        <v>624</v>
      </c>
      <c r="E1871" s="2" t="inlineStr">
        <is>
          <t>CC-3000</t>
        </is>
      </c>
      <c r="F1871" s="2" t="inlineStr">
        <is>
          <t>P01</t>
        </is>
      </c>
      <c r="G1871" s="2" t="n">
        <v>610000</v>
      </c>
      <c r="H1871" s="2" t="inlineStr">
        <is>
          <t>Mano obra interna</t>
        </is>
      </c>
      <c r="I1871" s="9" t="n">
        <v>1922.37</v>
      </c>
      <c r="J1871" s="9" t="n">
        <v>1773.74</v>
      </c>
      <c r="K1871" s="9" t="n">
        <v>1941.32</v>
      </c>
      <c r="L1871" s="9" t="n">
        <v>2069.16</v>
      </c>
      <c r="M1871" s="9" t="n">
        <v>1968.69</v>
      </c>
      <c r="N1871" s="9" t="n">
        <v>1931.27</v>
      </c>
      <c r="O1871" s="9" t="n">
        <v>1980.06</v>
      </c>
      <c r="P1871" s="9" t="n">
        <v>1841.47</v>
      </c>
      <c r="Q1871" s="9" t="n">
        <v>1843.97</v>
      </c>
      <c r="R1871" s="9" t="n">
        <v>2172.34</v>
      </c>
      <c r="S1871" s="9" t="n">
        <v>1957.08</v>
      </c>
      <c r="T1871" s="9" t="n">
        <v>1970.83</v>
      </c>
      <c r="U1871" s="10">
        <f>SUM(I1871:T1871)</f>
        <v/>
      </c>
    </row>
    <row r="1872">
      <c r="A1872" s="2" t="inlineStr">
        <is>
          <t>SN-3000-3500-3500-3500FE0027</t>
        </is>
      </c>
      <c r="B1872" s="2" t="inlineStr">
        <is>
          <t>3500FE0027</t>
        </is>
      </c>
      <c r="C1872" s="2" t="inlineStr">
        <is>
          <t>Transportador de tornillo fundente</t>
        </is>
      </c>
      <c r="D1872" s="2" t="n">
        <v>624</v>
      </c>
      <c r="E1872" s="2" t="inlineStr">
        <is>
          <t>CC-3000</t>
        </is>
      </c>
      <c r="F1872" s="2" t="inlineStr">
        <is>
          <t>P01</t>
        </is>
      </c>
      <c r="G1872" s="2" t="n">
        <v>620000</v>
      </c>
      <c r="H1872" s="2" t="inlineStr">
        <is>
          <t>Materiales</t>
        </is>
      </c>
      <c r="I1872" s="9" t="n">
        <v>1793.48</v>
      </c>
      <c r="J1872" s="9" t="n">
        <v>1762.38</v>
      </c>
      <c r="K1872" s="9" t="n">
        <v>2102.27</v>
      </c>
      <c r="L1872" s="9" t="n">
        <v>1926.58</v>
      </c>
      <c r="M1872" s="9" t="n">
        <v>1983.51</v>
      </c>
      <c r="N1872" s="9" t="n">
        <v>1803.07</v>
      </c>
      <c r="O1872" s="9" t="n">
        <v>1946.21</v>
      </c>
      <c r="P1872" s="9" t="n">
        <v>1750.82</v>
      </c>
      <c r="Q1872" s="9" t="n">
        <v>1694.78</v>
      </c>
      <c r="R1872" s="9" t="n">
        <v>2024.41</v>
      </c>
      <c r="S1872" s="9" t="n">
        <v>1874.33</v>
      </c>
      <c r="T1872" s="9" t="n">
        <v>1823.53</v>
      </c>
      <c r="U1872" s="10">
        <f>SUM(I1872:T1872)</f>
        <v/>
      </c>
    </row>
    <row r="1873">
      <c r="A1873" s="2" t="inlineStr">
        <is>
          <t>SN-3000-3500-3500-3500FE0027</t>
        </is>
      </c>
      <c r="B1873" s="2" t="inlineStr">
        <is>
          <t>3500FE0027</t>
        </is>
      </c>
      <c r="C1873" s="2" t="inlineStr">
        <is>
          <t>Transportador de tornillo fundente</t>
        </is>
      </c>
      <c r="D1873" s="2" t="n">
        <v>624</v>
      </c>
      <c r="E1873" s="2" t="inlineStr">
        <is>
          <t>CC-3000</t>
        </is>
      </c>
      <c r="F1873" s="2" t="inlineStr">
        <is>
          <t>P01</t>
        </is>
      </c>
      <c r="G1873" s="2" t="n">
        <v>630000</v>
      </c>
      <c r="H1873" s="2" t="inlineStr">
        <is>
          <t>Servicios externos</t>
        </is>
      </c>
      <c r="I1873" s="9" t="n">
        <v>2218.49</v>
      </c>
      <c r="J1873" s="9" t="n">
        <v>2298.86</v>
      </c>
      <c r="K1873" s="9" t="n">
        <v>2144.26</v>
      </c>
      <c r="L1873" s="9" t="n">
        <v>2335.65</v>
      </c>
      <c r="M1873" s="9" t="n">
        <v>2125.71</v>
      </c>
      <c r="N1873" s="9" t="n">
        <v>2224.17</v>
      </c>
      <c r="O1873" s="9" t="n">
        <v>2187.6</v>
      </c>
      <c r="P1873" s="9" t="n">
        <v>2278.45</v>
      </c>
      <c r="Q1873" s="9" t="n">
        <v>2211.53</v>
      </c>
      <c r="R1873" s="9" t="n">
        <v>2211.86</v>
      </c>
      <c r="S1873" s="9" t="n">
        <v>1982.23</v>
      </c>
      <c r="T1873" s="9" t="n">
        <v>2351.86</v>
      </c>
      <c r="U1873" s="10">
        <f>SUM(I1873:T1873)</f>
        <v/>
      </c>
    </row>
    <row r="1874">
      <c r="A1874" s="2" t="inlineStr">
        <is>
          <t>SN-3000-3500-3500-3500FE0031</t>
        </is>
      </c>
      <c r="B1874" s="2" t="inlineStr">
        <is>
          <t>3500FE0031</t>
        </is>
      </c>
      <c r="C1874" s="2" t="inlineStr">
        <is>
          <t>Transportador tornillo fundente/ precipitado</t>
        </is>
      </c>
      <c r="D1874" s="2" t="n">
        <v>625</v>
      </c>
      <c r="E1874" s="2" t="inlineStr">
        <is>
          <t>CC-3000</t>
        </is>
      </c>
      <c r="F1874" s="2" t="inlineStr">
        <is>
          <t>P01</t>
        </is>
      </c>
      <c r="G1874" s="2" t="n">
        <v>610000</v>
      </c>
      <c r="H1874" s="2" t="inlineStr">
        <is>
          <t>Mano obra interna</t>
        </is>
      </c>
      <c r="I1874" s="9" t="n">
        <v>1859.14</v>
      </c>
      <c r="J1874" s="9" t="n">
        <v>1853.38</v>
      </c>
      <c r="K1874" s="9" t="n">
        <v>1800.75</v>
      </c>
      <c r="L1874" s="9" t="n">
        <v>1830.36</v>
      </c>
      <c r="M1874" s="9" t="n">
        <v>1841.56</v>
      </c>
      <c r="N1874" s="9" t="n">
        <v>1897.06</v>
      </c>
      <c r="O1874" s="9" t="n">
        <v>1878.29</v>
      </c>
      <c r="P1874" s="9" t="n">
        <v>1908.16</v>
      </c>
      <c r="Q1874" s="9" t="n">
        <v>1858.22</v>
      </c>
      <c r="R1874" s="9" t="n">
        <v>1969.15</v>
      </c>
      <c r="S1874" s="9" t="n">
        <v>1881.96</v>
      </c>
      <c r="T1874" s="9" t="n">
        <v>2022.14</v>
      </c>
      <c r="U1874" s="10">
        <f>SUM(I1874:T1874)</f>
        <v/>
      </c>
    </row>
    <row r="1875">
      <c r="A1875" s="2" t="inlineStr">
        <is>
          <t>SN-3000-3500-3500-3500FE0031</t>
        </is>
      </c>
      <c r="B1875" s="2" t="inlineStr">
        <is>
          <t>3500FE0031</t>
        </is>
      </c>
      <c r="C1875" s="2" t="inlineStr">
        <is>
          <t>Transportador tornillo fundente/ precipitado</t>
        </is>
      </c>
      <c r="D1875" s="2" t="n">
        <v>625</v>
      </c>
      <c r="E1875" s="2" t="inlineStr">
        <is>
          <t>CC-3000</t>
        </is>
      </c>
      <c r="F1875" s="2" t="inlineStr">
        <is>
          <t>P01</t>
        </is>
      </c>
      <c r="G1875" s="2" t="n">
        <v>620000</v>
      </c>
      <c r="H1875" s="2" t="inlineStr">
        <is>
          <t>Materiales</t>
        </is>
      </c>
      <c r="I1875" s="9" t="n">
        <v>1581.28</v>
      </c>
      <c r="J1875" s="9" t="n">
        <v>1681.26</v>
      </c>
      <c r="K1875" s="9" t="n">
        <v>1762.02</v>
      </c>
      <c r="L1875" s="9" t="n">
        <v>1548.6</v>
      </c>
      <c r="M1875" s="9" t="n">
        <v>1460.16</v>
      </c>
      <c r="N1875" s="9" t="n">
        <v>1460.19</v>
      </c>
      <c r="O1875" s="9" t="n">
        <v>1560.16</v>
      </c>
      <c r="P1875" s="9" t="n">
        <v>1569.26</v>
      </c>
      <c r="Q1875" s="9" t="n">
        <v>1503.87</v>
      </c>
      <c r="R1875" s="9" t="n">
        <v>1819.02</v>
      </c>
      <c r="S1875" s="9" t="n">
        <v>1493.11</v>
      </c>
      <c r="T1875" s="9" t="n">
        <v>1699.04</v>
      </c>
      <c r="U1875" s="10">
        <f>SUM(I1875:T1875)</f>
        <v/>
      </c>
    </row>
    <row r="1876">
      <c r="A1876" s="2" t="inlineStr">
        <is>
          <t>SN-3000-3500-3500-3500FE0031</t>
        </is>
      </c>
      <c r="B1876" s="2" t="inlineStr">
        <is>
          <t>3500FE0031</t>
        </is>
      </c>
      <c r="C1876" s="2" t="inlineStr">
        <is>
          <t>Transportador tornillo fundente/ precipitado</t>
        </is>
      </c>
      <c r="D1876" s="2" t="n">
        <v>625</v>
      </c>
      <c r="E1876" s="2" t="inlineStr">
        <is>
          <t>CC-3000</t>
        </is>
      </c>
      <c r="F1876" s="2" t="inlineStr">
        <is>
          <t>P01</t>
        </is>
      </c>
      <c r="G1876" s="2" t="n">
        <v>630000</v>
      </c>
      <c r="H1876" s="2" t="inlineStr">
        <is>
          <t>Servicios externos</t>
        </is>
      </c>
      <c r="I1876" s="9" t="n">
        <v>1474.61</v>
      </c>
      <c r="J1876" s="9" t="n">
        <v>1536.14</v>
      </c>
      <c r="K1876" s="9" t="n">
        <v>1494.78</v>
      </c>
      <c r="L1876" s="9" t="n">
        <v>1565.71</v>
      </c>
      <c r="M1876" s="9" t="n">
        <v>1640.56</v>
      </c>
      <c r="N1876" s="9" t="n">
        <v>1428.63</v>
      </c>
      <c r="O1876" s="9" t="n">
        <v>1610.85</v>
      </c>
      <c r="P1876" s="9" t="n">
        <v>1508.33</v>
      </c>
      <c r="Q1876" s="9" t="n">
        <v>1345.35</v>
      </c>
      <c r="R1876" s="9" t="n">
        <v>1696.24</v>
      </c>
      <c r="S1876" s="9" t="n">
        <v>1589.82</v>
      </c>
      <c r="T1876" s="9" t="n">
        <v>1558.98</v>
      </c>
      <c r="U1876" s="10">
        <f>SUM(I1876:T1876)</f>
        <v/>
      </c>
    </row>
    <row r="1877">
      <c r="A1877" s="2" t="inlineStr">
        <is>
          <t>SN-3000-3500-3500-3500FU0001</t>
        </is>
      </c>
      <c r="B1877" s="2" t="inlineStr">
        <is>
          <t>3500FU0001</t>
        </is>
      </c>
      <c r="C1877" s="2" t="inlineStr">
        <is>
          <t>Horno retortas</t>
        </is>
      </c>
      <c r="D1877" s="2" t="n">
        <v>626</v>
      </c>
      <c r="E1877" s="2" t="inlineStr">
        <is>
          <t>CC-3000</t>
        </is>
      </c>
      <c r="F1877" s="2" t="inlineStr">
        <is>
          <t>P01</t>
        </is>
      </c>
      <c r="G1877" s="2" t="n">
        <v>610000</v>
      </c>
      <c r="H1877" s="2" t="inlineStr">
        <is>
          <t>Mano obra interna</t>
        </is>
      </c>
      <c r="I1877" s="9" t="n">
        <v>2042.46</v>
      </c>
      <c r="J1877" s="9" t="n">
        <v>1937.76</v>
      </c>
      <c r="K1877" s="9" t="n">
        <v>1844.88</v>
      </c>
      <c r="L1877" s="9" t="n">
        <v>1993.62</v>
      </c>
      <c r="M1877" s="9" t="n">
        <v>1861.51</v>
      </c>
      <c r="N1877" s="9" t="n">
        <v>1868.54</v>
      </c>
      <c r="O1877" s="9" t="n">
        <v>1879.6</v>
      </c>
      <c r="P1877" s="9" t="n">
        <v>1767.14</v>
      </c>
      <c r="Q1877" s="9" t="n">
        <v>1770</v>
      </c>
      <c r="R1877" s="9" t="n">
        <v>2025.32</v>
      </c>
      <c r="S1877" s="9" t="n">
        <v>1825.56</v>
      </c>
      <c r="T1877" s="9" t="n">
        <v>2024.01</v>
      </c>
      <c r="U1877" s="10">
        <f>SUM(I1877:T1877)</f>
        <v/>
      </c>
    </row>
    <row r="1878">
      <c r="A1878" s="2" t="inlineStr">
        <is>
          <t>SN-3000-3500-3500-3500FU0001</t>
        </is>
      </c>
      <c r="B1878" s="2" t="inlineStr">
        <is>
          <t>3500FU0001</t>
        </is>
      </c>
      <c r="C1878" s="2" t="inlineStr">
        <is>
          <t>Horno retortas</t>
        </is>
      </c>
      <c r="D1878" s="2" t="n">
        <v>626</v>
      </c>
      <c r="E1878" s="2" t="inlineStr">
        <is>
          <t>CC-3000</t>
        </is>
      </c>
      <c r="F1878" s="2" t="inlineStr">
        <is>
          <t>P01</t>
        </is>
      </c>
      <c r="G1878" s="2" t="n">
        <v>620000</v>
      </c>
      <c r="H1878" s="2" t="inlineStr">
        <is>
          <t>Materiales</t>
        </is>
      </c>
      <c r="I1878" s="9" t="n">
        <v>2013.09</v>
      </c>
      <c r="J1878" s="9" t="n">
        <v>1942.81</v>
      </c>
      <c r="K1878" s="9" t="n">
        <v>2054.6</v>
      </c>
      <c r="L1878" s="9" t="n">
        <v>2036.91</v>
      </c>
      <c r="M1878" s="9" t="n">
        <v>2107.89</v>
      </c>
      <c r="N1878" s="9" t="n">
        <v>1944.87</v>
      </c>
      <c r="O1878" s="9" t="n">
        <v>1916.88</v>
      </c>
      <c r="P1878" s="9" t="n">
        <v>1995.28</v>
      </c>
      <c r="Q1878" s="9" t="n">
        <v>1887.07</v>
      </c>
      <c r="R1878" s="9" t="n">
        <v>2190.48</v>
      </c>
      <c r="S1878" s="9" t="n">
        <v>1949.54</v>
      </c>
      <c r="T1878" s="9" t="n">
        <v>1912.29</v>
      </c>
      <c r="U1878" s="10">
        <f>SUM(I1878:T1878)</f>
        <v/>
      </c>
    </row>
    <row r="1879">
      <c r="A1879" s="2" t="inlineStr">
        <is>
          <t>SN-3000-3500-3500-3500FU0001</t>
        </is>
      </c>
      <c r="B1879" s="2" t="inlineStr">
        <is>
          <t>3500FU0001</t>
        </is>
      </c>
      <c r="C1879" s="2" t="inlineStr">
        <is>
          <t>Horno retortas</t>
        </is>
      </c>
      <c r="D1879" s="2" t="n">
        <v>626</v>
      </c>
      <c r="E1879" s="2" t="inlineStr">
        <is>
          <t>CC-3000</t>
        </is>
      </c>
      <c r="F1879" s="2" t="inlineStr">
        <is>
          <t>P01</t>
        </is>
      </c>
      <c r="G1879" s="2" t="n">
        <v>630000</v>
      </c>
      <c r="H1879" s="2" t="inlineStr">
        <is>
          <t>Servicios externos</t>
        </is>
      </c>
      <c r="I1879" s="9" t="n">
        <v>1554.38</v>
      </c>
      <c r="J1879" s="9" t="n">
        <v>1521.67</v>
      </c>
      <c r="K1879" s="9" t="n">
        <v>1499.59</v>
      </c>
      <c r="L1879" s="9" t="n">
        <v>1678.17</v>
      </c>
      <c r="M1879" s="9" t="n">
        <v>1508.43</v>
      </c>
      <c r="N1879" s="9" t="n">
        <v>1593.43</v>
      </c>
      <c r="O1879" s="9" t="n">
        <v>1477.43</v>
      </c>
      <c r="P1879" s="9" t="n">
        <v>1451.29</v>
      </c>
      <c r="Q1879" s="9" t="n">
        <v>1451.02</v>
      </c>
      <c r="R1879" s="9" t="n">
        <v>1601.94</v>
      </c>
      <c r="S1879" s="9" t="n">
        <v>1619.18</v>
      </c>
      <c r="T1879" s="9" t="n">
        <v>1462.11</v>
      </c>
      <c r="U1879" s="10">
        <f>SUM(I1879:T1879)</f>
        <v/>
      </c>
    </row>
    <row r="1880">
      <c r="A1880" s="2" t="inlineStr">
        <is>
          <t>SN-3000-3500-3500-3500FU0002</t>
        </is>
      </c>
      <c r="B1880" s="2" t="inlineStr">
        <is>
          <t>3500FU0002</t>
        </is>
      </c>
      <c r="C1880" s="2" t="inlineStr">
        <is>
          <t>Horno retortas</t>
        </is>
      </c>
      <c r="D1880" s="2" t="n">
        <v>627</v>
      </c>
      <c r="E1880" s="2" t="inlineStr">
        <is>
          <t>CC-3000</t>
        </is>
      </c>
      <c r="F1880" s="2" t="inlineStr">
        <is>
          <t>P01</t>
        </is>
      </c>
      <c r="G1880" s="2" t="n">
        <v>610000</v>
      </c>
      <c r="H1880" s="2" t="inlineStr">
        <is>
          <t>Mano obra interna</t>
        </is>
      </c>
      <c r="I1880" s="9" t="n">
        <v>1884.62</v>
      </c>
      <c r="J1880" s="9" t="n">
        <v>1670.49</v>
      </c>
      <c r="K1880" s="9" t="n">
        <v>1666.75</v>
      </c>
      <c r="L1880" s="9" t="n">
        <v>1710.53</v>
      </c>
      <c r="M1880" s="9" t="n">
        <v>1709.72</v>
      </c>
      <c r="N1880" s="9" t="n">
        <v>1568.98</v>
      </c>
      <c r="O1880" s="9" t="n">
        <v>1719.67</v>
      </c>
      <c r="P1880" s="9" t="n">
        <v>1819.78</v>
      </c>
      <c r="Q1880" s="9" t="n">
        <v>1704.59</v>
      </c>
      <c r="R1880" s="9" t="n">
        <v>1729.26</v>
      </c>
      <c r="S1880" s="9" t="n">
        <v>1582.18</v>
      </c>
      <c r="T1880" s="9" t="n">
        <v>1690.74</v>
      </c>
      <c r="U1880" s="10">
        <f>SUM(I1880:T1880)</f>
        <v/>
      </c>
    </row>
    <row r="1881">
      <c r="A1881" s="2" t="inlineStr">
        <is>
          <t>SN-3000-3500-3500-3500FU0002</t>
        </is>
      </c>
      <c r="B1881" s="2" t="inlineStr">
        <is>
          <t>3500FU0002</t>
        </is>
      </c>
      <c r="C1881" s="2" t="inlineStr">
        <is>
          <t>Horno retortas</t>
        </is>
      </c>
      <c r="D1881" s="2" t="n">
        <v>627</v>
      </c>
      <c r="E1881" s="2" t="inlineStr">
        <is>
          <t>CC-3000</t>
        </is>
      </c>
      <c r="F1881" s="2" t="inlineStr">
        <is>
          <t>P01</t>
        </is>
      </c>
      <c r="G1881" s="2" t="n">
        <v>620000</v>
      </c>
      <c r="H1881" s="2" t="inlineStr">
        <is>
          <t>Materiales</t>
        </is>
      </c>
      <c r="I1881" s="9" t="n">
        <v>1774.24</v>
      </c>
      <c r="J1881" s="9" t="n">
        <v>1847</v>
      </c>
      <c r="K1881" s="9" t="n">
        <v>1897.36</v>
      </c>
      <c r="L1881" s="9" t="n">
        <v>1700.59</v>
      </c>
      <c r="M1881" s="9" t="n">
        <v>1794.22</v>
      </c>
      <c r="N1881" s="9" t="n">
        <v>1594.23</v>
      </c>
      <c r="O1881" s="9" t="n">
        <v>1708.65</v>
      </c>
      <c r="P1881" s="9" t="n">
        <v>1684.67</v>
      </c>
      <c r="Q1881" s="9" t="n">
        <v>1568.12</v>
      </c>
      <c r="R1881" s="9" t="n">
        <v>1952.65</v>
      </c>
      <c r="S1881" s="9" t="n">
        <v>1738.29</v>
      </c>
      <c r="T1881" s="9" t="n">
        <v>1710.43</v>
      </c>
      <c r="U1881" s="10">
        <f>SUM(I1881:T1881)</f>
        <v/>
      </c>
    </row>
    <row r="1882">
      <c r="A1882" s="2" t="inlineStr">
        <is>
          <t>SN-3000-3500-3500-3500FU0002</t>
        </is>
      </c>
      <c r="B1882" s="2" t="inlineStr">
        <is>
          <t>3500FU0002</t>
        </is>
      </c>
      <c r="C1882" s="2" t="inlineStr">
        <is>
          <t>Horno retortas</t>
        </is>
      </c>
      <c r="D1882" s="2" t="n">
        <v>627</v>
      </c>
      <c r="E1882" s="2" t="inlineStr">
        <is>
          <t>CC-3000</t>
        </is>
      </c>
      <c r="F1882" s="2" t="inlineStr">
        <is>
          <t>P01</t>
        </is>
      </c>
      <c r="G1882" s="2" t="n">
        <v>630000</v>
      </c>
      <c r="H1882" s="2" t="inlineStr">
        <is>
          <t>Servicios externos</t>
        </is>
      </c>
      <c r="I1882" s="9" t="n">
        <v>1961.33</v>
      </c>
      <c r="J1882" s="9" t="n">
        <v>1792.62</v>
      </c>
      <c r="K1882" s="9" t="n">
        <v>1885.32</v>
      </c>
      <c r="L1882" s="9" t="n">
        <v>2015.19</v>
      </c>
      <c r="M1882" s="9" t="n">
        <v>2073.07</v>
      </c>
      <c r="N1882" s="9" t="n">
        <v>1881.55</v>
      </c>
      <c r="O1882" s="9" t="n">
        <v>2086.34</v>
      </c>
      <c r="P1882" s="9" t="n">
        <v>1926.78</v>
      </c>
      <c r="Q1882" s="9" t="n">
        <v>1792.53</v>
      </c>
      <c r="R1882" s="9" t="n">
        <v>2098.2</v>
      </c>
      <c r="S1882" s="9" t="n">
        <v>1942.97</v>
      </c>
      <c r="T1882" s="9" t="n">
        <v>1932.67</v>
      </c>
      <c r="U1882" s="10">
        <f>SUM(I1882:T1882)</f>
        <v/>
      </c>
    </row>
    <row r="1883">
      <c r="A1883" s="2" t="inlineStr">
        <is>
          <t>SN-3000-3500-3500-3500FU0003</t>
        </is>
      </c>
      <c r="B1883" s="2" t="inlineStr">
        <is>
          <t>3500FU0003</t>
        </is>
      </c>
      <c r="C1883" s="2" t="inlineStr">
        <is>
          <t>Horno fundición</t>
        </is>
      </c>
      <c r="D1883" s="2" t="n">
        <v>628</v>
      </c>
      <c r="E1883" s="2" t="inlineStr">
        <is>
          <t>CC-3000</t>
        </is>
      </c>
      <c r="F1883" s="2" t="inlineStr">
        <is>
          <t>P01</t>
        </is>
      </c>
      <c r="G1883" s="2" t="n">
        <v>610000</v>
      </c>
      <c r="H1883" s="2" t="inlineStr">
        <is>
          <t>Mano obra interna</t>
        </is>
      </c>
      <c r="I1883" s="9" t="n">
        <v>2604.5</v>
      </c>
      <c r="J1883" s="9" t="n">
        <v>2691.15</v>
      </c>
      <c r="K1883" s="9" t="n">
        <v>2851.43</v>
      </c>
      <c r="L1883" s="9" t="n">
        <v>2868.24</v>
      </c>
      <c r="M1883" s="9" t="n">
        <v>2632.75</v>
      </c>
      <c r="N1883" s="9" t="n">
        <v>2607.3</v>
      </c>
      <c r="O1883" s="9" t="n">
        <v>2753.54</v>
      </c>
      <c r="P1883" s="9" t="n">
        <v>2839.51</v>
      </c>
      <c r="Q1883" s="9" t="n">
        <v>2680.81</v>
      </c>
      <c r="R1883" s="9" t="n">
        <v>3088.73</v>
      </c>
      <c r="S1883" s="9" t="n">
        <v>2603.3</v>
      </c>
      <c r="T1883" s="9" t="n">
        <v>3023.85</v>
      </c>
      <c r="U1883" s="10">
        <f>SUM(I1883:T1883)</f>
        <v/>
      </c>
    </row>
    <row r="1884">
      <c r="A1884" s="2" t="inlineStr">
        <is>
          <t>SN-3000-3500-3500-3500FU0003</t>
        </is>
      </c>
      <c r="B1884" s="2" t="inlineStr">
        <is>
          <t>3500FU0003</t>
        </is>
      </c>
      <c r="C1884" s="2" t="inlineStr">
        <is>
          <t>Horno fundición</t>
        </is>
      </c>
      <c r="D1884" s="2" t="n">
        <v>628</v>
      </c>
      <c r="E1884" s="2" t="inlineStr">
        <is>
          <t>CC-3000</t>
        </is>
      </c>
      <c r="F1884" s="2" t="inlineStr">
        <is>
          <t>P01</t>
        </is>
      </c>
      <c r="G1884" s="2" t="n">
        <v>620000</v>
      </c>
      <c r="H1884" s="2" t="inlineStr">
        <is>
          <t>Materiales</t>
        </is>
      </c>
      <c r="I1884" s="9" t="n">
        <v>2643.03</v>
      </c>
      <c r="J1884" s="9" t="n">
        <v>2522.32</v>
      </c>
      <c r="K1884" s="9" t="n">
        <v>2694.98</v>
      </c>
      <c r="L1884" s="9" t="n">
        <v>2730.82</v>
      </c>
      <c r="M1884" s="9" t="n">
        <v>2814.15</v>
      </c>
      <c r="N1884" s="9" t="n">
        <v>2688.81</v>
      </c>
      <c r="O1884" s="9" t="n">
        <v>2845.04</v>
      </c>
      <c r="P1884" s="9" t="n">
        <v>2592.27</v>
      </c>
      <c r="Q1884" s="9" t="n">
        <v>2543.81</v>
      </c>
      <c r="R1884" s="9" t="n">
        <v>2802.9</v>
      </c>
      <c r="S1884" s="9" t="n">
        <v>2443.41</v>
      </c>
      <c r="T1884" s="9" t="n">
        <v>2812.95</v>
      </c>
      <c r="U1884" s="10">
        <f>SUM(I1884:T1884)</f>
        <v/>
      </c>
    </row>
    <row r="1885">
      <c r="A1885" s="2" t="inlineStr">
        <is>
          <t>SN-3000-3500-3500-3500FU0003</t>
        </is>
      </c>
      <c r="B1885" s="2" t="inlineStr">
        <is>
          <t>3500FU0003</t>
        </is>
      </c>
      <c r="C1885" s="2" t="inlineStr">
        <is>
          <t>Horno fundición</t>
        </is>
      </c>
      <c r="D1885" s="2" t="n">
        <v>628</v>
      </c>
      <c r="E1885" s="2" t="inlineStr">
        <is>
          <t>CC-3000</t>
        </is>
      </c>
      <c r="F1885" s="2" t="inlineStr">
        <is>
          <t>P01</t>
        </is>
      </c>
      <c r="G1885" s="2" t="n">
        <v>630000</v>
      </c>
      <c r="H1885" s="2" t="inlineStr">
        <is>
          <t>Servicios externos</t>
        </is>
      </c>
      <c r="I1885" s="9" t="n">
        <v>2206.46</v>
      </c>
      <c r="J1885" s="9" t="n">
        <v>2122.13</v>
      </c>
      <c r="K1885" s="9" t="n">
        <v>2279.32</v>
      </c>
      <c r="L1885" s="9" t="n">
        <v>2027.26</v>
      </c>
      <c r="M1885" s="9" t="n">
        <v>2177.64</v>
      </c>
      <c r="N1885" s="9" t="n">
        <v>2173.22</v>
      </c>
      <c r="O1885" s="9" t="n">
        <v>2224.16</v>
      </c>
      <c r="P1885" s="9" t="n">
        <v>2188.1</v>
      </c>
      <c r="Q1885" s="9" t="n">
        <v>2010.27</v>
      </c>
      <c r="R1885" s="9" t="n">
        <v>2241.6</v>
      </c>
      <c r="S1885" s="9" t="n">
        <v>2112.85</v>
      </c>
      <c r="T1885" s="9" t="n">
        <v>2212.8</v>
      </c>
      <c r="U1885" s="10">
        <f>SUM(I1885:T1885)</f>
        <v/>
      </c>
    </row>
    <row r="1886">
      <c r="A1886" s="2" t="inlineStr">
        <is>
          <t>SN-3000-3500-3500-3500FU0004</t>
        </is>
      </c>
      <c r="B1886" s="2" t="inlineStr">
        <is>
          <t>3500FU0004</t>
        </is>
      </c>
      <c r="C1886" s="2" t="inlineStr">
        <is>
          <t>Horno fundición</t>
        </is>
      </c>
      <c r="D1886" s="2" t="n">
        <v>629</v>
      </c>
      <c r="E1886" s="2" t="inlineStr">
        <is>
          <t>CC-3000</t>
        </is>
      </c>
      <c r="F1886" s="2" t="inlineStr">
        <is>
          <t>P01</t>
        </is>
      </c>
      <c r="G1886" s="2" t="n">
        <v>610000</v>
      </c>
      <c r="H1886" s="2" t="inlineStr">
        <is>
          <t>Mano obra interna</t>
        </is>
      </c>
      <c r="I1886" s="9" t="n">
        <v>3122.05</v>
      </c>
      <c r="J1886" s="9" t="n">
        <v>2852.1</v>
      </c>
      <c r="K1886" s="9" t="n">
        <v>2829.73</v>
      </c>
      <c r="L1886" s="9" t="n">
        <v>3012.46</v>
      </c>
      <c r="M1886" s="9" t="n">
        <v>2781.05</v>
      </c>
      <c r="N1886" s="9" t="n">
        <v>2739.99</v>
      </c>
      <c r="O1886" s="9" t="n">
        <v>2695.65</v>
      </c>
      <c r="P1886" s="9" t="n">
        <v>2862.99</v>
      </c>
      <c r="Q1886" s="9" t="n">
        <v>2852.35</v>
      </c>
      <c r="R1886" s="9" t="n">
        <v>3170.4</v>
      </c>
      <c r="S1886" s="9" t="n">
        <v>2604.94</v>
      </c>
      <c r="T1886" s="9" t="n">
        <v>2948.94</v>
      </c>
      <c r="U1886" s="10">
        <f>SUM(I1886:T1886)</f>
        <v/>
      </c>
    </row>
    <row r="1887">
      <c r="A1887" s="2" t="inlineStr">
        <is>
          <t>SN-3000-3500-3500-3500FU0004</t>
        </is>
      </c>
      <c r="B1887" s="2" t="inlineStr">
        <is>
          <t>3500FU0004</t>
        </is>
      </c>
      <c r="C1887" s="2" t="inlineStr">
        <is>
          <t>Horno fundición</t>
        </is>
      </c>
      <c r="D1887" s="2" t="n">
        <v>629</v>
      </c>
      <c r="E1887" s="2" t="inlineStr">
        <is>
          <t>CC-3000</t>
        </is>
      </c>
      <c r="F1887" s="2" t="inlineStr">
        <is>
          <t>P01</t>
        </is>
      </c>
      <c r="G1887" s="2" t="n">
        <v>620000</v>
      </c>
      <c r="H1887" s="2" t="inlineStr">
        <is>
          <t>Materiales</t>
        </is>
      </c>
      <c r="I1887" s="9" t="n">
        <v>2569.71</v>
      </c>
      <c r="J1887" s="9" t="n">
        <v>2450.11</v>
      </c>
      <c r="K1887" s="9" t="n">
        <v>2786.38</v>
      </c>
      <c r="L1887" s="9" t="n">
        <v>2392.45</v>
      </c>
      <c r="M1887" s="9" t="n">
        <v>2573.62</v>
      </c>
      <c r="N1887" s="9" t="n">
        <v>2550.98</v>
      </c>
      <c r="O1887" s="9" t="n">
        <v>2713.16</v>
      </c>
      <c r="P1887" s="9" t="n">
        <v>2394.22</v>
      </c>
      <c r="Q1887" s="9" t="n">
        <v>2363.46</v>
      </c>
      <c r="R1887" s="9" t="n">
        <v>2525.48</v>
      </c>
      <c r="S1887" s="9" t="n">
        <v>2445.31</v>
      </c>
      <c r="T1887" s="9" t="n">
        <v>2410.18</v>
      </c>
      <c r="U1887" s="10">
        <f>SUM(I1887:T1887)</f>
        <v/>
      </c>
    </row>
    <row r="1888">
      <c r="A1888" s="2" t="inlineStr">
        <is>
          <t>SN-3000-3500-3500-3500FU0004</t>
        </is>
      </c>
      <c r="B1888" s="2" t="inlineStr">
        <is>
          <t>3500FU0004</t>
        </is>
      </c>
      <c r="C1888" s="2" t="inlineStr">
        <is>
          <t>Horno fundición</t>
        </is>
      </c>
      <c r="D1888" s="2" t="n">
        <v>629</v>
      </c>
      <c r="E1888" s="2" t="inlineStr">
        <is>
          <t>CC-3000</t>
        </is>
      </c>
      <c r="F1888" s="2" t="inlineStr">
        <is>
          <t>P01</t>
        </is>
      </c>
      <c r="G1888" s="2" t="n">
        <v>630000</v>
      </c>
      <c r="H1888" s="2" t="inlineStr">
        <is>
          <t>Servicios externos</t>
        </is>
      </c>
      <c r="I1888" s="9" t="n">
        <v>2848.24</v>
      </c>
      <c r="J1888" s="9" t="n">
        <v>2935</v>
      </c>
      <c r="K1888" s="9" t="n">
        <v>3078.25</v>
      </c>
      <c r="L1888" s="9" t="n">
        <v>3268.72</v>
      </c>
      <c r="M1888" s="9" t="n">
        <v>3016.02</v>
      </c>
      <c r="N1888" s="9" t="n">
        <v>2746.64</v>
      </c>
      <c r="O1888" s="9" t="n">
        <v>2851.76</v>
      </c>
      <c r="P1888" s="9" t="n">
        <v>2794.83</v>
      </c>
      <c r="Q1888" s="9" t="n">
        <v>2881.86</v>
      </c>
      <c r="R1888" s="9" t="n">
        <v>3304.9</v>
      </c>
      <c r="S1888" s="9" t="n">
        <v>2929.44</v>
      </c>
      <c r="T1888" s="9" t="n">
        <v>2796.24</v>
      </c>
      <c r="U1888" s="10">
        <f>SUM(I1888:T1888)</f>
        <v/>
      </c>
    </row>
    <row r="1889">
      <c r="A1889" s="2" t="inlineStr">
        <is>
          <t>SN-3000-3500-3500-3500HT0090</t>
        </is>
      </c>
      <c r="B1889" s="2" t="inlineStr">
        <is>
          <t>3500HT0090</t>
        </is>
      </c>
      <c r="C1889" s="2" t="inlineStr">
        <is>
          <t>Tecle Refinería</t>
        </is>
      </c>
      <c r="D1889" s="2" t="n">
        <v>630</v>
      </c>
      <c r="E1889" s="2" t="inlineStr">
        <is>
          <t>CC-3000</t>
        </is>
      </c>
      <c r="F1889" s="2" t="inlineStr">
        <is>
          <t>P01</t>
        </is>
      </c>
      <c r="G1889" s="2" t="n">
        <v>610000</v>
      </c>
      <c r="H1889" s="2" t="inlineStr">
        <is>
          <t>Mano obra interna</t>
        </is>
      </c>
      <c r="I1889" s="9" t="n">
        <v>2886.04</v>
      </c>
      <c r="J1889" s="9" t="n">
        <v>2924.56</v>
      </c>
      <c r="K1889" s="9" t="n">
        <v>2891.61</v>
      </c>
      <c r="L1889" s="9" t="n">
        <v>2736.67</v>
      </c>
      <c r="M1889" s="9" t="n">
        <v>2683.9</v>
      </c>
      <c r="N1889" s="9" t="n">
        <v>2505.83</v>
      </c>
      <c r="O1889" s="9" t="n">
        <v>2864.24</v>
      </c>
      <c r="P1889" s="9" t="n">
        <v>2854.09</v>
      </c>
      <c r="Q1889" s="9" t="n">
        <v>2450.02</v>
      </c>
      <c r="R1889" s="9" t="n">
        <v>2818.25</v>
      </c>
      <c r="S1889" s="9" t="n">
        <v>2494.95</v>
      </c>
      <c r="T1889" s="9" t="n">
        <v>2990.32</v>
      </c>
      <c r="U1889" s="10">
        <f>SUM(I1889:T1889)</f>
        <v/>
      </c>
    </row>
    <row r="1890">
      <c r="A1890" s="2" t="inlineStr">
        <is>
          <t>SN-3000-3500-3500-3500HT0090</t>
        </is>
      </c>
      <c r="B1890" s="2" t="inlineStr">
        <is>
          <t>3500HT0090</t>
        </is>
      </c>
      <c r="C1890" s="2" t="inlineStr">
        <is>
          <t>Tecle Refinería</t>
        </is>
      </c>
      <c r="D1890" s="2" t="n">
        <v>630</v>
      </c>
      <c r="E1890" s="2" t="inlineStr">
        <is>
          <t>CC-3000</t>
        </is>
      </c>
      <c r="F1890" s="2" t="inlineStr">
        <is>
          <t>P01</t>
        </is>
      </c>
      <c r="G1890" s="2" t="n">
        <v>620000</v>
      </c>
      <c r="H1890" s="2" t="inlineStr">
        <is>
          <t>Materiales</t>
        </is>
      </c>
      <c r="I1890" s="9" t="n">
        <v>2284.29</v>
      </c>
      <c r="J1890" s="9" t="n">
        <v>2180.74</v>
      </c>
      <c r="K1890" s="9" t="n">
        <v>2334.75</v>
      </c>
      <c r="L1890" s="9" t="n">
        <v>2425.78</v>
      </c>
      <c r="M1890" s="9" t="n">
        <v>2405.79</v>
      </c>
      <c r="N1890" s="9" t="n">
        <v>2082.62</v>
      </c>
      <c r="O1890" s="9" t="n">
        <v>2364.38</v>
      </c>
      <c r="P1890" s="9" t="n">
        <v>2239.05</v>
      </c>
      <c r="Q1890" s="9" t="n">
        <v>2300.47</v>
      </c>
      <c r="R1890" s="9" t="n">
        <v>2395.21</v>
      </c>
      <c r="S1890" s="9" t="n">
        <v>2046.4</v>
      </c>
      <c r="T1890" s="9" t="n">
        <v>2334.76</v>
      </c>
      <c r="U1890" s="10">
        <f>SUM(I1890:T1890)</f>
        <v/>
      </c>
    </row>
    <row r="1891">
      <c r="A1891" s="2" t="inlineStr">
        <is>
          <t>SN-3000-3500-3500-3500HT0090</t>
        </is>
      </c>
      <c r="B1891" s="2" t="inlineStr">
        <is>
          <t>3500HT0090</t>
        </is>
      </c>
      <c r="C1891" s="2" t="inlineStr">
        <is>
          <t>Tecle Refinería</t>
        </is>
      </c>
      <c r="D1891" s="2" t="n">
        <v>630</v>
      </c>
      <c r="E1891" s="2" t="inlineStr">
        <is>
          <t>CC-3000</t>
        </is>
      </c>
      <c r="F1891" s="2" t="inlineStr">
        <is>
          <t>P01</t>
        </is>
      </c>
      <c r="G1891" s="2" t="n">
        <v>630000</v>
      </c>
      <c r="H1891" s="2" t="inlineStr">
        <is>
          <t>Servicios externos</t>
        </is>
      </c>
      <c r="I1891" s="9" t="n">
        <v>2105.53</v>
      </c>
      <c r="J1891" s="9" t="n">
        <v>2260.49</v>
      </c>
      <c r="K1891" s="9" t="n">
        <v>2380.35</v>
      </c>
      <c r="L1891" s="9" t="n">
        <v>2259.42</v>
      </c>
      <c r="M1891" s="9" t="n">
        <v>2263.97</v>
      </c>
      <c r="N1891" s="9" t="n">
        <v>2139.95</v>
      </c>
      <c r="O1891" s="9" t="n">
        <v>2271.9</v>
      </c>
      <c r="P1891" s="9" t="n">
        <v>2257.41</v>
      </c>
      <c r="Q1891" s="9" t="n">
        <v>2125.84</v>
      </c>
      <c r="R1891" s="9" t="n">
        <v>2283.84</v>
      </c>
      <c r="S1891" s="9" t="n">
        <v>2073.93</v>
      </c>
      <c r="T1891" s="9" t="n">
        <v>2236.02</v>
      </c>
      <c r="U1891" s="10">
        <f>SUM(I1891:T1891)</f>
        <v/>
      </c>
    </row>
    <row r="1892">
      <c r="A1892" s="2" t="inlineStr">
        <is>
          <t>SN-3000-3500-3500-3500HT0091</t>
        </is>
      </c>
      <c r="B1892" s="2" t="inlineStr">
        <is>
          <t>3500HT0091</t>
        </is>
      </c>
      <c r="C1892" s="2" t="inlineStr">
        <is>
          <t>Tecle área hornos</t>
        </is>
      </c>
      <c r="D1892" s="2" t="n">
        <v>631</v>
      </c>
      <c r="E1892" s="2" t="inlineStr">
        <is>
          <t>CC-3000</t>
        </is>
      </c>
      <c r="F1892" s="2" t="inlineStr">
        <is>
          <t>P01</t>
        </is>
      </c>
      <c r="G1892" s="2" t="n">
        <v>610000</v>
      </c>
      <c r="H1892" s="2" t="inlineStr">
        <is>
          <t>Mano obra interna</t>
        </is>
      </c>
      <c r="I1892" s="9" t="n">
        <v>1022.37</v>
      </c>
      <c r="J1892" s="9" t="n">
        <v>924.8</v>
      </c>
      <c r="K1892" s="9" t="n">
        <v>936.28</v>
      </c>
      <c r="L1892" s="9" t="n">
        <v>941.53</v>
      </c>
      <c r="M1892" s="9" t="n">
        <v>906.11</v>
      </c>
      <c r="N1892" s="9" t="n">
        <v>951.22</v>
      </c>
      <c r="O1892" s="9" t="n">
        <v>955.25</v>
      </c>
      <c r="P1892" s="9" t="n">
        <v>990.66</v>
      </c>
      <c r="Q1892" s="9" t="n">
        <v>881.09</v>
      </c>
      <c r="R1892" s="9" t="n">
        <v>1099.13</v>
      </c>
      <c r="S1892" s="9" t="n">
        <v>1000.58</v>
      </c>
      <c r="T1892" s="9" t="n">
        <v>1000.07</v>
      </c>
      <c r="U1892" s="10">
        <f>SUM(I1892:T1892)</f>
        <v/>
      </c>
    </row>
    <row r="1893">
      <c r="A1893" s="2" t="inlineStr">
        <is>
          <t>SN-3000-3500-3500-3500HT0091</t>
        </is>
      </c>
      <c r="B1893" s="2" t="inlineStr">
        <is>
          <t>3500HT0091</t>
        </is>
      </c>
      <c r="C1893" s="2" t="inlineStr">
        <is>
          <t>Tecle área hornos</t>
        </is>
      </c>
      <c r="D1893" s="2" t="n">
        <v>631</v>
      </c>
      <c r="E1893" s="2" t="inlineStr">
        <is>
          <t>CC-3000</t>
        </is>
      </c>
      <c r="F1893" s="2" t="inlineStr">
        <is>
          <t>P01</t>
        </is>
      </c>
      <c r="G1893" s="2" t="n">
        <v>620000</v>
      </c>
      <c r="H1893" s="2" t="inlineStr">
        <is>
          <t>Materiales</t>
        </is>
      </c>
      <c r="I1893" s="9" t="n">
        <v>1062.09</v>
      </c>
      <c r="J1893" s="9" t="n">
        <v>1094.51</v>
      </c>
      <c r="K1893" s="9" t="n">
        <v>1128.83</v>
      </c>
      <c r="L1893" s="9" t="n">
        <v>1145.55</v>
      </c>
      <c r="M1893" s="9" t="n">
        <v>1048.59</v>
      </c>
      <c r="N1893" s="9" t="n">
        <v>1037.81</v>
      </c>
      <c r="O1893" s="9" t="n">
        <v>1046.68</v>
      </c>
      <c r="P1893" s="9" t="n">
        <v>998.29</v>
      </c>
      <c r="Q1893" s="9" t="n">
        <v>944.78</v>
      </c>
      <c r="R1893" s="9" t="n">
        <v>1191.22</v>
      </c>
      <c r="S1893" s="9" t="n">
        <v>934.4299999999999</v>
      </c>
      <c r="T1893" s="9" t="n">
        <v>1069.95</v>
      </c>
      <c r="U1893" s="10">
        <f>SUM(I1893:T1893)</f>
        <v/>
      </c>
    </row>
    <row r="1894">
      <c r="A1894" s="2" t="inlineStr">
        <is>
          <t>SN-3000-3500-3500-3500HT0091</t>
        </is>
      </c>
      <c r="B1894" s="2" t="inlineStr">
        <is>
          <t>3500HT0091</t>
        </is>
      </c>
      <c r="C1894" s="2" t="inlineStr">
        <is>
          <t>Tecle área hornos</t>
        </is>
      </c>
      <c r="D1894" s="2" t="n">
        <v>631</v>
      </c>
      <c r="E1894" s="2" t="inlineStr">
        <is>
          <t>CC-3000</t>
        </is>
      </c>
      <c r="F1894" s="2" t="inlineStr">
        <is>
          <t>P01</t>
        </is>
      </c>
      <c r="G1894" s="2" t="n">
        <v>630000</v>
      </c>
      <c r="H1894" s="2" t="inlineStr">
        <is>
          <t>Servicios externos</t>
        </is>
      </c>
      <c r="I1894" s="9" t="n">
        <v>921.6</v>
      </c>
      <c r="J1894" s="9" t="n">
        <v>961.24</v>
      </c>
      <c r="K1894" s="9" t="n">
        <v>1002.24</v>
      </c>
      <c r="L1894" s="9" t="n">
        <v>954.58</v>
      </c>
      <c r="M1894" s="9" t="n">
        <v>876.88</v>
      </c>
      <c r="N1894" s="9" t="n">
        <v>875.6</v>
      </c>
      <c r="O1894" s="9" t="n">
        <v>906.37</v>
      </c>
      <c r="P1894" s="9" t="n">
        <v>897.24</v>
      </c>
      <c r="Q1894" s="9" t="n">
        <v>801.5</v>
      </c>
      <c r="R1894" s="9" t="n">
        <v>998.4</v>
      </c>
      <c r="S1894" s="9" t="n">
        <v>861.86</v>
      </c>
      <c r="T1894" s="9" t="n">
        <v>957.11</v>
      </c>
      <c r="U1894" s="10">
        <f>SUM(I1894:T1894)</f>
        <v/>
      </c>
    </row>
    <row r="1895">
      <c r="A1895" s="2" t="inlineStr">
        <is>
          <t>SN-3000-3500-3500-3500IO0001</t>
        </is>
      </c>
      <c r="B1895" s="2" t="inlineStr">
        <is>
          <t>3500IO0001</t>
        </is>
      </c>
      <c r="C1895" s="2" t="inlineStr">
        <is>
          <t xml:space="preserve">Gabinete RIO  </t>
        </is>
      </c>
      <c r="D1895" s="2" t="n">
        <v>632</v>
      </c>
      <c r="E1895" s="2" t="inlineStr">
        <is>
          <t>CC-3000</t>
        </is>
      </c>
      <c r="F1895" s="2" t="inlineStr">
        <is>
          <t>P01</t>
        </is>
      </c>
      <c r="G1895" s="2" t="n">
        <v>610000</v>
      </c>
      <c r="H1895" s="2" t="inlineStr">
        <is>
          <t>Mano obra interna</t>
        </is>
      </c>
      <c r="I1895" s="9" t="n">
        <v>1291.76</v>
      </c>
      <c r="J1895" s="9" t="n">
        <v>1169.85</v>
      </c>
      <c r="K1895" s="9" t="n">
        <v>1423.98</v>
      </c>
      <c r="L1895" s="9" t="n">
        <v>1309.28</v>
      </c>
      <c r="M1895" s="9" t="n">
        <v>1169.85</v>
      </c>
      <c r="N1895" s="9" t="n">
        <v>1231.34</v>
      </c>
      <c r="O1895" s="9" t="n">
        <v>1355.91</v>
      </c>
      <c r="P1895" s="9" t="n">
        <v>1334.28</v>
      </c>
      <c r="Q1895" s="9" t="n">
        <v>1229.32</v>
      </c>
      <c r="R1895" s="9" t="n">
        <v>1300.23</v>
      </c>
      <c r="S1895" s="9" t="n">
        <v>1269.88</v>
      </c>
      <c r="T1895" s="9" t="n">
        <v>1353.8</v>
      </c>
      <c r="U1895" s="10">
        <f>SUM(I1895:T1895)</f>
        <v/>
      </c>
    </row>
    <row r="1896">
      <c r="A1896" s="2" t="inlineStr">
        <is>
          <t>SN-3000-3500-3500-3500IO0001</t>
        </is>
      </c>
      <c r="B1896" s="2" t="inlineStr">
        <is>
          <t>3500IO0001</t>
        </is>
      </c>
      <c r="C1896" s="2" t="inlineStr">
        <is>
          <t xml:space="preserve">Gabinete RIO  </t>
        </is>
      </c>
      <c r="D1896" s="2" t="n">
        <v>632</v>
      </c>
      <c r="E1896" s="2" t="inlineStr">
        <is>
          <t>CC-3000</t>
        </is>
      </c>
      <c r="F1896" s="2" t="inlineStr">
        <is>
          <t>P01</t>
        </is>
      </c>
      <c r="G1896" s="2" t="n">
        <v>620000</v>
      </c>
      <c r="H1896" s="2" t="inlineStr">
        <is>
          <t>Materiales</t>
        </is>
      </c>
      <c r="I1896" s="9" t="n">
        <v>1476.24</v>
      </c>
      <c r="J1896" s="9" t="n">
        <v>1292.18</v>
      </c>
      <c r="K1896" s="9" t="n">
        <v>1345.74</v>
      </c>
      <c r="L1896" s="9" t="n">
        <v>1472.82</v>
      </c>
      <c r="M1896" s="9" t="n">
        <v>1373.54</v>
      </c>
      <c r="N1896" s="9" t="n">
        <v>1197.06</v>
      </c>
      <c r="O1896" s="9" t="n">
        <v>1329.23</v>
      </c>
      <c r="P1896" s="9" t="n">
        <v>1437.43</v>
      </c>
      <c r="Q1896" s="9" t="n">
        <v>1170.76</v>
      </c>
      <c r="R1896" s="9" t="n">
        <v>1350.68</v>
      </c>
      <c r="S1896" s="9" t="n">
        <v>1271.05</v>
      </c>
      <c r="T1896" s="9" t="n">
        <v>1472.27</v>
      </c>
      <c r="U1896" s="10">
        <f>SUM(I1896:T1896)</f>
        <v/>
      </c>
    </row>
    <row r="1897">
      <c r="A1897" s="2" t="inlineStr">
        <is>
          <t>SN-3000-3500-3500-3500IO0001</t>
        </is>
      </c>
      <c r="B1897" s="2" t="inlineStr">
        <is>
          <t>3500IO0001</t>
        </is>
      </c>
      <c r="C1897" s="2" t="inlineStr">
        <is>
          <t xml:space="preserve">Gabinete RIO  </t>
        </is>
      </c>
      <c r="D1897" s="2" t="n">
        <v>632</v>
      </c>
      <c r="E1897" s="2" t="inlineStr">
        <is>
          <t>CC-3000</t>
        </is>
      </c>
      <c r="F1897" s="2" t="inlineStr">
        <is>
          <t>P01</t>
        </is>
      </c>
      <c r="G1897" s="2" t="n">
        <v>630000</v>
      </c>
      <c r="H1897" s="2" t="inlineStr">
        <is>
          <t>Servicios externos</t>
        </is>
      </c>
      <c r="I1897" s="9" t="n">
        <v>1521.94</v>
      </c>
      <c r="J1897" s="9" t="n">
        <v>1476.36</v>
      </c>
      <c r="K1897" s="9" t="n">
        <v>1492.22</v>
      </c>
      <c r="L1897" s="9" t="n">
        <v>1456.88</v>
      </c>
      <c r="M1897" s="9" t="n">
        <v>1545.22</v>
      </c>
      <c r="N1897" s="9" t="n">
        <v>1331.58</v>
      </c>
      <c r="O1897" s="9" t="n">
        <v>1484.06</v>
      </c>
      <c r="P1897" s="9" t="n">
        <v>1517.23</v>
      </c>
      <c r="Q1897" s="9" t="n">
        <v>1295.92</v>
      </c>
      <c r="R1897" s="9" t="n">
        <v>1608</v>
      </c>
      <c r="S1897" s="9" t="n">
        <v>1456.78</v>
      </c>
      <c r="T1897" s="9" t="n">
        <v>1567</v>
      </c>
      <c r="U1897" s="10">
        <f>SUM(I1897:T1897)</f>
        <v/>
      </c>
    </row>
    <row r="1898">
      <c r="A1898" s="2" t="inlineStr">
        <is>
          <t>SN-3000-3500-3500-3500IO0002</t>
        </is>
      </c>
      <c r="B1898" s="2" t="inlineStr">
        <is>
          <t>3500IO0002</t>
        </is>
      </c>
      <c r="C1898" s="2" t="inlineStr">
        <is>
          <t xml:space="preserve">Gabinete RIO  </t>
        </is>
      </c>
      <c r="D1898" s="2" t="n">
        <v>633</v>
      </c>
      <c r="E1898" s="2" t="inlineStr">
        <is>
          <t>CC-3000</t>
        </is>
      </c>
      <c r="F1898" s="2" t="inlineStr">
        <is>
          <t>P01</t>
        </is>
      </c>
      <c r="G1898" s="2" t="n">
        <v>610000</v>
      </c>
      <c r="H1898" s="2" t="inlineStr">
        <is>
          <t>Mano obra interna</t>
        </is>
      </c>
      <c r="I1898" s="9" t="n">
        <v>2368.4</v>
      </c>
      <c r="J1898" s="9" t="n">
        <v>2389.33</v>
      </c>
      <c r="K1898" s="9" t="n">
        <v>2666.64</v>
      </c>
      <c r="L1898" s="9" t="n">
        <v>2341.43</v>
      </c>
      <c r="M1898" s="9" t="n">
        <v>2559.17</v>
      </c>
      <c r="N1898" s="9" t="n">
        <v>2372.64</v>
      </c>
      <c r="O1898" s="9" t="n">
        <v>2525.7</v>
      </c>
      <c r="P1898" s="9" t="n">
        <v>2240.17</v>
      </c>
      <c r="Q1898" s="9" t="n">
        <v>2162.2</v>
      </c>
      <c r="R1898" s="9" t="n">
        <v>2404.45</v>
      </c>
      <c r="S1898" s="9" t="n">
        <v>2275.01</v>
      </c>
      <c r="T1898" s="9" t="n">
        <v>2622.51</v>
      </c>
      <c r="U1898" s="10">
        <f>SUM(I1898:T1898)</f>
        <v/>
      </c>
    </row>
    <row r="1899">
      <c r="A1899" s="2" t="inlineStr">
        <is>
          <t>SN-3000-3500-3500-3500IO0002</t>
        </is>
      </c>
      <c r="B1899" s="2" t="inlineStr">
        <is>
          <t>3500IO0002</t>
        </is>
      </c>
      <c r="C1899" s="2" t="inlineStr">
        <is>
          <t xml:space="preserve">Gabinete RIO  </t>
        </is>
      </c>
      <c r="D1899" s="2" t="n">
        <v>633</v>
      </c>
      <c r="E1899" s="2" t="inlineStr">
        <is>
          <t>CC-3000</t>
        </is>
      </c>
      <c r="F1899" s="2" t="inlineStr">
        <is>
          <t>P01</t>
        </is>
      </c>
      <c r="G1899" s="2" t="n">
        <v>620000</v>
      </c>
      <c r="H1899" s="2" t="inlineStr">
        <is>
          <t>Materiales</t>
        </is>
      </c>
      <c r="I1899" s="9" t="n">
        <v>2354.76</v>
      </c>
      <c r="J1899" s="9" t="n">
        <v>2071.54</v>
      </c>
      <c r="K1899" s="9" t="n">
        <v>2436.33</v>
      </c>
      <c r="L1899" s="9" t="n">
        <v>2221.14</v>
      </c>
      <c r="M1899" s="9" t="n">
        <v>2126.3</v>
      </c>
      <c r="N1899" s="9" t="n">
        <v>2126.61</v>
      </c>
      <c r="O1899" s="9" t="n">
        <v>2384.01</v>
      </c>
      <c r="P1899" s="9" t="n">
        <v>2138.53</v>
      </c>
      <c r="Q1899" s="9" t="n">
        <v>2034.11</v>
      </c>
      <c r="R1899" s="9" t="n">
        <v>2269.29</v>
      </c>
      <c r="S1899" s="9" t="n">
        <v>2376.65</v>
      </c>
      <c r="T1899" s="9" t="n">
        <v>2351.96</v>
      </c>
      <c r="U1899" s="10">
        <f>SUM(I1899:T1899)</f>
        <v/>
      </c>
    </row>
    <row r="1900">
      <c r="A1900" s="2" t="inlineStr">
        <is>
          <t>SN-3000-3500-3500-3500IO0002</t>
        </is>
      </c>
      <c r="B1900" s="2" t="inlineStr">
        <is>
          <t>3500IO0002</t>
        </is>
      </c>
      <c r="C1900" s="2" t="inlineStr">
        <is>
          <t xml:space="preserve">Gabinete RIO  </t>
        </is>
      </c>
      <c r="D1900" s="2" t="n">
        <v>633</v>
      </c>
      <c r="E1900" s="2" t="inlineStr">
        <is>
          <t>CC-3000</t>
        </is>
      </c>
      <c r="F1900" s="2" t="inlineStr">
        <is>
          <t>P01</t>
        </is>
      </c>
      <c r="G1900" s="2" t="n">
        <v>630000</v>
      </c>
      <c r="H1900" s="2" t="inlineStr">
        <is>
          <t>Servicios externos</t>
        </is>
      </c>
      <c r="I1900" s="9" t="n">
        <v>2877.79</v>
      </c>
      <c r="J1900" s="9" t="n">
        <v>2556.44</v>
      </c>
      <c r="K1900" s="9" t="n">
        <v>2882.58</v>
      </c>
      <c r="L1900" s="9" t="n">
        <v>2647.14</v>
      </c>
      <c r="M1900" s="9" t="n">
        <v>2680.84</v>
      </c>
      <c r="N1900" s="9" t="n">
        <v>2660.48</v>
      </c>
      <c r="O1900" s="9" t="n">
        <v>2779.54</v>
      </c>
      <c r="P1900" s="9" t="n">
        <v>2582.67</v>
      </c>
      <c r="Q1900" s="9" t="n">
        <v>2371.25</v>
      </c>
      <c r="R1900" s="9" t="n">
        <v>3109.85</v>
      </c>
      <c r="S1900" s="9" t="n">
        <v>2760.77</v>
      </c>
      <c r="T1900" s="9" t="n">
        <v>2606.33</v>
      </c>
      <c r="U1900" s="10">
        <f>SUM(I1900:T1900)</f>
        <v/>
      </c>
    </row>
    <row r="1901">
      <c r="A1901" s="2" t="inlineStr">
        <is>
          <t>SN-3000-3500-3500-3500LN0018</t>
        </is>
      </c>
      <c r="B1901" s="2" t="inlineStr">
        <is>
          <t>3500LN0018</t>
        </is>
      </c>
      <c r="C1901" s="2" t="inlineStr">
        <is>
          <t>Canaleta granulado de escoria</t>
        </is>
      </c>
      <c r="D1901" s="2" t="n">
        <v>634</v>
      </c>
      <c r="E1901" s="2" t="inlineStr">
        <is>
          <t>CC-3000</t>
        </is>
      </c>
      <c r="F1901" s="2" t="inlineStr">
        <is>
          <t>P01</t>
        </is>
      </c>
      <c r="G1901" s="2" t="n">
        <v>610000</v>
      </c>
      <c r="H1901" s="2" t="inlineStr">
        <is>
          <t>Mano obra interna</t>
        </is>
      </c>
      <c r="I1901" s="9" t="n">
        <v>1912.17</v>
      </c>
      <c r="J1901" s="9" t="n">
        <v>1810.47</v>
      </c>
      <c r="K1901" s="9" t="n">
        <v>1962.52</v>
      </c>
      <c r="L1901" s="9" t="n">
        <v>1730.37</v>
      </c>
      <c r="M1901" s="9" t="n">
        <v>1740.78</v>
      </c>
      <c r="N1901" s="9" t="n">
        <v>1613.94</v>
      </c>
      <c r="O1901" s="9" t="n">
        <v>1797.86</v>
      </c>
      <c r="P1901" s="9" t="n">
        <v>1652.73</v>
      </c>
      <c r="Q1901" s="9" t="n">
        <v>1542.75</v>
      </c>
      <c r="R1901" s="9" t="n">
        <v>1770.45</v>
      </c>
      <c r="S1901" s="9" t="n">
        <v>1758.98</v>
      </c>
      <c r="T1901" s="9" t="n">
        <v>1786.89</v>
      </c>
      <c r="U1901" s="10">
        <f>SUM(I1901:T1901)</f>
        <v/>
      </c>
    </row>
    <row r="1902">
      <c r="A1902" s="2" t="inlineStr">
        <is>
          <t>SN-3000-3500-3500-3500LN0018</t>
        </is>
      </c>
      <c r="B1902" s="2" t="inlineStr">
        <is>
          <t>3500LN0018</t>
        </is>
      </c>
      <c r="C1902" s="2" t="inlineStr">
        <is>
          <t>Canaleta granulado de escoria</t>
        </is>
      </c>
      <c r="D1902" s="2" t="n">
        <v>634</v>
      </c>
      <c r="E1902" s="2" t="inlineStr">
        <is>
          <t>CC-3000</t>
        </is>
      </c>
      <c r="F1902" s="2" t="inlineStr">
        <is>
          <t>P01</t>
        </is>
      </c>
      <c r="G1902" s="2" t="n">
        <v>620000</v>
      </c>
      <c r="H1902" s="2" t="inlineStr">
        <is>
          <t>Materiales</t>
        </is>
      </c>
      <c r="I1902" s="9" t="n">
        <v>2135.76</v>
      </c>
      <c r="J1902" s="9" t="n">
        <v>2017.27</v>
      </c>
      <c r="K1902" s="9" t="n">
        <v>2022.39</v>
      </c>
      <c r="L1902" s="9" t="n">
        <v>2172.15</v>
      </c>
      <c r="M1902" s="9" t="n">
        <v>1938.38</v>
      </c>
      <c r="N1902" s="9" t="n">
        <v>1768.86</v>
      </c>
      <c r="O1902" s="9" t="n">
        <v>2128.88</v>
      </c>
      <c r="P1902" s="9" t="n">
        <v>1820.49</v>
      </c>
      <c r="Q1902" s="9" t="n">
        <v>1850.76</v>
      </c>
      <c r="R1902" s="9" t="n">
        <v>2062.16</v>
      </c>
      <c r="S1902" s="9" t="n">
        <v>1910.54</v>
      </c>
      <c r="T1902" s="9" t="n">
        <v>2020.53</v>
      </c>
      <c r="U1902" s="10">
        <f>SUM(I1902:T1902)</f>
        <v/>
      </c>
    </row>
    <row r="1903">
      <c r="A1903" s="2" t="inlineStr">
        <is>
          <t>SN-3000-3500-3500-3500LN0018</t>
        </is>
      </c>
      <c r="B1903" s="2" t="inlineStr">
        <is>
          <t>3500LN0018</t>
        </is>
      </c>
      <c r="C1903" s="2" t="inlineStr">
        <is>
          <t>Canaleta granulado de escoria</t>
        </is>
      </c>
      <c r="D1903" s="2" t="n">
        <v>634</v>
      </c>
      <c r="E1903" s="2" t="inlineStr">
        <is>
          <t>CC-3000</t>
        </is>
      </c>
      <c r="F1903" s="2" t="inlineStr">
        <is>
          <t>P01</t>
        </is>
      </c>
      <c r="G1903" s="2" t="n">
        <v>630000</v>
      </c>
      <c r="H1903" s="2" t="inlineStr">
        <is>
          <t>Servicios externos</t>
        </is>
      </c>
      <c r="I1903" s="9" t="n">
        <v>1844.73</v>
      </c>
      <c r="J1903" s="9" t="n">
        <v>1835.91</v>
      </c>
      <c r="K1903" s="9" t="n">
        <v>1778.41</v>
      </c>
      <c r="L1903" s="9" t="n">
        <v>1796.11</v>
      </c>
      <c r="M1903" s="9" t="n">
        <v>1706.53</v>
      </c>
      <c r="N1903" s="9" t="n">
        <v>1799.91</v>
      </c>
      <c r="O1903" s="9" t="n">
        <v>1856.07</v>
      </c>
      <c r="P1903" s="9" t="n">
        <v>1895.7</v>
      </c>
      <c r="Q1903" s="9" t="n">
        <v>1578.98</v>
      </c>
      <c r="R1903" s="9" t="n">
        <v>1799.45</v>
      </c>
      <c r="S1903" s="9" t="n">
        <v>1628</v>
      </c>
      <c r="T1903" s="9" t="n">
        <v>1718.79</v>
      </c>
      <c r="U1903" s="10">
        <f>SUM(I1903:T1903)</f>
        <v/>
      </c>
    </row>
    <row r="1904">
      <c r="A1904" s="2" t="inlineStr">
        <is>
          <t>SN-3000-3500-3500-3500MX0001</t>
        </is>
      </c>
      <c r="B1904" s="2" t="inlineStr">
        <is>
          <t>3500MX0001</t>
        </is>
      </c>
      <c r="C1904" s="2" t="inlineStr">
        <is>
          <t>Cinta mezcladora fundente y precipitado</t>
        </is>
      </c>
      <c r="D1904" s="2" t="n">
        <v>635</v>
      </c>
      <c r="E1904" s="2" t="inlineStr">
        <is>
          <t>CC-3000</t>
        </is>
      </c>
      <c r="F1904" s="2" t="inlineStr">
        <is>
          <t>P01</t>
        </is>
      </c>
      <c r="G1904" s="2" t="n">
        <v>610000</v>
      </c>
      <c r="H1904" s="2" t="inlineStr">
        <is>
          <t>Mano obra interna</t>
        </is>
      </c>
      <c r="I1904" s="9" t="n">
        <v>3055.05</v>
      </c>
      <c r="J1904" s="9" t="n">
        <v>2678.24</v>
      </c>
      <c r="K1904" s="9" t="n">
        <v>3081.66</v>
      </c>
      <c r="L1904" s="9" t="n">
        <v>2634.17</v>
      </c>
      <c r="M1904" s="9" t="n">
        <v>2942.31</v>
      </c>
      <c r="N1904" s="9" t="n">
        <v>2524.98</v>
      </c>
      <c r="O1904" s="9" t="n">
        <v>2967.99</v>
      </c>
      <c r="P1904" s="9" t="n">
        <v>2583.45</v>
      </c>
      <c r="Q1904" s="9" t="n">
        <v>2776.4</v>
      </c>
      <c r="R1904" s="9" t="n">
        <v>2857.56</v>
      </c>
      <c r="S1904" s="9" t="n">
        <v>2609.06</v>
      </c>
      <c r="T1904" s="9" t="n">
        <v>2820.21</v>
      </c>
      <c r="U1904" s="10">
        <f>SUM(I1904:T1904)</f>
        <v/>
      </c>
    </row>
    <row r="1905">
      <c r="A1905" s="2" t="inlineStr">
        <is>
          <t>SN-3000-3500-3500-3500MX0001</t>
        </is>
      </c>
      <c r="B1905" s="2" t="inlineStr">
        <is>
          <t>3500MX0001</t>
        </is>
      </c>
      <c r="C1905" s="2" t="inlineStr">
        <is>
          <t>Cinta mezcladora fundente y precipitado</t>
        </is>
      </c>
      <c r="D1905" s="2" t="n">
        <v>635</v>
      </c>
      <c r="E1905" s="2" t="inlineStr">
        <is>
          <t>CC-3000</t>
        </is>
      </c>
      <c r="F1905" s="2" t="inlineStr">
        <is>
          <t>P01</t>
        </is>
      </c>
      <c r="G1905" s="2" t="n">
        <v>620000</v>
      </c>
      <c r="H1905" s="2" t="inlineStr">
        <is>
          <t>Materiales</t>
        </is>
      </c>
      <c r="I1905" s="9" t="n">
        <v>2692.89</v>
      </c>
      <c r="J1905" s="9" t="n">
        <v>2722.36</v>
      </c>
      <c r="K1905" s="9" t="n">
        <v>2695.46</v>
      </c>
      <c r="L1905" s="9" t="n">
        <v>2718.73</v>
      </c>
      <c r="M1905" s="9" t="n">
        <v>2374.87</v>
      </c>
      <c r="N1905" s="9" t="n">
        <v>2506.41</v>
      </c>
      <c r="O1905" s="9" t="n">
        <v>2551.23</v>
      </c>
      <c r="P1905" s="9" t="n">
        <v>2725.58</v>
      </c>
      <c r="Q1905" s="9" t="n">
        <v>2348.69</v>
      </c>
      <c r="R1905" s="9" t="n">
        <v>2850.07</v>
      </c>
      <c r="S1905" s="9" t="n">
        <v>2378.83</v>
      </c>
      <c r="T1905" s="9" t="n">
        <v>2506.81</v>
      </c>
      <c r="U1905" s="10">
        <f>SUM(I1905:T1905)</f>
        <v/>
      </c>
    </row>
    <row r="1906">
      <c r="A1906" s="2" t="inlineStr">
        <is>
          <t>SN-3000-3500-3500-3500MX0001</t>
        </is>
      </c>
      <c r="B1906" s="2" t="inlineStr">
        <is>
          <t>3500MX0001</t>
        </is>
      </c>
      <c r="C1906" s="2" t="inlineStr">
        <is>
          <t>Cinta mezcladora fundente y precipitado</t>
        </is>
      </c>
      <c r="D1906" s="2" t="n">
        <v>635</v>
      </c>
      <c r="E1906" s="2" t="inlineStr">
        <is>
          <t>CC-3000</t>
        </is>
      </c>
      <c r="F1906" s="2" t="inlineStr">
        <is>
          <t>P01</t>
        </is>
      </c>
      <c r="G1906" s="2" t="n">
        <v>630000</v>
      </c>
      <c r="H1906" s="2" t="inlineStr">
        <is>
          <t>Servicios externos</t>
        </is>
      </c>
      <c r="I1906" s="9" t="n">
        <v>2602.68</v>
      </c>
      <c r="J1906" s="9" t="n">
        <v>2490.12</v>
      </c>
      <c r="K1906" s="9" t="n">
        <v>2519.68</v>
      </c>
      <c r="L1906" s="9" t="n">
        <v>2835.01</v>
      </c>
      <c r="M1906" s="9" t="n">
        <v>2423.24</v>
      </c>
      <c r="N1906" s="9" t="n">
        <v>2672.38</v>
      </c>
      <c r="O1906" s="9" t="n">
        <v>2475.44</v>
      </c>
      <c r="P1906" s="9" t="n">
        <v>2447.14</v>
      </c>
      <c r="Q1906" s="9" t="n">
        <v>2474.81</v>
      </c>
      <c r="R1906" s="9" t="n">
        <v>2839.58</v>
      </c>
      <c r="S1906" s="9" t="n">
        <v>2544.42</v>
      </c>
      <c r="T1906" s="9" t="n">
        <v>2702.97</v>
      </c>
      <c r="U1906" s="10">
        <f>SUM(I1906:T1906)</f>
        <v/>
      </c>
    </row>
    <row r="1907">
      <c r="A1907" s="2" t="inlineStr">
        <is>
          <t>SN-3000-3500-3500-3500PU0209</t>
        </is>
      </c>
      <c r="B1907" s="2" t="inlineStr">
        <is>
          <t>3500PU0209</t>
        </is>
      </c>
      <c r="C1907" s="2" t="inlineStr">
        <is>
          <t>Bomba recirculación agua enfriamiento</t>
        </is>
      </c>
      <c r="D1907" s="2" t="n">
        <v>636</v>
      </c>
      <c r="E1907" s="2" t="inlineStr">
        <is>
          <t>CC-3000</t>
        </is>
      </c>
      <c r="F1907" s="2" t="inlineStr">
        <is>
          <t>P01</t>
        </is>
      </c>
      <c r="G1907" s="2" t="n">
        <v>610000</v>
      </c>
      <c r="H1907" s="2" t="inlineStr">
        <is>
          <t>Mano obra interna</t>
        </is>
      </c>
      <c r="I1907" s="9" t="n">
        <v>2740.51</v>
      </c>
      <c r="J1907" s="9" t="n">
        <v>2577.71</v>
      </c>
      <c r="K1907" s="9" t="n">
        <v>2627.75</v>
      </c>
      <c r="L1907" s="9" t="n">
        <v>2813.7</v>
      </c>
      <c r="M1907" s="9" t="n">
        <v>2683.61</v>
      </c>
      <c r="N1907" s="9" t="n">
        <v>2458.81</v>
      </c>
      <c r="O1907" s="9" t="n">
        <v>2763.1</v>
      </c>
      <c r="P1907" s="9" t="n">
        <v>2790.17</v>
      </c>
      <c r="Q1907" s="9" t="n">
        <v>2449.85</v>
      </c>
      <c r="R1907" s="9" t="n">
        <v>2692.84</v>
      </c>
      <c r="S1907" s="9" t="n">
        <v>2701.28</v>
      </c>
      <c r="T1907" s="9" t="n">
        <v>2523.26</v>
      </c>
      <c r="U1907" s="10">
        <f>SUM(I1907:T1907)</f>
        <v/>
      </c>
    </row>
    <row r="1908">
      <c r="A1908" s="2" t="inlineStr">
        <is>
          <t>SN-3000-3500-3500-3500PU0209</t>
        </is>
      </c>
      <c r="B1908" s="2" t="inlineStr">
        <is>
          <t>3500PU0209</t>
        </is>
      </c>
      <c r="C1908" s="2" t="inlineStr">
        <is>
          <t>Bomba recirculación agua enfriamiento</t>
        </is>
      </c>
      <c r="D1908" s="2" t="n">
        <v>636</v>
      </c>
      <c r="E1908" s="2" t="inlineStr">
        <is>
          <t>CC-3000</t>
        </is>
      </c>
      <c r="F1908" s="2" t="inlineStr">
        <is>
          <t>P01</t>
        </is>
      </c>
      <c r="G1908" s="2" t="n">
        <v>620000</v>
      </c>
      <c r="H1908" s="2" t="inlineStr">
        <is>
          <t>Materiales</t>
        </is>
      </c>
      <c r="I1908" s="9" t="n">
        <v>2358.12</v>
      </c>
      <c r="J1908" s="9" t="n">
        <v>2424.53</v>
      </c>
      <c r="K1908" s="9" t="n">
        <v>2616.67</v>
      </c>
      <c r="L1908" s="9" t="n">
        <v>2481.24</v>
      </c>
      <c r="M1908" s="9" t="n">
        <v>2520.93</v>
      </c>
      <c r="N1908" s="9" t="n">
        <v>2123.05</v>
      </c>
      <c r="O1908" s="9" t="n">
        <v>2209.58</v>
      </c>
      <c r="P1908" s="9" t="n">
        <v>2413.33</v>
      </c>
      <c r="Q1908" s="9" t="n">
        <v>2376.25</v>
      </c>
      <c r="R1908" s="9" t="n">
        <v>2562.95</v>
      </c>
      <c r="S1908" s="9" t="n">
        <v>2134.65</v>
      </c>
      <c r="T1908" s="9" t="n">
        <v>2303.27</v>
      </c>
      <c r="U1908" s="10">
        <f>SUM(I1908:T1908)</f>
        <v/>
      </c>
    </row>
    <row r="1909">
      <c r="A1909" s="2" t="inlineStr">
        <is>
          <t>SN-3000-3500-3500-3500PU0209</t>
        </is>
      </c>
      <c r="B1909" s="2" t="inlineStr">
        <is>
          <t>3500PU0209</t>
        </is>
      </c>
      <c r="C1909" s="2" t="inlineStr">
        <is>
          <t>Bomba recirculación agua enfriamiento</t>
        </is>
      </c>
      <c r="D1909" s="2" t="n">
        <v>636</v>
      </c>
      <c r="E1909" s="2" t="inlineStr">
        <is>
          <t>CC-3000</t>
        </is>
      </c>
      <c r="F1909" s="2" t="inlineStr">
        <is>
          <t>P01</t>
        </is>
      </c>
      <c r="G1909" s="2" t="n">
        <v>630000</v>
      </c>
      <c r="H1909" s="2" t="inlineStr">
        <is>
          <t>Servicios externos</t>
        </is>
      </c>
      <c r="I1909" s="9" t="n">
        <v>2515.71</v>
      </c>
      <c r="J1909" s="9" t="n">
        <v>2309.71</v>
      </c>
      <c r="K1909" s="9" t="n">
        <v>2779.11</v>
      </c>
      <c r="L1909" s="9" t="n">
        <v>2592.19</v>
      </c>
      <c r="M1909" s="9" t="n">
        <v>2572.28</v>
      </c>
      <c r="N1909" s="9" t="n">
        <v>2251.32</v>
      </c>
      <c r="O1909" s="9" t="n">
        <v>2350.54</v>
      </c>
      <c r="P1909" s="9" t="n">
        <v>2563.06</v>
      </c>
      <c r="Q1909" s="9" t="n">
        <v>2501.03</v>
      </c>
      <c r="R1909" s="9" t="n">
        <v>2740.82</v>
      </c>
      <c r="S1909" s="9" t="n">
        <v>2597.23</v>
      </c>
      <c r="T1909" s="9" t="n">
        <v>2695.29</v>
      </c>
      <c r="U1909" s="10">
        <f>SUM(I1909:T1909)</f>
        <v/>
      </c>
    </row>
    <row r="1910">
      <c r="A1910" s="2" t="inlineStr">
        <is>
          <t>SN-3000-3500-3500-3500PU0210</t>
        </is>
      </c>
      <c r="B1910" s="2" t="inlineStr">
        <is>
          <t>3500PU0210</t>
        </is>
      </c>
      <c r="C1910" s="2" t="inlineStr">
        <is>
          <t>Bomba recirculación agua enfriamiento</t>
        </is>
      </c>
      <c r="D1910" s="2" t="n">
        <v>637</v>
      </c>
      <c r="E1910" s="2" t="inlineStr">
        <is>
          <t>CC-3000</t>
        </is>
      </c>
      <c r="F1910" s="2" t="inlineStr">
        <is>
          <t>P01</t>
        </is>
      </c>
      <c r="G1910" s="2" t="n">
        <v>610000</v>
      </c>
      <c r="H1910" s="2" t="inlineStr">
        <is>
          <t>Mano obra interna</t>
        </is>
      </c>
      <c r="I1910" s="9" t="n">
        <v>2002.41</v>
      </c>
      <c r="J1910" s="9" t="n">
        <v>2079.74</v>
      </c>
      <c r="K1910" s="9" t="n">
        <v>2105.71</v>
      </c>
      <c r="L1910" s="9" t="n">
        <v>2034.65</v>
      </c>
      <c r="M1910" s="9" t="n">
        <v>2011.9</v>
      </c>
      <c r="N1910" s="9" t="n">
        <v>1951.99</v>
      </c>
      <c r="O1910" s="9" t="n">
        <v>2196.04</v>
      </c>
      <c r="P1910" s="9" t="n">
        <v>1927.62</v>
      </c>
      <c r="Q1910" s="9" t="n">
        <v>1849.79</v>
      </c>
      <c r="R1910" s="9" t="n">
        <v>2234.63</v>
      </c>
      <c r="S1910" s="9" t="n">
        <v>2057.22</v>
      </c>
      <c r="T1910" s="9" t="n">
        <v>2134.02</v>
      </c>
      <c r="U1910" s="10">
        <f>SUM(I1910:T1910)</f>
        <v/>
      </c>
    </row>
    <row r="1911">
      <c r="A1911" s="2" t="inlineStr">
        <is>
          <t>SN-3000-3500-3500-3500PU0210</t>
        </is>
      </c>
      <c r="B1911" s="2" t="inlineStr">
        <is>
          <t>3500PU0210</t>
        </is>
      </c>
      <c r="C1911" s="2" t="inlineStr">
        <is>
          <t>Bomba recirculación agua enfriamiento</t>
        </is>
      </c>
      <c r="D1911" s="2" t="n">
        <v>637</v>
      </c>
      <c r="E1911" s="2" t="inlineStr">
        <is>
          <t>CC-3000</t>
        </is>
      </c>
      <c r="F1911" s="2" t="inlineStr">
        <is>
          <t>P01</t>
        </is>
      </c>
      <c r="G1911" s="2" t="n">
        <v>620000</v>
      </c>
      <c r="H1911" s="2" t="inlineStr">
        <is>
          <t>Materiales</t>
        </is>
      </c>
      <c r="I1911" s="9" t="n">
        <v>2765.5</v>
      </c>
      <c r="J1911" s="9" t="n">
        <v>2570.78</v>
      </c>
      <c r="K1911" s="9" t="n">
        <v>2546.71</v>
      </c>
      <c r="L1911" s="9" t="n">
        <v>2622.93</v>
      </c>
      <c r="M1911" s="9" t="n">
        <v>2639.14</v>
      </c>
      <c r="N1911" s="9" t="n">
        <v>2606.78</v>
      </c>
      <c r="O1911" s="9" t="n">
        <v>2778.21</v>
      </c>
      <c r="P1911" s="9" t="n">
        <v>2628.37</v>
      </c>
      <c r="Q1911" s="9" t="n">
        <v>2418.26</v>
      </c>
      <c r="R1911" s="9" t="n">
        <v>2574.28</v>
      </c>
      <c r="S1911" s="9" t="n">
        <v>2332.64</v>
      </c>
      <c r="T1911" s="9" t="n">
        <v>2480.65</v>
      </c>
      <c r="U1911" s="10">
        <f>SUM(I1911:T1911)</f>
        <v/>
      </c>
    </row>
    <row r="1912">
      <c r="A1912" s="2" t="inlineStr">
        <is>
          <t>SN-3000-3500-3500-3500PU0210</t>
        </is>
      </c>
      <c r="B1912" s="2" t="inlineStr">
        <is>
          <t>3500PU0210</t>
        </is>
      </c>
      <c r="C1912" s="2" t="inlineStr">
        <is>
          <t>Bomba recirculación agua enfriamiento</t>
        </is>
      </c>
      <c r="D1912" s="2" t="n">
        <v>637</v>
      </c>
      <c r="E1912" s="2" t="inlineStr">
        <is>
          <t>CC-3000</t>
        </is>
      </c>
      <c r="F1912" s="2" t="inlineStr">
        <is>
          <t>P01</t>
        </is>
      </c>
      <c r="G1912" s="2" t="n">
        <v>630000</v>
      </c>
      <c r="H1912" s="2" t="inlineStr">
        <is>
          <t>Servicios externos</t>
        </is>
      </c>
      <c r="I1912" s="9" t="n">
        <v>1980.3</v>
      </c>
      <c r="J1912" s="9" t="n">
        <v>1890.61</v>
      </c>
      <c r="K1912" s="9" t="n">
        <v>2078.18</v>
      </c>
      <c r="L1912" s="9" t="n">
        <v>2026.07</v>
      </c>
      <c r="M1912" s="9" t="n">
        <v>1980.69</v>
      </c>
      <c r="N1912" s="9" t="n">
        <v>1876.08</v>
      </c>
      <c r="O1912" s="9" t="n">
        <v>1901.89</v>
      </c>
      <c r="P1912" s="9" t="n">
        <v>2112.36</v>
      </c>
      <c r="Q1912" s="9" t="n">
        <v>1713.45</v>
      </c>
      <c r="R1912" s="9" t="n">
        <v>2274.98</v>
      </c>
      <c r="S1912" s="9" t="n">
        <v>1850.54</v>
      </c>
      <c r="T1912" s="9" t="n">
        <v>2004.44</v>
      </c>
      <c r="U1912" s="10">
        <f>SUM(I1912:T1912)</f>
        <v/>
      </c>
    </row>
    <row r="1913">
      <c r="A1913" s="2" t="inlineStr">
        <is>
          <t>SN-3000-3500-3500-3500PU0211</t>
        </is>
      </c>
      <c r="B1913" s="2" t="inlineStr">
        <is>
          <t>3500PU0211</t>
        </is>
      </c>
      <c r="C1913" s="2" t="inlineStr">
        <is>
          <t>Bomba sumidero recuperación mercurio</t>
        </is>
      </c>
      <c r="D1913" s="2" t="n">
        <v>638</v>
      </c>
      <c r="E1913" s="2" t="inlineStr">
        <is>
          <t>CC-3000</t>
        </is>
      </c>
      <c r="F1913" s="2" t="inlineStr">
        <is>
          <t>P01</t>
        </is>
      </c>
      <c r="G1913" s="2" t="n">
        <v>610000</v>
      </c>
      <c r="H1913" s="2" t="inlineStr">
        <is>
          <t>Mano obra interna</t>
        </is>
      </c>
      <c r="I1913" s="9" t="n">
        <v>535.91</v>
      </c>
      <c r="J1913" s="9" t="n">
        <v>548.87</v>
      </c>
      <c r="K1913" s="9" t="n">
        <v>603.98</v>
      </c>
      <c r="L1913" s="9" t="n">
        <v>554.83</v>
      </c>
      <c r="M1913" s="9" t="n">
        <v>563.39</v>
      </c>
      <c r="N1913" s="9" t="n">
        <v>519.8099999999999</v>
      </c>
      <c r="O1913" s="9" t="n">
        <v>553.86</v>
      </c>
      <c r="P1913" s="9" t="n">
        <v>599.87</v>
      </c>
      <c r="Q1913" s="9" t="n">
        <v>554.5700000000001</v>
      </c>
      <c r="R1913" s="9" t="n">
        <v>609.42</v>
      </c>
      <c r="S1913" s="9" t="n">
        <v>522.79</v>
      </c>
      <c r="T1913" s="9" t="n">
        <v>543.95</v>
      </c>
      <c r="U1913" s="10">
        <f>SUM(I1913:T1913)</f>
        <v/>
      </c>
    </row>
    <row r="1914">
      <c r="A1914" s="2" t="inlineStr">
        <is>
          <t>SN-3000-3500-3500-3500PU0211</t>
        </is>
      </c>
      <c r="B1914" s="2" t="inlineStr">
        <is>
          <t>3500PU0211</t>
        </is>
      </c>
      <c r="C1914" s="2" t="inlineStr">
        <is>
          <t>Bomba sumidero recuperación mercurio</t>
        </is>
      </c>
      <c r="D1914" s="2" t="n">
        <v>638</v>
      </c>
      <c r="E1914" s="2" t="inlineStr">
        <is>
          <t>CC-3000</t>
        </is>
      </c>
      <c r="F1914" s="2" t="inlineStr">
        <is>
          <t>P01</t>
        </is>
      </c>
      <c r="G1914" s="2" t="n">
        <v>620000</v>
      </c>
      <c r="H1914" s="2" t="inlineStr">
        <is>
          <t>Materiales</t>
        </is>
      </c>
      <c r="I1914" s="9" t="n">
        <v>664.8099999999999</v>
      </c>
      <c r="J1914" s="9" t="n">
        <v>706.6</v>
      </c>
      <c r="K1914" s="9" t="n">
        <v>690.6</v>
      </c>
      <c r="L1914" s="9" t="n">
        <v>753.13</v>
      </c>
      <c r="M1914" s="9" t="n">
        <v>662.41</v>
      </c>
      <c r="N1914" s="9" t="n">
        <v>638.1900000000001</v>
      </c>
      <c r="O1914" s="9" t="n">
        <v>699.11</v>
      </c>
      <c r="P1914" s="9" t="n">
        <v>733.7</v>
      </c>
      <c r="Q1914" s="9" t="n">
        <v>684.99</v>
      </c>
      <c r="R1914" s="9" t="n">
        <v>761.8200000000001</v>
      </c>
      <c r="S1914" s="9" t="n">
        <v>688.88</v>
      </c>
      <c r="T1914" s="9" t="n">
        <v>700.95</v>
      </c>
      <c r="U1914" s="10">
        <f>SUM(I1914:T1914)</f>
        <v/>
      </c>
    </row>
    <row r="1915">
      <c r="A1915" s="2" t="inlineStr">
        <is>
          <t>SN-3000-3500-3500-3500PU0211</t>
        </is>
      </c>
      <c r="B1915" s="2" t="inlineStr">
        <is>
          <t>3500PU0211</t>
        </is>
      </c>
      <c r="C1915" s="2" t="inlineStr">
        <is>
          <t>Bomba sumidero recuperación mercurio</t>
        </is>
      </c>
      <c r="D1915" s="2" t="n">
        <v>638</v>
      </c>
      <c r="E1915" s="2" t="inlineStr">
        <is>
          <t>CC-3000</t>
        </is>
      </c>
      <c r="F1915" s="2" t="inlineStr">
        <is>
          <t>P01</t>
        </is>
      </c>
      <c r="G1915" s="2" t="n">
        <v>630000</v>
      </c>
      <c r="H1915" s="2" t="inlineStr">
        <is>
          <t>Servicios externos</t>
        </is>
      </c>
      <c r="I1915" s="9" t="n">
        <v>709.71</v>
      </c>
      <c r="J1915" s="9" t="n">
        <v>645.98</v>
      </c>
      <c r="K1915" s="9" t="n">
        <v>691.1799999999999</v>
      </c>
      <c r="L1915" s="9" t="n">
        <v>675.88</v>
      </c>
      <c r="M1915" s="9" t="n">
        <v>657.08</v>
      </c>
      <c r="N1915" s="9" t="n">
        <v>667.72</v>
      </c>
      <c r="O1915" s="9" t="n">
        <v>642.48</v>
      </c>
      <c r="P1915" s="9" t="n">
        <v>626.21</v>
      </c>
      <c r="Q1915" s="9" t="n">
        <v>607.65</v>
      </c>
      <c r="R1915" s="9" t="n">
        <v>675.8200000000001</v>
      </c>
      <c r="S1915" s="9" t="n">
        <v>636.22</v>
      </c>
      <c r="T1915" s="9" t="n">
        <v>710.21</v>
      </c>
      <c r="U1915" s="10">
        <f>SUM(I1915:T1915)</f>
        <v/>
      </c>
    </row>
    <row r="1916">
      <c r="A1916" s="2" t="inlineStr">
        <is>
          <t>SN-3000-3500-3500-3500PU0212</t>
        </is>
      </c>
      <c r="B1916" s="2" t="inlineStr">
        <is>
          <t>3500PU0212</t>
        </is>
      </c>
      <c r="C1916" s="2" t="inlineStr">
        <is>
          <t>Bomba sumidero granulación escoria</t>
        </is>
      </c>
      <c r="D1916" s="2" t="n">
        <v>639</v>
      </c>
      <c r="E1916" s="2" t="inlineStr">
        <is>
          <t>CC-3000</t>
        </is>
      </c>
      <c r="F1916" s="2" t="inlineStr">
        <is>
          <t>P01</t>
        </is>
      </c>
      <c r="G1916" s="2" t="n">
        <v>610000</v>
      </c>
      <c r="H1916" s="2" t="inlineStr">
        <is>
          <t>Mano obra interna</t>
        </is>
      </c>
      <c r="I1916" s="9" t="n">
        <v>1376.7</v>
      </c>
      <c r="J1916" s="9" t="n">
        <v>1189.58</v>
      </c>
      <c r="K1916" s="9" t="n">
        <v>1400.83</v>
      </c>
      <c r="L1916" s="9" t="n">
        <v>1325.39</v>
      </c>
      <c r="M1916" s="9" t="n">
        <v>1168.21</v>
      </c>
      <c r="N1916" s="9" t="n">
        <v>1245.94</v>
      </c>
      <c r="O1916" s="9" t="n">
        <v>1368.8</v>
      </c>
      <c r="P1916" s="9" t="n">
        <v>1189.21</v>
      </c>
      <c r="Q1916" s="9" t="n">
        <v>1203.49</v>
      </c>
      <c r="R1916" s="9" t="n">
        <v>1467.57</v>
      </c>
      <c r="S1916" s="9" t="n">
        <v>1138.36</v>
      </c>
      <c r="T1916" s="9" t="n">
        <v>1322.09</v>
      </c>
      <c r="U1916" s="10">
        <f>SUM(I1916:T1916)</f>
        <v/>
      </c>
    </row>
    <row r="1917">
      <c r="A1917" s="2" t="inlineStr">
        <is>
          <t>SN-3000-3500-3500-3500PU0212</t>
        </is>
      </c>
      <c r="B1917" s="2" t="inlineStr">
        <is>
          <t>3500PU0212</t>
        </is>
      </c>
      <c r="C1917" s="2" t="inlineStr">
        <is>
          <t>Bomba sumidero granulación escoria</t>
        </is>
      </c>
      <c r="D1917" s="2" t="n">
        <v>639</v>
      </c>
      <c r="E1917" s="2" t="inlineStr">
        <is>
          <t>CC-3000</t>
        </is>
      </c>
      <c r="F1917" s="2" t="inlineStr">
        <is>
          <t>P01</t>
        </is>
      </c>
      <c r="G1917" s="2" t="n">
        <v>620000</v>
      </c>
      <c r="H1917" s="2" t="inlineStr">
        <is>
          <t>Materiales</t>
        </is>
      </c>
      <c r="I1917" s="9" t="n">
        <v>1189.97</v>
      </c>
      <c r="J1917" s="9" t="n">
        <v>1200.85</v>
      </c>
      <c r="K1917" s="9" t="n">
        <v>1144.51</v>
      </c>
      <c r="L1917" s="9" t="n">
        <v>1270.72</v>
      </c>
      <c r="M1917" s="9" t="n">
        <v>1088.81</v>
      </c>
      <c r="N1917" s="9" t="n">
        <v>1107.14</v>
      </c>
      <c r="O1917" s="9" t="n">
        <v>1196.23</v>
      </c>
      <c r="P1917" s="9" t="n">
        <v>1170.54</v>
      </c>
      <c r="Q1917" s="9" t="n">
        <v>1078.07</v>
      </c>
      <c r="R1917" s="9" t="n">
        <v>1356.85</v>
      </c>
      <c r="S1917" s="9" t="n">
        <v>1237.25</v>
      </c>
      <c r="T1917" s="9" t="n">
        <v>1285.18</v>
      </c>
      <c r="U1917" s="10">
        <f>SUM(I1917:T1917)</f>
        <v/>
      </c>
    </row>
    <row r="1918">
      <c r="A1918" s="2" t="inlineStr">
        <is>
          <t>SN-3000-3500-3500-3500PU0212</t>
        </is>
      </c>
      <c r="B1918" s="2" t="inlineStr">
        <is>
          <t>3500PU0212</t>
        </is>
      </c>
      <c r="C1918" s="2" t="inlineStr">
        <is>
          <t>Bomba sumidero granulación escoria</t>
        </is>
      </c>
      <c r="D1918" s="2" t="n">
        <v>639</v>
      </c>
      <c r="E1918" s="2" t="inlineStr">
        <is>
          <t>CC-3000</t>
        </is>
      </c>
      <c r="F1918" s="2" t="inlineStr">
        <is>
          <t>P01</t>
        </is>
      </c>
      <c r="G1918" s="2" t="n">
        <v>630000</v>
      </c>
      <c r="H1918" s="2" t="inlineStr">
        <is>
          <t>Servicios externos</t>
        </is>
      </c>
      <c r="I1918" s="9" t="n">
        <v>1313.62</v>
      </c>
      <c r="J1918" s="9" t="n">
        <v>1274.32</v>
      </c>
      <c r="K1918" s="9" t="n">
        <v>1232.48</v>
      </c>
      <c r="L1918" s="9" t="n">
        <v>1196.08</v>
      </c>
      <c r="M1918" s="9" t="n">
        <v>1122.63</v>
      </c>
      <c r="N1918" s="9" t="n">
        <v>1155.15</v>
      </c>
      <c r="O1918" s="9" t="n">
        <v>1299.44</v>
      </c>
      <c r="P1918" s="9" t="n">
        <v>1223.18</v>
      </c>
      <c r="Q1918" s="9" t="n">
        <v>1158.74</v>
      </c>
      <c r="R1918" s="9" t="n">
        <v>1226.38</v>
      </c>
      <c r="S1918" s="9" t="n">
        <v>1106.63</v>
      </c>
      <c r="T1918" s="9" t="n">
        <v>1223.29</v>
      </c>
      <c r="U1918" s="10">
        <f>SUM(I1918:T1918)</f>
        <v/>
      </c>
    </row>
    <row r="1919">
      <c r="A1919" s="2" t="inlineStr">
        <is>
          <t>SN-3000-3500-3500-3500PU0213</t>
        </is>
      </c>
      <c r="B1919" s="2" t="inlineStr">
        <is>
          <t>3500PU0213</t>
        </is>
      </c>
      <c r="C1919" s="2" t="inlineStr">
        <is>
          <t>Bomba sumidero gruesos escoria</t>
        </is>
      </c>
      <c r="D1919" s="2" t="n">
        <v>640</v>
      </c>
      <c r="E1919" s="2" t="inlineStr">
        <is>
          <t>CC-3000</t>
        </is>
      </c>
      <c r="F1919" s="2" t="inlineStr">
        <is>
          <t>P01</t>
        </is>
      </c>
      <c r="G1919" s="2" t="n">
        <v>610000</v>
      </c>
      <c r="H1919" s="2" t="inlineStr">
        <is>
          <t>Mano obra interna</t>
        </is>
      </c>
      <c r="I1919" s="9" t="n">
        <v>3164.5</v>
      </c>
      <c r="J1919" s="9" t="n">
        <v>3311.09</v>
      </c>
      <c r="K1919" s="9" t="n">
        <v>3072.11</v>
      </c>
      <c r="L1919" s="9" t="n">
        <v>3301.07</v>
      </c>
      <c r="M1919" s="9" t="n">
        <v>3188.22</v>
      </c>
      <c r="N1919" s="9" t="n">
        <v>3205.76</v>
      </c>
      <c r="O1919" s="9" t="n">
        <v>2919.87</v>
      </c>
      <c r="P1919" s="9" t="n">
        <v>3010.96</v>
      </c>
      <c r="Q1919" s="9" t="n">
        <v>2818.98</v>
      </c>
      <c r="R1919" s="9" t="n">
        <v>3665.32</v>
      </c>
      <c r="S1919" s="9" t="n">
        <v>2899.19</v>
      </c>
      <c r="T1919" s="9" t="n">
        <v>2979.2</v>
      </c>
      <c r="U1919" s="10">
        <f>SUM(I1919:T1919)</f>
        <v/>
      </c>
    </row>
    <row r="1920">
      <c r="A1920" s="2" t="inlineStr">
        <is>
          <t>SN-3000-3500-3500-3500PU0213</t>
        </is>
      </c>
      <c r="B1920" s="2" t="inlineStr">
        <is>
          <t>3500PU0213</t>
        </is>
      </c>
      <c r="C1920" s="2" t="inlineStr">
        <is>
          <t>Bomba sumidero gruesos escoria</t>
        </is>
      </c>
      <c r="D1920" s="2" t="n">
        <v>640</v>
      </c>
      <c r="E1920" s="2" t="inlineStr">
        <is>
          <t>CC-3000</t>
        </is>
      </c>
      <c r="F1920" s="2" t="inlineStr">
        <is>
          <t>P01</t>
        </is>
      </c>
      <c r="G1920" s="2" t="n">
        <v>620000</v>
      </c>
      <c r="H1920" s="2" t="inlineStr">
        <is>
          <t>Materiales</t>
        </is>
      </c>
      <c r="I1920" s="9" t="n">
        <v>2704.84</v>
      </c>
      <c r="J1920" s="9" t="n">
        <v>2740.61</v>
      </c>
      <c r="K1920" s="9" t="n">
        <v>2916.43</v>
      </c>
      <c r="L1920" s="9" t="n">
        <v>2712.33</v>
      </c>
      <c r="M1920" s="9" t="n">
        <v>2789.86</v>
      </c>
      <c r="N1920" s="9" t="n">
        <v>2612.53</v>
      </c>
      <c r="O1920" s="9" t="n">
        <v>2539.35</v>
      </c>
      <c r="P1920" s="9" t="n">
        <v>2816.25</v>
      </c>
      <c r="Q1920" s="9" t="n">
        <v>2521.02</v>
      </c>
      <c r="R1920" s="9" t="n">
        <v>2805.31</v>
      </c>
      <c r="S1920" s="9" t="n">
        <v>2626.96</v>
      </c>
      <c r="T1920" s="9" t="n">
        <v>2634.45</v>
      </c>
      <c r="U1920" s="10">
        <f>SUM(I1920:T1920)</f>
        <v/>
      </c>
    </row>
    <row r="1921">
      <c r="A1921" s="2" t="inlineStr">
        <is>
          <t>SN-3000-3500-3500-3500PU0213</t>
        </is>
      </c>
      <c r="B1921" s="2" t="inlineStr">
        <is>
          <t>3500PU0213</t>
        </is>
      </c>
      <c r="C1921" s="2" t="inlineStr">
        <is>
          <t>Bomba sumidero gruesos escoria</t>
        </is>
      </c>
      <c r="D1921" s="2" t="n">
        <v>640</v>
      </c>
      <c r="E1921" s="2" t="inlineStr">
        <is>
          <t>CC-3000</t>
        </is>
      </c>
      <c r="F1921" s="2" t="inlineStr">
        <is>
          <t>P01</t>
        </is>
      </c>
      <c r="G1921" s="2" t="n">
        <v>630000</v>
      </c>
      <c r="H1921" s="2" t="inlineStr">
        <is>
          <t>Servicios externos</t>
        </is>
      </c>
      <c r="I1921" s="9" t="n">
        <v>2496.4</v>
      </c>
      <c r="J1921" s="9" t="n">
        <v>2447.52</v>
      </c>
      <c r="K1921" s="9" t="n">
        <v>2526.63</v>
      </c>
      <c r="L1921" s="9" t="n">
        <v>2310.07</v>
      </c>
      <c r="M1921" s="9" t="n">
        <v>2509.04</v>
      </c>
      <c r="N1921" s="9" t="n">
        <v>2087.27</v>
      </c>
      <c r="O1921" s="9" t="n">
        <v>2300.43</v>
      </c>
      <c r="P1921" s="9" t="n">
        <v>2270.25</v>
      </c>
      <c r="Q1921" s="9" t="n">
        <v>2040.32</v>
      </c>
      <c r="R1921" s="9" t="n">
        <v>2509.5</v>
      </c>
      <c r="S1921" s="9" t="n">
        <v>2332.24</v>
      </c>
      <c r="T1921" s="9" t="n">
        <v>2544.48</v>
      </c>
      <c r="U1921" s="10">
        <f>SUM(I1921:T1921)</f>
        <v/>
      </c>
    </row>
    <row r="1922">
      <c r="A1922" s="2" t="inlineStr">
        <is>
          <t>SN-3000-3500-3500-3500PU0214</t>
        </is>
      </c>
      <c r="B1922" s="2" t="inlineStr">
        <is>
          <t>3500PU0214</t>
        </is>
      </c>
      <c r="C1922" s="2" t="inlineStr">
        <is>
          <t>Bomba agua enfriamiento escoria</t>
        </is>
      </c>
      <c r="D1922" s="2" t="n">
        <v>641</v>
      </c>
      <c r="E1922" s="2" t="inlineStr">
        <is>
          <t>CC-3000</t>
        </is>
      </c>
      <c r="F1922" s="2" t="inlineStr">
        <is>
          <t>P01</t>
        </is>
      </c>
      <c r="G1922" s="2" t="n">
        <v>610000</v>
      </c>
      <c r="H1922" s="2" t="inlineStr">
        <is>
          <t>Mano obra interna</t>
        </is>
      </c>
      <c r="I1922" s="9" t="n">
        <v>1897.22</v>
      </c>
      <c r="J1922" s="9" t="n">
        <v>1735.61</v>
      </c>
      <c r="K1922" s="9" t="n">
        <v>1892.61</v>
      </c>
      <c r="L1922" s="9" t="n">
        <v>1909.74</v>
      </c>
      <c r="M1922" s="9" t="n">
        <v>1743.12</v>
      </c>
      <c r="N1922" s="9" t="n">
        <v>1770.59</v>
      </c>
      <c r="O1922" s="9" t="n">
        <v>1767.05</v>
      </c>
      <c r="P1922" s="9" t="n">
        <v>1737.7</v>
      </c>
      <c r="Q1922" s="9" t="n">
        <v>1655.62</v>
      </c>
      <c r="R1922" s="9" t="n">
        <v>1963.81</v>
      </c>
      <c r="S1922" s="9" t="n">
        <v>1776.84</v>
      </c>
      <c r="T1922" s="9" t="n">
        <v>1756.26</v>
      </c>
      <c r="U1922" s="10">
        <f>SUM(I1922:T1922)</f>
        <v/>
      </c>
    </row>
    <row r="1923">
      <c r="A1923" s="2" t="inlineStr">
        <is>
          <t>SN-3000-3500-3500-3500PU0214</t>
        </is>
      </c>
      <c r="B1923" s="2" t="inlineStr">
        <is>
          <t>3500PU0214</t>
        </is>
      </c>
      <c r="C1923" s="2" t="inlineStr">
        <is>
          <t>Bomba agua enfriamiento escoria</t>
        </is>
      </c>
      <c r="D1923" s="2" t="n">
        <v>641</v>
      </c>
      <c r="E1923" s="2" t="inlineStr">
        <is>
          <t>CC-3000</t>
        </is>
      </c>
      <c r="F1923" s="2" t="inlineStr">
        <is>
          <t>P01</t>
        </is>
      </c>
      <c r="G1923" s="2" t="n">
        <v>620000</v>
      </c>
      <c r="H1923" s="2" t="inlineStr">
        <is>
          <t>Materiales</t>
        </is>
      </c>
      <c r="I1923" s="9" t="n">
        <v>1685.95</v>
      </c>
      <c r="J1923" s="9" t="n">
        <v>1642.74</v>
      </c>
      <c r="K1923" s="9" t="n">
        <v>1529.15</v>
      </c>
      <c r="L1923" s="9" t="n">
        <v>1506.2</v>
      </c>
      <c r="M1923" s="9" t="n">
        <v>1577.21</v>
      </c>
      <c r="N1923" s="9" t="n">
        <v>1461.57</v>
      </c>
      <c r="O1923" s="9" t="n">
        <v>1432.55</v>
      </c>
      <c r="P1923" s="9" t="n">
        <v>1510.78</v>
      </c>
      <c r="Q1923" s="9" t="n">
        <v>1513.56</v>
      </c>
      <c r="R1923" s="9" t="n">
        <v>1750.97</v>
      </c>
      <c r="S1923" s="9" t="n">
        <v>1499.11</v>
      </c>
      <c r="T1923" s="9" t="n">
        <v>1565.99</v>
      </c>
      <c r="U1923" s="10">
        <f>SUM(I1923:T1923)</f>
        <v/>
      </c>
    </row>
    <row r="1924">
      <c r="A1924" s="2" t="inlineStr">
        <is>
          <t>SN-3000-3500-3500-3500PU0214</t>
        </is>
      </c>
      <c r="B1924" s="2" t="inlineStr">
        <is>
          <t>3500PU0214</t>
        </is>
      </c>
      <c r="C1924" s="2" t="inlineStr">
        <is>
          <t>Bomba agua enfriamiento escoria</t>
        </is>
      </c>
      <c r="D1924" s="2" t="n">
        <v>641</v>
      </c>
      <c r="E1924" s="2" t="inlineStr">
        <is>
          <t>CC-3000</t>
        </is>
      </c>
      <c r="F1924" s="2" t="inlineStr">
        <is>
          <t>P01</t>
        </is>
      </c>
      <c r="G1924" s="2" t="n">
        <v>630000</v>
      </c>
      <c r="H1924" s="2" t="inlineStr">
        <is>
          <t>Servicios externos</t>
        </is>
      </c>
      <c r="I1924" s="9" t="n">
        <v>1558.8</v>
      </c>
      <c r="J1924" s="9" t="n">
        <v>1581.1</v>
      </c>
      <c r="K1924" s="9" t="n">
        <v>1520.31</v>
      </c>
      <c r="L1924" s="9" t="n">
        <v>1627.61</v>
      </c>
      <c r="M1924" s="9" t="n">
        <v>1540.71</v>
      </c>
      <c r="N1924" s="9" t="n">
        <v>1571.28</v>
      </c>
      <c r="O1924" s="9" t="n">
        <v>1634.88</v>
      </c>
      <c r="P1924" s="9" t="n">
        <v>1567.1</v>
      </c>
      <c r="Q1924" s="9" t="n">
        <v>1370.91</v>
      </c>
      <c r="R1924" s="9" t="n">
        <v>1655.8</v>
      </c>
      <c r="S1924" s="9" t="n">
        <v>1580.71</v>
      </c>
      <c r="T1924" s="9" t="n">
        <v>1511.48</v>
      </c>
      <c r="U1924" s="10">
        <f>SUM(I1924:T1924)</f>
        <v/>
      </c>
    </row>
    <row r="1925">
      <c r="A1925" s="2" t="inlineStr">
        <is>
          <t>SN-3000-3500-3500-3500PU0215</t>
        </is>
      </c>
      <c r="B1925" s="2" t="inlineStr">
        <is>
          <t>3500PU0215</t>
        </is>
      </c>
      <c r="C1925" s="2" t="inlineStr">
        <is>
          <t>Bomba agua granulación escoria</t>
        </is>
      </c>
      <c r="D1925" s="2" t="n">
        <v>642</v>
      </c>
      <c r="E1925" s="2" t="inlineStr">
        <is>
          <t>CC-3000</t>
        </is>
      </c>
      <c r="F1925" s="2" t="inlineStr">
        <is>
          <t>P01</t>
        </is>
      </c>
      <c r="G1925" s="2" t="n">
        <v>610000</v>
      </c>
      <c r="H1925" s="2" t="inlineStr">
        <is>
          <t>Mano obra interna</t>
        </is>
      </c>
      <c r="I1925" s="9" t="n">
        <v>1069.26</v>
      </c>
      <c r="J1925" s="9" t="n">
        <v>1049.1</v>
      </c>
      <c r="K1925" s="9" t="n">
        <v>1025.58</v>
      </c>
      <c r="L1925" s="9" t="n">
        <v>1044.18</v>
      </c>
      <c r="M1925" s="9" t="n">
        <v>1084.99</v>
      </c>
      <c r="N1925" s="9" t="n">
        <v>1048.14</v>
      </c>
      <c r="O1925" s="9" t="n">
        <v>992.28</v>
      </c>
      <c r="P1925" s="9" t="n">
        <v>1073.3</v>
      </c>
      <c r="Q1925" s="9" t="n">
        <v>966.9299999999999</v>
      </c>
      <c r="R1925" s="9" t="n">
        <v>1187.56</v>
      </c>
      <c r="S1925" s="9" t="n">
        <v>987.12</v>
      </c>
      <c r="T1925" s="9" t="n">
        <v>1084.19</v>
      </c>
      <c r="U1925" s="10">
        <f>SUM(I1925:T1925)</f>
        <v/>
      </c>
    </row>
    <row r="1926">
      <c r="A1926" s="2" t="inlineStr">
        <is>
          <t>SN-3000-3500-3500-3500PU0215</t>
        </is>
      </c>
      <c r="B1926" s="2" t="inlineStr">
        <is>
          <t>3500PU0215</t>
        </is>
      </c>
      <c r="C1926" s="2" t="inlineStr">
        <is>
          <t>Bomba agua granulación escoria</t>
        </is>
      </c>
      <c r="D1926" s="2" t="n">
        <v>642</v>
      </c>
      <c r="E1926" s="2" t="inlineStr">
        <is>
          <t>CC-3000</t>
        </is>
      </c>
      <c r="F1926" s="2" t="inlineStr">
        <is>
          <t>P01</t>
        </is>
      </c>
      <c r="G1926" s="2" t="n">
        <v>620000</v>
      </c>
      <c r="H1926" s="2" t="inlineStr">
        <is>
          <t>Materiales</t>
        </is>
      </c>
      <c r="I1926" s="9" t="n">
        <v>1275.67</v>
      </c>
      <c r="J1926" s="9" t="n">
        <v>1289.44</v>
      </c>
      <c r="K1926" s="9" t="n">
        <v>1240.38</v>
      </c>
      <c r="L1926" s="9" t="n">
        <v>1200.47</v>
      </c>
      <c r="M1926" s="9" t="n">
        <v>1222.39</v>
      </c>
      <c r="N1926" s="9" t="n">
        <v>1280.05</v>
      </c>
      <c r="O1926" s="9" t="n">
        <v>1250.85</v>
      </c>
      <c r="P1926" s="9" t="n">
        <v>1276.24</v>
      </c>
      <c r="Q1926" s="9" t="n">
        <v>1186.84</v>
      </c>
      <c r="R1926" s="9" t="n">
        <v>1268.92</v>
      </c>
      <c r="S1926" s="9" t="n">
        <v>1188.97</v>
      </c>
      <c r="T1926" s="9" t="n">
        <v>1310.7</v>
      </c>
      <c r="U1926" s="10">
        <f>SUM(I1926:T1926)</f>
        <v/>
      </c>
    </row>
    <row r="1927">
      <c r="A1927" s="2" t="inlineStr">
        <is>
          <t>SN-3000-3500-3500-3500PU0215</t>
        </is>
      </c>
      <c r="B1927" s="2" t="inlineStr">
        <is>
          <t>3500PU0215</t>
        </is>
      </c>
      <c r="C1927" s="2" t="inlineStr">
        <is>
          <t>Bomba agua granulación escoria</t>
        </is>
      </c>
      <c r="D1927" s="2" t="n">
        <v>642</v>
      </c>
      <c r="E1927" s="2" t="inlineStr">
        <is>
          <t>CC-3000</t>
        </is>
      </c>
      <c r="F1927" s="2" t="inlineStr">
        <is>
          <t>P01</t>
        </is>
      </c>
      <c r="G1927" s="2" t="n">
        <v>630000</v>
      </c>
      <c r="H1927" s="2" t="inlineStr">
        <is>
          <t>Servicios externos</t>
        </is>
      </c>
      <c r="I1927" s="9" t="n">
        <v>1292.68</v>
      </c>
      <c r="J1927" s="9" t="n">
        <v>1298.2</v>
      </c>
      <c r="K1927" s="9" t="n">
        <v>1290.26</v>
      </c>
      <c r="L1927" s="9" t="n">
        <v>1310.46</v>
      </c>
      <c r="M1927" s="9" t="n">
        <v>1297.39</v>
      </c>
      <c r="N1927" s="9" t="n">
        <v>1286.89</v>
      </c>
      <c r="O1927" s="9" t="n">
        <v>1280.25</v>
      </c>
      <c r="P1927" s="9" t="n">
        <v>1278.07</v>
      </c>
      <c r="Q1927" s="9" t="n">
        <v>1300.22</v>
      </c>
      <c r="R1927" s="9" t="n">
        <v>1548.96</v>
      </c>
      <c r="S1927" s="9" t="n">
        <v>1258.08</v>
      </c>
      <c r="T1927" s="9" t="n">
        <v>1398</v>
      </c>
      <c r="U1927" s="10">
        <f>SUM(I1927:T1927)</f>
        <v/>
      </c>
    </row>
    <row r="1928">
      <c r="A1928" s="2" t="inlineStr">
        <is>
          <t>SN-3000-3500-3500-3500PU0216</t>
        </is>
      </c>
      <c r="B1928" s="2" t="inlineStr">
        <is>
          <t>3500PU0216</t>
        </is>
      </c>
      <c r="C1928" s="2" t="inlineStr">
        <is>
          <t>Bomba vacío retorta</t>
        </is>
      </c>
      <c r="D1928" s="2" t="n">
        <v>643</v>
      </c>
      <c r="E1928" s="2" t="inlineStr">
        <is>
          <t>CC-3000</t>
        </is>
      </c>
      <c r="F1928" s="2" t="inlineStr">
        <is>
          <t>P01</t>
        </is>
      </c>
      <c r="G1928" s="2" t="n">
        <v>610000</v>
      </c>
      <c r="H1928" s="2" t="inlineStr">
        <is>
          <t>Mano obra interna</t>
        </is>
      </c>
      <c r="I1928" s="9" t="n">
        <v>2308.39</v>
      </c>
      <c r="J1928" s="9" t="n">
        <v>2141.96</v>
      </c>
      <c r="K1928" s="9" t="n">
        <v>2289.04</v>
      </c>
      <c r="L1928" s="9" t="n">
        <v>2007.04</v>
      </c>
      <c r="M1928" s="9" t="n">
        <v>2127.46</v>
      </c>
      <c r="N1928" s="9" t="n">
        <v>2032.31</v>
      </c>
      <c r="O1928" s="9" t="n">
        <v>2047.17</v>
      </c>
      <c r="P1928" s="9" t="n">
        <v>2034.38</v>
      </c>
      <c r="Q1928" s="9" t="n">
        <v>1995.28</v>
      </c>
      <c r="R1928" s="9" t="n">
        <v>2357.72</v>
      </c>
      <c r="S1928" s="9" t="n">
        <v>1895.73</v>
      </c>
      <c r="T1928" s="9" t="n">
        <v>2170.93</v>
      </c>
      <c r="U1928" s="10">
        <f>SUM(I1928:T1928)</f>
        <v/>
      </c>
    </row>
    <row r="1929">
      <c r="A1929" s="2" t="inlineStr">
        <is>
          <t>SN-3000-3500-3500-3500PU0216</t>
        </is>
      </c>
      <c r="B1929" s="2" t="inlineStr">
        <is>
          <t>3500PU0216</t>
        </is>
      </c>
      <c r="C1929" s="2" t="inlineStr">
        <is>
          <t>Bomba vacío retorta</t>
        </is>
      </c>
      <c r="D1929" s="2" t="n">
        <v>643</v>
      </c>
      <c r="E1929" s="2" t="inlineStr">
        <is>
          <t>CC-3000</t>
        </is>
      </c>
      <c r="F1929" s="2" t="inlineStr">
        <is>
          <t>P01</t>
        </is>
      </c>
      <c r="G1929" s="2" t="n">
        <v>620000</v>
      </c>
      <c r="H1929" s="2" t="inlineStr">
        <is>
          <t>Materiales</t>
        </is>
      </c>
      <c r="I1929" s="9" t="n">
        <v>1925.92</v>
      </c>
      <c r="J1929" s="9" t="n">
        <v>2010.3</v>
      </c>
      <c r="K1929" s="9" t="n">
        <v>2002.63</v>
      </c>
      <c r="L1929" s="9" t="n">
        <v>2026.55</v>
      </c>
      <c r="M1929" s="9" t="n">
        <v>1936.7</v>
      </c>
      <c r="N1929" s="9" t="n">
        <v>1959.26</v>
      </c>
      <c r="O1929" s="9" t="n">
        <v>1993.11</v>
      </c>
      <c r="P1929" s="9" t="n">
        <v>2148.61</v>
      </c>
      <c r="Q1929" s="9" t="n">
        <v>1819.4</v>
      </c>
      <c r="R1929" s="9" t="n">
        <v>2241.76</v>
      </c>
      <c r="S1929" s="9" t="n">
        <v>1862.6</v>
      </c>
      <c r="T1929" s="9" t="n">
        <v>2034.34</v>
      </c>
      <c r="U1929" s="10">
        <f>SUM(I1929:T1929)</f>
        <v/>
      </c>
    </row>
    <row r="1930">
      <c r="A1930" s="2" t="inlineStr">
        <is>
          <t>SN-3000-3500-3500-3500PU0216</t>
        </is>
      </c>
      <c r="B1930" s="2" t="inlineStr">
        <is>
          <t>3500PU0216</t>
        </is>
      </c>
      <c r="C1930" s="2" t="inlineStr">
        <is>
          <t>Bomba vacío retorta</t>
        </is>
      </c>
      <c r="D1930" s="2" t="n">
        <v>643</v>
      </c>
      <c r="E1930" s="2" t="inlineStr">
        <is>
          <t>CC-3000</t>
        </is>
      </c>
      <c r="F1930" s="2" t="inlineStr">
        <is>
          <t>P01</t>
        </is>
      </c>
      <c r="G1930" s="2" t="n">
        <v>630000</v>
      </c>
      <c r="H1930" s="2" t="inlineStr">
        <is>
          <t>Servicios externos</t>
        </is>
      </c>
      <c r="I1930" s="9" t="n">
        <v>2281.96</v>
      </c>
      <c r="J1930" s="9" t="n">
        <v>2253.18</v>
      </c>
      <c r="K1930" s="9" t="n">
        <v>2287.19</v>
      </c>
      <c r="L1930" s="9" t="n">
        <v>2163.21</v>
      </c>
      <c r="M1930" s="9" t="n">
        <v>2170.95</v>
      </c>
      <c r="N1930" s="9" t="n">
        <v>2267.57</v>
      </c>
      <c r="O1930" s="9" t="n">
        <v>2398.92</v>
      </c>
      <c r="P1930" s="9" t="n">
        <v>2215.72</v>
      </c>
      <c r="Q1930" s="9" t="n">
        <v>2107.86</v>
      </c>
      <c r="R1930" s="9" t="n">
        <v>2294.98</v>
      </c>
      <c r="S1930" s="9" t="n">
        <v>2131.21</v>
      </c>
      <c r="T1930" s="9" t="n">
        <v>2436.52</v>
      </c>
      <c r="U1930" s="10">
        <f>SUM(I1930:T1930)</f>
        <v/>
      </c>
    </row>
    <row r="1931">
      <c r="A1931" s="2" t="inlineStr">
        <is>
          <t>SN-3000-3500-3500-3500PU0217</t>
        </is>
      </c>
      <c r="B1931" s="2" t="inlineStr">
        <is>
          <t>3500PU0217</t>
        </is>
      </c>
      <c r="C1931" s="2" t="inlineStr">
        <is>
          <t>Bomba vacío retorta</t>
        </is>
      </c>
      <c r="D1931" s="2" t="n">
        <v>644</v>
      </c>
      <c r="E1931" s="2" t="inlineStr">
        <is>
          <t>CC-3000</t>
        </is>
      </c>
      <c r="F1931" s="2" t="inlineStr">
        <is>
          <t>P01</t>
        </is>
      </c>
      <c r="G1931" s="2" t="n">
        <v>610000</v>
      </c>
      <c r="H1931" s="2" t="inlineStr">
        <is>
          <t>Mano obra interna</t>
        </is>
      </c>
      <c r="I1931" s="9" t="n">
        <v>2665.27</v>
      </c>
      <c r="J1931" s="9" t="n">
        <v>2593.62</v>
      </c>
      <c r="K1931" s="9" t="n">
        <v>2969.79</v>
      </c>
      <c r="L1931" s="9" t="n">
        <v>2669.88</v>
      </c>
      <c r="M1931" s="9" t="n">
        <v>2639.54</v>
      </c>
      <c r="N1931" s="9" t="n">
        <v>2688.34</v>
      </c>
      <c r="O1931" s="9" t="n">
        <v>2767.87</v>
      </c>
      <c r="P1931" s="9" t="n">
        <v>2720.64</v>
      </c>
      <c r="Q1931" s="9" t="n">
        <v>2713.56</v>
      </c>
      <c r="R1931" s="9" t="n">
        <v>2822.19</v>
      </c>
      <c r="S1931" s="9" t="n">
        <v>2754.78</v>
      </c>
      <c r="T1931" s="9" t="n">
        <v>2628.83</v>
      </c>
      <c r="U1931" s="10">
        <f>SUM(I1931:T1931)</f>
        <v/>
      </c>
    </row>
    <row r="1932">
      <c r="A1932" s="2" t="inlineStr">
        <is>
          <t>SN-3000-3500-3500-3500PU0217</t>
        </is>
      </c>
      <c r="B1932" s="2" t="inlineStr">
        <is>
          <t>3500PU0217</t>
        </is>
      </c>
      <c r="C1932" s="2" t="inlineStr">
        <is>
          <t>Bomba vacío retorta</t>
        </is>
      </c>
      <c r="D1932" s="2" t="n">
        <v>644</v>
      </c>
      <c r="E1932" s="2" t="inlineStr">
        <is>
          <t>CC-3000</t>
        </is>
      </c>
      <c r="F1932" s="2" t="inlineStr">
        <is>
          <t>P01</t>
        </is>
      </c>
      <c r="G1932" s="2" t="n">
        <v>620000</v>
      </c>
      <c r="H1932" s="2" t="inlineStr">
        <is>
          <t>Materiales</t>
        </is>
      </c>
      <c r="I1932" s="9" t="n">
        <v>2867</v>
      </c>
      <c r="J1932" s="9" t="n">
        <v>2593.51</v>
      </c>
      <c r="K1932" s="9" t="n">
        <v>2833.29</v>
      </c>
      <c r="L1932" s="9" t="n">
        <v>2848.59</v>
      </c>
      <c r="M1932" s="9" t="n">
        <v>2471.02</v>
      </c>
      <c r="N1932" s="9" t="n">
        <v>2618.24</v>
      </c>
      <c r="O1932" s="9" t="n">
        <v>2830.62</v>
      </c>
      <c r="P1932" s="9" t="n">
        <v>2681.63</v>
      </c>
      <c r="Q1932" s="9" t="n">
        <v>2344.03</v>
      </c>
      <c r="R1932" s="9" t="n">
        <v>2688.5</v>
      </c>
      <c r="S1932" s="9" t="n">
        <v>2467.9</v>
      </c>
      <c r="T1932" s="9" t="n">
        <v>2519.92</v>
      </c>
      <c r="U1932" s="10">
        <f>SUM(I1932:T1932)</f>
        <v/>
      </c>
    </row>
    <row r="1933">
      <c r="A1933" s="2" t="inlineStr">
        <is>
          <t>SN-3000-3500-3500-3500PU0217</t>
        </is>
      </c>
      <c r="B1933" s="2" t="inlineStr">
        <is>
          <t>3500PU0217</t>
        </is>
      </c>
      <c r="C1933" s="2" t="inlineStr">
        <is>
          <t>Bomba vacío retorta</t>
        </is>
      </c>
      <c r="D1933" s="2" t="n">
        <v>644</v>
      </c>
      <c r="E1933" s="2" t="inlineStr">
        <is>
          <t>CC-3000</t>
        </is>
      </c>
      <c r="F1933" s="2" t="inlineStr">
        <is>
          <t>P01</t>
        </is>
      </c>
      <c r="G1933" s="2" t="n">
        <v>630000</v>
      </c>
      <c r="H1933" s="2" t="inlineStr">
        <is>
          <t>Servicios externos</t>
        </is>
      </c>
      <c r="I1933" s="9" t="n">
        <v>2512.35</v>
      </c>
      <c r="J1933" s="9" t="n">
        <v>2487.8</v>
      </c>
      <c r="K1933" s="9" t="n">
        <v>2700.43</v>
      </c>
      <c r="L1933" s="9" t="n">
        <v>2690.01</v>
      </c>
      <c r="M1933" s="9" t="n">
        <v>2643.05</v>
      </c>
      <c r="N1933" s="9" t="n">
        <v>2610.03</v>
      </c>
      <c r="O1933" s="9" t="n">
        <v>2452.65</v>
      </c>
      <c r="P1933" s="9" t="n">
        <v>2463.82</v>
      </c>
      <c r="Q1933" s="9" t="n">
        <v>2287.45</v>
      </c>
      <c r="R1933" s="9" t="n">
        <v>2815.25</v>
      </c>
      <c r="S1933" s="9" t="n">
        <v>2371.05</v>
      </c>
      <c r="T1933" s="9" t="n">
        <v>2787.86</v>
      </c>
      <c r="U1933" s="10">
        <f>SUM(I1933:T1933)</f>
        <v/>
      </c>
    </row>
    <row r="1934">
      <c r="A1934" s="2" t="inlineStr">
        <is>
          <t>SN-3000-3500-3500-3500PU0220</t>
        </is>
      </c>
      <c r="B1934" s="2" t="inlineStr">
        <is>
          <t>3500PU0220</t>
        </is>
      </c>
      <c r="C1934" s="2" t="inlineStr">
        <is>
          <t>Bomba recirculación agua enfriamiento</t>
        </is>
      </c>
      <c r="D1934" s="2" t="n">
        <v>645</v>
      </c>
      <c r="E1934" s="2" t="inlineStr">
        <is>
          <t>CC-3000</t>
        </is>
      </c>
      <c r="F1934" s="2" t="inlineStr">
        <is>
          <t>P01</t>
        </is>
      </c>
      <c r="G1934" s="2" t="n">
        <v>610000</v>
      </c>
      <c r="H1934" s="2" t="inlineStr">
        <is>
          <t>Mano obra interna</t>
        </is>
      </c>
      <c r="I1934" s="9" t="n">
        <v>2381.58</v>
      </c>
      <c r="J1934" s="9" t="n">
        <v>2142.09</v>
      </c>
      <c r="K1934" s="9" t="n">
        <v>2229.43</v>
      </c>
      <c r="L1934" s="9" t="n">
        <v>2327.82</v>
      </c>
      <c r="M1934" s="9" t="n">
        <v>2230.79</v>
      </c>
      <c r="N1934" s="9" t="n">
        <v>2119.79</v>
      </c>
      <c r="O1934" s="9" t="n">
        <v>2332.59</v>
      </c>
      <c r="P1934" s="9" t="n">
        <v>2151.05</v>
      </c>
      <c r="Q1934" s="9" t="n">
        <v>2129.26</v>
      </c>
      <c r="R1934" s="9" t="n">
        <v>2305.62</v>
      </c>
      <c r="S1934" s="9" t="n">
        <v>2224.39</v>
      </c>
      <c r="T1934" s="9" t="n">
        <v>2127</v>
      </c>
      <c r="U1934" s="10">
        <f>SUM(I1934:T1934)</f>
        <v/>
      </c>
    </row>
    <row r="1935">
      <c r="A1935" s="2" t="inlineStr">
        <is>
          <t>SN-3000-3500-3500-3500PU0220</t>
        </is>
      </c>
      <c r="B1935" s="2" t="inlineStr">
        <is>
          <t>3500PU0220</t>
        </is>
      </c>
      <c r="C1935" s="2" t="inlineStr">
        <is>
          <t>Bomba recirculación agua enfriamiento</t>
        </is>
      </c>
      <c r="D1935" s="2" t="n">
        <v>645</v>
      </c>
      <c r="E1935" s="2" t="inlineStr">
        <is>
          <t>CC-3000</t>
        </is>
      </c>
      <c r="F1935" s="2" t="inlineStr">
        <is>
          <t>P01</t>
        </is>
      </c>
      <c r="G1935" s="2" t="n">
        <v>620000</v>
      </c>
      <c r="H1935" s="2" t="inlineStr">
        <is>
          <t>Materiales</t>
        </is>
      </c>
      <c r="I1935" s="9" t="n">
        <v>2325.99</v>
      </c>
      <c r="J1935" s="9" t="n">
        <v>2081.6</v>
      </c>
      <c r="K1935" s="9" t="n">
        <v>2186.5</v>
      </c>
      <c r="L1935" s="9" t="n">
        <v>2193.73</v>
      </c>
      <c r="M1935" s="9" t="n">
        <v>2255.29</v>
      </c>
      <c r="N1935" s="9" t="n">
        <v>2250.07</v>
      </c>
      <c r="O1935" s="9" t="n">
        <v>2278.35</v>
      </c>
      <c r="P1935" s="9" t="n">
        <v>2329.9</v>
      </c>
      <c r="Q1935" s="9" t="n">
        <v>2076.68</v>
      </c>
      <c r="R1935" s="9" t="n">
        <v>2224.4</v>
      </c>
      <c r="S1935" s="9" t="n">
        <v>2007.59</v>
      </c>
      <c r="T1935" s="9" t="n">
        <v>2267.9</v>
      </c>
      <c r="U1935" s="10">
        <f>SUM(I1935:T1935)</f>
        <v/>
      </c>
    </row>
    <row r="1936">
      <c r="A1936" s="2" t="inlineStr">
        <is>
          <t>SN-3000-3500-3500-3500PU0220</t>
        </is>
      </c>
      <c r="B1936" s="2" t="inlineStr">
        <is>
          <t>3500PU0220</t>
        </is>
      </c>
      <c r="C1936" s="2" t="inlineStr">
        <is>
          <t>Bomba recirculación agua enfriamiento</t>
        </is>
      </c>
      <c r="D1936" s="2" t="n">
        <v>645</v>
      </c>
      <c r="E1936" s="2" t="inlineStr">
        <is>
          <t>CC-3000</t>
        </is>
      </c>
      <c r="F1936" s="2" t="inlineStr">
        <is>
          <t>P01</t>
        </is>
      </c>
      <c r="G1936" s="2" t="n">
        <v>630000</v>
      </c>
      <c r="H1936" s="2" t="inlineStr">
        <is>
          <t>Servicios externos</t>
        </is>
      </c>
      <c r="I1936" s="9" t="n">
        <v>2139.69</v>
      </c>
      <c r="J1936" s="9" t="n">
        <v>2149.21</v>
      </c>
      <c r="K1936" s="9" t="n">
        <v>2323.82</v>
      </c>
      <c r="L1936" s="9" t="n">
        <v>2201.2</v>
      </c>
      <c r="M1936" s="9" t="n">
        <v>2276.51</v>
      </c>
      <c r="N1936" s="9" t="n">
        <v>2177.76</v>
      </c>
      <c r="O1936" s="9" t="n">
        <v>2277.59</v>
      </c>
      <c r="P1936" s="9" t="n">
        <v>2362.66</v>
      </c>
      <c r="Q1936" s="9" t="n">
        <v>1975.51</v>
      </c>
      <c r="R1936" s="9" t="n">
        <v>2420.96</v>
      </c>
      <c r="S1936" s="9" t="n">
        <v>2244.83</v>
      </c>
      <c r="T1936" s="9" t="n">
        <v>2255</v>
      </c>
      <c r="U1936" s="10">
        <f>SUM(I1936:T1936)</f>
        <v/>
      </c>
    </row>
    <row r="1937">
      <c r="A1937" s="2" t="inlineStr">
        <is>
          <t>SN-3000-3500-3500-3500TK0025</t>
        </is>
      </c>
      <c r="B1937" s="2" t="inlineStr">
        <is>
          <t>3500TK0025</t>
        </is>
      </c>
      <c r="C1937" s="2" t="inlineStr">
        <is>
          <t>Estanque separador gruesos escoria</t>
        </is>
      </c>
      <c r="D1937" s="2" t="n">
        <v>646</v>
      </c>
      <c r="E1937" s="2" t="inlineStr">
        <is>
          <t>CC-3000</t>
        </is>
      </c>
      <c r="F1937" s="2" t="inlineStr">
        <is>
          <t>P01</t>
        </is>
      </c>
      <c r="G1937" s="2" t="n">
        <v>610000</v>
      </c>
      <c r="H1937" s="2" t="inlineStr">
        <is>
          <t>Mano obra interna</t>
        </is>
      </c>
      <c r="I1937" s="9" t="n">
        <v>2859.61</v>
      </c>
      <c r="J1937" s="9" t="n">
        <v>2837.59</v>
      </c>
      <c r="K1937" s="9" t="n">
        <v>2721.66</v>
      </c>
      <c r="L1937" s="9" t="n">
        <v>3128.31</v>
      </c>
      <c r="M1937" s="9" t="n">
        <v>2945.64</v>
      </c>
      <c r="N1937" s="9" t="n">
        <v>2875.55</v>
      </c>
      <c r="O1937" s="9" t="n">
        <v>2929.71</v>
      </c>
      <c r="P1937" s="9" t="n">
        <v>2695.42</v>
      </c>
      <c r="Q1937" s="9" t="n">
        <v>2445.4</v>
      </c>
      <c r="R1937" s="9" t="n">
        <v>3241.53</v>
      </c>
      <c r="S1937" s="9" t="n">
        <v>2703.79</v>
      </c>
      <c r="T1937" s="9" t="n">
        <v>2773.37</v>
      </c>
      <c r="U1937" s="10">
        <f>SUM(I1937:T1937)</f>
        <v/>
      </c>
    </row>
    <row r="1938">
      <c r="A1938" s="2" t="inlineStr">
        <is>
          <t>SN-3000-3500-3500-3500TK0025</t>
        </is>
      </c>
      <c r="B1938" s="2" t="inlineStr">
        <is>
          <t>3500TK0025</t>
        </is>
      </c>
      <c r="C1938" s="2" t="inlineStr">
        <is>
          <t>Estanque separador gruesos escoria</t>
        </is>
      </c>
      <c r="D1938" s="2" t="n">
        <v>646</v>
      </c>
      <c r="E1938" s="2" t="inlineStr">
        <is>
          <t>CC-3000</t>
        </is>
      </c>
      <c r="F1938" s="2" t="inlineStr">
        <is>
          <t>P01</t>
        </is>
      </c>
      <c r="G1938" s="2" t="n">
        <v>620000</v>
      </c>
      <c r="H1938" s="2" t="inlineStr">
        <is>
          <t>Materiales</t>
        </is>
      </c>
      <c r="I1938" s="9" t="n">
        <v>2596.18</v>
      </c>
      <c r="J1938" s="9" t="n">
        <v>2598.32</v>
      </c>
      <c r="K1938" s="9" t="n">
        <v>2650.38</v>
      </c>
      <c r="L1938" s="9" t="n">
        <v>2715.63</v>
      </c>
      <c r="M1938" s="9" t="n">
        <v>2693.27</v>
      </c>
      <c r="N1938" s="9" t="n">
        <v>2342.65</v>
      </c>
      <c r="O1938" s="9" t="n">
        <v>2506.61</v>
      </c>
      <c r="P1938" s="9" t="n">
        <v>2547.82</v>
      </c>
      <c r="Q1938" s="9" t="n">
        <v>2574.98</v>
      </c>
      <c r="R1938" s="9" t="n">
        <v>2717.92</v>
      </c>
      <c r="S1938" s="9" t="n">
        <v>2446.07</v>
      </c>
      <c r="T1938" s="9" t="n">
        <v>2678.2</v>
      </c>
      <c r="U1938" s="10">
        <f>SUM(I1938:T1938)</f>
        <v/>
      </c>
    </row>
    <row r="1939">
      <c r="A1939" s="2" t="inlineStr">
        <is>
          <t>SN-3000-3500-3500-3500TK0025</t>
        </is>
      </c>
      <c r="B1939" s="2" t="inlineStr">
        <is>
          <t>3500TK0025</t>
        </is>
      </c>
      <c r="C1939" s="2" t="inlineStr">
        <is>
          <t>Estanque separador gruesos escoria</t>
        </is>
      </c>
      <c r="D1939" s="2" t="n">
        <v>646</v>
      </c>
      <c r="E1939" s="2" t="inlineStr">
        <is>
          <t>CC-3000</t>
        </is>
      </c>
      <c r="F1939" s="2" t="inlineStr">
        <is>
          <t>P01</t>
        </is>
      </c>
      <c r="G1939" s="2" t="n">
        <v>630000</v>
      </c>
      <c r="H1939" s="2" t="inlineStr">
        <is>
          <t>Servicios externos</t>
        </is>
      </c>
      <c r="I1939" s="9" t="n">
        <v>2676.31</v>
      </c>
      <c r="J1939" s="9" t="n">
        <v>2560.09</v>
      </c>
      <c r="K1939" s="9" t="n">
        <v>2527.91</v>
      </c>
      <c r="L1939" s="9" t="n">
        <v>2556.92</v>
      </c>
      <c r="M1939" s="9" t="n">
        <v>2248.72</v>
      </c>
      <c r="N1939" s="9" t="n">
        <v>2410.92</v>
      </c>
      <c r="O1939" s="9" t="n">
        <v>2527.34</v>
      </c>
      <c r="P1939" s="9" t="n">
        <v>2388.26</v>
      </c>
      <c r="Q1939" s="9" t="n">
        <v>2174.03</v>
      </c>
      <c r="R1939" s="9" t="n">
        <v>2812.01</v>
      </c>
      <c r="S1939" s="9" t="n">
        <v>2339.28</v>
      </c>
      <c r="T1939" s="9" t="n">
        <v>2542.46</v>
      </c>
      <c r="U1939" s="10">
        <f>SUM(I1939:T1939)</f>
        <v/>
      </c>
    </row>
    <row r="1940">
      <c r="A1940" s="2" t="inlineStr">
        <is>
          <t>SN-3000-3500-3500-3500TK0026</t>
        </is>
      </c>
      <c r="B1940" s="2" t="inlineStr">
        <is>
          <t>3500TK0026</t>
        </is>
      </c>
      <c r="C1940" s="2" t="inlineStr">
        <is>
          <t>Estanque agua enfriamiento escoria</t>
        </is>
      </c>
      <c r="D1940" s="2" t="n">
        <v>647</v>
      </c>
      <c r="E1940" s="2" t="inlineStr">
        <is>
          <t>CC-3000</t>
        </is>
      </c>
      <c r="F1940" s="2" t="inlineStr">
        <is>
          <t>P01</t>
        </is>
      </c>
      <c r="G1940" s="2" t="n">
        <v>610000</v>
      </c>
      <c r="H1940" s="2" t="inlineStr">
        <is>
          <t>Mano obra interna</t>
        </is>
      </c>
      <c r="I1940" s="9" t="n">
        <v>1358.85</v>
      </c>
      <c r="J1940" s="9" t="n">
        <v>1396.69</v>
      </c>
      <c r="K1940" s="9" t="n">
        <v>1367.32</v>
      </c>
      <c r="L1940" s="9" t="n">
        <v>1402.18</v>
      </c>
      <c r="M1940" s="9" t="n">
        <v>1273.69</v>
      </c>
      <c r="N1940" s="9" t="n">
        <v>1273.13</v>
      </c>
      <c r="O1940" s="9" t="n">
        <v>1442.65</v>
      </c>
      <c r="P1940" s="9" t="n">
        <v>1362.99</v>
      </c>
      <c r="Q1940" s="9" t="n">
        <v>1337.16</v>
      </c>
      <c r="R1940" s="9" t="n">
        <v>1549.12</v>
      </c>
      <c r="S1940" s="9" t="n">
        <v>1399.4</v>
      </c>
      <c r="T1940" s="9" t="n">
        <v>1456.34</v>
      </c>
      <c r="U1940" s="10">
        <f>SUM(I1940:T1940)</f>
        <v/>
      </c>
    </row>
    <row r="1941">
      <c r="A1941" s="2" t="inlineStr">
        <is>
          <t>SN-3000-3500-3500-3500TK0026</t>
        </is>
      </c>
      <c r="B1941" s="2" t="inlineStr">
        <is>
          <t>3500TK0026</t>
        </is>
      </c>
      <c r="C1941" s="2" t="inlineStr">
        <is>
          <t>Estanque agua enfriamiento escoria</t>
        </is>
      </c>
      <c r="D1941" s="2" t="n">
        <v>647</v>
      </c>
      <c r="E1941" s="2" t="inlineStr">
        <is>
          <t>CC-3000</t>
        </is>
      </c>
      <c r="F1941" s="2" t="inlineStr">
        <is>
          <t>P01</t>
        </is>
      </c>
      <c r="G1941" s="2" t="n">
        <v>620000</v>
      </c>
      <c r="H1941" s="2" t="inlineStr">
        <is>
          <t>Materiales</t>
        </is>
      </c>
      <c r="I1941" s="9" t="n">
        <v>1482.33</v>
      </c>
      <c r="J1941" s="9" t="n">
        <v>1259.65</v>
      </c>
      <c r="K1941" s="9" t="n">
        <v>1297.63</v>
      </c>
      <c r="L1941" s="9" t="n">
        <v>1288.99</v>
      </c>
      <c r="M1941" s="9" t="n">
        <v>1311.25</v>
      </c>
      <c r="N1941" s="9" t="n">
        <v>1323.22</v>
      </c>
      <c r="O1941" s="9" t="n">
        <v>1337.16</v>
      </c>
      <c r="P1941" s="9" t="n">
        <v>1253.77</v>
      </c>
      <c r="Q1941" s="9" t="n">
        <v>1259.17</v>
      </c>
      <c r="R1941" s="9" t="n">
        <v>1450.7</v>
      </c>
      <c r="S1941" s="9" t="n">
        <v>1368.43</v>
      </c>
      <c r="T1941" s="9" t="n">
        <v>1329.35</v>
      </c>
      <c r="U1941" s="10">
        <f>SUM(I1941:T1941)</f>
        <v/>
      </c>
    </row>
    <row r="1942">
      <c r="A1942" s="2" t="inlineStr">
        <is>
          <t>SN-3000-3500-3500-3500TK0026</t>
        </is>
      </c>
      <c r="B1942" s="2" t="inlineStr">
        <is>
          <t>3500TK0026</t>
        </is>
      </c>
      <c r="C1942" s="2" t="inlineStr">
        <is>
          <t>Estanque agua enfriamiento escoria</t>
        </is>
      </c>
      <c r="D1942" s="2" t="n">
        <v>647</v>
      </c>
      <c r="E1942" s="2" t="inlineStr">
        <is>
          <t>CC-3000</t>
        </is>
      </c>
      <c r="F1942" s="2" t="inlineStr">
        <is>
          <t>P01</t>
        </is>
      </c>
      <c r="G1942" s="2" t="n">
        <v>630000</v>
      </c>
      <c r="H1942" s="2" t="inlineStr">
        <is>
          <t>Servicios externos</t>
        </is>
      </c>
      <c r="I1942" s="9" t="n">
        <v>1413.42</v>
      </c>
      <c r="J1942" s="9" t="n">
        <v>1374.45</v>
      </c>
      <c r="K1942" s="9" t="n">
        <v>1510</v>
      </c>
      <c r="L1942" s="9" t="n">
        <v>1465.88</v>
      </c>
      <c r="M1942" s="9" t="n">
        <v>1388.71</v>
      </c>
      <c r="N1942" s="9" t="n">
        <v>1349.82</v>
      </c>
      <c r="O1942" s="9" t="n">
        <v>1411.71</v>
      </c>
      <c r="P1942" s="9" t="n">
        <v>1548.57</v>
      </c>
      <c r="Q1942" s="9" t="n">
        <v>1283.93</v>
      </c>
      <c r="R1942" s="9" t="n">
        <v>1632.9</v>
      </c>
      <c r="S1942" s="9" t="n">
        <v>1441.28</v>
      </c>
      <c r="T1942" s="9" t="n">
        <v>1346.54</v>
      </c>
      <c r="U1942" s="10">
        <f>SUM(I1942:T1942)</f>
        <v/>
      </c>
    </row>
    <row r="1943">
      <c r="A1943" s="2" t="inlineStr">
        <is>
          <t>SN-3000-3500-3500-3500TK0099</t>
        </is>
      </c>
      <c r="B1943" s="2" t="inlineStr">
        <is>
          <t>3500TK0099</t>
        </is>
      </c>
      <c r="C1943" s="2" t="inlineStr">
        <is>
          <t>Estanque agua de enfriamiento</t>
        </is>
      </c>
      <c r="D1943" s="2" t="n">
        <v>648</v>
      </c>
      <c r="E1943" s="2" t="inlineStr">
        <is>
          <t>CC-3000</t>
        </is>
      </c>
      <c r="F1943" s="2" t="inlineStr">
        <is>
          <t>P01</t>
        </is>
      </c>
      <c r="G1943" s="2" t="n">
        <v>610000</v>
      </c>
      <c r="H1943" s="2" t="inlineStr">
        <is>
          <t>Mano obra interna</t>
        </is>
      </c>
      <c r="I1943" s="9" t="n">
        <v>1727.58</v>
      </c>
      <c r="J1943" s="9" t="n">
        <v>1647.73</v>
      </c>
      <c r="K1943" s="9" t="n">
        <v>1651.64</v>
      </c>
      <c r="L1943" s="9" t="n">
        <v>1676.12</v>
      </c>
      <c r="M1943" s="9" t="n">
        <v>1545.28</v>
      </c>
      <c r="N1943" s="9" t="n">
        <v>1438.68</v>
      </c>
      <c r="O1943" s="9" t="n">
        <v>1713.78</v>
      </c>
      <c r="P1943" s="9" t="n">
        <v>1727.44</v>
      </c>
      <c r="Q1943" s="9" t="n">
        <v>1431.52</v>
      </c>
      <c r="R1943" s="9" t="n">
        <v>1833.62</v>
      </c>
      <c r="S1943" s="9" t="n">
        <v>1634.41</v>
      </c>
      <c r="T1943" s="9" t="n">
        <v>1564.85</v>
      </c>
      <c r="U1943" s="10">
        <f>SUM(I1943:T1943)</f>
        <v/>
      </c>
    </row>
    <row r="1944">
      <c r="A1944" s="2" t="inlineStr">
        <is>
          <t>SN-3000-3500-3500-3500TK0099</t>
        </is>
      </c>
      <c r="B1944" s="2" t="inlineStr">
        <is>
          <t>3500TK0099</t>
        </is>
      </c>
      <c r="C1944" s="2" t="inlineStr">
        <is>
          <t>Estanque agua de enfriamiento</t>
        </is>
      </c>
      <c r="D1944" s="2" t="n">
        <v>648</v>
      </c>
      <c r="E1944" s="2" t="inlineStr">
        <is>
          <t>CC-3000</t>
        </is>
      </c>
      <c r="F1944" s="2" t="inlineStr">
        <is>
          <t>P01</t>
        </is>
      </c>
      <c r="G1944" s="2" t="n">
        <v>620000</v>
      </c>
      <c r="H1944" s="2" t="inlineStr">
        <is>
          <t>Materiales</t>
        </is>
      </c>
      <c r="I1944" s="9" t="n">
        <v>1350.22</v>
      </c>
      <c r="J1944" s="9" t="n">
        <v>1373.78</v>
      </c>
      <c r="K1944" s="9" t="n">
        <v>1456.21</v>
      </c>
      <c r="L1944" s="9" t="n">
        <v>1279.98</v>
      </c>
      <c r="M1944" s="9" t="n">
        <v>1338.7</v>
      </c>
      <c r="N1944" s="9" t="n">
        <v>1333.99</v>
      </c>
      <c r="O1944" s="9" t="n">
        <v>1401.16</v>
      </c>
      <c r="P1944" s="9" t="n">
        <v>1262.83</v>
      </c>
      <c r="Q1944" s="9" t="n">
        <v>1251.72</v>
      </c>
      <c r="R1944" s="9" t="n">
        <v>1526.85</v>
      </c>
      <c r="S1944" s="9" t="n">
        <v>1258.79</v>
      </c>
      <c r="T1944" s="9" t="n">
        <v>1342.8</v>
      </c>
      <c r="U1944" s="10">
        <f>SUM(I1944:T1944)</f>
        <v/>
      </c>
    </row>
    <row r="1945">
      <c r="A1945" s="2" t="inlineStr">
        <is>
          <t>SN-3000-3500-3500-3500TK0099</t>
        </is>
      </c>
      <c r="B1945" s="2" t="inlineStr">
        <is>
          <t>3500TK0099</t>
        </is>
      </c>
      <c r="C1945" s="2" t="inlineStr">
        <is>
          <t>Estanque agua de enfriamiento</t>
        </is>
      </c>
      <c r="D1945" s="2" t="n">
        <v>648</v>
      </c>
      <c r="E1945" s="2" t="inlineStr">
        <is>
          <t>CC-3000</t>
        </is>
      </c>
      <c r="F1945" s="2" t="inlineStr">
        <is>
          <t>P01</t>
        </is>
      </c>
      <c r="G1945" s="2" t="n">
        <v>630000</v>
      </c>
      <c r="H1945" s="2" t="inlineStr">
        <is>
          <t>Servicios externos</t>
        </is>
      </c>
      <c r="I1945" s="9" t="n">
        <v>1465.79</v>
      </c>
      <c r="J1945" s="9" t="n">
        <v>1600.63</v>
      </c>
      <c r="K1945" s="9" t="n">
        <v>1537.57</v>
      </c>
      <c r="L1945" s="9" t="n">
        <v>1445.43</v>
      </c>
      <c r="M1945" s="9" t="n">
        <v>1456.26</v>
      </c>
      <c r="N1945" s="9" t="n">
        <v>1372.82</v>
      </c>
      <c r="O1945" s="9" t="n">
        <v>1437.27</v>
      </c>
      <c r="P1945" s="9" t="n">
        <v>1583.08</v>
      </c>
      <c r="Q1945" s="9" t="n">
        <v>1365.14</v>
      </c>
      <c r="R1945" s="9" t="n">
        <v>1772.66</v>
      </c>
      <c r="S1945" s="9" t="n">
        <v>1491.68</v>
      </c>
      <c r="T1945" s="9" t="n">
        <v>1549.71</v>
      </c>
      <c r="U1945" s="10">
        <f>SUM(I1945:T1945)</f>
        <v/>
      </c>
    </row>
    <row r="1946">
      <c r="A1946" s="2" t="inlineStr">
        <is>
          <t>SN-3000-3500-3500-3500VE0004</t>
        </is>
      </c>
      <c r="B1946" s="2" t="inlineStr">
        <is>
          <t>3500VE0004</t>
        </is>
      </c>
      <c r="C1946" s="2" t="inlineStr">
        <is>
          <t>Columna carbón</t>
        </is>
      </c>
      <c r="D1946" s="2" t="n">
        <v>649</v>
      </c>
      <c r="E1946" s="2" t="inlineStr">
        <is>
          <t>CC-3000</t>
        </is>
      </c>
      <c r="F1946" s="2" t="inlineStr">
        <is>
          <t>P01</t>
        </is>
      </c>
      <c r="G1946" s="2" t="n">
        <v>610000</v>
      </c>
      <c r="H1946" s="2" t="inlineStr">
        <is>
          <t>Mano obra interna</t>
        </is>
      </c>
      <c r="I1946" s="9" t="n">
        <v>1323.57</v>
      </c>
      <c r="J1946" s="9" t="n">
        <v>1229.28</v>
      </c>
      <c r="K1946" s="9" t="n">
        <v>1220.48</v>
      </c>
      <c r="L1946" s="9" t="n">
        <v>1363.71</v>
      </c>
      <c r="M1946" s="9" t="n">
        <v>1230.52</v>
      </c>
      <c r="N1946" s="9" t="n">
        <v>1120.57</v>
      </c>
      <c r="O1946" s="9" t="n">
        <v>1264.27</v>
      </c>
      <c r="P1946" s="9" t="n">
        <v>1286.48</v>
      </c>
      <c r="Q1946" s="9" t="n">
        <v>1128.81</v>
      </c>
      <c r="R1946" s="9" t="n">
        <v>1421.61</v>
      </c>
      <c r="S1946" s="9" t="n">
        <v>1250.7</v>
      </c>
      <c r="T1946" s="9" t="n">
        <v>1307.17</v>
      </c>
      <c r="U1946" s="10">
        <f>SUM(I1946:T1946)</f>
        <v/>
      </c>
    </row>
    <row r="1947">
      <c r="A1947" s="2" t="inlineStr">
        <is>
          <t>SN-3000-3500-3500-3500VE0004</t>
        </is>
      </c>
      <c r="B1947" s="2" t="inlineStr">
        <is>
          <t>3500VE0004</t>
        </is>
      </c>
      <c r="C1947" s="2" t="inlineStr">
        <is>
          <t>Columna carbón</t>
        </is>
      </c>
      <c r="D1947" s="2" t="n">
        <v>649</v>
      </c>
      <c r="E1947" s="2" t="inlineStr">
        <is>
          <t>CC-3000</t>
        </is>
      </c>
      <c r="F1947" s="2" t="inlineStr">
        <is>
          <t>P01</t>
        </is>
      </c>
      <c r="G1947" s="2" t="n">
        <v>620000</v>
      </c>
      <c r="H1947" s="2" t="inlineStr">
        <is>
          <t>Materiales</t>
        </is>
      </c>
      <c r="I1947" s="9" t="n">
        <v>1340.11</v>
      </c>
      <c r="J1947" s="9" t="n">
        <v>1160.39</v>
      </c>
      <c r="K1947" s="9" t="n">
        <v>1276.76</v>
      </c>
      <c r="L1947" s="9" t="n">
        <v>1211.18</v>
      </c>
      <c r="M1947" s="9" t="n">
        <v>1257.14</v>
      </c>
      <c r="N1947" s="9" t="n">
        <v>1084.14</v>
      </c>
      <c r="O1947" s="9" t="n">
        <v>1134.1</v>
      </c>
      <c r="P1947" s="9" t="n">
        <v>1282.24</v>
      </c>
      <c r="Q1947" s="9" t="n">
        <v>1125.94</v>
      </c>
      <c r="R1947" s="9" t="n">
        <v>1284.77</v>
      </c>
      <c r="S1947" s="9" t="n">
        <v>1203.72</v>
      </c>
      <c r="T1947" s="9" t="n">
        <v>1280.62</v>
      </c>
      <c r="U1947" s="10">
        <f>SUM(I1947:T1947)</f>
        <v/>
      </c>
    </row>
    <row r="1948">
      <c r="A1948" s="2" t="inlineStr">
        <is>
          <t>SN-3000-3500-3500-3500VE0004</t>
        </is>
      </c>
      <c r="B1948" s="2" t="inlineStr">
        <is>
          <t>3500VE0004</t>
        </is>
      </c>
      <c r="C1948" s="2" t="inlineStr">
        <is>
          <t>Columna carbón</t>
        </is>
      </c>
      <c r="D1948" s="2" t="n">
        <v>649</v>
      </c>
      <c r="E1948" s="2" t="inlineStr">
        <is>
          <t>CC-3000</t>
        </is>
      </c>
      <c r="F1948" s="2" t="inlineStr">
        <is>
          <t>P01</t>
        </is>
      </c>
      <c r="G1948" s="2" t="n">
        <v>630000</v>
      </c>
      <c r="H1948" s="2" t="inlineStr">
        <is>
          <t>Servicios externos</t>
        </is>
      </c>
      <c r="I1948" s="9" t="n">
        <v>1111.24</v>
      </c>
      <c r="J1948" s="9" t="n">
        <v>1211.63</v>
      </c>
      <c r="K1948" s="9" t="n">
        <v>1199.47</v>
      </c>
      <c r="L1948" s="9" t="n">
        <v>1150.91</v>
      </c>
      <c r="M1948" s="9" t="n">
        <v>1189.09</v>
      </c>
      <c r="N1948" s="9" t="n">
        <v>1100.29</v>
      </c>
      <c r="O1948" s="9" t="n">
        <v>1099.36</v>
      </c>
      <c r="P1948" s="9" t="n">
        <v>1091.64</v>
      </c>
      <c r="Q1948" s="9" t="n">
        <v>1049.4</v>
      </c>
      <c r="R1948" s="9" t="n">
        <v>1307.31</v>
      </c>
      <c r="S1948" s="9" t="n">
        <v>1031.77</v>
      </c>
      <c r="T1948" s="9" t="n">
        <v>1110.87</v>
      </c>
      <c r="U1948" s="10">
        <f>SUM(I1948:T1948)</f>
        <v/>
      </c>
    </row>
    <row r="1949">
      <c r="A1949" s="2" t="inlineStr">
        <is>
          <t>SN-3000-3500-3500-3500VE0009</t>
        </is>
      </c>
      <c r="B1949" s="2" t="inlineStr">
        <is>
          <t>3500VE0009</t>
        </is>
      </c>
      <c r="C1949" s="2" t="inlineStr">
        <is>
          <t>Columna carbón</t>
        </is>
      </c>
      <c r="D1949" s="2" t="n">
        <v>650</v>
      </c>
      <c r="E1949" s="2" t="inlineStr">
        <is>
          <t>CC-3000</t>
        </is>
      </c>
      <c r="F1949" s="2" t="inlineStr">
        <is>
          <t>P01</t>
        </is>
      </c>
      <c r="G1949" s="2" t="n">
        <v>610000</v>
      </c>
      <c r="H1949" s="2" t="inlineStr">
        <is>
          <t>Mano obra interna</t>
        </is>
      </c>
      <c r="I1949" s="9" t="n">
        <v>2035.61</v>
      </c>
      <c r="J1949" s="9" t="n">
        <v>2133.72</v>
      </c>
      <c r="K1949" s="9" t="n">
        <v>2089.29</v>
      </c>
      <c r="L1949" s="9" t="n">
        <v>2206.04</v>
      </c>
      <c r="M1949" s="9" t="n">
        <v>2061.26</v>
      </c>
      <c r="N1949" s="9" t="n">
        <v>1899.93</v>
      </c>
      <c r="O1949" s="9" t="n">
        <v>2151.49</v>
      </c>
      <c r="P1949" s="9" t="n">
        <v>2183.03</v>
      </c>
      <c r="Q1949" s="9" t="n">
        <v>2032.78</v>
      </c>
      <c r="R1949" s="9" t="n">
        <v>2339.15</v>
      </c>
      <c r="S1949" s="9" t="n">
        <v>2054.79</v>
      </c>
      <c r="T1949" s="9" t="n">
        <v>2160.73</v>
      </c>
      <c r="U1949" s="10">
        <f>SUM(I1949:T1949)</f>
        <v/>
      </c>
    </row>
    <row r="1950">
      <c r="A1950" s="2" t="inlineStr">
        <is>
          <t>SN-3000-3500-3500-3500VE0009</t>
        </is>
      </c>
      <c r="B1950" s="2" t="inlineStr">
        <is>
          <t>3500VE0009</t>
        </is>
      </c>
      <c r="C1950" s="2" t="inlineStr">
        <is>
          <t>Columna carbón</t>
        </is>
      </c>
      <c r="D1950" s="2" t="n">
        <v>650</v>
      </c>
      <c r="E1950" s="2" t="inlineStr">
        <is>
          <t>CC-3000</t>
        </is>
      </c>
      <c r="F1950" s="2" t="inlineStr">
        <is>
          <t>P01</t>
        </is>
      </c>
      <c r="G1950" s="2" t="n">
        <v>620000</v>
      </c>
      <c r="H1950" s="2" t="inlineStr">
        <is>
          <t>Materiales</t>
        </is>
      </c>
      <c r="I1950" s="9" t="n">
        <v>2006.56</v>
      </c>
      <c r="J1950" s="9" t="n">
        <v>1925.18</v>
      </c>
      <c r="K1950" s="9" t="n">
        <v>1995.25</v>
      </c>
      <c r="L1950" s="9" t="n">
        <v>1842.21</v>
      </c>
      <c r="M1950" s="9" t="n">
        <v>1800.38</v>
      </c>
      <c r="N1950" s="9" t="n">
        <v>1753.75</v>
      </c>
      <c r="O1950" s="9" t="n">
        <v>2036.52</v>
      </c>
      <c r="P1950" s="9" t="n">
        <v>1985.2</v>
      </c>
      <c r="Q1950" s="9" t="n">
        <v>1790.68</v>
      </c>
      <c r="R1950" s="9" t="n">
        <v>1975.5</v>
      </c>
      <c r="S1950" s="9" t="n">
        <v>1731.63</v>
      </c>
      <c r="T1950" s="9" t="n">
        <v>2059.35</v>
      </c>
      <c r="U1950" s="10">
        <f>SUM(I1950:T1950)</f>
        <v/>
      </c>
    </row>
    <row r="1951">
      <c r="A1951" s="2" t="inlineStr">
        <is>
          <t>SN-3000-3500-3500-3500VE0009</t>
        </is>
      </c>
      <c r="B1951" s="2" t="inlineStr">
        <is>
          <t>3500VE0009</t>
        </is>
      </c>
      <c r="C1951" s="2" t="inlineStr">
        <is>
          <t>Columna carbón</t>
        </is>
      </c>
      <c r="D1951" s="2" t="n">
        <v>650</v>
      </c>
      <c r="E1951" s="2" t="inlineStr">
        <is>
          <t>CC-3000</t>
        </is>
      </c>
      <c r="F1951" s="2" t="inlineStr">
        <is>
          <t>P01</t>
        </is>
      </c>
      <c r="G1951" s="2" t="n">
        <v>630000</v>
      </c>
      <c r="H1951" s="2" t="inlineStr">
        <is>
          <t>Servicios externos</t>
        </is>
      </c>
      <c r="I1951" s="9" t="n">
        <v>1980.35</v>
      </c>
      <c r="J1951" s="9" t="n">
        <v>2134.34</v>
      </c>
      <c r="K1951" s="9" t="n">
        <v>2116.02</v>
      </c>
      <c r="L1951" s="9" t="n">
        <v>2054.83</v>
      </c>
      <c r="M1951" s="9" t="n">
        <v>2125.7</v>
      </c>
      <c r="N1951" s="9" t="n">
        <v>2014.07</v>
      </c>
      <c r="O1951" s="9" t="n">
        <v>2162.45</v>
      </c>
      <c r="P1951" s="9" t="n">
        <v>1926.44</v>
      </c>
      <c r="Q1951" s="9" t="n">
        <v>1869.88</v>
      </c>
      <c r="R1951" s="9" t="n">
        <v>2166.52</v>
      </c>
      <c r="S1951" s="9" t="n">
        <v>1948.16</v>
      </c>
      <c r="T1951" s="9" t="n">
        <v>2100.33</v>
      </c>
      <c r="U1951" s="10">
        <f>SUM(I1951:T1951)</f>
        <v/>
      </c>
    </row>
    <row r="1952">
      <c r="A1952" s="2" t="inlineStr">
        <is>
          <t>SN-3000-3500-3500-3500XM0031</t>
        </is>
      </c>
      <c r="B1952" s="2" t="inlineStr">
        <is>
          <t>3500XM0031</t>
        </is>
      </c>
      <c r="C1952" s="2" t="inlineStr">
        <is>
          <t>Carro de escoria</t>
        </is>
      </c>
      <c r="D1952" s="2" t="n">
        <v>651</v>
      </c>
      <c r="E1952" s="2" t="inlineStr">
        <is>
          <t>CC-3000</t>
        </is>
      </c>
      <c r="F1952" s="2" t="inlineStr">
        <is>
          <t>P01</t>
        </is>
      </c>
      <c r="G1952" s="2" t="n">
        <v>610000</v>
      </c>
      <c r="H1952" s="2" t="inlineStr">
        <is>
          <t>Mano obra interna</t>
        </is>
      </c>
      <c r="I1952" s="9" t="n">
        <v>702.58</v>
      </c>
      <c r="J1952" s="9" t="n">
        <v>669.4299999999999</v>
      </c>
      <c r="K1952" s="9" t="n">
        <v>743.36</v>
      </c>
      <c r="L1952" s="9" t="n">
        <v>721.48</v>
      </c>
      <c r="M1952" s="9" t="n">
        <v>704.12</v>
      </c>
      <c r="N1952" s="9" t="n">
        <v>633.16</v>
      </c>
      <c r="O1952" s="9" t="n">
        <v>675.33</v>
      </c>
      <c r="P1952" s="9" t="n">
        <v>640.73</v>
      </c>
      <c r="Q1952" s="9" t="n">
        <v>605.91</v>
      </c>
      <c r="R1952" s="9" t="n">
        <v>720.72</v>
      </c>
      <c r="S1952" s="9" t="n">
        <v>625.5</v>
      </c>
      <c r="T1952" s="9" t="n">
        <v>716.3</v>
      </c>
      <c r="U1952" s="10">
        <f>SUM(I1952:T1952)</f>
        <v/>
      </c>
    </row>
    <row r="1953">
      <c r="A1953" s="2" t="inlineStr">
        <is>
          <t>SN-3000-3500-3500-3500XM0031</t>
        </is>
      </c>
      <c r="B1953" s="2" t="inlineStr">
        <is>
          <t>3500XM0031</t>
        </is>
      </c>
      <c r="C1953" s="2" t="inlineStr">
        <is>
          <t>Carro de escoria</t>
        </is>
      </c>
      <c r="D1953" s="2" t="n">
        <v>651</v>
      </c>
      <c r="E1953" s="2" t="inlineStr">
        <is>
          <t>CC-3000</t>
        </is>
      </c>
      <c r="F1953" s="2" t="inlineStr">
        <is>
          <t>P01</t>
        </is>
      </c>
      <c r="G1953" s="2" t="n">
        <v>620000</v>
      </c>
      <c r="H1953" s="2" t="inlineStr">
        <is>
          <t>Materiales</t>
        </is>
      </c>
      <c r="I1953" s="9" t="n">
        <v>777.09</v>
      </c>
      <c r="J1953" s="9" t="n">
        <v>842.01</v>
      </c>
      <c r="K1953" s="9" t="n">
        <v>787.72</v>
      </c>
      <c r="L1953" s="9" t="n">
        <v>853.6799999999999</v>
      </c>
      <c r="M1953" s="9" t="n">
        <v>823.1799999999999</v>
      </c>
      <c r="N1953" s="9" t="n">
        <v>827.53</v>
      </c>
      <c r="O1953" s="9" t="n">
        <v>763.28</v>
      </c>
      <c r="P1953" s="9" t="n">
        <v>788.5599999999999</v>
      </c>
      <c r="Q1953" s="9" t="n">
        <v>707.39</v>
      </c>
      <c r="R1953" s="9" t="n">
        <v>863.9400000000001</v>
      </c>
      <c r="S1953" s="9" t="n">
        <v>839.03</v>
      </c>
      <c r="T1953" s="9" t="n">
        <v>862.4</v>
      </c>
      <c r="U1953" s="10">
        <f>SUM(I1953:T1953)</f>
        <v/>
      </c>
    </row>
    <row r="1954">
      <c r="A1954" s="2" t="inlineStr">
        <is>
          <t>SN-3000-3500-3500-3500XM0031</t>
        </is>
      </c>
      <c r="B1954" s="2" t="inlineStr">
        <is>
          <t>3500XM0031</t>
        </is>
      </c>
      <c r="C1954" s="2" t="inlineStr">
        <is>
          <t>Carro de escoria</t>
        </is>
      </c>
      <c r="D1954" s="2" t="n">
        <v>651</v>
      </c>
      <c r="E1954" s="2" t="inlineStr">
        <is>
          <t>CC-3000</t>
        </is>
      </c>
      <c r="F1954" s="2" t="inlineStr">
        <is>
          <t>P01</t>
        </is>
      </c>
      <c r="G1954" s="2" t="n">
        <v>630000</v>
      </c>
      <c r="H1954" s="2" t="inlineStr">
        <is>
          <t>Servicios externos</t>
        </is>
      </c>
      <c r="I1954" s="9" t="n">
        <v>777.97</v>
      </c>
      <c r="J1954" s="9" t="n">
        <v>792.41</v>
      </c>
      <c r="K1954" s="9" t="n">
        <v>775.74</v>
      </c>
      <c r="L1954" s="9" t="n">
        <v>731.36</v>
      </c>
      <c r="M1954" s="9" t="n">
        <v>790.76</v>
      </c>
      <c r="N1954" s="9" t="n">
        <v>699.22</v>
      </c>
      <c r="O1954" s="9" t="n">
        <v>704.26</v>
      </c>
      <c r="P1954" s="9" t="n">
        <v>712.1900000000001</v>
      </c>
      <c r="Q1954" s="9" t="n">
        <v>717.99</v>
      </c>
      <c r="R1954" s="9" t="n">
        <v>831.54</v>
      </c>
      <c r="S1954" s="9" t="n">
        <v>705.71</v>
      </c>
      <c r="T1954" s="9" t="n">
        <v>797.3</v>
      </c>
      <c r="U1954" s="10">
        <f>SUM(I1954:T1954)</f>
        <v/>
      </c>
    </row>
    <row r="1955">
      <c r="A1955" s="2" t="inlineStr">
        <is>
          <t>SN-3000-3500-3500-3500XM0040</t>
        </is>
      </c>
      <c r="B1955" s="2" t="inlineStr">
        <is>
          <t>3500XM0040</t>
        </is>
      </c>
      <c r="C1955" s="2" t="inlineStr">
        <is>
          <t>Separador</t>
        </is>
      </c>
      <c r="D1955" s="2" t="n">
        <v>652</v>
      </c>
      <c r="E1955" s="2" t="inlineStr">
        <is>
          <t>CC-3000</t>
        </is>
      </c>
      <c r="F1955" s="2" t="inlineStr">
        <is>
          <t>P01</t>
        </is>
      </c>
      <c r="G1955" s="2" t="n">
        <v>610000</v>
      </c>
      <c r="H1955" s="2" t="inlineStr">
        <is>
          <t>Mano obra interna</t>
        </is>
      </c>
      <c r="I1955" s="9" t="n">
        <v>1361.97</v>
      </c>
      <c r="J1955" s="9" t="n">
        <v>1247.85</v>
      </c>
      <c r="K1955" s="9" t="n">
        <v>1347.26</v>
      </c>
      <c r="L1955" s="9" t="n">
        <v>1329.35</v>
      </c>
      <c r="M1955" s="9" t="n">
        <v>1189.18</v>
      </c>
      <c r="N1955" s="9" t="n">
        <v>1158.84</v>
      </c>
      <c r="O1955" s="9" t="n">
        <v>1246.31</v>
      </c>
      <c r="P1955" s="9" t="n">
        <v>1152.99</v>
      </c>
      <c r="Q1955" s="9" t="n">
        <v>1125.92</v>
      </c>
      <c r="R1955" s="9" t="n">
        <v>1342.45</v>
      </c>
      <c r="S1955" s="9" t="n">
        <v>1134.24</v>
      </c>
      <c r="T1955" s="9" t="n">
        <v>1192.75</v>
      </c>
      <c r="U1955" s="10">
        <f>SUM(I1955:T1955)</f>
        <v/>
      </c>
    </row>
    <row r="1956">
      <c r="A1956" s="2" t="inlineStr">
        <is>
          <t>SN-3000-3500-3500-3500XM0040</t>
        </is>
      </c>
      <c r="B1956" s="2" t="inlineStr">
        <is>
          <t>3500XM0040</t>
        </is>
      </c>
      <c r="C1956" s="2" t="inlineStr">
        <is>
          <t>Separador</t>
        </is>
      </c>
      <c r="D1956" s="2" t="n">
        <v>652</v>
      </c>
      <c r="E1956" s="2" t="inlineStr">
        <is>
          <t>CC-3000</t>
        </is>
      </c>
      <c r="F1956" s="2" t="inlineStr">
        <is>
          <t>P01</t>
        </is>
      </c>
      <c r="G1956" s="2" t="n">
        <v>620000</v>
      </c>
      <c r="H1956" s="2" t="inlineStr">
        <is>
          <t>Materiales</t>
        </is>
      </c>
      <c r="I1956" s="9" t="n">
        <v>1156.31</v>
      </c>
      <c r="J1956" s="9" t="n">
        <v>1133.24</v>
      </c>
      <c r="K1956" s="9" t="n">
        <v>1135.25</v>
      </c>
      <c r="L1956" s="9" t="n">
        <v>1111.9</v>
      </c>
      <c r="M1956" s="9" t="n">
        <v>1061.02</v>
      </c>
      <c r="N1956" s="9" t="n">
        <v>993.04</v>
      </c>
      <c r="O1956" s="9" t="n">
        <v>1031.03</v>
      </c>
      <c r="P1956" s="9" t="n">
        <v>1142.49</v>
      </c>
      <c r="Q1956" s="9" t="n">
        <v>1011.13</v>
      </c>
      <c r="R1956" s="9" t="n">
        <v>1232.72</v>
      </c>
      <c r="S1956" s="9" t="n">
        <v>1091.98</v>
      </c>
      <c r="T1956" s="9" t="n">
        <v>1054.26</v>
      </c>
      <c r="U1956" s="10">
        <f>SUM(I1956:T1956)</f>
        <v/>
      </c>
    </row>
    <row r="1957">
      <c r="A1957" s="2" t="inlineStr">
        <is>
          <t>SN-3000-3500-3500-3500XM0040</t>
        </is>
      </c>
      <c r="B1957" s="2" t="inlineStr">
        <is>
          <t>3500XM0040</t>
        </is>
      </c>
      <c r="C1957" s="2" t="inlineStr">
        <is>
          <t>Separador</t>
        </is>
      </c>
      <c r="D1957" s="2" t="n">
        <v>652</v>
      </c>
      <c r="E1957" s="2" t="inlineStr">
        <is>
          <t>CC-3000</t>
        </is>
      </c>
      <c r="F1957" s="2" t="inlineStr">
        <is>
          <t>P01</t>
        </is>
      </c>
      <c r="G1957" s="2" t="n">
        <v>630000</v>
      </c>
      <c r="H1957" s="2" t="inlineStr">
        <is>
          <t>Servicios externos</t>
        </is>
      </c>
      <c r="I1957" s="9" t="n">
        <v>1129.41</v>
      </c>
      <c r="J1957" s="9" t="n">
        <v>1086.05</v>
      </c>
      <c r="K1957" s="9" t="n">
        <v>1159.52</v>
      </c>
      <c r="L1957" s="9" t="n">
        <v>1228.96</v>
      </c>
      <c r="M1957" s="9" t="n">
        <v>1160.11</v>
      </c>
      <c r="N1957" s="9" t="n">
        <v>1136.25</v>
      </c>
      <c r="O1957" s="9" t="n">
        <v>1032.8</v>
      </c>
      <c r="P1957" s="9" t="n">
        <v>1051.32</v>
      </c>
      <c r="Q1957" s="9" t="n">
        <v>970.14</v>
      </c>
      <c r="R1957" s="9" t="n">
        <v>1158.29</v>
      </c>
      <c r="S1957" s="9" t="n">
        <v>1070.65</v>
      </c>
      <c r="T1957" s="9" t="n">
        <v>1158.67</v>
      </c>
      <c r="U1957" s="10">
        <f>SUM(I1957:T1957)</f>
        <v/>
      </c>
    </row>
    <row r="1958">
      <c r="A1958" s="2" t="inlineStr">
        <is>
          <t>SN-3000-3500-3500-3500XM0098</t>
        </is>
      </c>
      <c r="B1958" s="2" t="inlineStr">
        <is>
          <t>3500XM0098</t>
        </is>
      </c>
      <c r="C1958" s="2" t="inlineStr">
        <is>
          <t>Enfriador agua enfriamiento</t>
        </is>
      </c>
      <c r="D1958" s="2" t="n">
        <v>653</v>
      </c>
      <c r="E1958" s="2" t="inlineStr">
        <is>
          <t>CC-3000</t>
        </is>
      </c>
      <c r="F1958" s="2" t="inlineStr">
        <is>
          <t>P01</t>
        </is>
      </c>
      <c r="G1958" s="2" t="n">
        <v>610000</v>
      </c>
      <c r="H1958" s="2" t="inlineStr">
        <is>
          <t>Mano obra interna</t>
        </is>
      </c>
      <c r="I1958" s="9" t="n">
        <v>1089.05</v>
      </c>
      <c r="J1958" s="9" t="n">
        <v>1056.45</v>
      </c>
      <c r="K1958" s="9" t="n">
        <v>978.22</v>
      </c>
      <c r="L1958" s="9" t="n">
        <v>1082.09</v>
      </c>
      <c r="M1958" s="9" t="n">
        <v>988.9</v>
      </c>
      <c r="N1958" s="9" t="n">
        <v>950.98</v>
      </c>
      <c r="O1958" s="9" t="n">
        <v>1048.33</v>
      </c>
      <c r="P1958" s="9" t="n">
        <v>936.23</v>
      </c>
      <c r="Q1958" s="9" t="n">
        <v>989.99</v>
      </c>
      <c r="R1958" s="9" t="n">
        <v>1110.31</v>
      </c>
      <c r="S1958" s="9" t="n">
        <v>1028.41</v>
      </c>
      <c r="T1958" s="9" t="n">
        <v>1097.51</v>
      </c>
      <c r="U1958" s="10">
        <f>SUM(I1958:T1958)</f>
        <v/>
      </c>
    </row>
    <row r="1959">
      <c r="A1959" s="2" t="inlineStr">
        <is>
          <t>SN-3000-3500-3500-3500XM0098</t>
        </is>
      </c>
      <c r="B1959" s="2" t="inlineStr">
        <is>
          <t>3500XM0098</t>
        </is>
      </c>
      <c r="C1959" s="2" t="inlineStr">
        <is>
          <t>Enfriador agua enfriamiento</t>
        </is>
      </c>
      <c r="D1959" s="2" t="n">
        <v>653</v>
      </c>
      <c r="E1959" s="2" t="inlineStr">
        <is>
          <t>CC-3000</t>
        </is>
      </c>
      <c r="F1959" s="2" t="inlineStr">
        <is>
          <t>P01</t>
        </is>
      </c>
      <c r="G1959" s="2" t="n">
        <v>620000</v>
      </c>
      <c r="H1959" s="2" t="inlineStr">
        <is>
          <t>Materiales</t>
        </is>
      </c>
      <c r="I1959" s="9" t="n">
        <v>970.71</v>
      </c>
      <c r="J1959" s="9" t="n">
        <v>948.23</v>
      </c>
      <c r="K1959" s="9" t="n">
        <v>1019.65</v>
      </c>
      <c r="L1959" s="9" t="n">
        <v>973.5599999999999</v>
      </c>
      <c r="M1959" s="9" t="n">
        <v>1057.34</v>
      </c>
      <c r="N1959" s="9" t="n">
        <v>940.79</v>
      </c>
      <c r="O1959" s="9" t="n">
        <v>1095.01</v>
      </c>
      <c r="P1959" s="9" t="n">
        <v>1049.26</v>
      </c>
      <c r="Q1959" s="9" t="n">
        <v>897.3</v>
      </c>
      <c r="R1959" s="9" t="n">
        <v>1092.64</v>
      </c>
      <c r="S1959" s="9" t="n">
        <v>979.38</v>
      </c>
      <c r="T1959" s="9" t="n">
        <v>1030.94</v>
      </c>
      <c r="U1959" s="10">
        <f>SUM(I1959:T1959)</f>
        <v/>
      </c>
    </row>
    <row r="1960">
      <c r="A1960" s="2" t="inlineStr">
        <is>
          <t>SN-3000-3500-3500-3500XM0098</t>
        </is>
      </c>
      <c r="B1960" s="2" t="inlineStr">
        <is>
          <t>3500XM0098</t>
        </is>
      </c>
      <c r="C1960" s="2" t="inlineStr">
        <is>
          <t>Enfriador agua enfriamiento</t>
        </is>
      </c>
      <c r="D1960" s="2" t="n">
        <v>653</v>
      </c>
      <c r="E1960" s="2" t="inlineStr">
        <is>
          <t>CC-3000</t>
        </is>
      </c>
      <c r="F1960" s="2" t="inlineStr">
        <is>
          <t>P01</t>
        </is>
      </c>
      <c r="G1960" s="2" t="n">
        <v>630000</v>
      </c>
      <c r="H1960" s="2" t="inlineStr">
        <is>
          <t>Servicios externos</t>
        </is>
      </c>
      <c r="I1960" s="9" t="n">
        <v>958.9299999999999</v>
      </c>
      <c r="J1960" s="9" t="n">
        <v>1029.96</v>
      </c>
      <c r="K1960" s="9" t="n">
        <v>1045.51</v>
      </c>
      <c r="L1960" s="9" t="n">
        <v>1086.23</v>
      </c>
      <c r="M1960" s="9" t="n">
        <v>1055.73</v>
      </c>
      <c r="N1960" s="9" t="n">
        <v>929.05</v>
      </c>
      <c r="O1960" s="9" t="n">
        <v>942.58</v>
      </c>
      <c r="P1960" s="9" t="n">
        <v>1047.76</v>
      </c>
      <c r="Q1960" s="9" t="n">
        <v>1017.59</v>
      </c>
      <c r="R1960" s="9" t="n">
        <v>1085.82</v>
      </c>
      <c r="S1960" s="9" t="n">
        <v>945.28</v>
      </c>
      <c r="T1960" s="9" t="n">
        <v>973.99</v>
      </c>
      <c r="U1960" s="10">
        <f>SUM(I1960:T1960)</f>
        <v/>
      </c>
    </row>
    <row r="1961">
      <c r="A1961" s="2" t="inlineStr">
        <is>
          <t>SN-3000-3500-3500-3500XM0099</t>
        </is>
      </c>
      <c r="B1961" s="2" t="inlineStr">
        <is>
          <t>3500XM0099</t>
        </is>
      </c>
      <c r="C1961" s="2" t="inlineStr">
        <is>
          <t>Enfriador agua enfriamiento</t>
        </is>
      </c>
      <c r="D1961" s="2" t="n">
        <v>654</v>
      </c>
      <c r="E1961" s="2" t="inlineStr">
        <is>
          <t>CC-3000</t>
        </is>
      </c>
      <c r="F1961" s="2" t="inlineStr">
        <is>
          <t>P01</t>
        </is>
      </c>
      <c r="G1961" s="2" t="n">
        <v>610000</v>
      </c>
      <c r="H1961" s="2" t="inlineStr">
        <is>
          <t>Mano obra interna</t>
        </is>
      </c>
      <c r="I1961" s="9" t="n">
        <v>1729.74</v>
      </c>
      <c r="J1961" s="9" t="n">
        <v>1695.11</v>
      </c>
      <c r="K1961" s="9" t="n">
        <v>1842.22</v>
      </c>
      <c r="L1961" s="9" t="n">
        <v>1716.17</v>
      </c>
      <c r="M1961" s="9" t="n">
        <v>1600.49</v>
      </c>
      <c r="N1961" s="9" t="n">
        <v>1632.07</v>
      </c>
      <c r="O1961" s="9" t="n">
        <v>1842.37</v>
      </c>
      <c r="P1961" s="9" t="n">
        <v>1740.64</v>
      </c>
      <c r="Q1961" s="9" t="n">
        <v>1742.57</v>
      </c>
      <c r="R1961" s="9" t="n">
        <v>1880.13</v>
      </c>
      <c r="S1961" s="9" t="n">
        <v>1626.27</v>
      </c>
      <c r="T1961" s="9" t="n">
        <v>1681.5</v>
      </c>
      <c r="U1961" s="10">
        <f>SUM(I1961:T1961)</f>
        <v/>
      </c>
    </row>
    <row r="1962">
      <c r="A1962" s="2" t="inlineStr">
        <is>
          <t>SN-3000-3500-3500-3500XM0099</t>
        </is>
      </c>
      <c r="B1962" s="2" t="inlineStr">
        <is>
          <t>3500XM0099</t>
        </is>
      </c>
      <c r="C1962" s="2" t="inlineStr">
        <is>
          <t>Enfriador agua enfriamiento</t>
        </is>
      </c>
      <c r="D1962" s="2" t="n">
        <v>654</v>
      </c>
      <c r="E1962" s="2" t="inlineStr">
        <is>
          <t>CC-3000</t>
        </is>
      </c>
      <c r="F1962" s="2" t="inlineStr">
        <is>
          <t>P01</t>
        </is>
      </c>
      <c r="G1962" s="2" t="n">
        <v>620000</v>
      </c>
      <c r="H1962" s="2" t="inlineStr">
        <is>
          <t>Materiales</t>
        </is>
      </c>
      <c r="I1962" s="9" t="n">
        <v>1943.26</v>
      </c>
      <c r="J1962" s="9" t="n">
        <v>1894.92</v>
      </c>
      <c r="K1962" s="9" t="n">
        <v>2032.14</v>
      </c>
      <c r="L1962" s="9" t="n">
        <v>2004.19</v>
      </c>
      <c r="M1962" s="9" t="n">
        <v>1736.14</v>
      </c>
      <c r="N1962" s="9" t="n">
        <v>1897.01</v>
      </c>
      <c r="O1962" s="9" t="n">
        <v>1903.32</v>
      </c>
      <c r="P1962" s="9" t="n">
        <v>1858.38</v>
      </c>
      <c r="Q1962" s="9" t="n">
        <v>1772.32</v>
      </c>
      <c r="R1962" s="9" t="n">
        <v>2077.71</v>
      </c>
      <c r="S1962" s="9" t="n">
        <v>1729.37</v>
      </c>
      <c r="T1962" s="9" t="n">
        <v>1895.28</v>
      </c>
      <c r="U1962" s="10">
        <f>SUM(I1962:T1962)</f>
        <v/>
      </c>
    </row>
    <row r="1963">
      <c r="A1963" s="2" t="inlineStr">
        <is>
          <t>SN-3000-3500-3500-3500XM0099</t>
        </is>
      </c>
      <c r="B1963" s="2" t="inlineStr">
        <is>
          <t>3500XM0099</t>
        </is>
      </c>
      <c r="C1963" s="2" t="inlineStr">
        <is>
          <t>Enfriador agua enfriamiento</t>
        </is>
      </c>
      <c r="D1963" s="2" t="n">
        <v>654</v>
      </c>
      <c r="E1963" s="2" t="inlineStr">
        <is>
          <t>CC-3000</t>
        </is>
      </c>
      <c r="F1963" s="2" t="inlineStr">
        <is>
          <t>P01</t>
        </is>
      </c>
      <c r="G1963" s="2" t="n">
        <v>630000</v>
      </c>
      <c r="H1963" s="2" t="inlineStr">
        <is>
          <t>Servicios externos</t>
        </is>
      </c>
      <c r="I1963" s="9" t="n">
        <v>1742.99</v>
      </c>
      <c r="J1963" s="9" t="n">
        <v>1610.14</v>
      </c>
      <c r="K1963" s="9" t="n">
        <v>1706.4</v>
      </c>
      <c r="L1963" s="9" t="n">
        <v>1691.1</v>
      </c>
      <c r="M1963" s="9" t="n">
        <v>1696.06</v>
      </c>
      <c r="N1963" s="9" t="n">
        <v>1777.98</v>
      </c>
      <c r="O1963" s="9" t="n">
        <v>1667.75</v>
      </c>
      <c r="P1963" s="9" t="n">
        <v>1724.52</v>
      </c>
      <c r="Q1963" s="9" t="n">
        <v>1579.27</v>
      </c>
      <c r="R1963" s="9" t="n">
        <v>1973.2</v>
      </c>
      <c r="S1963" s="9" t="n">
        <v>1571.51</v>
      </c>
      <c r="T1963" s="9" t="n">
        <v>1689.05</v>
      </c>
      <c r="U1963" s="10">
        <f>SUM(I1963:T1963)</f>
        <v/>
      </c>
    </row>
    <row r="1964">
      <c r="A1964" s="2" t="inlineStr">
        <is>
          <t>SN-3000-3500-3500-3500XM0117</t>
        </is>
      </c>
      <c r="B1964" s="2" t="inlineStr">
        <is>
          <t>3500XM0117</t>
        </is>
      </c>
      <c r="C1964" s="2" t="inlineStr">
        <is>
          <t>Carro de escoria</t>
        </is>
      </c>
      <c r="D1964" s="2" t="n">
        <v>655</v>
      </c>
      <c r="E1964" s="2" t="inlineStr">
        <is>
          <t>CC-3000</t>
        </is>
      </c>
      <c r="F1964" s="2" t="inlineStr">
        <is>
          <t>P01</t>
        </is>
      </c>
      <c r="G1964" s="2" t="n">
        <v>610000</v>
      </c>
      <c r="H1964" s="2" t="inlineStr">
        <is>
          <t>Mano obra interna</t>
        </is>
      </c>
      <c r="I1964" s="9" t="n">
        <v>1854.6</v>
      </c>
      <c r="J1964" s="9" t="n">
        <v>1677.19</v>
      </c>
      <c r="K1964" s="9" t="n">
        <v>1636.84</v>
      </c>
      <c r="L1964" s="9" t="n">
        <v>1658.3</v>
      </c>
      <c r="M1964" s="9" t="n">
        <v>1577.92</v>
      </c>
      <c r="N1964" s="9" t="n">
        <v>1513.23</v>
      </c>
      <c r="O1964" s="9" t="n">
        <v>1764.78</v>
      </c>
      <c r="P1964" s="9" t="n">
        <v>1681.51</v>
      </c>
      <c r="Q1964" s="9" t="n">
        <v>1600.42</v>
      </c>
      <c r="R1964" s="9" t="n">
        <v>1766.94</v>
      </c>
      <c r="S1964" s="9" t="n">
        <v>1644.14</v>
      </c>
      <c r="T1964" s="9" t="n">
        <v>1642.62</v>
      </c>
      <c r="U1964" s="10">
        <f>SUM(I1964:T1964)</f>
        <v/>
      </c>
    </row>
    <row r="1965">
      <c r="A1965" s="2" t="inlineStr">
        <is>
          <t>SN-3000-3500-3500-3500XM0117</t>
        </is>
      </c>
      <c r="B1965" s="2" t="inlineStr">
        <is>
          <t>3500XM0117</t>
        </is>
      </c>
      <c r="C1965" s="2" t="inlineStr">
        <is>
          <t>Carro de escoria</t>
        </is>
      </c>
      <c r="D1965" s="2" t="n">
        <v>655</v>
      </c>
      <c r="E1965" s="2" t="inlineStr">
        <is>
          <t>CC-3000</t>
        </is>
      </c>
      <c r="F1965" s="2" t="inlineStr">
        <is>
          <t>P01</t>
        </is>
      </c>
      <c r="G1965" s="2" t="n">
        <v>620000</v>
      </c>
      <c r="H1965" s="2" t="inlineStr">
        <is>
          <t>Materiales</t>
        </is>
      </c>
      <c r="I1965" s="9" t="n">
        <v>1752.34</v>
      </c>
      <c r="J1965" s="9" t="n">
        <v>1558.04</v>
      </c>
      <c r="K1965" s="9" t="n">
        <v>1761.18</v>
      </c>
      <c r="L1965" s="9" t="n">
        <v>1809.2</v>
      </c>
      <c r="M1965" s="9" t="n">
        <v>1557.69</v>
      </c>
      <c r="N1965" s="9" t="n">
        <v>1704</v>
      </c>
      <c r="O1965" s="9" t="n">
        <v>1563.69</v>
      </c>
      <c r="P1965" s="9" t="n">
        <v>1634.01</v>
      </c>
      <c r="Q1965" s="9" t="n">
        <v>1587.49</v>
      </c>
      <c r="R1965" s="9" t="n">
        <v>1824.34</v>
      </c>
      <c r="S1965" s="9" t="n">
        <v>1517.46</v>
      </c>
      <c r="T1965" s="9" t="n">
        <v>1781.95</v>
      </c>
      <c r="U1965" s="10">
        <f>SUM(I1965:T1965)</f>
        <v/>
      </c>
    </row>
    <row r="1966">
      <c r="A1966" s="2" t="inlineStr">
        <is>
          <t>SN-3000-3500-3500-3500XM0117</t>
        </is>
      </c>
      <c r="B1966" s="2" t="inlineStr">
        <is>
          <t>3500XM0117</t>
        </is>
      </c>
      <c r="C1966" s="2" t="inlineStr">
        <is>
          <t>Carro de escoria</t>
        </is>
      </c>
      <c r="D1966" s="2" t="n">
        <v>655</v>
      </c>
      <c r="E1966" s="2" t="inlineStr">
        <is>
          <t>CC-3000</t>
        </is>
      </c>
      <c r="F1966" s="2" t="inlineStr">
        <is>
          <t>P01</t>
        </is>
      </c>
      <c r="G1966" s="2" t="n">
        <v>630000</v>
      </c>
      <c r="H1966" s="2" t="inlineStr">
        <is>
          <t>Servicios externos</t>
        </is>
      </c>
      <c r="I1966" s="9" t="n">
        <v>1948.68</v>
      </c>
      <c r="J1966" s="9" t="n">
        <v>2106.26</v>
      </c>
      <c r="K1966" s="9" t="n">
        <v>2093.99</v>
      </c>
      <c r="L1966" s="9" t="n">
        <v>2199.22</v>
      </c>
      <c r="M1966" s="9" t="n">
        <v>1887.51</v>
      </c>
      <c r="N1966" s="9" t="n">
        <v>2012.97</v>
      </c>
      <c r="O1966" s="9" t="n">
        <v>1870.65</v>
      </c>
      <c r="P1966" s="9" t="n">
        <v>2133.21</v>
      </c>
      <c r="Q1966" s="9" t="n">
        <v>1924.62</v>
      </c>
      <c r="R1966" s="9" t="n">
        <v>2124.2</v>
      </c>
      <c r="S1966" s="9" t="n">
        <v>1850.8</v>
      </c>
      <c r="T1966" s="9" t="n">
        <v>2144.73</v>
      </c>
      <c r="U1966" s="10">
        <f>SUM(I1966:T1966)</f>
        <v/>
      </c>
    </row>
    <row r="1967">
      <c r="A1967" s="2" t="inlineStr">
        <is>
          <t>SN-3000-3500-3500-3500XM0118</t>
        </is>
      </c>
      <c r="B1967" s="2" t="inlineStr">
        <is>
          <t>3500XM0118</t>
        </is>
      </c>
      <c r="C1967" s="2" t="inlineStr">
        <is>
          <t>Carro de escoria</t>
        </is>
      </c>
      <c r="D1967" s="2" t="n">
        <v>656</v>
      </c>
      <c r="E1967" s="2" t="inlineStr">
        <is>
          <t>CC-3000</t>
        </is>
      </c>
      <c r="F1967" s="2" t="inlineStr">
        <is>
          <t>P01</t>
        </is>
      </c>
      <c r="G1967" s="2" t="n">
        <v>610000</v>
      </c>
      <c r="H1967" s="2" t="inlineStr">
        <is>
          <t>Mano obra interna</t>
        </is>
      </c>
      <c r="I1967" s="9" t="n">
        <v>2302.74</v>
      </c>
      <c r="J1967" s="9" t="n">
        <v>2251.89</v>
      </c>
      <c r="K1967" s="9" t="n">
        <v>2504.61</v>
      </c>
      <c r="L1967" s="9" t="n">
        <v>2297.34</v>
      </c>
      <c r="M1967" s="9" t="n">
        <v>2133.45</v>
      </c>
      <c r="N1967" s="9" t="n">
        <v>2351.04</v>
      </c>
      <c r="O1967" s="9" t="n">
        <v>2266.68</v>
      </c>
      <c r="P1967" s="9" t="n">
        <v>2249.59</v>
      </c>
      <c r="Q1967" s="9" t="n">
        <v>2046.18</v>
      </c>
      <c r="R1967" s="9" t="n">
        <v>2646.41</v>
      </c>
      <c r="S1967" s="9" t="n">
        <v>2132.6</v>
      </c>
      <c r="T1967" s="9" t="n">
        <v>2392.7</v>
      </c>
      <c r="U1967" s="10">
        <f>SUM(I1967:T1967)</f>
        <v/>
      </c>
    </row>
    <row r="1968">
      <c r="A1968" s="2" t="inlineStr">
        <is>
          <t>SN-3000-3500-3500-3500XM0118</t>
        </is>
      </c>
      <c r="B1968" s="2" t="inlineStr">
        <is>
          <t>3500XM0118</t>
        </is>
      </c>
      <c r="C1968" s="2" t="inlineStr">
        <is>
          <t>Carro de escoria</t>
        </is>
      </c>
      <c r="D1968" s="2" t="n">
        <v>656</v>
      </c>
      <c r="E1968" s="2" t="inlineStr">
        <is>
          <t>CC-3000</t>
        </is>
      </c>
      <c r="F1968" s="2" t="inlineStr">
        <is>
          <t>P01</t>
        </is>
      </c>
      <c r="G1968" s="2" t="n">
        <v>620000</v>
      </c>
      <c r="H1968" s="2" t="inlineStr">
        <is>
          <t>Materiales</t>
        </is>
      </c>
      <c r="I1968" s="9" t="n">
        <v>2304.95</v>
      </c>
      <c r="J1968" s="9" t="n">
        <v>2528.86</v>
      </c>
      <c r="K1968" s="9" t="n">
        <v>2480.6</v>
      </c>
      <c r="L1968" s="9" t="n">
        <v>2556.2</v>
      </c>
      <c r="M1968" s="9" t="n">
        <v>2364.89</v>
      </c>
      <c r="N1968" s="9" t="n">
        <v>2405.2</v>
      </c>
      <c r="O1968" s="9" t="n">
        <v>2344.57</v>
      </c>
      <c r="P1968" s="9" t="n">
        <v>2251.13</v>
      </c>
      <c r="Q1968" s="9" t="n">
        <v>2433.48</v>
      </c>
      <c r="R1968" s="9" t="n">
        <v>2427.15</v>
      </c>
      <c r="S1968" s="9" t="n">
        <v>2483.96</v>
      </c>
      <c r="T1968" s="9" t="n">
        <v>2344.57</v>
      </c>
      <c r="U1968" s="10">
        <f>SUM(I1968:T1968)</f>
        <v/>
      </c>
    </row>
    <row r="1969">
      <c r="A1969" s="2" t="inlineStr">
        <is>
          <t>SN-3000-3500-3500-3500XM0118</t>
        </is>
      </c>
      <c r="B1969" s="2" t="inlineStr">
        <is>
          <t>3500XM0118</t>
        </is>
      </c>
      <c r="C1969" s="2" t="inlineStr">
        <is>
          <t>Carro de escoria</t>
        </is>
      </c>
      <c r="D1969" s="2" t="n">
        <v>656</v>
      </c>
      <c r="E1969" s="2" t="inlineStr">
        <is>
          <t>CC-3000</t>
        </is>
      </c>
      <c r="F1969" s="2" t="inlineStr">
        <is>
          <t>P01</t>
        </is>
      </c>
      <c r="G1969" s="2" t="n">
        <v>630000</v>
      </c>
      <c r="H1969" s="2" t="inlineStr">
        <is>
          <t>Servicios externos</t>
        </is>
      </c>
      <c r="I1969" s="9" t="n">
        <v>2243.04</v>
      </c>
      <c r="J1969" s="9" t="n">
        <v>1960.97</v>
      </c>
      <c r="K1969" s="9" t="n">
        <v>2281.67</v>
      </c>
      <c r="L1969" s="9" t="n">
        <v>2134.72</v>
      </c>
      <c r="M1969" s="9" t="n">
        <v>2023.53</v>
      </c>
      <c r="N1969" s="9" t="n">
        <v>2049.55</v>
      </c>
      <c r="O1969" s="9" t="n">
        <v>2037.32</v>
      </c>
      <c r="P1969" s="9" t="n">
        <v>2036.85</v>
      </c>
      <c r="Q1969" s="9" t="n">
        <v>2017.67</v>
      </c>
      <c r="R1969" s="9" t="n">
        <v>2184.73</v>
      </c>
      <c r="S1969" s="9" t="n">
        <v>1925.86</v>
      </c>
      <c r="T1969" s="9" t="n">
        <v>2224.83</v>
      </c>
      <c r="U1969" s="10">
        <f>SUM(I1969:T1969)</f>
        <v/>
      </c>
    </row>
    <row r="1970">
      <c r="A1970" s="2" t="inlineStr">
        <is>
          <t>SN-3000-3500-3500-3500XM0126</t>
        </is>
      </c>
      <c r="B1970" s="2" t="inlineStr">
        <is>
          <t>3500XM0126</t>
        </is>
      </c>
      <c r="C1970" s="2" t="inlineStr">
        <is>
          <t>Carro de escoria</t>
        </is>
      </c>
      <c r="D1970" s="2" t="n">
        <v>657</v>
      </c>
      <c r="E1970" s="2" t="inlineStr">
        <is>
          <t>CC-3000</t>
        </is>
      </c>
      <c r="F1970" s="2" t="inlineStr">
        <is>
          <t>P01</t>
        </is>
      </c>
      <c r="G1970" s="2" t="n">
        <v>610000</v>
      </c>
      <c r="H1970" s="2" t="inlineStr">
        <is>
          <t>Mano obra interna</t>
        </is>
      </c>
      <c r="I1970" s="9" t="n">
        <v>2938.78</v>
      </c>
      <c r="J1970" s="9" t="n">
        <v>2848.38</v>
      </c>
      <c r="K1970" s="9" t="n">
        <v>3064.22</v>
      </c>
      <c r="L1970" s="9" t="n">
        <v>2947.74</v>
      </c>
      <c r="M1970" s="9" t="n">
        <v>2812.27</v>
      </c>
      <c r="N1970" s="9" t="n">
        <v>2971.39</v>
      </c>
      <c r="O1970" s="9" t="n">
        <v>2718.76</v>
      </c>
      <c r="P1970" s="9" t="n">
        <v>2920.43</v>
      </c>
      <c r="Q1970" s="9" t="n">
        <v>2846.33</v>
      </c>
      <c r="R1970" s="9" t="n">
        <v>3198.77</v>
      </c>
      <c r="S1970" s="9" t="n">
        <v>2957.83</v>
      </c>
      <c r="T1970" s="9" t="n">
        <v>2846.11</v>
      </c>
      <c r="U1970" s="10">
        <f>SUM(I1970:T1970)</f>
        <v/>
      </c>
    </row>
    <row r="1971">
      <c r="A1971" s="2" t="inlineStr">
        <is>
          <t>SN-3000-3500-3500-3500XM0126</t>
        </is>
      </c>
      <c r="B1971" s="2" t="inlineStr">
        <is>
          <t>3500XM0126</t>
        </is>
      </c>
      <c r="C1971" s="2" t="inlineStr">
        <is>
          <t>Carro de escoria</t>
        </is>
      </c>
      <c r="D1971" s="2" t="n">
        <v>657</v>
      </c>
      <c r="E1971" s="2" t="inlineStr">
        <is>
          <t>CC-3000</t>
        </is>
      </c>
      <c r="F1971" s="2" t="inlineStr">
        <is>
          <t>P01</t>
        </is>
      </c>
      <c r="G1971" s="2" t="n">
        <v>620000</v>
      </c>
      <c r="H1971" s="2" t="inlineStr">
        <is>
          <t>Materiales</t>
        </is>
      </c>
      <c r="I1971" s="9" t="n">
        <v>2610.62</v>
      </c>
      <c r="J1971" s="9" t="n">
        <v>2344.17</v>
      </c>
      <c r="K1971" s="9" t="n">
        <v>2581.64</v>
      </c>
      <c r="L1971" s="9" t="n">
        <v>2335.14</v>
      </c>
      <c r="M1971" s="9" t="n">
        <v>2494.27</v>
      </c>
      <c r="N1971" s="9" t="n">
        <v>2333</v>
      </c>
      <c r="O1971" s="9" t="n">
        <v>2332.64</v>
      </c>
      <c r="P1971" s="9" t="n">
        <v>2417.29</v>
      </c>
      <c r="Q1971" s="9" t="n">
        <v>2324.89</v>
      </c>
      <c r="R1971" s="9" t="n">
        <v>2407.19</v>
      </c>
      <c r="S1971" s="9" t="n">
        <v>2395.46</v>
      </c>
      <c r="T1971" s="9" t="n">
        <v>2473.53</v>
      </c>
      <c r="U1971" s="10">
        <f>SUM(I1971:T1971)</f>
        <v/>
      </c>
    </row>
    <row r="1972">
      <c r="A1972" s="2" t="inlineStr">
        <is>
          <t>SN-3000-3500-3500-3500XM0126</t>
        </is>
      </c>
      <c r="B1972" s="2" t="inlineStr">
        <is>
          <t>3500XM0126</t>
        </is>
      </c>
      <c r="C1972" s="2" t="inlineStr">
        <is>
          <t>Carro de escoria</t>
        </is>
      </c>
      <c r="D1972" s="2" t="n">
        <v>657</v>
      </c>
      <c r="E1972" s="2" t="inlineStr">
        <is>
          <t>CC-3000</t>
        </is>
      </c>
      <c r="F1972" s="2" t="inlineStr">
        <is>
          <t>P01</t>
        </is>
      </c>
      <c r="G1972" s="2" t="n">
        <v>630000</v>
      </c>
      <c r="H1972" s="2" t="inlineStr">
        <is>
          <t>Servicios externos</t>
        </is>
      </c>
      <c r="I1972" s="9" t="n">
        <v>2530.4</v>
      </c>
      <c r="J1972" s="9" t="n">
        <v>2272.44</v>
      </c>
      <c r="K1972" s="9" t="n">
        <v>2369.93</v>
      </c>
      <c r="L1972" s="9" t="n">
        <v>2423.6</v>
      </c>
      <c r="M1972" s="9" t="n">
        <v>2424.1</v>
      </c>
      <c r="N1972" s="9" t="n">
        <v>2433.92</v>
      </c>
      <c r="O1972" s="9" t="n">
        <v>2246.61</v>
      </c>
      <c r="P1972" s="9" t="n">
        <v>2341.08</v>
      </c>
      <c r="Q1972" s="9" t="n">
        <v>2063.98</v>
      </c>
      <c r="R1972" s="9" t="n">
        <v>2675.41</v>
      </c>
      <c r="S1972" s="9" t="n">
        <v>2286.93</v>
      </c>
      <c r="T1972" s="9" t="n">
        <v>2497.71</v>
      </c>
      <c r="U1972" s="10">
        <f>SUM(I1972:T1972)</f>
        <v/>
      </c>
    </row>
    <row r="1973">
      <c r="A1973" s="2" t="inlineStr">
        <is>
          <t>SN-3000-3500-3500-3500XM0127</t>
        </is>
      </c>
      <c r="B1973" s="2" t="inlineStr">
        <is>
          <t>3500XM0127</t>
        </is>
      </c>
      <c r="C1973" s="2" t="inlineStr">
        <is>
          <t>Carro de escoria</t>
        </is>
      </c>
      <c r="D1973" s="2" t="n">
        <v>658</v>
      </c>
      <c r="E1973" s="2" t="inlineStr">
        <is>
          <t>CC-3000</t>
        </is>
      </c>
      <c r="F1973" s="2" t="inlineStr">
        <is>
          <t>P01</t>
        </is>
      </c>
      <c r="G1973" s="2" t="n">
        <v>610000</v>
      </c>
      <c r="H1973" s="2" t="inlineStr">
        <is>
          <t>Mano obra interna</t>
        </is>
      </c>
      <c r="I1973" s="9" t="n">
        <v>1461.33</v>
      </c>
      <c r="J1973" s="9" t="n">
        <v>1343.65</v>
      </c>
      <c r="K1973" s="9" t="n">
        <v>1499.02</v>
      </c>
      <c r="L1973" s="9" t="n">
        <v>1293.21</v>
      </c>
      <c r="M1973" s="9" t="n">
        <v>1345.78</v>
      </c>
      <c r="N1973" s="9" t="n">
        <v>1352.44</v>
      </c>
      <c r="O1973" s="9" t="n">
        <v>1379.11</v>
      </c>
      <c r="P1973" s="9" t="n">
        <v>1252.31</v>
      </c>
      <c r="Q1973" s="9" t="n">
        <v>1358.41</v>
      </c>
      <c r="R1973" s="9" t="n">
        <v>1415.92</v>
      </c>
      <c r="S1973" s="9" t="n">
        <v>1260.73</v>
      </c>
      <c r="T1973" s="9" t="n">
        <v>1373.73</v>
      </c>
      <c r="U1973" s="10">
        <f>SUM(I1973:T1973)</f>
        <v/>
      </c>
    </row>
    <row r="1974">
      <c r="A1974" s="2" t="inlineStr">
        <is>
          <t>SN-3000-3500-3500-3500XM0127</t>
        </is>
      </c>
      <c r="B1974" s="2" t="inlineStr">
        <is>
          <t>3500XM0127</t>
        </is>
      </c>
      <c r="C1974" s="2" t="inlineStr">
        <is>
          <t>Carro de escoria</t>
        </is>
      </c>
      <c r="D1974" s="2" t="n">
        <v>658</v>
      </c>
      <c r="E1974" s="2" t="inlineStr">
        <is>
          <t>CC-3000</t>
        </is>
      </c>
      <c r="F1974" s="2" t="inlineStr">
        <is>
          <t>P01</t>
        </is>
      </c>
      <c r="G1974" s="2" t="n">
        <v>620000</v>
      </c>
      <c r="H1974" s="2" t="inlineStr">
        <is>
          <t>Materiales</t>
        </is>
      </c>
      <c r="I1974" s="9" t="n">
        <v>1503.01</v>
      </c>
      <c r="J1974" s="9" t="n">
        <v>1367.02</v>
      </c>
      <c r="K1974" s="9" t="n">
        <v>1442.84</v>
      </c>
      <c r="L1974" s="9" t="n">
        <v>1451.36</v>
      </c>
      <c r="M1974" s="9" t="n">
        <v>1373.93</v>
      </c>
      <c r="N1974" s="9" t="n">
        <v>1439.67</v>
      </c>
      <c r="O1974" s="9" t="n">
        <v>1492.19</v>
      </c>
      <c r="P1974" s="9" t="n">
        <v>1400.93</v>
      </c>
      <c r="Q1974" s="9" t="n">
        <v>1209.42</v>
      </c>
      <c r="R1974" s="9" t="n">
        <v>1620.6</v>
      </c>
      <c r="S1974" s="9" t="n">
        <v>1284.89</v>
      </c>
      <c r="T1974" s="9" t="n">
        <v>1374.54</v>
      </c>
      <c r="U1974" s="10">
        <f>SUM(I1974:T1974)</f>
        <v/>
      </c>
    </row>
    <row r="1975">
      <c r="A1975" s="2" t="inlineStr">
        <is>
          <t>SN-3000-3500-3500-3500XM0127</t>
        </is>
      </c>
      <c r="B1975" s="2" t="inlineStr">
        <is>
          <t>3500XM0127</t>
        </is>
      </c>
      <c r="C1975" s="2" t="inlineStr">
        <is>
          <t>Carro de escoria</t>
        </is>
      </c>
      <c r="D1975" s="2" t="n">
        <v>658</v>
      </c>
      <c r="E1975" s="2" t="inlineStr">
        <is>
          <t>CC-3000</t>
        </is>
      </c>
      <c r="F1975" s="2" t="inlineStr">
        <is>
          <t>P01</t>
        </is>
      </c>
      <c r="G1975" s="2" t="n">
        <v>630000</v>
      </c>
      <c r="H1975" s="2" t="inlineStr">
        <is>
          <t>Servicios externos</t>
        </is>
      </c>
      <c r="I1975" s="9" t="n">
        <v>1194.76</v>
      </c>
      <c r="J1975" s="9" t="n">
        <v>1273.75</v>
      </c>
      <c r="K1975" s="9" t="n">
        <v>1288.78</v>
      </c>
      <c r="L1975" s="9" t="n">
        <v>1352.76</v>
      </c>
      <c r="M1975" s="9" t="n">
        <v>1168.35</v>
      </c>
      <c r="N1975" s="9" t="n">
        <v>1176.66</v>
      </c>
      <c r="O1975" s="9" t="n">
        <v>1328.39</v>
      </c>
      <c r="P1975" s="9" t="n">
        <v>1297.02</v>
      </c>
      <c r="Q1975" s="9" t="n">
        <v>1190.29</v>
      </c>
      <c r="R1975" s="9" t="n">
        <v>1264.1</v>
      </c>
      <c r="S1975" s="9" t="n">
        <v>1245.64</v>
      </c>
      <c r="T1975" s="9" t="n">
        <v>1221.34</v>
      </c>
      <c r="U1975" s="10">
        <f>SUM(I1975:T1975)</f>
        <v/>
      </c>
    </row>
    <row r="1976">
      <c r="A1976" s="2" t="inlineStr">
        <is>
          <t>SN-3000-3600-3600-3600PR0001</t>
        </is>
      </c>
      <c r="B1976" s="2" t="inlineStr">
        <is>
          <t>3600PR0001</t>
        </is>
      </c>
      <c r="C1976" s="2" t="inlineStr">
        <is>
          <t>Tablero de enchufes filtros relaves</t>
        </is>
      </c>
      <c r="D1976" s="2" t="n">
        <v>659</v>
      </c>
      <c r="E1976" s="2" t="inlineStr">
        <is>
          <t>CC-3000</t>
        </is>
      </c>
      <c r="F1976" s="2" t="inlineStr">
        <is>
          <t>P01</t>
        </is>
      </c>
      <c r="G1976" s="2" t="n">
        <v>610000</v>
      </c>
      <c r="H1976" s="2" t="inlineStr">
        <is>
          <t>Mano obra interna</t>
        </is>
      </c>
      <c r="I1976" s="9" t="n">
        <v>2948.67</v>
      </c>
      <c r="J1976" s="9" t="n">
        <v>2844.81</v>
      </c>
      <c r="K1976" s="9" t="n">
        <v>3034.85</v>
      </c>
      <c r="L1976" s="9" t="n">
        <v>2976.52</v>
      </c>
      <c r="M1976" s="9" t="n">
        <v>2615.48</v>
      </c>
      <c r="N1976" s="9" t="n">
        <v>2695.63</v>
      </c>
      <c r="O1976" s="9" t="n">
        <v>2914.69</v>
      </c>
      <c r="P1976" s="9" t="n">
        <v>2744.16</v>
      </c>
      <c r="Q1976" s="9" t="n">
        <v>2563.6</v>
      </c>
      <c r="R1976" s="9" t="n">
        <v>2877.61</v>
      </c>
      <c r="S1976" s="9" t="n">
        <v>2712.42</v>
      </c>
      <c r="T1976" s="9" t="n">
        <v>3105.43</v>
      </c>
      <c r="U1976" s="10">
        <f>SUM(I1976:T1976)</f>
        <v/>
      </c>
    </row>
    <row r="1977">
      <c r="A1977" s="2" t="inlineStr">
        <is>
          <t>SN-3000-3600-3600-3600PR0001</t>
        </is>
      </c>
      <c r="B1977" s="2" t="inlineStr">
        <is>
          <t>3600PR0001</t>
        </is>
      </c>
      <c r="C1977" s="2" t="inlineStr">
        <is>
          <t>Tablero de enchufes filtros relaves</t>
        </is>
      </c>
      <c r="D1977" s="2" t="n">
        <v>659</v>
      </c>
      <c r="E1977" s="2" t="inlineStr">
        <is>
          <t>CC-3000</t>
        </is>
      </c>
      <c r="F1977" s="2" t="inlineStr">
        <is>
          <t>P01</t>
        </is>
      </c>
      <c r="G1977" s="2" t="n">
        <v>620000</v>
      </c>
      <c r="H1977" s="2" t="inlineStr">
        <is>
          <t>Materiales</t>
        </is>
      </c>
      <c r="I1977" s="9" t="n">
        <v>2650.37</v>
      </c>
      <c r="J1977" s="9" t="n">
        <v>2643.16</v>
      </c>
      <c r="K1977" s="9" t="n">
        <v>2457.55</v>
      </c>
      <c r="L1977" s="9" t="n">
        <v>2809.37</v>
      </c>
      <c r="M1977" s="9" t="n">
        <v>2510.13</v>
      </c>
      <c r="N1977" s="9" t="n">
        <v>2615.63</v>
      </c>
      <c r="O1977" s="9" t="n">
        <v>2393.78</v>
      </c>
      <c r="P1977" s="9" t="n">
        <v>2434.98</v>
      </c>
      <c r="Q1977" s="9" t="n">
        <v>2336.41</v>
      </c>
      <c r="R1977" s="9" t="n">
        <v>2716.97</v>
      </c>
      <c r="S1977" s="9" t="n">
        <v>2639.92</v>
      </c>
      <c r="T1977" s="9" t="n">
        <v>2416.58</v>
      </c>
      <c r="U1977" s="10">
        <f>SUM(I1977:T1977)</f>
        <v/>
      </c>
    </row>
    <row r="1978">
      <c r="A1978" s="2" t="inlineStr">
        <is>
          <t>SN-3000-3600-3600-3600PR0001</t>
        </is>
      </c>
      <c r="B1978" s="2" t="inlineStr">
        <is>
          <t>3600PR0001</t>
        </is>
      </c>
      <c r="C1978" s="2" t="inlineStr">
        <is>
          <t>Tablero de enchufes filtros relaves</t>
        </is>
      </c>
      <c r="D1978" s="2" t="n">
        <v>659</v>
      </c>
      <c r="E1978" s="2" t="inlineStr">
        <is>
          <t>CC-3000</t>
        </is>
      </c>
      <c r="F1978" s="2" t="inlineStr">
        <is>
          <t>P01</t>
        </is>
      </c>
      <c r="G1978" s="2" t="n">
        <v>630000</v>
      </c>
      <c r="H1978" s="2" t="inlineStr">
        <is>
          <t>Servicios externos</t>
        </is>
      </c>
      <c r="I1978" s="9" t="n">
        <v>2712.39</v>
      </c>
      <c r="J1978" s="9" t="n">
        <v>2924.62</v>
      </c>
      <c r="K1978" s="9" t="n">
        <v>3042.75</v>
      </c>
      <c r="L1978" s="9" t="n">
        <v>2885.78</v>
      </c>
      <c r="M1978" s="9" t="n">
        <v>2665.91</v>
      </c>
      <c r="N1978" s="9" t="n">
        <v>2757.62</v>
      </c>
      <c r="O1978" s="9" t="n">
        <v>2669.49</v>
      </c>
      <c r="P1978" s="9" t="n">
        <v>2681.53</v>
      </c>
      <c r="Q1978" s="9" t="n">
        <v>2681.67</v>
      </c>
      <c r="R1978" s="9" t="n">
        <v>3284.34</v>
      </c>
      <c r="S1978" s="9" t="n">
        <v>2904.42</v>
      </c>
      <c r="T1978" s="9" t="n">
        <v>2908.18</v>
      </c>
      <c r="U1978" s="10">
        <f>SUM(I1978:T1978)</f>
        <v/>
      </c>
    </row>
    <row r="1979">
      <c r="A1979" s="2" t="inlineStr">
        <is>
          <t>SN-3000-3600-3600-3600PR0002</t>
        </is>
      </c>
      <c r="B1979" s="2" t="inlineStr">
        <is>
          <t>3600PR0002</t>
        </is>
      </c>
      <c r="C1979" s="2" t="inlineStr">
        <is>
          <t>Tablero de enchufes filtros relaves</t>
        </is>
      </c>
      <c r="D1979" s="2" t="n">
        <v>660</v>
      </c>
      <c r="E1979" s="2" t="inlineStr">
        <is>
          <t>CC-3000</t>
        </is>
      </c>
      <c r="F1979" s="2" t="inlineStr">
        <is>
          <t>P01</t>
        </is>
      </c>
      <c r="G1979" s="2" t="n">
        <v>610000</v>
      </c>
      <c r="H1979" s="2" t="inlineStr">
        <is>
          <t>Mano obra interna</t>
        </is>
      </c>
      <c r="I1979" s="9" t="n">
        <v>1949</v>
      </c>
      <c r="J1979" s="9" t="n">
        <v>1754.63</v>
      </c>
      <c r="K1979" s="9" t="n">
        <v>1800.83</v>
      </c>
      <c r="L1979" s="9" t="n">
        <v>1925.6</v>
      </c>
      <c r="M1979" s="9" t="n">
        <v>1675.49</v>
      </c>
      <c r="N1979" s="9" t="n">
        <v>1581.66</v>
      </c>
      <c r="O1979" s="9" t="n">
        <v>1806.95</v>
      </c>
      <c r="P1979" s="9" t="n">
        <v>1652.63</v>
      </c>
      <c r="Q1979" s="9" t="n">
        <v>1612.57</v>
      </c>
      <c r="R1979" s="9" t="n">
        <v>1883.55</v>
      </c>
      <c r="S1979" s="9" t="n">
        <v>1724.75</v>
      </c>
      <c r="T1979" s="9" t="n">
        <v>1935.61</v>
      </c>
      <c r="U1979" s="10">
        <f>SUM(I1979:T1979)</f>
        <v/>
      </c>
    </row>
    <row r="1980">
      <c r="A1980" s="2" t="inlineStr">
        <is>
          <t>SN-3000-3600-3600-3600PR0002</t>
        </is>
      </c>
      <c r="B1980" s="2" t="inlineStr">
        <is>
          <t>3600PR0002</t>
        </is>
      </c>
      <c r="C1980" s="2" t="inlineStr">
        <is>
          <t>Tablero de enchufes filtros relaves</t>
        </is>
      </c>
      <c r="D1980" s="2" t="n">
        <v>660</v>
      </c>
      <c r="E1980" s="2" t="inlineStr">
        <is>
          <t>CC-3000</t>
        </is>
      </c>
      <c r="F1980" s="2" t="inlineStr">
        <is>
          <t>P01</t>
        </is>
      </c>
      <c r="G1980" s="2" t="n">
        <v>620000</v>
      </c>
      <c r="H1980" s="2" t="inlineStr">
        <is>
          <t>Materiales</t>
        </is>
      </c>
      <c r="I1980" s="9" t="n">
        <v>1566.77</v>
      </c>
      <c r="J1980" s="9" t="n">
        <v>1451.45</v>
      </c>
      <c r="K1980" s="9" t="n">
        <v>1643.27</v>
      </c>
      <c r="L1980" s="9" t="n">
        <v>1658.73</v>
      </c>
      <c r="M1980" s="9" t="n">
        <v>1545.26</v>
      </c>
      <c r="N1980" s="9" t="n">
        <v>1436.23</v>
      </c>
      <c r="O1980" s="9" t="n">
        <v>1596.92</v>
      </c>
      <c r="P1980" s="9" t="n">
        <v>1574.54</v>
      </c>
      <c r="Q1980" s="9" t="n">
        <v>1380.98</v>
      </c>
      <c r="R1980" s="9" t="n">
        <v>1663.23</v>
      </c>
      <c r="S1980" s="9" t="n">
        <v>1500.18</v>
      </c>
      <c r="T1980" s="9" t="n">
        <v>1711.87</v>
      </c>
      <c r="U1980" s="10">
        <f>SUM(I1980:T1980)</f>
        <v/>
      </c>
    </row>
    <row r="1981">
      <c r="A1981" s="2" t="inlineStr">
        <is>
          <t>SN-3000-3600-3600-3600PR0002</t>
        </is>
      </c>
      <c r="B1981" s="2" t="inlineStr">
        <is>
          <t>3600PR0002</t>
        </is>
      </c>
      <c r="C1981" s="2" t="inlineStr">
        <is>
          <t>Tablero de enchufes filtros relaves</t>
        </is>
      </c>
      <c r="D1981" s="2" t="n">
        <v>660</v>
      </c>
      <c r="E1981" s="2" t="inlineStr">
        <is>
          <t>CC-3000</t>
        </is>
      </c>
      <c r="F1981" s="2" t="inlineStr">
        <is>
          <t>P01</t>
        </is>
      </c>
      <c r="G1981" s="2" t="n">
        <v>630000</v>
      </c>
      <c r="H1981" s="2" t="inlineStr">
        <is>
          <t>Servicios externos</t>
        </is>
      </c>
      <c r="I1981" s="9" t="n">
        <v>1987.47</v>
      </c>
      <c r="J1981" s="9" t="n">
        <v>1963.06</v>
      </c>
      <c r="K1981" s="9" t="n">
        <v>2008.84</v>
      </c>
      <c r="L1981" s="9" t="n">
        <v>2041.68</v>
      </c>
      <c r="M1981" s="9" t="n">
        <v>1724.75</v>
      </c>
      <c r="N1981" s="9" t="n">
        <v>1781.47</v>
      </c>
      <c r="O1981" s="9" t="n">
        <v>1951.53</v>
      </c>
      <c r="P1981" s="9" t="n">
        <v>1900.11</v>
      </c>
      <c r="Q1981" s="9" t="n">
        <v>1656.02</v>
      </c>
      <c r="R1981" s="9" t="n">
        <v>1972.04</v>
      </c>
      <c r="S1981" s="9" t="n">
        <v>1763.63</v>
      </c>
      <c r="T1981" s="9" t="n">
        <v>1831.66</v>
      </c>
      <c r="U1981" s="10">
        <f>SUM(I1981:T1981)</f>
        <v/>
      </c>
    </row>
    <row r="1982">
      <c r="A1982" s="2" t="inlineStr">
        <is>
          <t>SN-3000-3600-3600-3600PR0003</t>
        </is>
      </c>
      <c r="B1982" s="2" t="inlineStr">
        <is>
          <t>3600PR0003</t>
        </is>
      </c>
      <c r="C1982" s="2" t="inlineStr">
        <is>
          <t>Tablero de enchufes filtros relaves</t>
        </is>
      </c>
      <c r="D1982" s="2" t="n">
        <v>661</v>
      </c>
      <c r="E1982" s="2" t="inlineStr">
        <is>
          <t>CC-3000</t>
        </is>
      </c>
      <c r="F1982" s="2" t="inlineStr">
        <is>
          <t>P01</t>
        </is>
      </c>
      <c r="G1982" s="2" t="n">
        <v>610000</v>
      </c>
      <c r="H1982" s="2" t="inlineStr">
        <is>
          <t>Mano obra interna</t>
        </is>
      </c>
      <c r="I1982" s="9" t="n">
        <v>848.41</v>
      </c>
      <c r="J1982" s="9" t="n">
        <v>862.92</v>
      </c>
      <c r="K1982" s="9" t="n">
        <v>888.47</v>
      </c>
      <c r="L1982" s="9" t="n">
        <v>892.85</v>
      </c>
      <c r="M1982" s="9" t="n">
        <v>870.9</v>
      </c>
      <c r="N1982" s="9" t="n">
        <v>782.05</v>
      </c>
      <c r="O1982" s="9" t="n">
        <v>809.05</v>
      </c>
      <c r="P1982" s="9" t="n">
        <v>769.85</v>
      </c>
      <c r="Q1982" s="9" t="n">
        <v>824.96</v>
      </c>
      <c r="R1982" s="9" t="n">
        <v>832.02</v>
      </c>
      <c r="S1982" s="9" t="n">
        <v>833.6</v>
      </c>
      <c r="T1982" s="9" t="n">
        <v>825.01</v>
      </c>
      <c r="U1982" s="10">
        <f>SUM(I1982:T1982)</f>
        <v/>
      </c>
    </row>
    <row r="1983">
      <c r="A1983" s="2" t="inlineStr">
        <is>
          <t>SN-3000-3600-3600-3600PR0003</t>
        </is>
      </c>
      <c r="B1983" s="2" t="inlineStr">
        <is>
          <t>3600PR0003</t>
        </is>
      </c>
      <c r="C1983" s="2" t="inlineStr">
        <is>
          <t>Tablero de enchufes filtros relaves</t>
        </is>
      </c>
      <c r="D1983" s="2" t="n">
        <v>661</v>
      </c>
      <c r="E1983" s="2" t="inlineStr">
        <is>
          <t>CC-3000</t>
        </is>
      </c>
      <c r="F1983" s="2" t="inlineStr">
        <is>
          <t>P01</t>
        </is>
      </c>
      <c r="G1983" s="2" t="n">
        <v>620000</v>
      </c>
      <c r="H1983" s="2" t="inlineStr">
        <is>
          <t>Materiales</t>
        </is>
      </c>
      <c r="I1983" s="9" t="n">
        <v>958.84</v>
      </c>
      <c r="J1983" s="9" t="n">
        <v>984.5599999999999</v>
      </c>
      <c r="K1983" s="9" t="n">
        <v>947.47</v>
      </c>
      <c r="L1983" s="9" t="n">
        <v>941.21</v>
      </c>
      <c r="M1983" s="9" t="n">
        <v>956.05</v>
      </c>
      <c r="N1983" s="9" t="n">
        <v>982.1799999999999</v>
      </c>
      <c r="O1983" s="9" t="n">
        <v>954.6</v>
      </c>
      <c r="P1983" s="9" t="n">
        <v>1017.16</v>
      </c>
      <c r="Q1983" s="9" t="n">
        <v>926.29</v>
      </c>
      <c r="R1983" s="9" t="n">
        <v>1074.69</v>
      </c>
      <c r="S1983" s="9" t="n">
        <v>911.67</v>
      </c>
      <c r="T1983" s="9" t="n">
        <v>948.1</v>
      </c>
      <c r="U1983" s="10">
        <f>SUM(I1983:T1983)</f>
        <v/>
      </c>
    </row>
    <row r="1984">
      <c r="A1984" s="2" t="inlineStr">
        <is>
          <t>SN-3000-3600-3600-3600PR0003</t>
        </is>
      </c>
      <c r="B1984" s="2" t="inlineStr">
        <is>
          <t>3600PR0003</t>
        </is>
      </c>
      <c r="C1984" s="2" t="inlineStr">
        <is>
          <t>Tablero de enchufes filtros relaves</t>
        </is>
      </c>
      <c r="D1984" s="2" t="n">
        <v>661</v>
      </c>
      <c r="E1984" s="2" t="inlineStr">
        <is>
          <t>CC-3000</t>
        </is>
      </c>
      <c r="F1984" s="2" t="inlineStr">
        <is>
          <t>P01</t>
        </is>
      </c>
      <c r="G1984" s="2" t="n">
        <v>630000</v>
      </c>
      <c r="H1984" s="2" t="inlineStr">
        <is>
          <t>Servicios externos</t>
        </is>
      </c>
      <c r="I1984" s="9" t="n">
        <v>839.6</v>
      </c>
      <c r="J1984" s="9" t="n">
        <v>809.46</v>
      </c>
      <c r="K1984" s="9" t="n">
        <v>821.0700000000001</v>
      </c>
      <c r="L1984" s="9" t="n">
        <v>756.99</v>
      </c>
      <c r="M1984" s="9" t="n">
        <v>726.8099999999999</v>
      </c>
      <c r="N1984" s="9" t="n">
        <v>789.21</v>
      </c>
      <c r="O1984" s="9" t="n">
        <v>712.85</v>
      </c>
      <c r="P1984" s="9" t="n">
        <v>807.11</v>
      </c>
      <c r="Q1984" s="9" t="n">
        <v>696.22</v>
      </c>
      <c r="R1984" s="9" t="n">
        <v>814.95</v>
      </c>
      <c r="S1984" s="9" t="n">
        <v>780.54</v>
      </c>
      <c r="T1984" s="9" t="n">
        <v>726.1</v>
      </c>
      <c r="U1984" s="10">
        <f>SUM(I1984:T1984)</f>
        <v/>
      </c>
    </row>
    <row r="1985">
      <c r="A1985" s="2" t="inlineStr">
        <is>
          <t>SN-3000-3600-3600-3600PR0004</t>
        </is>
      </c>
      <c r="B1985" s="2" t="inlineStr">
        <is>
          <t>3600PR0004</t>
        </is>
      </c>
      <c r="C1985" s="2" t="inlineStr">
        <is>
          <t>Tablero de enchufes filtros relaves</t>
        </is>
      </c>
      <c r="D1985" s="2" t="n">
        <v>662</v>
      </c>
      <c r="E1985" s="2" t="inlineStr">
        <is>
          <t>CC-3000</t>
        </is>
      </c>
      <c r="F1985" s="2" t="inlineStr">
        <is>
          <t>P01</t>
        </is>
      </c>
      <c r="G1985" s="2" t="n">
        <v>610000</v>
      </c>
      <c r="H1985" s="2" t="inlineStr">
        <is>
          <t>Mano obra interna</t>
        </is>
      </c>
      <c r="I1985" s="9" t="n">
        <v>462.01</v>
      </c>
      <c r="J1985" s="9" t="n">
        <v>428.9</v>
      </c>
      <c r="K1985" s="9" t="n">
        <v>453.17</v>
      </c>
      <c r="L1985" s="9" t="n">
        <v>449.13</v>
      </c>
      <c r="M1985" s="9" t="n">
        <v>388.32</v>
      </c>
      <c r="N1985" s="9" t="n">
        <v>384.35</v>
      </c>
      <c r="O1985" s="9" t="n">
        <v>421.65</v>
      </c>
      <c r="P1985" s="9" t="n">
        <v>412.84</v>
      </c>
      <c r="Q1985" s="9" t="n">
        <v>387.28</v>
      </c>
      <c r="R1985" s="9" t="n">
        <v>475.65</v>
      </c>
      <c r="S1985" s="9" t="n">
        <v>376.85</v>
      </c>
      <c r="T1985" s="9" t="n">
        <v>439.32</v>
      </c>
      <c r="U1985" s="10">
        <f>SUM(I1985:T1985)</f>
        <v/>
      </c>
    </row>
    <row r="1986">
      <c r="A1986" s="2" t="inlineStr">
        <is>
          <t>SN-3000-3600-3600-3600PR0004</t>
        </is>
      </c>
      <c r="B1986" s="2" t="inlineStr">
        <is>
          <t>3600PR0004</t>
        </is>
      </c>
      <c r="C1986" s="2" t="inlineStr">
        <is>
          <t>Tablero de enchufes filtros relaves</t>
        </is>
      </c>
      <c r="D1986" s="2" t="n">
        <v>662</v>
      </c>
      <c r="E1986" s="2" t="inlineStr">
        <is>
          <t>CC-3000</t>
        </is>
      </c>
      <c r="F1986" s="2" t="inlineStr">
        <is>
          <t>P01</t>
        </is>
      </c>
      <c r="G1986" s="2" t="n">
        <v>620000</v>
      </c>
      <c r="H1986" s="2" t="inlineStr">
        <is>
          <t>Materiales</t>
        </is>
      </c>
      <c r="I1986" s="9" t="n">
        <v>348.64</v>
      </c>
      <c r="J1986" s="9" t="n">
        <v>356.32</v>
      </c>
      <c r="K1986" s="9" t="n">
        <v>399.47</v>
      </c>
      <c r="L1986" s="9" t="n">
        <v>353.97</v>
      </c>
      <c r="M1986" s="9" t="n">
        <v>366.57</v>
      </c>
      <c r="N1986" s="9" t="n">
        <v>361.08</v>
      </c>
      <c r="O1986" s="9" t="n">
        <v>351.46</v>
      </c>
      <c r="P1986" s="9" t="n">
        <v>367.64</v>
      </c>
      <c r="Q1986" s="9" t="n">
        <v>364.31</v>
      </c>
      <c r="R1986" s="9" t="n">
        <v>396.76</v>
      </c>
      <c r="S1986" s="9" t="n">
        <v>335.97</v>
      </c>
      <c r="T1986" s="9" t="n">
        <v>380.26</v>
      </c>
      <c r="U1986" s="10">
        <f>SUM(I1986:T1986)</f>
        <v/>
      </c>
    </row>
    <row r="1987">
      <c r="A1987" s="2" t="inlineStr">
        <is>
          <t>SN-3000-3600-3600-3600PR0004</t>
        </is>
      </c>
      <c r="B1987" s="2" t="inlineStr">
        <is>
          <t>3600PR0004</t>
        </is>
      </c>
      <c r="C1987" s="2" t="inlineStr">
        <is>
          <t>Tablero de enchufes filtros relaves</t>
        </is>
      </c>
      <c r="D1987" s="2" t="n">
        <v>662</v>
      </c>
      <c r="E1987" s="2" t="inlineStr">
        <is>
          <t>CC-3000</t>
        </is>
      </c>
      <c r="F1987" s="2" t="inlineStr">
        <is>
          <t>P01</t>
        </is>
      </c>
      <c r="G1987" s="2" t="n">
        <v>630000</v>
      </c>
      <c r="H1987" s="2" t="inlineStr">
        <is>
          <t>Servicios externos</t>
        </is>
      </c>
      <c r="I1987" s="9" t="n">
        <v>425.28</v>
      </c>
      <c r="J1987" s="9" t="n">
        <v>414.81</v>
      </c>
      <c r="K1987" s="9" t="n">
        <v>439.44</v>
      </c>
      <c r="L1987" s="9" t="n">
        <v>433.84</v>
      </c>
      <c r="M1987" s="9" t="n">
        <v>428.89</v>
      </c>
      <c r="N1987" s="9" t="n">
        <v>427.75</v>
      </c>
      <c r="O1987" s="9" t="n">
        <v>441.66</v>
      </c>
      <c r="P1987" s="9" t="n">
        <v>478.53</v>
      </c>
      <c r="Q1987" s="9" t="n">
        <v>427.09</v>
      </c>
      <c r="R1987" s="9" t="n">
        <v>515.3099999999999</v>
      </c>
      <c r="S1987" s="9" t="n">
        <v>438.21</v>
      </c>
      <c r="T1987" s="9" t="n">
        <v>427.39</v>
      </c>
      <c r="U1987" s="10">
        <f>SUM(I1987:T1987)</f>
        <v/>
      </c>
    </row>
    <row r="1988">
      <c r="A1988" s="2" t="inlineStr">
        <is>
          <t>SN-3000-3600-3600-3600US0001</t>
        </is>
      </c>
      <c r="B1988" s="2" t="inlineStr">
        <is>
          <t>3600US0001</t>
        </is>
      </c>
      <c r="C1988" s="2" t="inlineStr">
        <is>
          <t>Subestación unitaria</t>
        </is>
      </c>
      <c r="D1988" s="2" t="n">
        <v>663</v>
      </c>
      <c r="E1988" s="2" t="inlineStr">
        <is>
          <t>CC-3000</t>
        </is>
      </c>
      <c r="F1988" s="2" t="inlineStr">
        <is>
          <t>P01</t>
        </is>
      </c>
      <c r="G1988" s="2" t="n">
        <v>610000</v>
      </c>
      <c r="H1988" s="2" t="inlineStr">
        <is>
          <t>Mano obra interna</t>
        </is>
      </c>
      <c r="I1988" s="9" t="n">
        <v>1435.21</v>
      </c>
      <c r="J1988" s="9" t="n">
        <v>1252.32</v>
      </c>
      <c r="K1988" s="9" t="n">
        <v>1289.1</v>
      </c>
      <c r="L1988" s="9" t="n">
        <v>1329.2</v>
      </c>
      <c r="M1988" s="9" t="n">
        <v>1299.66</v>
      </c>
      <c r="N1988" s="9" t="n">
        <v>1238.65</v>
      </c>
      <c r="O1988" s="9" t="n">
        <v>1259.55</v>
      </c>
      <c r="P1988" s="9" t="n">
        <v>1282.75</v>
      </c>
      <c r="Q1988" s="9" t="n">
        <v>1280.89</v>
      </c>
      <c r="R1988" s="9" t="n">
        <v>1415.55</v>
      </c>
      <c r="S1988" s="9" t="n">
        <v>1321.76</v>
      </c>
      <c r="T1988" s="9" t="n">
        <v>1364.75</v>
      </c>
      <c r="U1988" s="10">
        <f>SUM(I1988:T1988)</f>
        <v/>
      </c>
    </row>
    <row r="1989">
      <c r="A1989" s="2" t="inlineStr">
        <is>
          <t>SN-3000-3600-3600-3600US0001</t>
        </is>
      </c>
      <c r="B1989" s="2" t="inlineStr">
        <is>
          <t>3600US0001</t>
        </is>
      </c>
      <c r="C1989" s="2" t="inlineStr">
        <is>
          <t>Subestación unitaria</t>
        </is>
      </c>
      <c r="D1989" s="2" t="n">
        <v>663</v>
      </c>
      <c r="E1989" s="2" t="inlineStr">
        <is>
          <t>CC-3000</t>
        </is>
      </c>
      <c r="F1989" s="2" t="inlineStr">
        <is>
          <t>P01</t>
        </is>
      </c>
      <c r="G1989" s="2" t="n">
        <v>620000</v>
      </c>
      <c r="H1989" s="2" t="inlineStr">
        <is>
          <t>Materiales</t>
        </is>
      </c>
      <c r="I1989" s="9" t="n">
        <v>1314.06</v>
      </c>
      <c r="J1989" s="9" t="n">
        <v>1325.44</v>
      </c>
      <c r="K1989" s="9" t="n">
        <v>1278.16</v>
      </c>
      <c r="L1989" s="9" t="n">
        <v>1355.79</v>
      </c>
      <c r="M1989" s="9" t="n">
        <v>1342.74</v>
      </c>
      <c r="N1989" s="9" t="n">
        <v>1217.03</v>
      </c>
      <c r="O1989" s="9" t="n">
        <v>1289.53</v>
      </c>
      <c r="P1989" s="9" t="n">
        <v>1280.05</v>
      </c>
      <c r="Q1989" s="9" t="n">
        <v>1162.7</v>
      </c>
      <c r="R1989" s="9" t="n">
        <v>1411.17</v>
      </c>
      <c r="S1989" s="9" t="n">
        <v>1397.86</v>
      </c>
      <c r="T1989" s="9" t="n">
        <v>1329.28</v>
      </c>
      <c r="U1989" s="10">
        <f>SUM(I1989:T1989)</f>
        <v/>
      </c>
    </row>
    <row r="1990">
      <c r="A1990" s="2" t="inlineStr">
        <is>
          <t>SN-3000-3600-3600-3600US0001</t>
        </is>
      </c>
      <c r="B1990" s="2" t="inlineStr">
        <is>
          <t>3600US0001</t>
        </is>
      </c>
      <c r="C1990" s="2" t="inlineStr">
        <is>
          <t>Subestación unitaria</t>
        </is>
      </c>
      <c r="D1990" s="2" t="n">
        <v>663</v>
      </c>
      <c r="E1990" s="2" t="inlineStr">
        <is>
          <t>CC-3000</t>
        </is>
      </c>
      <c r="F1990" s="2" t="inlineStr">
        <is>
          <t>P01</t>
        </is>
      </c>
      <c r="G1990" s="2" t="n">
        <v>630000</v>
      </c>
      <c r="H1990" s="2" t="inlineStr">
        <is>
          <t>Servicios externos</t>
        </is>
      </c>
      <c r="I1990" s="9" t="n">
        <v>1294.27</v>
      </c>
      <c r="J1990" s="9" t="n">
        <v>1247.75</v>
      </c>
      <c r="K1990" s="9" t="n">
        <v>1368.59</v>
      </c>
      <c r="L1990" s="9" t="n">
        <v>1337.17</v>
      </c>
      <c r="M1990" s="9" t="n">
        <v>1282.33</v>
      </c>
      <c r="N1990" s="9" t="n">
        <v>1268.66</v>
      </c>
      <c r="O1990" s="9" t="n">
        <v>1184.75</v>
      </c>
      <c r="P1990" s="9" t="n">
        <v>1259.76</v>
      </c>
      <c r="Q1990" s="9" t="n">
        <v>1223.35</v>
      </c>
      <c r="R1990" s="9" t="n">
        <v>1361.09</v>
      </c>
      <c r="S1990" s="9" t="n">
        <v>1289.52</v>
      </c>
      <c r="T1990" s="9" t="n">
        <v>1175.6</v>
      </c>
      <c r="U1990" s="10">
        <f>SUM(I1990:T1990)</f>
        <v/>
      </c>
    </row>
    <row r="1991">
      <c r="A1991" s="2" t="inlineStr">
        <is>
          <t>SN-3000-3600-3600-3600US0002</t>
        </is>
      </c>
      <c r="B1991" s="2" t="inlineStr">
        <is>
          <t>3600US0002</t>
        </is>
      </c>
      <c r="C1991" s="2" t="inlineStr">
        <is>
          <t>Subestación unitaria</t>
        </is>
      </c>
      <c r="D1991" s="2" t="n">
        <v>664</v>
      </c>
      <c r="E1991" s="2" t="inlineStr">
        <is>
          <t>CC-3000</t>
        </is>
      </c>
      <c r="F1991" s="2" t="inlineStr">
        <is>
          <t>P01</t>
        </is>
      </c>
      <c r="G1991" s="2" t="n">
        <v>610000</v>
      </c>
      <c r="H1991" s="2" t="inlineStr">
        <is>
          <t>Mano obra interna</t>
        </is>
      </c>
      <c r="I1991" s="9" t="n">
        <v>724.36</v>
      </c>
      <c r="J1991" s="9" t="n">
        <v>636.73</v>
      </c>
      <c r="K1991" s="9" t="n">
        <v>706.15</v>
      </c>
      <c r="L1991" s="9" t="n">
        <v>623.13</v>
      </c>
      <c r="M1991" s="9" t="n">
        <v>672.74</v>
      </c>
      <c r="N1991" s="9" t="n">
        <v>674.09</v>
      </c>
      <c r="O1991" s="9" t="n">
        <v>647.14</v>
      </c>
      <c r="P1991" s="9" t="n">
        <v>608.27</v>
      </c>
      <c r="Q1991" s="9" t="n">
        <v>567.3</v>
      </c>
      <c r="R1991" s="9" t="n">
        <v>755.51</v>
      </c>
      <c r="S1991" s="9" t="n">
        <v>660.89</v>
      </c>
      <c r="T1991" s="9" t="n">
        <v>626.91</v>
      </c>
      <c r="U1991" s="10">
        <f>SUM(I1991:T1991)</f>
        <v/>
      </c>
    </row>
    <row r="1992">
      <c r="A1992" s="2" t="inlineStr">
        <is>
          <t>SN-3000-3600-3600-3600US0002</t>
        </is>
      </c>
      <c r="B1992" s="2" t="inlineStr">
        <is>
          <t>3600US0002</t>
        </is>
      </c>
      <c r="C1992" s="2" t="inlineStr">
        <is>
          <t>Subestación unitaria</t>
        </is>
      </c>
      <c r="D1992" s="2" t="n">
        <v>664</v>
      </c>
      <c r="E1992" s="2" t="inlineStr">
        <is>
          <t>CC-3000</t>
        </is>
      </c>
      <c r="F1992" s="2" t="inlineStr">
        <is>
          <t>P01</t>
        </is>
      </c>
      <c r="G1992" s="2" t="n">
        <v>620000</v>
      </c>
      <c r="H1992" s="2" t="inlineStr">
        <is>
          <t>Materiales</t>
        </is>
      </c>
      <c r="I1992" s="9" t="n">
        <v>594.0700000000001</v>
      </c>
      <c r="J1992" s="9" t="n">
        <v>573.5700000000001</v>
      </c>
      <c r="K1992" s="9" t="n">
        <v>537.6799999999999</v>
      </c>
      <c r="L1992" s="9" t="n">
        <v>549.1</v>
      </c>
      <c r="M1992" s="9" t="n">
        <v>573.74</v>
      </c>
      <c r="N1992" s="9" t="n">
        <v>532.66</v>
      </c>
      <c r="O1992" s="9" t="n">
        <v>595.6799999999999</v>
      </c>
      <c r="P1992" s="9" t="n">
        <v>552.78</v>
      </c>
      <c r="Q1992" s="9" t="n">
        <v>531.15</v>
      </c>
      <c r="R1992" s="9" t="n">
        <v>599.33</v>
      </c>
      <c r="S1992" s="9" t="n">
        <v>575.23</v>
      </c>
      <c r="T1992" s="9" t="n">
        <v>553.99</v>
      </c>
      <c r="U1992" s="10">
        <f>SUM(I1992:T1992)</f>
        <v/>
      </c>
    </row>
    <row r="1993">
      <c r="A1993" s="2" t="inlineStr">
        <is>
          <t>SN-3000-3600-3600-3600US0002</t>
        </is>
      </c>
      <c r="B1993" s="2" t="inlineStr">
        <is>
          <t>3600US0002</t>
        </is>
      </c>
      <c r="C1993" s="2" t="inlineStr">
        <is>
          <t>Subestación unitaria</t>
        </is>
      </c>
      <c r="D1993" s="2" t="n">
        <v>664</v>
      </c>
      <c r="E1993" s="2" t="inlineStr">
        <is>
          <t>CC-3000</t>
        </is>
      </c>
      <c r="F1993" s="2" t="inlineStr">
        <is>
          <t>P01</t>
        </is>
      </c>
      <c r="G1993" s="2" t="n">
        <v>630000</v>
      </c>
      <c r="H1993" s="2" t="inlineStr">
        <is>
          <t>Servicios externos</t>
        </is>
      </c>
      <c r="I1993" s="9" t="n">
        <v>593.4</v>
      </c>
      <c r="J1993" s="9" t="n">
        <v>622.05</v>
      </c>
      <c r="K1993" s="9" t="n">
        <v>616.58</v>
      </c>
      <c r="L1993" s="9" t="n">
        <v>596.8</v>
      </c>
      <c r="M1993" s="9" t="n">
        <v>595.87</v>
      </c>
      <c r="N1993" s="9" t="n">
        <v>538.0599999999999</v>
      </c>
      <c r="O1993" s="9" t="n">
        <v>550.8</v>
      </c>
      <c r="P1993" s="9" t="n">
        <v>576.4400000000001</v>
      </c>
      <c r="Q1993" s="9" t="n">
        <v>565.89</v>
      </c>
      <c r="R1993" s="9" t="n">
        <v>666.59</v>
      </c>
      <c r="S1993" s="9" t="n">
        <v>609.02</v>
      </c>
      <c r="T1993" s="9" t="n">
        <v>648.16</v>
      </c>
      <c r="U1993" s="10">
        <f>SUM(I1993:T1993)</f>
        <v/>
      </c>
    </row>
    <row r="1994">
      <c r="A1994" s="2" t="inlineStr">
        <is>
          <t>SN-3000-3600-3610-3610AG0022</t>
        </is>
      </c>
      <c r="B1994" s="2" t="inlineStr">
        <is>
          <t>3610AG0022</t>
        </is>
      </c>
      <c r="C1994" s="2" t="inlineStr">
        <is>
          <t>Agitador estanque detoxificación</t>
        </is>
      </c>
      <c r="D1994" s="2" t="n">
        <v>665</v>
      </c>
      <c r="E1994" s="2" t="inlineStr">
        <is>
          <t>CC-3000</t>
        </is>
      </c>
      <c r="F1994" s="2" t="inlineStr">
        <is>
          <t>P01</t>
        </is>
      </c>
      <c r="G1994" s="2" t="n">
        <v>610000</v>
      </c>
      <c r="H1994" s="2" t="inlineStr">
        <is>
          <t>Mano obra interna</t>
        </is>
      </c>
      <c r="I1994" s="9" t="n">
        <v>1864.28</v>
      </c>
      <c r="J1994" s="9" t="n">
        <v>1614.05</v>
      </c>
      <c r="K1994" s="9" t="n">
        <v>1685.75</v>
      </c>
      <c r="L1994" s="9" t="n">
        <v>1689.41</v>
      </c>
      <c r="M1994" s="9" t="n">
        <v>1726.03</v>
      </c>
      <c r="N1994" s="9" t="n">
        <v>1603.62</v>
      </c>
      <c r="O1994" s="9" t="n">
        <v>1699.36</v>
      </c>
      <c r="P1994" s="9" t="n">
        <v>1798.81</v>
      </c>
      <c r="Q1994" s="9" t="n">
        <v>1599.93</v>
      </c>
      <c r="R1994" s="9" t="n">
        <v>1913.87</v>
      </c>
      <c r="S1994" s="9" t="n">
        <v>1678.52</v>
      </c>
      <c r="T1994" s="9" t="n">
        <v>1690.13</v>
      </c>
      <c r="U1994" s="10">
        <f>SUM(I1994:T1994)</f>
        <v/>
      </c>
    </row>
    <row r="1995">
      <c r="A1995" s="2" t="inlineStr">
        <is>
          <t>SN-3000-3600-3610-3610AG0022</t>
        </is>
      </c>
      <c r="B1995" s="2" t="inlineStr">
        <is>
          <t>3610AG0022</t>
        </is>
      </c>
      <c r="C1995" s="2" t="inlineStr">
        <is>
          <t>Agitador estanque detoxificación</t>
        </is>
      </c>
      <c r="D1995" s="2" t="n">
        <v>665</v>
      </c>
      <c r="E1995" s="2" t="inlineStr">
        <is>
          <t>CC-3000</t>
        </is>
      </c>
      <c r="F1995" s="2" t="inlineStr">
        <is>
          <t>P01</t>
        </is>
      </c>
      <c r="G1995" s="2" t="n">
        <v>620000</v>
      </c>
      <c r="H1995" s="2" t="inlineStr">
        <is>
          <t>Materiales</t>
        </is>
      </c>
      <c r="I1995" s="9" t="n">
        <v>1469.32</v>
      </c>
      <c r="J1995" s="9" t="n">
        <v>1375.25</v>
      </c>
      <c r="K1995" s="9" t="n">
        <v>1579.71</v>
      </c>
      <c r="L1995" s="9" t="n">
        <v>1608.54</v>
      </c>
      <c r="M1995" s="9" t="n">
        <v>1449.06</v>
      </c>
      <c r="N1995" s="9" t="n">
        <v>1410.77</v>
      </c>
      <c r="O1995" s="9" t="n">
        <v>1579.48</v>
      </c>
      <c r="P1995" s="9" t="n">
        <v>1434.97</v>
      </c>
      <c r="Q1995" s="9" t="n">
        <v>1313.63</v>
      </c>
      <c r="R1995" s="9" t="n">
        <v>1620.88</v>
      </c>
      <c r="S1995" s="9" t="n">
        <v>1488.77</v>
      </c>
      <c r="T1995" s="9" t="n">
        <v>1549.37</v>
      </c>
      <c r="U1995" s="10">
        <f>SUM(I1995:T1995)</f>
        <v/>
      </c>
    </row>
    <row r="1996">
      <c r="A1996" s="2" t="inlineStr">
        <is>
          <t>SN-3000-3600-3610-3610AG0022</t>
        </is>
      </c>
      <c r="B1996" s="2" t="inlineStr">
        <is>
          <t>3610AG0022</t>
        </is>
      </c>
      <c r="C1996" s="2" t="inlineStr">
        <is>
          <t>Agitador estanque detoxificación</t>
        </is>
      </c>
      <c r="D1996" s="2" t="n">
        <v>665</v>
      </c>
      <c r="E1996" s="2" t="inlineStr">
        <is>
          <t>CC-3000</t>
        </is>
      </c>
      <c r="F1996" s="2" t="inlineStr">
        <is>
          <t>P01</t>
        </is>
      </c>
      <c r="G1996" s="2" t="n">
        <v>630000</v>
      </c>
      <c r="H1996" s="2" t="inlineStr">
        <is>
          <t>Servicios externos</t>
        </is>
      </c>
      <c r="I1996" s="9" t="n">
        <v>1749.38</v>
      </c>
      <c r="J1996" s="9" t="n">
        <v>1795.67</v>
      </c>
      <c r="K1996" s="9" t="n">
        <v>1823.24</v>
      </c>
      <c r="L1996" s="9" t="n">
        <v>1963.29</v>
      </c>
      <c r="M1996" s="9" t="n">
        <v>1934.25</v>
      </c>
      <c r="N1996" s="9" t="n">
        <v>1701.74</v>
      </c>
      <c r="O1996" s="9" t="n">
        <v>1725.79</v>
      </c>
      <c r="P1996" s="9" t="n">
        <v>1770.38</v>
      </c>
      <c r="Q1996" s="9" t="n">
        <v>1608.19</v>
      </c>
      <c r="R1996" s="9" t="n">
        <v>1932.61</v>
      </c>
      <c r="S1996" s="9" t="n">
        <v>1796.48</v>
      </c>
      <c r="T1996" s="9" t="n">
        <v>2013.72</v>
      </c>
      <c r="U1996" s="10">
        <f>SUM(I1996:T1996)</f>
        <v/>
      </c>
    </row>
    <row r="1997">
      <c r="A1997" s="2" t="inlineStr">
        <is>
          <t>SN-3000-3600-3610-3610BX0032</t>
        </is>
      </c>
      <c r="B1997" s="2" t="inlineStr">
        <is>
          <t>3610BX0032</t>
        </is>
      </c>
      <c r="C1997" s="2" t="inlineStr">
        <is>
          <t>Cajón harnero detox</t>
        </is>
      </c>
      <c r="D1997" s="2" t="n">
        <v>666</v>
      </c>
      <c r="E1997" s="2" t="inlineStr">
        <is>
          <t>CC-3000</t>
        </is>
      </c>
      <c r="F1997" s="2" t="inlineStr">
        <is>
          <t>P01</t>
        </is>
      </c>
      <c r="G1997" s="2" t="n">
        <v>610000</v>
      </c>
      <c r="H1997" s="2" t="inlineStr">
        <is>
          <t>Mano obra interna</t>
        </is>
      </c>
      <c r="I1997" s="9" t="n">
        <v>2295.81</v>
      </c>
      <c r="J1997" s="9" t="n">
        <v>2195.12</v>
      </c>
      <c r="K1997" s="9" t="n">
        <v>2301.82</v>
      </c>
      <c r="L1997" s="9" t="n">
        <v>2287.94</v>
      </c>
      <c r="M1997" s="9" t="n">
        <v>2427.81</v>
      </c>
      <c r="N1997" s="9" t="n">
        <v>2092.86</v>
      </c>
      <c r="O1997" s="9" t="n">
        <v>2542.91</v>
      </c>
      <c r="P1997" s="9" t="n">
        <v>2361.17</v>
      </c>
      <c r="Q1997" s="9" t="n">
        <v>2207.17</v>
      </c>
      <c r="R1997" s="9" t="n">
        <v>2481.17</v>
      </c>
      <c r="S1997" s="9" t="n">
        <v>2348.58</v>
      </c>
      <c r="T1997" s="9" t="n">
        <v>2378.44</v>
      </c>
      <c r="U1997" s="10">
        <f>SUM(I1997:T1997)</f>
        <v/>
      </c>
    </row>
    <row r="1998">
      <c r="A1998" s="2" t="inlineStr">
        <is>
          <t>SN-3000-3600-3610-3610BX0032</t>
        </is>
      </c>
      <c r="B1998" s="2" t="inlineStr">
        <is>
          <t>3610BX0032</t>
        </is>
      </c>
      <c r="C1998" s="2" t="inlineStr">
        <is>
          <t>Cajón harnero detox</t>
        </is>
      </c>
      <c r="D1998" s="2" t="n">
        <v>666</v>
      </c>
      <c r="E1998" s="2" t="inlineStr">
        <is>
          <t>CC-3000</t>
        </is>
      </c>
      <c r="F1998" s="2" t="inlineStr">
        <is>
          <t>P01</t>
        </is>
      </c>
      <c r="G1998" s="2" t="n">
        <v>620000</v>
      </c>
      <c r="H1998" s="2" t="inlineStr">
        <is>
          <t>Materiales</t>
        </is>
      </c>
      <c r="I1998" s="9" t="n">
        <v>2191.63</v>
      </c>
      <c r="J1998" s="9" t="n">
        <v>2346.54</v>
      </c>
      <c r="K1998" s="9" t="n">
        <v>2224.33</v>
      </c>
      <c r="L1998" s="9" t="n">
        <v>2256.67</v>
      </c>
      <c r="M1998" s="9" t="n">
        <v>2154.76</v>
      </c>
      <c r="N1998" s="9" t="n">
        <v>1991.49</v>
      </c>
      <c r="O1998" s="9" t="n">
        <v>2119.57</v>
      </c>
      <c r="P1998" s="9" t="n">
        <v>2118.3</v>
      </c>
      <c r="Q1998" s="9" t="n">
        <v>2140.85</v>
      </c>
      <c r="R1998" s="9" t="n">
        <v>2369.69</v>
      </c>
      <c r="S1998" s="9" t="n">
        <v>2256.88</v>
      </c>
      <c r="T1998" s="9" t="n">
        <v>2339.51</v>
      </c>
      <c r="U1998" s="10">
        <f>SUM(I1998:T1998)</f>
        <v/>
      </c>
    </row>
    <row r="1999">
      <c r="A1999" s="2" t="inlineStr">
        <is>
          <t>SN-3000-3600-3610-3610BX0032</t>
        </is>
      </c>
      <c r="B1999" s="2" t="inlineStr">
        <is>
          <t>3610BX0032</t>
        </is>
      </c>
      <c r="C1999" s="2" t="inlineStr">
        <is>
          <t>Cajón harnero detox</t>
        </is>
      </c>
      <c r="D1999" s="2" t="n">
        <v>666</v>
      </c>
      <c r="E1999" s="2" t="inlineStr">
        <is>
          <t>CC-3000</t>
        </is>
      </c>
      <c r="F1999" s="2" t="inlineStr">
        <is>
          <t>P01</t>
        </is>
      </c>
      <c r="G1999" s="2" t="n">
        <v>630000</v>
      </c>
      <c r="H1999" s="2" t="inlineStr">
        <is>
          <t>Servicios externos</t>
        </is>
      </c>
      <c r="I1999" s="9" t="n">
        <v>2166.55</v>
      </c>
      <c r="J1999" s="9" t="n">
        <v>2149.77</v>
      </c>
      <c r="K1999" s="9" t="n">
        <v>2213.79</v>
      </c>
      <c r="L1999" s="9" t="n">
        <v>2181.85</v>
      </c>
      <c r="M1999" s="9" t="n">
        <v>2159.15</v>
      </c>
      <c r="N1999" s="9" t="n">
        <v>1866.39</v>
      </c>
      <c r="O1999" s="9" t="n">
        <v>2179.95</v>
      </c>
      <c r="P1999" s="9" t="n">
        <v>2023.22</v>
      </c>
      <c r="Q1999" s="9" t="n">
        <v>1978.41</v>
      </c>
      <c r="R1999" s="9" t="n">
        <v>2172.52</v>
      </c>
      <c r="S1999" s="9" t="n">
        <v>2144.33</v>
      </c>
      <c r="T1999" s="9" t="n">
        <v>2125.73</v>
      </c>
      <c r="U1999" s="10">
        <f>SUM(I1999:T1999)</f>
        <v/>
      </c>
    </row>
    <row r="2000">
      <c r="A2000" s="2" t="inlineStr">
        <is>
          <t>SN-3000-3600-3610-3610CT0001</t>
        </is>
      </c>
      <c r="B2000" s="2" t="inlineStr">
        <is>
          <t>3610CT0001</t>
        </is>
      </c>
      <c r="C2000" s="2" t="inlineStr">
        <is>
          <t>Sistema CCTV Merril Crowe</t>
        </is>
      </c>
      <c r="D2000" s="2" t="n">
        <v>667</v>
      </c>
      <c r="E2000" s="2" t="inlineStr">
        <is>
          <t>CC-3000</t>
        </is>
      </c>
      <c r="F2000" s="2" t="inlineStr">
        <is>
          <t>P01</t>
        </is>
      </c>
      <c r="G2000" s="2" t="n">
        <v>610000</v>
      </c>
      <c r="H2000" s="2" t="inlineStr">
        <is>
          <t>Mano obra interna</t>
        </is>
      </c>
      <c r="I2000" s="9" t="n">
        <v>312.13</v>
      </c>
      <c r="J2000" s="9" t="n">
        <v>305.78</v>
      </c>
      <c r="K2000" s="9" t="n">
        <v>312.44</v>
      </c>
      <c r="L2000" s="9" t="n">
        <v>281.68</v>
      </c>
      <c r="M2000" s="9" t="n">
        <v>305.39</v>
      </c>
      <c r="N2000" s="9" t="n">
        <v>284.48</v>
      </c>
      <c r="O2000" s="9" t="n">
        <v>297.26</v>
      </c>
      <c r="P2000" s="9" t="n">
        <v>311.47</v>
      </c>
      <c r="Q2000" s="9" t="n">
        <v>260.9</v>
      </c>
      <c r="R2000" s="9" t="n">
        <v>301.79</v>
      </c>
      <c r="S2000" s="9" t="n">
        <v>283.28</v>
      </c>
      <c r="T2000" s="9" t="n">
        <v>308.24</v>
      </c>
      <c r="U2000" s="10">
        <f>SUM(I2000:T2000)</f>
        <v/>
      </c>
    </row>
    <row r="2001">
      <c r="A2001" s="2" t="inlineStr">
        <is>
          <t>SN-3000-3600-3610-3610CT0001</t>
        </is>
      </c>
      <c r="B2001" s="2" t="inlineStr">
        <is>
          <t>3610CT0001</t>
        </is>
      </c>
      <c r="C2001" s="2" t="inlineStr">
        <is>
          <t>Sistema CCTV Merril Crowe</t>
        </is>
      </c>
      <c r="D2001" s="2" t="n">
        <v>667</v>
      </c>
      <c r="E2001" s="2" t="inlineStr">
        <is>
          <t>CC-3000</t>
        </is>
      </c>
      <c r="F2001" s="2" t="inlineStr">
        <is>
          <t>P01</t>
        </is>
      </c>
      <c r="G2001" s="2" t="n">
        <v>620000</v>
      </c>
      <c r="H2001" s="2" t="inlineStr">
        <is>
          <t>Materiales</t>
        </is>
      </c>
      <c r="I2001" s="9" t="n">
        <v>283.56</v>
      </c>
      <c r="J2001" s="9" t="n">
        <v>265.79</v>
      </c>
      <c r="K2001" s="9" t="n">
        <v>285.5</v>
      </c>
      <c r="L2001" s="9" t="n">
        <v>292.27</v>
      </c>
      <c r="M2001" s="9" t="n">
        <v>255.37</v>
      </c>
      <c r="N2001" s="9" t="n">
        <v>268.12</v>
      </c>
      <c r="O2001" s="9" t="n">
        <v>284.58</v>
      </c>
      <c r="P2001" s="9" t="n">
        <v>269.44</v>
      </c>
      <c r="Q2001" s="9" t="n">
        <v>245.99</v>
      </c>
      <c r="R2001" s="9" t="n">
        <v>270.44</v>
      </c>
      <c r="S2001" s="9" t="n">
        <v>275.77</v>
      </c>
      <c r="T2001" s="9" t="n">
        <v>268.38</v>
      </c>
      <c r="U2001" s="10">
        <f>SUM(I2001:T2001)</f>
        <v/>
      </c>
    </row>
    <row r="2002">
      <c r="A2002" s="2" t="inlineStr">
        <is>
          <t>SN-3000-3600-3610-3610CT0001</t>
        </is>
      </c>
      <c r="B2002" s="2" t="inlineStr">
        <is>
          <t>3610CT0001</t>
        </is>
      </c>
      <c r="C2002" s="2" t="inlineStr">
        <is>
          <t>Sistema CCTV Merril Crowe</t>
        </is>
      </c>
      <c r="D2002" s="2" t="n">
        <v>667</v>
      </c>
      <c r="E2002" s="2" t="inlineStr">
        <is>
          <t>CC-3000</t>
        </is>
      </c>
      <c r="F2002" s="2" t="inlineStr">
        <is>
          <t>P01</t>
        </is>
      </c>
      <c r="G2002" s="2" t="n">
        <v>630000</v>
      </c>
      <c r="H2002" s="2" t="inlineStr">
        <is>
          <t>Servicios externos</t>
        </is>
      </c>
      <c r="I2002" s="9" t="n">
        <v>260.5</v>
      </c>
      <c r="J2002" s="9" t="n">
        <v>258.04</v>
      </c>
      <c r="K2002" s="9" t="n">
        <v>279.11</v>
      </c>
      <c r="L2002" s="9" t="n">
        <v>279.49</v>
      </c>
      <c r="M2002" s="9" t="n">
        <v>254.89</v>
      </c>
      <c r="N2002" s="9" t="n">
        <v>257.09</v>
      </c>
      <c r="O2002" s="9" t="n">
        <v>271.44</v>
      </c>
      <c r="P2002" s="9" t="n">
        <v>253.36</v>
      </c>
      <c r="Q2002" s="9" t="n">
        <v>228.2</v>
      </c>
      <c r="R2002" s="9" t="n">
        <v>300.46</v>
      </c>
      <c r="S2002" s="9" t="n">
        <v>260.88</v>
      </c>
      <c r="T2002" s="9" t="n">
        <v>272.25</v>
      </c>
      <c r="U2002" s="10">
        <f>SUM(I2002:T2002)</f>
        <v/>
      </c>
    </row>
    <row r="2003">
      <c r="A2003" s="2" t="inlineStr">
        <is>
          <t>SN-3000-3600-3610-3610IO0001</t>
        </is>
      </c>
      <c r="B2003" s="2" t="inlineStr">
        <is>
          <t>3610IO0001</t>
        </is>
      </c>
      <c r="C2003" s="2" t="inlineStr">
        <is>
          <t xml:space="preserve">Gabinete RIO  </t>
        </is>
      </c>
      <c r="D2003" s="2" t="n">
        <v>668</v>
      </c>
      <c r="E2003" s="2" t="inlineStr">
        <is>
          <t>CC-3000</t>
        </is>
      </c>
      <c r="F2003" s="2" t="inlineStr">
        <is>
          <t>P01</t>
        </is>
      </c>
      <c r="G2003" s="2" t="n">
        <v>610000</v>
      </c>
      <c r="H2003" s="2" t="inlineStr">
        <is>
          <t>Mano obra interna</t>
        </is>
      </c>
      <c r="I2003" s="9" t="n">
        <v>1374.64</v>
      </c>
      <c r="J2003" s="9" t="n">
        <v>1275.34</v>
      </c>
      <c r="K2003" s="9" t="n">
        <v>1395.53</v>
      </c>
      <c r="L2003" s="9" t="n">
        <v>1409.09</v>
      </c>
      <c r="M2003" s="9" t="n">
        <v>1360.89</v>
      </c>
      <c r="N2003" s="9" t="n">
        <v>1294.91</v>
      </c>
      <c r="O2003" s="9" t="n">
        <v>1181.67</v>
      </c>
      <c r="P2003" s="9" t="n">
        <v>1359.47</v>
      </c>
      <c r="Q2003" s="9" t="n">
        <v>1111.73</v>
      </c>
      <c r="R2003" s="9" t="n">
        <v>1459.55</v>
      </c>
      <c r="S2003" s="9" t="n">
        <v>1196.85</v>
      </c>
      <c r="T2003" s="9" t="n">
        <v>1323.33</v>
      </c>
      <c r="U2003" s="10">
        <f>SUM(I2003:T2003)</f>
        <v/>
      </c>
    </row>
    <row r="2004">
      <c r="A2004" s="2" t="inlineStr">
        <is>
          <t>SN-3000-3600-3610-3610IO0001</t>
        </is>
      </c>
      <c r="B2004" s="2" t="inlineStr">
        <is>
          <t>3610IO0001</t>
        </is>
      </c>
      <c r="C2004" s="2" t="inlineStr">
        <is>
          <t xml:space="preserve">Gabinete RIO  </t>
        </is>
      </c>
      <c r="D2004" s="2" t="n">
        <v>668</v>
      </c>
      <c r="E2004" s="2" t="inlineStr">
        <is>
          <t>CC-3000</t>
        </is>
      </c>
      <c r="F2004" s="2" t="inlineStr">
        <is>
          <t>P01</t>
        </is>
      </c>
      <c r="G2004" s="2" t="n">
        <v>620000</v>
      </c>
      <c r="H2004" s="2" t="inlineStr">
        <is>
          <t>Materiales</t>
        </is>
      </c>
      <c r="I2004" s="9" t="n">
        <v>1349.88</v>
      </c>
      <c r="J2004" s="9" t="n">
        <v>1170.6</v>
      </c>
      <c r="K2004" s="9" t="n">
        <v>1288.75</v>
      </c>
      <c r="L2004" s="9" t="n">
        <v>1361.06</v>
      </c>
      <c r="M2004" s="9" t="n">
        <v>1293.42</v>
      </c>
      <c r="N2004" s="9" t="n">
        <v>1115.89</v>
      </c>
      <c r="O2004" s="9" t="n">
        <v>1248.23</v>
      </c>
      <c r="P2004" s="9" t="n">
        <v>1173.57</v>
      </c>
      <c r="Q2004" s="9" t="n">
        <v>1212.48</v>
      </c>
      <c r="R2004" s="9" t="n">
        <v>1469.27</v>
      </c>
      <c r="S2004" s="9" t="n">
        <v>1257.33</v>
      </c>
      <c r="T2004" s="9" t="n">
        <v>1229.43</v>
      </c>
      <c r="U2004" s="10">
        <f>SUM(I2004:T2004)</f>
        <v/>
      </c>
    </row>
    <row r="2005">
      <c r="A2005" s="2" t="inlineStr">
        <is>
          <t>SN-3000-3600-3610-3610IO0001</t>
        </is>
      </c>
      <c r="B2005" s="2" t="inlineStr">
        <is>
          <t>3610IO0001</t>
        </is>
      </c>
      <c r="C2005" s="2" t="inlineStr">
        <is>
          <t xml:space="preserve">Gabinete RIO  </t>
        </is>
      </c>
      <c r="D2005" s="2" t="n">
        <v>668</v>
      </c>
      <c r="E2005" s="2" t="inlineStr">
        <is>
          <t>CC-3000</t>
        </is>
      </c>
      <c r="F2005" s="2" t="inlineStr">
        <is>
          <t>P01</t>
        </is>
      </c>
      <c r="G2005" s="2" t="n">
        <v>630000</v>
      </c>
      <c r="H2005" s="2" t="inlineStr">
        <is>
          <t>Servicios externos</t>
        </is>
      </c>
      <c r="I2005" s="9" t="n">
        <v>1534.14</v>
      </c>
      <c r="J2005" s="9" t="n">
        <v>1314.47</v>
      </c>
      <c r="K2005" s="9" t="n">
        <v>1454.69</v>
      </c>
      <c r="L2005" s="9" t="n">
        <v>1404.38</v>
      </c>
      <c r="M2005" s="9" t="n">
        <v>1441.21</v>
      </c>
      <c r="N2005" s="9" t="n">
        <v>1413.46</v>
      </c>
      <c r="O2005" s="9" t="n">
        <v>1361.38</v>
      </c>
      <c r="P2005" s="9" t="n">
        <v>1431.09</v>
      </c>
      <c r="Q2005" s="9" t="n">
        <v>1310.01</v>
      </c>
      <c r="R2005" s="9" t="n">
        <v>1452.45</v>
      </c>
      <c r="S2005" s="9" t="n">
        <v>1302.41</v>
      </c>
      <c r="T2005" s="9" t="n">
        <v>1425.82</v>
      </c>
      <c r="U2005" s="10">
        <f>SUM(I2005:T2005)</f>
        <v/>
      </c>
    </row>
    <row r="2006">
      <c r="A2006" s="2" t="inlineStr">
        <is>
          <t>SN-3000-3600-3610-3610PU0235</t>
        </is>
      </c>
      <c r="B2006" s="2" t="inlineStr">
        <is>
          <t>3610PU0235</t>
        </is>
      </c>
      <c r="C2006" s="2" t="inlineStr">
        <is>
          <t>Bomba sumidero detox</t>
        </is>
      </c>
      <c r="D2006" s="2" t="n">
        <v>669</v>
      </c>
      <c r="E2006" s="2" t="inlineStr">
        <is>
          <t>CC-3000</t>
        </is>
      </c>
      <c r="F2006" s="2" t="inlineStr">
        <is>
          <t>P01</t>
        </is>
      </c>
      <c r="G2006" s="2" t="n">
        <v>610000</v>
      </c>
      <c r="H2006" s="2" t="inlineStr">
        <is>
          <t>Mano obra interna</t>
        </is>
      </c>
      <c r="I2006" s="9" t="n">
        <v>1737.78</v>
      </c>
      <c r="J2006" s="9" t="n">
        <v>1486.96</v>
      </c>
      <c r="K2006" s="9" t="n">
        <v>1564.44</v>
      </c>
      <c r="L2006" s="9" t="n">
        <v>1615.56</v>
      </c>
      <c r="M2006" s="9" t="n">
        <v>1506.81</v>
      </c>
      <c r="N2006" s="9" t="n">
        <v>1544.38</v>
      </c>
      <c r="O2006" s="9" t="n">
        <v>1596.34</v>
      </c>
      <c r="P2006" s="9" t="n">
        <v>1677.94</v>
      </c>
      <c r="Q2006" s="9" t="n">
        <v>1618.97</v>
      </c>
      <c r="R2006" s="9" t="n">
        <v>1819.77</v>
      </c>
      <c r="S2006" s="9" t="n">
        <v>1489.34</v>
      </c>
      <c r="T2006" s="9" t="n">
        <v>1760.4</v>
      </c>
      <c r="U2006" s="10">
        <f>SUM(I2006:T2006)</f>
        <v/>
      </c>
    </row>
    <row r="2007">
      <c r="A2007" s="2" t="inlineStr">
        <is>
          <t>SN-3000-3600-3610-3610PU0235</t>
        </is>
      </c>
      <c r="B2007" s="2" t="inlineStr">
        <is>
          <t>3610PU0235</t>
        </is>
      </c>
      <c r="C2007" s="2" t="inlineStr">
        <is>
          <t>Bomba sumidero detox</t>
        </is>
      </c>
      <c r="D2007" s="2" t="n">
        <v>669</v>
      </c>
      <c r="E2007" s="2" t="inlineStr">
        <is>
          <t>CC-3000</t>
        </is>
      </c>
      <c r="F2007" s="2" t="inlineStr">
        <is>
          <t>P01</t>
        </is>
      </c>
      <c r="G2007" s="2" t="n">
        <v>620000</v>
      </c>
      <c r="H2007" s="2" t="inlineStr">
        <is>
          <t>Materiales</t>
        </is>
      </c>
      <c r="I2007" s="9" t="n">
        <v>1714.44</v>
      </c>
      <c r="J2007" s="9" t="n">
        <v>1640.02</v>
      </c>
      <c r="K2007" s="9" t="n">
        <v>1678.67</v>
      </c>
      <c r="L2007" s="9" t="n">
        <v>1832.51</v>
      </c>
      <c r="M2007" s="9" t="n">
        <v>1624.15</v>
      </c>
      <c r="N2007" s="9" t="n">
        <v>1632.58</v>
      </c>
      <c r="O2007" s="9" t="n">
        <v>1616.98</v>
      </c>
      <c r="P2007" s="9" t="n">
        <v>1765.31</v>
      </c>
      <c r="Q2007" s="9" t="n">
        <v>1638.7</v>
      </c>
      <c r="R2007" s="9" t="n">
        <v>1759.38</v>
      </c>
      <c r="S2007" s="9" t="n">
        <v>1679.96</v>
      </c>
      <c r="T2007" s="9" t="n">
        <v>1767.26</v>
      </c>
      <c r="U2007" s="10">
        <f>SUM(I2007:T2007)</f>
        <v/>
      </c>
    </row>
    <row r="2008">
      <c r="A2008" s="2" t="inlineStr">
        <is>
          <t>SN-3000-3600-3610-3610PU0235</t>
        </is>
      </c>
      <c r="B2008" s="2" t="inlineStr">
        <is>
          <t>3610PU0235</t>
        </is>
      </c>
      <c r="C2008" s="2" t="inlineStr">
        <is>
          <t>Bomba sumidero detox</t>
        </is>
      </c>
      <c r="D2008" s="2" t="n">
        <v>669</v>
      </c>
      <c r="E2008" s="2" t="inlineStr">
        <is>
          <t>CC-3000</t>
        </is>
      </c>
      <c r="F2008" s="2" t="inlineStr">
        <is>
          <t>P01</t>
        </is>
      </c>
      <c r="G2008" s="2" t="n">
        <v>630000</v>
      </c>
      <c r="H2008" s="2" t="inlineStr">
        <is>
          <t>Servicios externos</t>
        </is>
      </c>
      <c r="I2008" s="9" t="n">
        <v>1892.9</v>
      </c>
      <c r="J2008" s="9" t="n">
        <v>1818.65</v>
      </c>
      <c r="K2008" s="9" t="n">
        <v>1756.67</v>
      </c>
      <c r="L2008" s="9" t="n">
        <v>1915.92</v>
      </c>
      <c r="M2008" s="9" t="n">
        <v>1797.27</v>
      </c>
      <c r="N2008" s="9" t="n">
        <v>1727.53</v>
      </c>
      <c r="O2008" s="9" t="n">
        <v>1930.86</v>
      </c>
      <c r="P2008" s="9" t="n">
        <v>1684.41</v>
      </c>
      <c r="Q2008" s="9" t="n">
        <v>1631.14</v>
      </c>
      <c r="R2008" s="9" t="n">
        <v>1848.78</v>
      </c>
      <c r="S2008" s="9" t="n">
        <v>1635.26</v>
      </c>
      <c r="T2008" s="9" t="n">
        <v>1785.5</v>
      </c>
      <c r="U2008" s="10">
        <f>SUM(I2008:T2008)</f>
        <v/>
      </c>
    </row>
    <row r="2009">
      <c r="A2009" s="2" t="inlineStr">
        <is>
          <t>SN-3000-3600-3610-3610PU0294</t>
        </is>
      </c>
      <c r="B2009" s="2" t="inlineStr">
        <is>
          <t>3610PU0294</t>
        </is>
      </c>
      <c r="C2009" s="2" t="inlineStr">
        <is>
          <t>Bomba sobre tamaño harnero detox</t>
        </is>
      </c>
      <c r="D2009" s="2" t="n">
        <v>670</v>
      </c>
      <c r="E2009" s="2" t="inlineStr">
        <is>
          <t>CC-3000</t>
        </is>
      </c>
      <c r="F2009" s="2" t="inlineStr">
        <is>
          <t>P01</t>
        </is>
      </c>
      <c r="G2009" s="2" t="n">
        <v>610000</v>
      </c>
      <c r="H2009" s="2" t="inlineStr">
        <is>
          <t>Mano obra interna</t>
        </is>
      </c>
      <c r="I2009" s="9" t="n">
        <v>2949.19</v>
      </c>
      <c r="J2009" s="9" t="n">
        <v>3031.19</v>
      </c>
      <c r="K2009" s="9" t="n">
        <v>2905.17</v>
      </c>
      <c r="L2009" s="9" t="n">
        <v>3115.3</v>
      </c>
      <c r="M2009" s="9" t="n">
        <v>3198.3</v>
      </c>
      <c r="N2009" s="9" t="n">
        <v>2771.97</v>
      </c>
      <c r="O2009" s="9" t="n">
        <v>3167.7</v>
      </c>
      <c r="P2009" s="9" t="n">
        <v>3235.59</v>
      </c>
      <c r="Q2009" s="9" t="n">
        <v>2831.47</v>
      </c>
      <c r="R2009" s="9" t="n">
        <v>3135.81</v>
      </c>
      <c r="S2009" s="9" t="n">
        <v>2984.06</v>
      </c>
      <c r="T2009" s="9" t="n">
        <v>3211.7</v>
      </c>
      <c r="U2009" s="10">
        <f>SUM(I2009:T2009)</f>
        <v/>
      </c>
    </row>
    <row r="2010">
      <c r="A2010" s="2" t="inlineStr">
        <is>
          <t>SN-3000-3600-3610-3610PU0294</t>
        </is>
      </c>
      <c r="B2010" s="2" t="inlineStr">
        <is>
          <t>3610PU0294</t>
        </is>
      </c>
      <c r="C2010" s="2" t="inlineStr">
        <is>
          <t>Bomba sobre tamaño harnero detox</t>
        </is>
      </c>
      <c r="D2010" s="2" t="n">
        <v>670</v>
      </c>
      <c r="E2010" s="2" t="inlineStr">
        <is>
          <t>CC-3000</t>
        </is>
      </c>
      <c r="F2010" s="2" t="inlineStr">
        <is>
          <t>P01</t>
        </is>
      </c>
      <c r="G2010" s="2" t="n">
        <v>620000</v>
      </c>
      <c r="H2010" s="2" t="inlineStr">
        <is>
          <t>Materiales</t>
        </is>
      </c>
      <c r="I2010" s="9" t="n">
        <v>2386.69</v>
      </c>
      <c r="J2010" s="9" t="n">
        <v>2253.06</v>
      </c>
      <c r="K2010" s="9" t="n">
        <v>2346.15</v>
      </c>
      <c r="L2010" s="9" t="n">
        <v>2546.79</v>
      </c>
      <c r="M2010" s="9" t="n">
        <v>2302.26</v>
      </c>
      <c r="N2010" s="9" t="n">
        <v>2194.36</v>
      </c>
      <c r="O2010" s="9" t="n">
        <v>2395.95</v>
      </c>
      <c r="P2010" s="9" t="n">
        <v>2248.4</v>
      </c>
      <c r="Q2010" s="9" t="n">
        <v>2098.23</v>
      </c>
      <c r="R2010" s="9" t="n">
        <v>2548.86</v>
      </c>
      <c r="S2010" s="9" t="n">
        <v>2247.51</v>
      </c>
      <c r="T2010" s="9" t="n">
        <v>2312.4</v>
      </c>
      <c r="U2010" s="10">
        <f>SUM(I2010:T2010)</f>
        <v/>
      </c>
    </row>
    <row r="2011">
      <c r="A2011" s="2" t="inlineStr">
        <is>
          <t>SN-3000-3600-3610-3610PU0294</t>
        </is>
      </c>
      <c r="B2011" s="2" t="inlineStr">
        <is>
          <t>3610PU0294</t>
        </is>
      </c>
      <c r="C2011" s="2" t="inlineStr">
        <is>
          <t>Bomba sobre tamaño harnero detox</t>
        </is>
      </c>
      <c r="D2011" s="2" t="n">
        <v>670</v>
      </c>
      <c r="E2011" s="2" t="inlineStr">
        <is>
          <t>CC-3000</t>
        </is>
      </c>
      <c r="F2011" s="2" t="inlineStr">
        <is>
          <t>P01</t>
        </is>
      </c>
      <c r="G2011" s="2" t="n">
        <v>630000</v>
      </c>
      <c r="H2011" s="2" t="inlineStr">
        <is>
          <t>Servicios externos</t>
        </is>
      </c>
      <c r="I2011" s="9" t="n">
        <v>2265.92</v>
      </c>
      <c r="J2011" s="9" t="n">
        <v>2289.17</v>
      </c>
      <c r="K2011" s="9" t="n">
        <v>2410.61</v>
      </c>
      <c r="L2011" s="9" t="n">
        <v>2165.35</v>
      </c>
      <c r="M2011" s="9" t="n">
        <v>2224.32</v>
      </c>
      <c r="N2011" s="9" t="n">
        <v>2235.54</v>
      </c>
      <c r="O2011" s="9" t="n">
        <v>2180.97</v>
      </c>
      <c r="P2011" s="9" t="n">
        <v>2363.49</v>
      </c>
      <c r="Q2011" s="9" t="n">
        <v>2192.15</v>
      </c>
      <c r="R2011" s="9" t="n">
        <v>2274.38</v>
      </c>
      <c r="S2011" s="9" t="n">
        <v>2059.05</v>
      </c>
      <c r="T2011" s="9" t="n">
        <v>2130.35</v>
      </c>
      <c r="U2011" s="10">
        <f>SUM(I2011:T2011)</f>
        <v/>
      </c>
    </row>
    <row r="2012">
      <c r="A2012" s="2" t="inlineStr">
        <is>
          <t>SN-3000-3600-3610-3610SN0037</t>
        </is>
      </c>
      <c r="B2012" s="2" t="inlineStr">
        <is>
          <t>3610SN0037</t>
        </is>
      </c>
      <c r="C2012" s="2" t="inlineStr">
        <is>
          <t>Harnero detox</t>
        </is>
      </c>
      <c r="D2012" s="2" t="n">
        <v>671</v>
      </c>
      <c r="E2012" s="2" t="inlineStr">
        <is>
          <t>CC-3000</t>
        </is>
      </c>
      <c r="F2012" s="2" t="inlineStr">
        <is>
          <t>P01</t>
        </is>
      </c>
      <c r="G2012" s="2" t="n">
        <v>610000</v>
      </c>
      <c r="H2012" s="2" t="inlineStr">
        <is>
          <t>Mano obra interna</t>
        </is>
      </c>
      <c r="I2012" s="9" t="n">
        <v>384.15</v>
      </c>
      <c r="J2012" s="9" t="n">
        <v>371.9</v>
      </c>
      <c r="K2012" s="9" t="n">
        <v>338.3</v>
      </c>
      <c r="L2012" s="9" t="n">
        <v>366.44</v>
      </c>
      <c r="M2012" s="9" t="n">
        <v>353.19</v>
      </c>
      <c r="N2012" s="9" t="n">
        <v>331.82</v>
      </c>
      <c r="O2012" s="9" t="n">
        <v>360.86</v>
      </c>
      <c r="P2012" s="9" t="n">
        <v>378.25</v>
      </c>
      <c r="Q2012" s="9" t="n">
        <v>311.48</v>
      </c>
      <c r="R2012" s="9" t="n">
        <v>357.82</v>
      </c>
      <c r="S2012" s="9" t="n">
        <v>316.44</v>
      </c>
      <c r="T2012" s="9" t="n">
        <v>350.68</v>
      </c>
      <c r="U2012" s="10">
        <f>SUM(I2012:T2012)</f>
        <v/>
      </c>
    </row>
    <row r="2013">
      <c r="A2013" s="2" t="inlineStr">
        <is>
          <t>SN-3000-3600-3610-3610SN0037</t>
        </is>
      </c>
      <c r="B2013" s="2" t="inlineStr">
        <is>
          <t>3610SN0037</t>
        </is>
      </c>
      <c r="C2013" s="2" t="inlineStr">
        <is>
          <t>Harnero detox</t>
        </is>
      </c>
      <c r="D2013" s="2" t="n">
        <v>671</v>
      </c>
      <c r="E2013" s="2" t="inlineStr">
        <is>
          <t>CC-3000</t>
        </is>
      </c>
      <c r="F2013" s="2" t="inlineStr">
        <is>
          <t>P01</t>
        </is>
      </c>
      <c r="G2013" s="2" t="n">
        <v>620000</v>
      </c>
      <c r="H2013" s="2" t="inlineStr">
        <is>
          <t>Materiales</t>
        </is>
      </c>
      <c r="I2013" s="9" t="n">
        <v>361.32</v>
      </c>
      <c r="J2013" s="9" t="n">
        <v>352.67</v>
      </c>
      <c r="K2013" s="9" t="n">
        <v>384.46</v>
      </c>
      <c r="L2013" s="9" t="n">
        <v>359.48</v>
      </c>
      <c r="M2013" s="9" t="n">
        <v>344.6</v>
      </c>
      <c r="N2013" s="9" t="n">
        <v>360.08</v>
      </c>
      <c r="O2013" s="9" t="n">
        <v>378.11</v>
      </c>
      <c r="P2013" s="9" t="n">
        <v>342.34</v>
      </c>
      <c r="Q2013" s="9" t="n">
        <v>323.28</v>
      </c>
      <c r="R2013" s="9" t="n">
        <v>406.05</v>
      </c>
      <c r="S2013" s="9" t="n">
        <v>323.16</v>
      </c>
      <c r="T2013" s="9" t="n">
        <v>353.1</v>
      </c>
      <c r="U2013" s="10">
        <f>SUM(I2013:T2013)</f>
        <v/>
      </c>
    </row>
    <row r="2014">
      <c r="A2014" s="2" t="inlineStr">
        <is>
          <t>SN-3000-3600-3610-3610SN0037</t>
        </is>
      </c>
      <c r="B2014" s="2" t="inlineStr">
        <is>
          <t>3610SN0037</t>
        </is>
      </c>
      <c r="C2014" s="2" t="inlineStr">
        <is>
          <t>Harnero detox</t>
        </is>
      </c>
      <c r="D2014" s="2" t="n">
        <v>671</v>
      </c>
      <c r="E2014" s="2" t="inlineStr">
        <is>
          <t>CC-3000</t>
        </is>
      </c>
      <c r="F2014" s="2" t="inlineStr">
        <is>
          <t>P01</t>
        </is>
      </c>
      <c r="G2014" s="2" t="n">
        <v>630000</v>
      </c>
      <c r="H2014" s="2" t="inlineStr">
        <is>
          <t>Servicios externos</t>
        </is>
      </c>
      <c r="I2014" s="9" t="n">
        <v>361.41</v>
      </c>
      <c r="J2014" s="9" t="n">
        <v>348.25</v>
      </c>
      <c r="K2014" s="9" t="n">
        <v>379.86</v>
      </c>
      <c r="L2014" s="9" t="n">
        <v>396.42</v>
      </c>
      <c r="M2014" s="9" t="n">
        <v>388.91</v>
      </c>
      <c r="N2014" s="9" t="n">
        <v>383.64</v>
      </c>
      <c r="O2014" s="9" t="n">
        <v>347.44</v>
      </c>
      <c r="P2014" s="9" t="n">
        <v>355.53</v>
      </c>
      <c r="Q2014" s="9" t="n">
        <v>361.17</v>
      </c>
      <c r="R2014" s="9" t="n">
        <v>404.53</v>
      </c>
      <c r="S2014" s="9" t="n">
        <v>350.84</v>
      </c>
      <c r="T2014" s="9" t="n">
        <v>360.41</v>
      </c>
      <c r="U2014" s="10">
        <f>SUM(I2014:T2014)</f>
        <v/>
      </c>
    </row>
    <row r="2015">
      <c r="A2015" s="2" t="inlineStr">
        <is>
          <t>SN-3000-3600-3610-3610SY0011</t>
        </is>
      </c>
      <c r="B2015" s="2" t="inlineStr">
        <is>
          <t>3610SY0011</t>
        </is>
      </c>
      <c r="C2015" s="2" t="inlineStr">
        <is>
          <t>Lava ojos emergencia</t>
        </is>
      </c>
      <c r="D2015" s="2" t="n">
        <v>672</v>
      </c>
      <c r="E2015" s="2" t="inlineStr">
        <is>
          <t>CC-3000</t>
        </is>
      </c>
      <c r="F2015" s="2" t="inlineStr">
        <is>
          <t>P01</t>
        </is>
      </c>
      <c r="G2015" s="2" t="n">
        <v>610000</v>
      </c>
      <c r="H2015" s="2" t="inlineStr">
        <is>
          <t>Mano obra interna</t>
        </is>
      </c>
      <c r="I2015" s="9" t="n">
        <v>1032.49</v>
      </c>
      <c r="J2015" s="9" t="n">
        <v>955.45</v>
      </c>
      <c r="K2015" s="9" t="n">
        <v>1133.74</v>
      </c>
      <c r="L2015" s="9" t="n">
        <v>979.89</v>
      </c>
      <c r="M2015" s="9" t="n">
        <v>1091.05</v>
      </c>
      <c r="N2015" s="9" t="n">
        <v>1031.54</v>
      </c>
      <c r="O2015" s="9" t="n">
        <v>1010.86</v>
      </c>
      <c r="P2015" s="9" t="n">
        <v>1061.44</v>
      </c>
      <c r="Q2015" s="9" t="n">
        <v>978.4</v>
      </c>
      <c r="R2015" s="9" t="n">
        <v>1052.6</v>
      </c>
      <c r="S2015" s="9" t="n">
        <v>964.8099999999999</v>
      </c>
      <c r="T2015" s="9" t="n">
        <v>1040.35</v>
      </c>
      <c r="U2015" s="10">
        <f>SUM(I2015:T2015)</f>
        <v/>
      </c>
    </row>
    <row r="2016">
      <c r="A2016" s="2" t="inlineStr">
        <is>
          <t>SN-3000-3600-3610-3610SY0011</t>
        </is>
      </c>
      <c r="B2016" s="2" t="inlineStr">
        <is>
          <t>3610SY0011</t>
        </is>
      </c>
      <c r="C2016" s="2" t="inlineStr">
        <is>
          <t>Lava ojos emergencia</t>
        </is>
      </c>
      <c r="D2016" s="2" t="n">
        <v>672</v>
      </c>
      <c r="E2016" s="2" t="inlineStr">
        <is>
          <t>CC-3000</t>
        </is>
      </c>
      <c r="F2016" s="2" t="inlineStr">
        <is>
          <t>P01</t>
        </is>
      </c>
      <c r="G2016" s="2" t="n">
        <v>620000</v>
      </c>
      <c r="H2016" s="2" t="inlineStr">
        <is>
          <t>Materiales</t>
        </is>
      </c>
      <c r="I2016" s="9" t="n">
        <v>1128.44</v>
      </c>
      <c r="J2016" s="9" t="n">
        <v>1076.56</v>
      </c>
      <c r="K2016" s="9" t="n">
        <v>1122.3</v>
      </c>
      <c r="L2016" s="9" t="n">
        <v>1121.75</v>
      </c>
      <c r="M2016" s="9" t="n">
        <v>1075.09</v>
      </c>
      <c r="N2016" s="9" t="n">
        <v>1056.57</v>
      </c>
      <c r="O2016" s="9" t="n">
        <v>1166.54</v>
      </c>
      <c r="P2016" s="9" t="n">
        <v>1120.36</v>
      </c>
      <c r="Q2016" s="9" t="n">
        <v>1058.37</v>
      </c>
      <c r="R2016" s="9" t="n">
        <v>1202.43</v>
      </c>
      <c r="S2016" s="9" t="n">
        <v>1087.12</v>
      </c>
      <c r="T2016" s="9" t="n">
        <v>1128.13</v>
      </c>
      <c r="U2016" s="10">
        <f>SUM(I2016:T2016)</f>
        <v/>
      </c>
    </row>
    <row r="2017">
      <c r="A2017" s="2" t="inlineStr">
        <is>
          <t>SN-3000-3600-3610-3610SY0011</t>
        </is>
      </c>
      <c r="B2017" s="2" t="inlineStr">
        <is>
          <t>3610SY0011</t>
        </is>
      </c>
      <c r="C2017" s="2" t="inlineStr">
        <is>
          <t>Lava ojos emergencia</t>
        </is>
      </c>
      <c r="D2017" s="2" t="n">
        <v>672</v>
      </c>
      <c r="E2017" s="2" t="inlineStr">
        <is>
          <t>CC-3000</t>
        </is>
      </c>
      <c r="F2017" s="2" t="inlineStr">
        <is>
          <t>P01</t>
        </is>
      </c>
      <c r="G2017" s="2" t="n">
        <v>630000</v>
      </c>
      <c r="H2017" s="2" t="inlineStr">
        <is>
          <t>Servicios externos</t>
        </is>
      </c>
      <c r="I2017" s="9" t="n">
        <v>1023.33</v>
      </c>
      <c r="J2017" s="9" t="n">
        <v>845.96</v>
      </c>
      <c r="K2017" s="9" t="n">
        <v>941.54</v>
      </c>
      <c r="L2017" s="9" t="n">
        <v>888.75</v>
      </c>
      <c r="M2017" s="9" t="n">
        <v>859.39</v>
      </c>
      <c r="N2017" s="9" t="n">
        <v>929.13</v>
      </c>
      <c r="O2017" s="9" t="n">
        <v>917.64</v>
      </c>
      <c r="P2017" s="9" t="n">
        <v>972.23</v>
      </c>
      <c r="Q2017" s="9" t="n">
        <v>832.66</v>
      </c>
      <c r="R2017" s="9" t="n">
        <v>962.02</v>
      </c>
      <c r="S2017" s="9" t="n">
        <v>862.8200000000001</v>
      </c>
      <c r="T2017" s="9" t="n">
        <v>959.52</v>
      </c>
      <c r="U2017" s="10">
        <f>SUM(I2017:T2017)</f>
        <v/>
      </c>
    </row>
    <row r="2018">
      <c r="A2018" s="2" t="inlineStr">
        <is>
          <t>SN-3000-3600-3620-3620CT0001</t>
        </is>
      </c>
      <c r="B2018" s="2" t="inlineStr">
        <is>
          <t>3620CT0001</t>
        </is>
      </c>
      <c r="C2018" s="2" t="inlineStr">
        <is>
          <t>Sistema CCTV espesamiento relaves</t>
        </is>
      </c>
      <c r="D2018" s="2" t="n">
        <v>673</v>
      </c>
      <c r="E2018" s="2" t="inlineStr">
        <is>
          <t>CC-3000</t>
        </is>
      </c>
      <c r="F2018" s="2" t="inlineStr">
        <is>
          <t>P01</t>
        </is>
      </c>
      <c r="G2018" s="2" t="n">
        <v>610000</v>
      </c>
      <c r="H2018" s="2" t="inlineStr">
        <is>
          <t>Mano obra interna</t>
        </is>
      </c>
      <c r="I2018" s="9" t="n">
        <v>3128.31</v>
      </c>
      <c r="J2018" s="9" t="n">
        <v>2982.5</v>
      </c>
      <c r="K2018" s="9" t="n">
        <v>3427.11</v>
      </c>
      <c r="L2018" s="9" t="n">
        <v>2962.56</v>
      </c>
      <c r="M2018" s="9" t="n">
        <v>3049.54</v>
      </c>
      <c r="N2018" s="9" t="n">
        <v>2909.12</v>
      </c>
      <c r="O2018" s="9" t="n">
        <v>2890.76</v>
      </c>
      <c r="P2018" s="9" t="n">
        <v>2971.26</v>
      </c>
      <c r="Q2018" s="9" t="n">
        <v>2657.68</v>
      </c>
      <c r="R2018" s="9" t="n">
        <v>3531.04</v>
      </c>
      <c r="S2018" s="9" t="n">
        <v>3040.98</v>
      </c>
      <c r="T2018" s="9" t="n">
        <v>3291.82</v>
      </c>
      <c r="U2018" s="10">
        <f>SUM(I2018:T2018)</f>
        <v/>
      </c>
    </row>
    <row r="2019">
      <c r="A2019" s="2" t="inlineStr">
        <is>
          <t>SN-3000-3600-3620-3620CT0001</t>
        </is>
      </c>
      <c r="B2019" s="2" t="inlineStr">
        <is>
          <t>3620CT0001</t>
        </is>
      </c>
      <c r="C2019" s="2" t="inlineStr">
        <is>
          <t>Sistema CCTV espesamiento relaves</t>
        </is>
      </c>
      <c r="D2019" s="2" t="n">
        <v>673</v>
      </c>
      <c r="E2019" s="2" t="inlineStr">
        <is>
          <t>CC-3000</t>
        </is>
      </c>
      <c r="F2019" s="2" t="inlineStr">
        <is>
          <t>P01</t>
        </is>
      </c>
      <c r="G2019" s="2" t="n">
        <v>620000</v>
      </c>
      <c r="H2019" s="2" t="inlineStr">
        <is>
          <t>Materiales</t>
        </is>
      </c>
      <c r="I2019" s="9" t="n">
        <v>2799.41</v>
      </c>
      <c r="J2019" s="9" t="n">
        <v>2743.83</v>
      </c>
      <c r="K2019" s="9" t="n">
        <v>2966.47</v>
      </c>
      <c r="L2019" s="9" t="n">
        <v>2578.58</v>
      </c>
      <c r="M2019" s="9" t="n">
        <v>2599.1</v>
      </c>
      <c r="N2019" s="9" t="n">
        <v>2667</v>
      </c>
      <c r="O2019" s="9" t="n">
        <v>2898.54</v>
      </c>
      <c r="P2019" s="9" t="n">
        <v>2904.75</v>
      </c>
      <c r="Q2019" s="9" t="n">
        <v>2568.21</v>
      </c>
      <c r="R2019" s="9" t="n">
        <v>2768.26</v>
      </c>
      <c r="S2019" s="9" t="n">
        <v>2453.86</v>
      </c>
      <c r="T2019" s="9" t="n">
        <v>2934.85</v>
      </c>
      <c r="U2019" s="10">
        <f>SUM(I2019:T2019)</f>
        <v/>
      </c>
    </row>
    <row r="2020">
      <c r="A2020" s="2" t="inlineStr">
        <is>
          <t>SN-3000-3600-3620-3620CT0001</t>
        </is>
      </c>
      <c r="B2020" s="2" t="inlineStr">
        <is>
          <t>3620CT0001</t>
        </is>
      </c>
      <c r="C2020" s="2" t="inlineStr">
        <is>
          <t>Sistema CCTV espesamiento relaves</t>
        </is>
      </c>
      <c r="D2020" s="2" t="n">
        <v>673</v>
      </c>
      <c r="E2020" s="2" t="inlineStr">
        <is>
          <t>CC-3000</t>
        </is>
      </c>
      <c r="F2020" s="2" t="inlineStr">
        <is>
          <t>P01</t>
        </is>
      </c>
      <c r="G2020" s="2" t="n">
        <v>630000</v>
      </c>
      <c r="H2020" s="2" t="inlineStr">
        <is>
          <t>Servicios externos</t>
        </is>
      </c>
      <c r="I2020" s="9" t="n">
        <v>2618.57</v>
      </c>
      <c r="J2020" s="9" t="n">
        <v>2840.33</v>
      </c>
      <c r="K2020" s="9" t="n">
        <v>2606.07</v>
      </c>
      <c r="L2020" s="9" t="n">
        <v>2857.47</v>
      </c>
      <c r="M2020" s="9" t="n">
        <v>2722.38</v>
      </c>
      <c r="N2020" s="9" t="n">
        <v>2408.24</v>
      </c>
      <c r="O2020" s="9" t="n">
        <v>2628.4</v>
      </c>
      <c r="P2020" s="9" t="n">
        <v>2543.83</v>
      </c>
      <c r="Q2020" s="9" t="n">
        <v>2552.35</v>
      </c>
      <c r="R2020" s="9" t="n">
        <v>2897.63</v>
      </c>
      <c r="S2020" s="9" t="n">
        <v>2403.59</v>
      </c>
      <c r="T2020" s="9" t="n">
        <v>2945.13</v>
      </c>
      <c r="U2020" s="10">
        <f>SUM(I2020:T2020)</f>
        <v/>
      </c>
    </row>
    <row r="2021">
      <c r="A2021" s="2" t="inlineStr">
        <is>
          <t>SN-3000-3600-3620-3620DL0001</t>
        </is>
      </c>
      <c r="B2021" s="2" t="inlineStr">
        <is>
          <t>3620DL0001</t>
        </is>
      </c>
      <c r="C2021" s="2" t="inlineStr">
        <is>
          <t>Línea sol detox 3620-4831-AA1A-4"-WP-ET</t>
        </is>
      </c>
      <c r="D2021" s="2" t="n">
        <v>674</v>
      </c>
      <c r="E2021" s="2" t="inlineStr">
        <is>
          <t>CC-3000</t>
        </is>
      </c>
      <c r="F2021" s="2" t="inlineStr">
        <is>
          <t>P01</t>
        </is>
      </c>
      <c r="G2021" s="2" t="n">
        <v>610000</v>
      </c>
      <c r="H2021" s="2" t="inlineStr">
        <is>
          <t>Mano obra interna</t>
        </is>
      </c>
      <c r="I2021" s="9" t="n">
        <v>1847.95</v>
      </c>
      <c r="J2021" s="9" t="n">
        <v>1772.19</v>
      </c>
      <c r="K2021" s="9" t="n">
        <v>1836.6</v>
      </c>
      <c r="L2021" s="9" t="n">
        <v>2078.28</v>
      </c>
      <c r="M2021" s="9" t="n">
        <v>1802.49</v>
      </c>
      <c r="N2021" s="9" t="n">
        <v>1773.12</v>
      </c>
      <c r="O2021" s="9" t="n">
        <v>1995.85</v>
      </c>
      <c r="P2021" s="9" t="n">
        <v>1924.38</v>
      </c>
      <c r="Q2021" s="9" t="n">
        <v>1716.08</v>
      </c>
      <c r="R2021" s="9" t="n">
        <v>2160.17</v>
      </c>
      <c r="S2021" s="9" t="n">
        <v>1895.76</v>
      </c>
      <c r="T2021" s="9" t="n">
        <v>1827.83</v>
      </c>
      <c r="U2021" s="10">
        <f>SUM(I2021:T2021)</f>
        <v/>
      </c>
    </row>
    <row r="2022">
      <c r="A2022" s="2" t="inlineStr">
        <is>
          <t>SN-3000-3600-3620-3620DL0001</t>
        </is>
      </c>
      <c r="B2022" s="2" t="inlineStr">
        <is>
          <t>3620DL0001</t>
        </is>
      </c>
      <c r="C2022" s="2" t="inlineStr">
        <is>
          <t>Línea sol detox 3620-4831-AA1A-4"-WP-ET</t>
        </is>
      </c>
      <c r="D2022" s="2" t="n">
        <v>674</v>
      </c>
      <c r="E2022" s="2" t="inlineStr">
        <is>
          <t>CC-3000</t>
        </is>
      </c>
      <c r="F2022" s="2" t="inlineStr">
        <is>
          <t>P01</t>
        </is>
      </c>
      <c r="G2022" s="2" t="n">
        <v>620000</v>
      </c>
      <c r="H2022" s="2" t="inlineStr">
        <is>
          <t>Materiales</t>
        </is>
      </c>
      <c r="I2022" s="9" t="n">
        <v>2152.56</v>
      </c>
      <c r="J2022" s="9" t="n">
        <v>1944.11</v>
      </c>
      <c r="K2022" s="9" t="n">
        <v>2113.78</v>
      </c>
      <c r="L2022" s="9" t="n">
        <v>2170.82</v>
      </c>
      <c r="M2022" s="9" t="n">
        <v>2014.24</v>
      </c>
      <c r="N2022" s="9" t="n">
        <v>1768.23</v>
      </c>
      <c r="O2022" s="9" t="n">
        <v>1895.26</v>
      </c>
      <c r="P2022" s="9" t="n">
        <v>2003.68</v>
      </c>
      <c r="Q2022" s="9" t="n">
        <v>1772.57</v>
      </c>
      <c r="R2022" s="9" t="n">
        <v>2285.95</v>
      </c>
      <c r="S2022" s="9" t="n">
        <v>1883.09</v>
      </c>
      <c r="T2022" s="9" t="n">
        <v>1990.73</v>
      </c>
      <c r="U2022" s="10">
        <f>SUM(I2022:T2022)</f>
        <v/>
      </c>
    </row>
    <row r="2023">
      <c r="A2023" s="2" t="inlineStr">
        <is>
          <t>SN-3000-3600-3620-3620DL0001</t>
        </is>
      </c>
      <c r="B2023" s="2" t="inlineStr">
        <is>
          <t>3620DL0001</t>
        </is>
      </c>
      <c r="C2023" s="2" t="inlineStr">
        <is>
          <t>Línea sol detox 3620-4831-AA1A-4"-WP-ET</t>
        </is>
      </c>
      <c r="D2023" s="2" t="n">
        <v>674</v>
      </c>
      <c r="E2023" s="2" t="inlineStr">
        <is>
          <t>CC-3000</t>
        </is>
      </c>
      <c r="F2023" s="2" t="inlineStr">
        <is>
          <t>P01</t>
        </is>
      </c>
      <c r="G2023" s="2" t="n">
        <v>630000</v>
      </c>
      <c r="H2023" s="2" t="inlineStr">
        <is>
          <t>Servicios externos</t>
        </is>
      </c>
      <c r="I2023" s="9" t="n">
        <v>2069.56</v>
      </c>
      <c r="J2023" s="9" t="n">
        <v>1951.38</v>
      </c>
      <c r="K2023" s="9" t="n">
        <v>1942.24</v>
      </c>
      <c r="L2023" s="9" t="n">
        <v>2095.83</v>
      </c>
      <c r="M2023" s="9" t="n">
        <v>2116.12</v>
      </c>
      <c r="N2023" s="9" t="n">
        <v>1988.13</v>
      </c>
      <c r="O2023" s="9" t="n">
        <v>1982.07</v>
      </c>
      <c r="P2023" s="9" t="n">
        <v>1897.76</v>
      </c>
      <c r="Q2023" s="9" t="n">
        <v>1975.02</v>
      </c>
      <c r="R2023" s="9" t="n">
        <v>2331.77</v>
      </c>
      <c r="S2023" s="9" t="n">
        <v>1920.02</v>
      </c>
      <c r="T2023" s="9" t="n">
        <v>2124.42</v>
      </c>
      <c r="U2023" s="10">
        <f>SUM(I2023:T2023)</f>
        <v/>
      </c>
    </row>
    <row r="2024">
      <c r="A2024" s="2" t="inlineStr">
        <is>
          <t>SN-3000-3600-3620-3620IO0001</t>
        </is>
      </c>
      <c r="B2024" s="2" t="inlineStr">
        <is>
          <t>3620IO0001</t>
        </is>
      </c>
      <c r="C2024" s="2" t="inlineStr">
        <is>
          <t xml:space="preserve">Gabinete RIO  </t>
        </is>
      </c>
      <c r="D2024" s="2" t="n">
        <v>675</v>
      </c>
      <c r="E2024" s="2" t="inlineStr">
        <is>
          <t>CC-3000</t>
        </is>
      </c>
      <c r="F2024" s="2" t="inlineStr">
        <is>
          <t>P01</t>
        </is>
      </c>
      <c r="G2024" s="2" t="n">
        <v>610000</v>
      </c>
      <c r="H2024" s="2" t="inlineStr">
        <is>
          <t>Mano obra interna</t>
        </is>
      </c>
      <c r="I2024" s="9" t="n">
        <v>1148.9</v>
      </c>
      <c r="J2024" s="9" t="n">
        <v>1167.65</v>
      </c>
      <c r="K2024" s="9" t="n">
        <v>1083.28</v>
      </c>
      <c r="L2024" s="9" t="n">
        <v>1155.42</v>
      </c>
      <c r="M2024" s="9" t="n">
        <v>1062.56</v>
      </c>
      <c r="N2024" s="9" t="n">
        <v>1048.04</v>
      </c>
      <c r="O2024" s="9" t="n">
        <v>1151.55</v>
      </c>
      <c r="P2024" s="9" t="n">
        <v>1039.16</v>
      </c>
      <c r="Q2024" s="9" t="n">
        <v>1062.99</v>
      </c>
      <c r="R2024" s="9" t="n">
        <v>1171.23</v>
      </c>
      <c r="S2024" s="9" t="n">
        <v>1118.64</v>
      </c>
      <c r="T2024" s="9" t="n">
        <v>1076.26</v>
      </c>
      <c r="U2024" s="10">
        <f>SUM(I2024:T2024)</f>
        <v/>
      </c>
    </row>
    <row r="2025">
      <c r="A2025" s="2" t="inlineStr">
        <is>
          <t>SN-3000-3600-3620-3620IO0001</t>
        </is>
      </c>
      <c r="B2025" s="2" t="inlineStr">
        <is>
          <t>3620IO0001</t>
        </is>
      </c>
      <c r="C2025" s="2" t="inlineStr">
        <is>
          <t xml:space="preserve">Gabinete RIO  </t>
        </is>
      </c>
      <c r="D2025" s="2" t="n">
        <v>675</v>
      </c>
      <c r="E2025" s="2" t="inlineStr">
        <is>
          <t>CC-3000</t>
        </is>
      </c>
      <c r="F2025" s="2" t="inlineStr">
        <is>
          <t>P01</t>
        </is>
      </c>
      <c r="G2025" s="2" t="n">
        <v>620000</v>
      </c>
      <c r="H2025" s="2" t="inlineStr">
        <is>
          <t>Materiales</t>
        </is>
      </c>
      <c r="I2025" s="9" t="n">
        <v>1224.24</v>
      </c>
      <c r="J2025" s="9" t="n">
        <v>1241.22</v>
      </c>
      <c r="K2025" s="9" t="n">
        <v>1288.57</v>
      </c>
      <c r="L2025" s="9" t="n">
        <v>1156.24</v>
      </c>
      <c r="M2025" s="9" t="n">
        <v>1072.1</v>
      </c>
      <c r="N2025" s="9" t="n">
        <v>1148.3</v>
      </c>
      <c r="O2025" s="9" t="n">
        <v>1191.77</v>
      </c>
      <c r="P2025" s="9" t="n">
        <v>1082.52</v>
      </c>
      <c r="Q2025" s="9" t="n">
        <v>1025.07</v>
      </c>
      <c r="R2025" s="9" t="n">
        <v>1280.97</v>
      </c>
      <c r="S2025" s="9" t="n">
        <v>1209.27</v>
      </c>
      <c r="T2025" s="9" t="n">
        <v>1266.69</v>
      </c>
      <c r="U2025" s="10">
        <f>SUM(I2025:T2025)</f>
        <v/>
      </c>
    </row>
    <row r="2026">
      <c r="A2026" s="2" t="inlineStr">
        <is>
          <t>SN-3000-3600-3620-3620IO0001</t>
        </is>
      </c>
      <c r="B2026" s="2" t="inlineStr">
        <is>
          <t>3620IO0001</t>
        </is>
      </c>
      <c r="C2026" s="2" t="inlineStr">
        <is>
          <t xml:space="preserve">Gabinete RIO  </t>
        </is>
      </c>
      <c r="D2026" s="2" t="n">
        <v>675</v>
      </c>
      <c r="E2026" s="2" t="inlineStr">
        <is>
          <t>CC-3000</t>
        </is>
      </c>
      <c r="F2026" s="2" t="inlineStr">
        <is>
          <t>P01</t>
        </is>
      </c>
      <c r="G2026" s="2" t="n">
        <v>630000</v>
      </c>
      <c r="H2026" s="2" t="inlineStr">
        <is>
          <t>Servicios externos</t>
        </is>
      </c>
      <c r="I2026" s="9" t="n">
        <v>996.1</v>
      </c>
      <c r="J2026" s="9" t="n">
        <v>907.51</v>
      </c>
      <c r="K2026" s="9" t="n">
        <v>1020.54</v>
      </c>
      <c r="L2026" s="9" t="n">
        <v>1057.18</v>
      </c>
      <c r="M2026" s="9" t="n">
        <v>1029.48</v>
      </c>
      <c r="N2026" s="9" t="n">
        <v>950.29</v>
      </c>
      <c r="O2026" s="9" t="n">
        <v>930.26</v>
      </c>
      <c r="P2026" s="9" t="n">
        <v>974.52</v>
      </c>
      <c r="Q2026" s="9" t="n">
        <v>989.38</v>
      </c>
      <c r="R2026" s="9" t="n">
        <v>1025.71</v>
      </c>
      <c r="S2026" s="9" t="n">
        <v>934.62</v>
      </c>
      <c r="T2026" s="9" t="n">
        <v>1048.73</v>
      </c>
      <c r="U2026" s="10">
        <f>SUM(I2026:T2026)</f>
        <v/>
      </c>
    </row>
    <row r="2027">
      <c r="A2027" s="2" t="inlineStr">
        <is>
          <t>SN-3000-3600-3620-3620IO0002</t>
        </is>
      </c>
      <c r="B2027" s="2" t="inlineStr">
        <is>
          <t>3620IO0002</t>
        </is>
      </c>
      <c r="C2027" s="2" t="inlineStr">
        <is>
          <t xml:space="preserve">Gabinete RIO  </t>
        </is>
      </c>
      <c r="D2027" s="2" t="n">
        <v>676</v>
      </c>
      <c r="E2027" s="2" t="inlineStr">
        <is>
          <t>CC-3000</t>
        </is>
      </c>
      <c r="F2027" s="2" t="inlineStr">
        <is>
          <t>P01</t>
        </is>
      </c>
      <c r="G2027" s="2" t="n">
        <v>610000</v>
      </c>
      <c r="H2027" s="2" t="inlineStr">
        <is>
          <t>Mano obra interna</t>
        </is>
      </c>
      <c r="I2027" s="9" t="n">
        <v>827.1</v>
      </c>
      <c r="J2027" s="9" t="n">
        <v>735.17</v>
      </c>
      <c r="K2027" s="9" t="n">
        <v>785.97</v>
      </c>
      <c r="L2027" s="9" t="n">
        <v>772.79</v>
      </c>
      <c r="M2027" s="9" t="n">
        <v>803.7</v>
      </c>
      <c r="N2027" s="9" t="n">
        <v>758.01</v>
      </c>
      <c r="O2027" s="9" t="n">
        <v>800.75</v>
      </c>
      <c r="P2027" s="9" t="n">
        <v>714.9299999999999</v>
      </c>
      <c r="Q2027" s="9" t="n">
        <v>740.58</v>
      </c>
      <c r="R2027" s="9" t="n">
        <v>810.9</v>
      </c>
      <c r="S2027" s="9" t="n">
        <v>679.6900000000001</v>
      </c>
      <c r="T2027" s="9" t="n">
        <v>717.08</v>
      </c>
      <c r="U2027" s="10">
        <f>SUM(I2027:T2027)</f>
        <v/>
      </c>
    </row>
    <row r="2028">
      <c r="A2028" s="2" t="inlineStr">
        <is>
          <t>SN-3000-3600-3620-3620IO0002</t>
        </is>
      </c>
      <c r="B2028" s="2" t="inlineStr">
        <is>
          <t>3620IO0002</t>
        </is>
      </c>
      <c r="C2028" s="2" t="inlineStr">
        <is>
          <t xml:space="preserve">Gabinete RIO  </t>
        </is>
      </c>
      <c r="D2028" s="2" t="n">
        <v>676</v>
      </c>
      <c r="E2028" s="2" t="inlineStr">
        <is>
          <t>CC-3000</t>
        </is>
      </c>
      <c r="F2028" s="2" t="inlineStr">
        <is>
          <t>P01</t>
        </is>
      </c>
      <c r="G2028" s="2" t="n">
        <v>620000</v>
      </c>
      <c r="H2028" s="2" t="inlineStr">
        <is>
          <t>Materiales</t>
        </is>
      </c>
      <c r="I2028" s="9" t="n">
        <v>720.63</v>
      </c>
      <c r="J2028" s="9" t="n">
        <v>751.5599999999999</v>
      </c>
      <c r="K2028" s="9" t="n">
        <v>771.34</v>
      </c>
      <c r="L2028" s="9" t="n">
        <v>680.1900000000001</v>
      </c>
      <c r="M2028" s="9" t="n">
        <v>734.54</v>
      </c>
      <c r="N2028" s="9" t="n">
        <v>655.09</v>
      </c>
      <c r="O2028" s="9" t="n">
        <v>712.0700000000001</v>
      </c>
      <c r="P2028" s="9" t="n">
        <v>734.5</v>
      </c>
      <c r="Q2028" s="9" t="n">
        <v>710.86</v>
      </c>
      <c r="R2028" s="9" t="n">
        <v>771.73</v>
      </c>
      <c r="S2028" s="9" t="n">
        <v>732.09</v>
      </c>
      <c r="T2028" s="9" t="n">
        <v>764.48</v>
      </c>
      <c r="U2028" s="10">
        <f>SUM(I2028:T2028)</f>
        <v/>
      </c>
    </row>
    <row r="2029">
      <c r="A2029" s="2" t="inlineStr">
        <is>
          <t>SN-3000-3600-3620-3620IO0002</t>
        </is>
      </c>
      <c r="B2029" s="2" t="inlineStr">
        <is>
          <t>3620IO0002</t>
        </is>
      </c>
      <c r="C2029" s="2" t="inlineStr">
        <is>
          <t xml:space="preserve">Gabinete RIO  </t>
        </is>
      </c>
      <c r="D2029" s="2" t="n">
        <v>676</v>
      </c>
      <c r="E2029" s="2" t="inlineStr">
        <is>
          <t>CC-3000</t>
        </is>
      </c>
      <c r="F2029" s="2" t="inlineStr">
        <is>
          <t>P01</t>
        </is>
      </c>
      <c r="G2029" s="2" t="n">
        <v>630000</v>
      </c>
      <c r="H2029" s="2" t="inlineStr">
        <is>
          <t>Servicios externos</t>
        </is>
      </c>
      <c r="I2029" s="9" t="n">
        <v>681.51</v>
      </c>
      <c r="J2029" s="9" t="n">
        <v>678.47</v>
      </c>
      <c r="K2029" s="9" t="n">
        <v>636.95</v>
      </c>
      <c r="L2029" s="9" t="n">
        <v>724.86</v>
      </c>
      <c r="M2029" s="9" t="n">
        <v>689.1</v>
      </c>
      <c r="N2029" s="9" t="n">
        <v>612.58</v>
      </c>
      <c r="O2029" s="9" t="n">
        <v>719.2</v>
      </c>
      <c r="P2029" s="9" t="n">
        <v>632.77</v>
      </c>
      <c r="Q2029" s="9" t="n">
        <v>662.51</v>
      </c>
      <c r="R2029" s="9" t="n">
        <v>699.62</v>
      </c>
      <c r="S2029" s="9" t="n">
        <v>673.37</v>
      </c>
      <c r="T2029" s="9" t="n">
        <v>672.67</v>
      </c>
      <c r="U2029" s="10">
        <f>SUM(I2029:T2029)</f>
        <v/>
      </c>
    </row>
    <row r="2030">
      <c r="A2030" s="2" t="inlineStr">
        <is>
          <t>SN-3000-3600-3620-3620IO0003</t>
        </is>
      </c>
      <c r="B2030" s="2" t="inlineStr">
        <is>
          <t>3620IO0003</t>
        </is>
      </c>
      <c r="C2030" s="2" t="inlineStr">
        <is>
          <t xml:space="preserve">Gabinete RIO  </t>
        </is>
      </c>
      <c r="D2030" s="2" t="n">
        <v>677</v>
      </c>
      <c r="E2030" s="2" t="inlineStr">
        <is>
          <t>CC-3000</t>
        </is>
      </c>
      <c r="F2030" s="2" t="inlineStr">
        <is>
          <t>P01</t>
        </is>
      </c>
      <c r="G2030" s="2" t="n">
        <v>610000</v>
      </c>
      <c r="H2030" s="2" t="inlineStr">
        <is>
          <t>Mano obra interna</t>
        </is>
      </c>
      <c r="I2030" s="9" t="n">
        <v>745.27</v>
      </c>
      <c r="J2030" s="9" t="n">
        <v>732.84</v>
      </c>
      <c r="K2030" s="9" t="n">
        <v>746.02</v>
      </c>
      <c r="L2030" s="9" t="n">
        <v>835.76</v>
      </c>
      <c r="M2030" s="9" t="n">
        <v>739.6900000000001</v>
      </c>
      <c r="N2030" s="9" t="n">
        <v>761.64</v>
      </c>
      <c r="O2030" s="9" t="n">
        <v>812.55</v>
      </c>
      <c r="P2030" s="9" t="n">
        <v>821.61</v>
      </c>
      <c r="Q2030" s="9" t="n">
        <v>673.89</v>
      </c>
      <c r="R2030" s="9" t="n">
        <v>885.58</v>
      </c>
      <c r="S2030" s="9" t="n">
        <v>711.7</v>
      </c>
      <c r="T2030" s="9" t="n">
        <v>813.79</v>
      </c>
      <c r="U2030" s="10">
        <f>SUM(I2030:T2030)</f>
        <v/>
      </c>
    </row>
    <row r="2031">
      <c r="A2031" s="2" t="inlineStr">
        <is>
          <t>SN-3000-3600-3620-3620IO0003</t>
        </is>
      </c>
      <c r="B2031" s="2" t="inlineStr">
        <is>
          <t>3620IO0003</t>
        </is>
      </c>
      <c r="C2031" s="2" t="inlineStr">
        <is>
          <t xml:space="preserve">Gabinete RIO  </t>
        </is>
      </c>
      <c r="D2031" s="2" t="n">
        <v>677</v>
      </c>
      <c r="E2031" s="2" t="inlineStr">
        <is>
          <t>CC-3000</t>
        </is>
      </c>
      <c r="F2031" s="2" t="inlineStr">
        <is>
          <t>P01</t>
        </is>
      </c>
      <c r="G2031" s="2" t="n">
        <v>620000</v>
      </c>
      <c r="H2031" s="2" t="inlineStr">
        <is>
          <t>Materiales</t>
        </is>
      </c>
      <c r="I2031" s="9" t="n">
        <v>700.78</v>
      </c>
      <c r="J2031" s="9" t="n">
        <v>700.98</v>
      </c>
      <c r="K2031" s="9" t="n">
        <v>767.65</v>
      </c>
      <c r="L2031" s="9" t="n">
        <v>751.75</v>
      </c>
      <c r="M2031" s="9" t="n">
        <v>786.74</v>
      </c>
      <c r="N2031" s="9" t="n">
        <v>696.35</v>
      </c>
      <c r="O2031" s="9" t="n">
        <v>797.52</v>
      </c>
      <c r="P2031" s="9" t="n">
        <v>739.6799999999999</v>
      </c>
      <c r="Q2031" s="9" t="n">
        <v>745.09</v>
      </c>
      <c r="R2031" s="9" t="n">
        <v>834.01</v>
      </c>
      <c r="S2031" s="9" t="n">
        <v>759.28</v>
      </c>
      <c r="T2031" s="9" t="n">
        <v>708.33</v>
      </c>
      <c r="U2031" s="10">
        <f>SUM(I2031:T2031)</f>
        <v/>
      </c>
    </row>
    <row r="2032">
      <c r="A2032" s="2" t="inlineStr">
        <is>
          <t>SN-3000-3600-3620-3620IO0003</t>
        </is>
      </c>
      <c r="B2032" s="2" t="inlineStr">
        <is>
          <t>3620IO0003</t>
        </is>
      </c>
      <c r="C2032" s="2" t="inlineStr">
        <is>
          <t xml:space="preserve">Gabinete RIO  </t>
        </is>
      </c>
      <c r="D2032" s="2" t="n">
        <v>677</v>
      </c>
      <c r="E2032" s="2" t="inlineStr">
        <is>
          <t>CC-3000</t>
        </is>
      </c>
      <c r="F2032" s="2" t="inlineStr">
        <is>
          <t>P01</t>
        </is>
      </c>
      <c r="G2032" s="2" t="n">
        <v>630000</v>
      </c>
      <c r="H2032" s="2" t="inlineStr">
        <is>
          <t>Servicios externos</t>
        </is>
      </c>
      <c r="I2032" s="9" t="n">
        <v>700.85</v>
      </c>
      <c r="J2032" s="9" t="n">
        <v>693.91</v>
      </c>
      <c r="K2032" s="9" t="n">
        <v>766.05</v>
      </c>
      <c r="L2032" s="9" t="n">
        <v>771.15</v>
      </c>
      <c r="M2032" s="9" t="n">
        <v>667.5</v>
      </c>
      <c r="N2032" s="9" t="n">
        <v>699.62</v>
      </c>
      <c r="O2032" s="9" t="n">
        <v>736.1</v>
      </c>
      <c r="P2032" s="9" t="n">
        <v>678.59</v>
      </c>
      <c r="Q2032" s="9" t="n">
        <v>677.9</v>
      </c>
      <c r="R2032" s="9" t="n">
        <v>812.14</v>
      </c>
      <c r="S2032" s="9" t="n">
        <v>654.52</v>
      </c>
      <c r="T2032" s="9" t="n">
        <v>769.75</v>
      </c>
      <c r="U2032" s="10">
        <f>SUM(I2032:T2032)</f>
        <v/>
      </c>
    </row>
    <row r="2033">
      <c r="A2033" s="2" t="inlineStr">
        <is>
          <t>SN-3000-3600-3620-3620PL0001</t>
        </is>
      </c>
      <c r="B2033" s="2" t="inlineStr">
        <is>
          <t>3620PL0001</t>
        </is>
      </c>
      <c r="C2033" s="2" t="inlineStr">
        <is>
          <t>Línea relaves 3620-4829-ATNA-10"-TSL-N</t>
        </is>
      </c>
      <c r="D2033" s="2" t="n">
        <v>678</v>
      </c>
      <c r="E2033" s="2" t="inlineStr">
        <is>
          <t>CC-3000</t>
        </is>
      </c>
      <c r="F2033" s="2" t="inlineStr">
        <is>
          <t>P01</t>
        </is>
      </c>
      <c r="G2033" s="2" t="n">
        <v>610000</v>
      </c>
      <c r="H2033" s="2" t="inlineStr">
        <is>
          <t>Mano obra interna</t>
        </is>
      </c>
      <c r="I2033" s="9" t="n">
        <v>1874.31</v>
      </c>
      <c r="J2033" s="9" t="n">
        <v>1639.27</v>
      </c>
      <c r="K2033" s="9" t="n">
        <v>1894.15</v>
      </c>
      <c r="L2033" s="9" t="n">
        <v>1665.96</v>
      </c>
      <c r="M2033" s="9" t="n">
        <v>1698.53</v>
      </c>
      <c r="N2033" s="9" t="n">
        <v>1586.4</v>
      </c>
      <c r="O2033" s="9" t="n">
        <v>1848.81</v>
      </c>
      <c r="P2033" s="9" t="n">
        <v>1798.91</v>
      </c>
      <c r="Q2033" s="9" t="n">
        <v>1499.39</v>
      </c>
      <c r="R2033" s="9" t="n">
        <v>1732.29</v>
      </c>
      <c r="S2033" s="9" t="n">
        <v>1631.08</v>
      </c>
      <c r="T2033" s="9" t="n">
        <v>1668.02</v>
      </c>
      <c r="U2033" s="10">
        <f>SUM(I2033:T2033)</f>
        <v/>
      </c>
    </row>
    <row r="2034">
      <c r="A2034" s="2" t="inlineStr">
        <is>
          <t>SN-3000-3600-3620-3620PL0001</t>
        </is>
      </c>
      <c r="B2034" s="2" t="inlineStr">
        <is>
          <t>3620PL0001</t>
        </is>
      </c>
      <c r="C2034" s="2" t="inlineStr">
        <is>
          <t>Línea relaves 3620-4829-ATNA-10"-TSL-N</t>
        </is>
      </c>
      <c r="D2034" s="2" t="n">
        <v>678</v>
      </c>
      <c r="E2034" s="2" t="inlineStr">
        <is>
          <t>CC-3000</t>
        </is>
      </c>
      <c r="F2034" s="2" t="inlineStr">
        <is>
          <t>P01</t>
        </is>
      </c>
      <c r="G2034" s="2" t="n">
        <v>620000</v>
      </c>
      <c r="H2034" s="2" t="inlineStr">
        <is>
          <t>Materiales</t>
        </is>
      </c>
      <c r="I2034" s="9" t="n">
        <v>1740.51</v>
      </c>
      <c r="J2034" s="9" t="n">
        <v>1751.97</v>
      </c>
      <c r="K2034" s="9" t="n">
        <v>1837.96</v>
      </c>
      <c r="L2034" s="9" t="n">
        <v>1741.22</v>
      </c>
      <c r="M2034" s="9" t="n">
        <v>1514.19</v>
      </c>
      <c r="N2034" s="9" t="n">
        <v>1552.6</v>
      </c>
      <c r="O2034" s="9" t="n">
        <v>1665.67</v>
      </c>
      <c r="P2034" s="9" t="n">
        <v>1659.96</v>
      </c>
      <c r="Q2034" s="9" t="n">
        <v>1572.15</v>
      </c>
      <c r="R2034" s="9" t="n">
        <v>1923.75</v>
      </c>
      <c r="S2034" s="9" t="n">
        <v>1707.49</v>
      </c>
      <c r="T2034" s="9" t="n">
        <v>1580.58</v>
      </c>
      <c r="U2034" s="10">
        <f>SUM(I2034:T2034)</f>
        <v/>
      </c>
    </row>
    <row r="2035">
      <c r="A2035" s="2" t="inlineStr">
        <is>
          <t>SN-3000-3600-3620-3620PL0001</t>
        </is>
      </c>
      <c r="B2035" s="2" t="inlineStr">
        <is>
          <t>3620PL0001</t>
        </is>
      </c>
      <c r="C2035" s="2" t="inlineStr">
        <is>
          <t>Línea relaves 3620-4829-ATNA-10"-TSL-N</t>
        </is>
      </c>
      <c r="D2035" s="2" t="n">
        <v>678</v>
      </c>
      <c r="E2035" s="2" t="inlineStr">
        <is>
          <t>CC-3000</t>
        </is>
      </c>
      <c r="F2035" s="2" t="inlineStr">
        <is>
          <t>P01</t>
        </is>
      </c>
      <c r="G2035" s="2" t="n">
        <v>630000</v>
      </c>
      <c r="H2035" s="2" t="inlineStr">
        <is>
          <t>Servicios externos</t>
        </is>
      </c>
      <c r="I2035" s="9" t="n">
        <v>1599.35</v>
      </c>
      <c r="J2035" s="9" t="n">
        <v>1540.91</v>
      </c>
      <c r="K2035" s="9" t="n">
        <v>1479.33</v>
      </c>
      <c r="L2035" s="9" t="n">
        <v>1576.29</v>
      </c>
      <c r="M2035" s="9" t="n">
        <v>1512.55</v>
      </c>
      <c r="N2035" s="9" t="n">
        <v>1416.05</v>
      </c>
      <c r="O2035" s="9" t="n">
        <v>1417.01</v>
      </c>
      <c r="P2035" s="9" t="n">
        <v>1578.73</v>
      </c>
      <c r="Q2035" s="9" t="n">
        <v>1424</v>
      </c>
      <c r="R2035" s="9" t="n">
        <v>1519.12</v>
      </c>
      <c r="S2035" s="9" t="n">
        <v>1487.1</v>
      </c>
      <c r="T2035" s="9" t="n">
        <v>1567.81</v>
      </c>
      <c r="U2035" s="10">
        <f>SUM(I2035:T2035)</f>
        <v/>
      </c>
    </row>
    <row r="2036">
      <c r="A2036" s="2" t="inlineStr">
        <is>
          <t>SN-3000-3600-3620-3620PL0002</t>
        </is>
      </c>
      <c r="B2036" s="2" t="inlineStr">
        <is>
          <t>3620PL0002</t>
        </is>
      </c>
      <c r="C2036" s="2" t="inlineStr">
        <is>
          <t>Línea relaves 3620-4811-AA1C-10"-TSL-N</t>
        </is>
      </c>
      <c r="D2036" s="2" t="n">
        <v>679</v>
      </c>
      <c r="E2036" s="2" t="inlineStr">
        <is>
          <t>CC-3000</t>
        </is>
      </c>
      <c r="F2036" s="2" t="inlineStr">
        <is>
          <t>P01</t>
        </is>
      </c>
      <c r="G2036" s="2" t="n">
        <v>610000</v>
      </c>
      <c r="H2036" s="2" t="inlineStr">
        <is>
          <t>Mano obra interna</t>
        </is>
      </c>
      <c r="I2036" s="9" t="n">
        <v>2772.47</v>
      </c>
      <c r="J2036" s="9" t="n">
        <v>3017.72</v>
      </c>
      <c r="K2036" s="9" t="n">
        <v>2769.21</v>
      </c>
      <c r="L2036" s="9" t="n">
        <v>2951.32</v>
      </c>
      <c r="M2036" s="9" t="n">
        <v>2883.21</v>
      </c>
      <c r="N2036" s="9" t="n">
        <v>2681.79</v>
      </c>
      <c r="O2036" s="9" t="n">
        <v>2831.81</v>
      </c>
      <c r="P2036" s="9" t="n">
        <v>3017.37</v>
      </c>
      <c r="Q2036" s="9" t="n">
        <v>2706.93</v>
      </c>
      <c r="R2036" s="9" t="n">
        <v>3063.28</v>
      </c>
      <c r="S2036" s="9" t="n">
        <v>2587.53</v>
      </c>
      <c r="T2036" s="9" t="n">
        <v>2656.73</v>
      </c>
      <c r="U2036" s="10">
        <f>SUM(I2036:T2036)</f>
        <v/>
      </c>
    </row>
    <row r="2037">
      <c r="A2037" s="2" t="inlineStr">
        <is>
          <t>SN-3000-3600-3620-3620PL0002</t>
        </is>
      </c>
      <c r="B2037" s="2" t="inlineStr">
        <is>
          <t>3620PL0002</t>
        </is>
      </c>
      <c r="C2037" s="2" t="inlineStr">
        <is>
          <t>Línea relaves 3620-4811-AA1C-10"-TSL-N</t>
        </is>
      </c>
      <c r="D2037" s="2" t="n">
        <v>679</v>
      </c>
      <c r="E2037" s="2" t="inlineStr">
        <is>
          <t>CC-3000</t>
        </is>
      </c>
      <c r="F2037" s="2" t="inlineStr">
        <is>
          <t>P01</t>
        </is>
      </c>
      <c r="G2037" s="2" t="n">
        <v>620000</v>
      </c>
      <c r="H2037" s="2" t="inlineStr">
        <is>
          <t>Materiales</t>
        </is>
      </c>
      <c r="I2037" s="9" t="n">
        <v>2382.57</v>
      </c>
      <c r="J2037" s="9" t="n">
        <v>2232.74</v>
      </c>
      <c r="K2037" s="9" t="n">
        <v>2411.69</v>
      </c>
      <c r="L2037" s="9" t="n">
        <v>2057.96</v>
      </c>
      <c r="M2037" s="9" t="n">
        <v>2214.73</v>
      </c>
      <c r="N2037" s="9" t="n">
        <v>1927.97</v>
      </c>
      <c r="O2037" s="9" t="n">
        <v>2274.35</v>
      </c>
      <c r="P2037" s="9" t="n">
        <v>2132.13</v>
      </c>
      <c r="Q2037" s="9" t="n">
        <v>1893.84</v>
      </c>
      <c r="R2037" s="9" t="n">
        <v>2371.28</v>
      </c>
      <c r="S2037" s="9" t="n">
        <v>2031.61</v>
      </c>
      <c r="T2037" s="9" t="n">
        <v>2263.81</v>
      </c>
      <c r="U2037" s="10">
        <f>SUM(I2037:T2037)</f>
        <v/>
      </c>
    </row>
    <row r="2038">
      <c r="A2038" s="2" t="inlineStr">
        <is>
          <t>SN-3000-3600-3620-3620PL0002</t>
        </is>
      </c>
      <c r="B2038" s="2" t="inlineStr">
        <is>
          <t>3620PL0002</t>
        </is>
      </c>
      <c r="C2038" s="2" t="inlineStr">
        <is>
          <t>Línea relaves 3620-4811-AA1C-10"-TSL-N</t>
        </is>
      </c>
      <c r="D2038" s="2" t="n">
        <v>679</v>
      </c>
      <c r="E2038" s="2" t="inlineStr">
        <is>
          <t>CC-3000</t>
        </is>
      </c>
      <c r="F2038" s="2" t="inlineStr">
        <is>
          <t>P01</t>
        </is>
      </c>
      <c r="G2038" s="2" t="n">
        <v>630000</v>
      </c>
      <c r="H2038" s="2" t="inlineStr">
        <is>
          <t>Servicios externos</t>
        </is>
      </c>
      <c r="I2038" s="9" t="n">
        <v>2745.83</v>
      </c>
      <c r="J2038" s="9" t="n">
        <v>2767</v>
      </c>
      <c r="K2038" s="9" t="n">
        <v>2638.04</v>
      </c>
      <c r="L2038" s="9" t="n">
        <v>2646.98</v>
      </c>
      <c r="M2038" s="9" t="n">
        <v>2703.02</v>
      </c>
      <c r="N2038" s="9" t="n">
        <v>2521.15</v>
      </c>
      <c r="O2038" s="9" t="n">
        <v>2412.61</v>
      </c>
      <c r="P2038" s="9" t="n">
        <v>2745.24</v>
      </c>
      <c r="Q2038" s="9" t="n">
        <v>2250.35</v>
      </c>
      <c r="R2038" s="9" t="n">
        <v>2660.66</v>
      </c>
      <c r="S2038" s="9" t="n">
        <v>2360.65</v>
      </c>
      <c r="T2038" s="9" t="n">
        <v>2464.52</v>
      </c>
      <c r="U2038" s="10">
        <f>SUM(I2038:T2038)</f>
        <v/>
      </c>
    </row>
    <row r="2039">
      <c r="A2039" s="2" t="inlineStr">
        <is>
          <t>SN-3000-3600-3620-3620PU0238</t>
        </is>
      </c>
      <c r="B2039" s="2" t="inlineStr">
        <is>
          <t>3620PU0238</t>
        </is>
      </c>
      <c r="C2039" s="2" t="inlineStr">
        <is>
          <t>Bomba descarga espesador relaves</t>
        </is>
      </c>
      <c r="D2039" s="2" t="n">
        <v>680</v>
      </c>
      <c r="E2039" s="2" t="inlineStr">
        <is>
          <t>CC-3000</t>
        </is>
      </c>
      <c r="F2039" s="2" t="inlineStr">
        <is>
          <t>P01</t>
        </is>
      </c>
      <c r="G2039" s="2" t="n">
        <v>610000</v>
      </c>
      <c r="H2039" s="2" t="inlineStr">
        <is>
          <t>Mano obra interna</t>
        </is>
      </c>
      <c r="I2039" s="9" t="n">
        <v>1904.78</v>
      </c>
      <c r="J2039" s="9" t="n">
        <v>1960.27</v>
      </c>
      <c r="K2039" s="9" t="n">
        <v>1990.52</v>
      </c>
      <c r="L2039" s="9" t="n">
        <v>1930.51</v>
      </c>
      <c r="M2039" s="9" t="n">
        <v>2038.61</v>
      </c>
      <c r="N2039" s="9" t="n">
        <v>1836.49</v>
      </c>
      <c r="O2039" s="9" t="n">
        <v>1855.13</v>
      </c>
      <c r="P2039" s="9" t="n">
        <v>1981.21</v>
      </c>
      <c r="Q2039" s="9" t="n">
        <v>1813.33</v>
      </c>
      <c r="R2039" s="9" t="n">
        <v>2103.58</v>
      </c>
      <c r="S2039" s="9" t="n">
        <v>1927.72</v>
      </c>
      <c r="T2039" s="9" t="n">
        <v>2093.84</v>
      </c>
      <c r="U2039" s="10">
        <f>SUM(I2039:T2039)</f>
        <v/>
      </c>
    </row>
    <row r="2040">
      <c r="A2040" s="2" t="inlineStr">
        <is>
          <t>SN-3000-3600-3620-3620PU0238</t>
        </is>
      </c>
      <c r="B2040" s="2" t="inlineStr">
        <is>
          <t>3620PU0238</t>
        </is>
      </c>
      <c r="C2040" s="2" t="inlineStr">
        <is>
          <t>Bomba descarga espesador relaves</t>
        </is>
      </c>
      <c r="D2040" s="2" t="n">
        <v>680</v>
      </c>
      <c r="E2040" s="2" t="inlineStr">
        <is>
          <t>CC-3000</t>
        </is>
      </c>
      <c r="F2040" s="2" t="inlineStr">
        <is>
          <t>P01</t>
        </is>
      </c>
      <c r="G2040" s="2" t="n">
        <v>620000</v>
      </c>
      <c r="H2040" s="2" t="inlineStr">
        <is>
          <t>Materiales</t>
        </is>
      </c>
      <c r="I2040" s="9" t="n">
        <v>2477.19</v>
      </c>
      <c r="J2040" s="9" t="n">
        <v>2239.93</v>
      </c>
      <c r="K2040" s="9" t="n">
        <v>2329.43</v>
      </c>
      <c r="L2040" s="9" t="n">
        <v>2211.65</v>
      </c>
      <c r="M2040" s="9" t="n">
        <v>2336.19</v>
      </c>
      <c r="N2040" s="9" t="n">
        <v>2043.68</v>
      </c>
      <c r="O2040" s="9" t="n">
        <v>2265.75</v>
      </c>
      <c r="P2040" s="9" t="n">
        <v>2237.72</v>
      </c>
      <c r="Q2040" s="9" t="n">
        <v>2164.65</v>
      </c>
      <c r="R2040" s="9" t="n">
        <v>2609.23</v>
      </c>
      <c r="S2040" s="9" t="n">
        <v>2352.39</v>
      </c>
      <c r="T2040" s="9" t="n">
        <v>2179.28</v>
      </c>
      <c r="U2040" s="10">
        <f>SUM(I2040:T2040)</f>
        <v/>
      </c>
    </row>
    <row r="2041">
      <c r="A2041" s="2" t="inlineStr">
        <is>
          <t>SN-3000-3600-3620-3620PU0238</t>
        </is>
      </c>
      <c r="B2041" s="2" t="inlineStr">
        <is>
          <t>3620PU0238</t>
        </is>
      </c>
      <c r="C2041" s="2" t="inlineStr">
        <is>
          <t>Bomba descarga espesador relaves</t>
        </is>
      </c>
      <c r="D2041" s="2" t="n">
        <v>680</v>
      </c>
      <c r="E2041" s="2" t="inlineStr">
        <is>
          <t>CC-3000</t>
        </is>
      </c>
      <c r="F2041" s="2" t="inlineStr">
        <is>
          <t>P01</t>
        </is>
      </c>
      <c r="G2041" s="2" t="n">
        <v>630000</v>
      </c>
      <c r="H2041" s="2" t="inlineStr">
        <is>
          <t>Servicios externos</t>
        </is>
      </c>
      <c r="I2041" s="9" t="n">
        <v>2150.14</v>
      </c>
      <c r="J2041" s="9" t="n">
        <v>1981.61</v>
      </c>
      <c r="K2041" s="9" t="n">
        <v>2054.13</v>
      </c>
      <c r="L2041" s="9" t="n">
        <v>2119.53</v>
      </c>
      <c r="M2041" s="9" t="n">
        <v>2017.83</v>
      </c>
      <c r="N2041" s="9" t="n">
        <v>2062.53</v>
      </c>
      <c r="O2041" s="9" t="n">
        <v>2034.08</v>
      </c>
      <c r="P2041" s="9" t="n">
        <v>1993.79</v>
      </c>
      <c r="Q2041" s="9" t="n">
        <v>1880.32</v>
      </c>
      <c r="R2041" s="9" t="n">
        <v>2270.35</v>
      </c>
      <c r="S2041" s="9" t="n">
        <v>1977.15</v>
      </c>
      <c r="T2041" s="9" t="n">
        <v>2083.9</v>
      </c>
      <c r="U2041" s="10">
        <f>SUM(I2041:T2041)</f>
        <v/>
      </c>
    </row>
    <row r="2042">
      <c r="A2042" s="2" t="inlineStr">
        <is>
          <t>SN-3000-3600-3620-3620PU0239</t>
        </is>
      </c>
      <c r="B2042" s="2" t="inlineStr">
        <is>
          <t>3620PU0239</t>
        </is>
      </c>
      <c r="C2042" s="2" t="inlineStr">
        <is>
          <t>Bomba descarga espesador relaves</t>
        </is>
      </c>
      <c r="D2042" s="2" t="n">
        <v>681</v>
      </c>
      <c r="E2042" s="2" t="inlineStr">
        <is>
          <t>CC-3000</t>
        </is>
      </c>
      <c r="F2042" s="2" t="inlineStr">
        <is>
          <t>P01</t>
        </is>
      </c>
      <c r="G2042" s="2" t="n">
        <v>610000</v>
      </c>
      <c r="H2042" s="2" t="inlineStr">
        <is>
          <t>Mano obra interna</t>
        </is>
      </c>
      <c r="I2042" s="9" t="n">
        <v>647.58</v>
      </c>
      <c r="J2042" s="9" t="n">
        <v>601.39</v>
      </c>
      <c r="K2042" s="9" t="n">
        <v>661.92</v>
      </c>
      <c r="L2042" s="9" t="n">
        <v>652.52</v>
      </c>
      <c r="M2042" s="9" t="n">
        <v>568.2</v>
      </c>
      <c r="N2042" s="9" t="n">
        <v>592.1</v>
      </c>
      <c r="O2042" s="9" t="n">
        <v>647.05</v>
      </c>
      <c r="P2042" s="9" t="n">
        <v>622</v>
      </c>
      <c r="Q2042" s="9" t="n">
        <v>605.45</v>
      </c>
      <c r="R2042" s="9" t="n">
        <v>666.11</v>
      </c>
      <c r="S2042" s="9" t="n">
        <v>649.28</v>
      </c>
      <c r="T2042" s="9" t="n">
        <v>610.87</v>
      </c>
      <c r="U2042" s="10">
        <f>SUM(I2042:T2042)</f>
        <v/>
      </c>
    </row>
    <row r="2043">
      <c r="A2043" s="2" t="inlineStr">
        <is>
          <t>SN-3000-3600-3620-3620PU0239</t>
        </is>
      </c>
      <c r="B2043" s="2" t="inlineStr">
        <is>
          <t>3620PU0239</t>
        </is>
      </c>
      <c r="C2043" s="2" t="inlineStr">
        <is>
          <t>Bomba descarga espesador relaves</t>
        </is>
      </c>
      <c r="D2043" s="2" t="n">
        <v>681</v>
      </c>
      <c r="E2043" s="2" t="inlineStr">
        <is>
          <t>CC-3000</t>
        </is>
      </c>
      <c r="F2043" s="2" t="inlineStr">
        <is>
          <t>P01</t>
        </is>
      </c>
      <c r="G2043" s="2" t="n">
        <v>620000</v>
      </c>
      <c r="H2043" s="2" t="inlineStr">
        <is>
          <t>Materiales</t>
        </is>
      </c>
      <c r="I2043" s="9" t="n">
        <v>471.61</v>
      </c>
      <c r="J2043" s="9" t="n">
        <v>463.2</v>
      </c>
      <c r="K2043" s="9" t="n">
        <v>470.35</v>
      </c>
      <c r="L2043" s="9" t="n">
        <v>457.82</v>
      </c>
      <c r="M2043" s="9" t="n">
        <v>475.1</v>
      </c>
      <c r="N2043" s="9" t="n">
        <v>437.9</v>
      </c>
      <c r="O2043" s="9" t="n">
        <v>477.24</v>
      </c>
      <c r="P2043" s="9" t="n">
        <v>487.7</v>
      </c>
      <c r="Q2043" s="9" t="n">
        <v>453.08</v>
      </c>
      <c r="R2043" s="9" t="n">
        <v>493.8</v>
      </c>
      <c r="S2043" s="9" t="n">
        <v>457.2</v>
      </c>
      <c r="T2043" s="9" t="n">
        <v>470.33</v>
      </c>
      <c r="U2043" s="10">
        <f>SUM(I2043:T2043)</f>
        <v/>
      </c>
    </row>
    <row r="2044">
      <c r="A2044" s="2" t="inlineStr">
        <is>
          <t>SN-3000-3600-3620-3620PU0239</t>
        </is>
      </c>
      <c r="B2044" s="2" t="inlineStr">
        <is>
          <t>3620PU0239</t>
        </is>
      </c>
      <c r="C2044" s="2" t="inlineStr">
        <is>
          <t>Bomba descarga espesador relaves</t>
        </is>
      </c>
      <c r="D2044" s="2" t="n">
        <v>681</v>
      </c>
      <c r="E2044" s="2" t="inlineStr">
        <is>
          <t>CC-3000</t>
        </is>
      </c>
      <c r="F2044" s="2" t="inlineStr">
        <is>
          <t>P01</t>
        </is>
      </c>
      <c r="G2044" s="2" t="n">
        <v>630000</v>
      </c>
      <c r="H2044" s="2" t="inlineStr">
        <is>
          <t>Servicios externos</t>
        </is>
      </c>
      <c r="I2044" s="9" t="n">
        <v>643.22</v>
      </c>
      <c r="J2044" s="9" t="n">
        <v>570.46</v>
      </c>
      <c r="K2044" s="9" t="n">
        <v>572.85</v>
      </c>
      <c r="L2044" s="9" t="n">
        <v>574.89</v>
      </c>
      <c r="M2044" s="9" t="n">
        <v>575.4299999999999</v>
      </c>
      <c r="N2044" s="9" t="n">
        <v>573.8200000000001</v>
      </c>
      <c r="O2044" s="9" t="n">
        <v>609.26</v>
      </c>
      <c r="P2044" s="9" t="n">
        <v>577.62</v>
      </c>
      <c r="Q2044" s="9" t="n">
        <v>567.84</v>
      </c>
      <c r="R2044" s="9" t="n">
        <v>685.55</v>
      </c>
      <c r="S2044" s="9" t="n">
        <v>589.1</v>
      </c>
      <c r="T2044" s="9" t="n">
        <v>569.97</v>
      </c>
      <c r="U2044" s="10">
        <f>SUM(I2044:T2044)</f>
        <v/>
      </c>
    </row>
    <row r="2045">
      <c r="A2045" s="2" t="inlineStr">
        <is>
          <t>SN-3000-3600-3620-3620PU0253</t>
        </is>
      </c>
      <c r="B2045" s="2" t="inlineStr">
        <is>
          <t>3620PU0253</t>
        </is>
      </c>
      <c r="C2045" s="2" t="inlineStr">
        <is>
          <t>Bomba rebose espesador relaves</t>
        </is>
      </c>
      <c r="D2045" s="2" t="n">
        <v>682</v>
      </c>
      <c r="E2045" s="2" t="inlineStr">
        <is>
          <t>CC-3000</t>
        </is>
      </c>
      <c r="F2045" s="2" t="inlineStr">
        <is>
          <t>P01</t>
        </is>
      </c>
      <c r="G2045" s="2" t="n">
        <v>610000</v>
      </c>
      <c r="H2045" s="2" t="inlineStr">
        <is>
          <t>Mano obra interna</t>
        </is>
      </c>
      <c r="I2045" s="9" t="n">
        <v>1981.94</v>
      </c>
      <c r="J2045" s="9" t="n">
        <v>2012</v>
      </c>
      <c r="K2045" s="9" t="n">
        <v>1941.92</v>
      </c>
      <c r="L2045" s="9" t="n">
        <v>1946.76</v>
      </c>
      <c r="M2045" s="9" t="n">
        <v>1938.73</v>
      </c>
      <c r="N2045" s="9" t="n">
        <v>1851.03</v>
      </c>
      <c r="O2045" s="9" t="n">
        <v>1997.03</v>
      </c>
      <c r="P2045" s="9" t="n">
        <v>1785.39</v>
      </c>
      <c r="Q2045" s="9" t="n">
        <v>1813.48</v>
      </c>
      <c r="R2045" s="9" t="n">
        <v>1953.9</v>
      </c>
      <c r="S2045" s="9" t="n">
        <v>1811.76</v>
      </c>
      <c r="T2045" s="9" t="n">
        <v>2007.79</v>
      </c>
      <c r="U2045" s="10">
        <f>SUM(I2045:T2045)</f>
        <v/>
      </c>
    </row>
    <row r="2046">
      <c r="A2046" s="2" t="inlineStr">
        <is>
          <t>SN-3000-3600-3620-3620PU0253</t>
        </is>
      </c>
      <c r="B2046" s="2" t="inlineStr">
        <is>
          <t>3620PU0253</t>
        </is>
      </c>
      <c r="C2046" s="2" t="inlineStr">
        <is>
          <t>Bomba rebose espesador relaves</t>
        </is>
      </c>
      <c r="D2046" s="2" t="n">
        <v>682</v>
      </c>
      <c r="E2046" s="2" t="inlineStr">
        <is>
          <t>CC-3000</t>
        </is>
      </c>
      <c r="F2046" s="2" t="inlineStr">
        <is>
          <t>P01</t>
        </is>
      </c>
      <c r="G2046" s="2" t="n">
        <v>620000</v>
      </c>
      <c r="H2046" s="2" t="inlineStr">
        <is>
          <t>Materiales</t>
        </is>
      </c>
      <c r="I2046" s="9" t="n">
        <v>1631.27</v>
      </c>
      <c r="J2046" s="9" t="n">
        <v>1676.15</v>
      </c>
      <c r="K2046" s="9" t="n">
        <v>1741.57</v>
      </c>
      <c r="L2046" s="9" t="n">
        <v>1574.48</v>
      </c>
      <c r="M2046" s="9" t="n">
        <v>1651.5</v>
      </c>
      <c r="N2046" s="9" t="n">
        <v>1487.02</v>
      </c>
      <c r="O2046" s="9" t="n">
        <v>1583.76</v>
      </c>
      <c r="P2046" s="9" t="n">
        <v>1636.4</v>
      </c>
      <c r="Q2046" s="9" t="n">
        <v>1438.53</v>
      </c>
      <c r="R2046" s="9" t="n">
        <v>1918.06</v>
      </c>
      <c r="S2046" s="9" t="n">
        <v>1510.3</v>
      </c>
      <c r="T2046" s="9" t="n">
        <v>1748.15</v>
      </c>
      <c r="U2046" s="10">
        <f>SUM(I2046:T2046)</f>
        <v/>
      </c>
    </row>
    <row r="2047">
      <c r="A2047" s="2" t="inlineStr">
        <is>
          <t>SN-3000-3600-3620-3620PU0253</t>
        </is>
      </c>
      <c r="B2047" s="2" t="inlineStr">
        <is>
          <t>3620PU0253</t>
        </is>
      </c>
      <c r="C2047" s="2" t="inlineStr">
        <is>
          <t>Bomba rebose espesador relaves</t>
        </is>
      </c>
      <c r="D2047" s="2" t="n">
        <v>682</v>
      </c>
      <c r="E2047" s="2" t="inlineStr">
        <is>
          <t>CC-3000</t>
        </is>
      </c>
      <c r="F2047" s="2" t="inlineStr">
        <is>
          <t>P01</t>
        </is>
      </c>
      <c r="G2047" s="2" t="n">
        <v>630000</v>
      </c>
      <c r="H2047" s="2" t="inlineStr">
        <is>
          <t>Servicios externos</t>
        </is>
      </c>
      <c r="I2047" s="9" t="n">
        <v>2198.18</v>
      </c>
      <c r="J2047" s="9" t="n">
        <v>1942.78</v>
      </c>
      <c r="K2047" s="9" t="n">
        <v>2181.78</v>
      </c>
      <c r="L2047" s="9" t="n">
        <v>2188.72</v>
      </c>
      <c r="M2047" s="9" t="n">
        <v>1871.44</v>
      </c>
      <c r="N2047" s="9" t="n">
        <v>1901.49</v>
      </c>
      <c r="O2047" s="9" t="n">
        <v>1855.79</v>
      </c>
      <c r="P2047" s="9" t="n">
        <v>2032.45</v>
      </c>
      <c r="Q2047" s="9" t="n">
        <v>1881.69</v>
      </c>
      <c r="R2047" s="9" t="n">
        <v>2050.05</v>
      </c>
      <c r="S2047" s="9" t="n">
        <v>2023.78</v>
      </c>
      <c r="T2047" s="9" t="n">
        <v>1875.13</v>
      </c>
      <c r="U2047" s="10">
        <f>SUM(I2047:T2047)</f>
        <v/>
      </c>
    </row>
    <row r="2048">
      <c r="A2048" s="2" t="inlineStr">
        <is>
          <t>SN-3000-3600-3620-3620PU0254</t>
        </is>
      </c>
      <c r="B2048" s="2" t="inlineStr">
        <is>
          <t>3620PU0254</t>
        </is>
      </c>
      <c r="C2048" s="2" t="inlineStr">
        <is>
          <t>Bomba rebose espesador relaves</t>
        </is>
      </c>
      <c r="D2048" s="2" t="n">
        <v>683</v>
      </c>
      <c r="E2048" s="2" t="inlineStr">
        <is>
          <t>CC-3000</t>
        </is>
      </c>
      <c r="F2048" s="2" t="inlineStr">
        <is>
          <t>P01</t>
        </is>
      </c>
      <c r="G2048" s="2" t="n">
        <v>610000</v>
      </c>
      <c r="H2048" s="2" t="inlineStr">
        <is>
          <t>Mano obra interna</t>
        </is>
      </c>
      <c r="I2048" s="9" t="n">
        <v>1732.84</v>
      </c>
      <c r="J2048" s="9" t="n">
        <v>1854.13</v>
      </c>
      <c r="K2048" s="9" t="n">
        <v>1766.97</v>
      </c>
      <c r="L2048" s="9" t="n">
        <v>1802.32</v>
      </c>
      <c r="M2048" s="9" t="n">
        <v>1882.09</v>
      </c>
      <c r="N2048" s="9" t="n">
        <v>1694.17</v>
      </c>
      <c r="O2048" s="9" t="n">
        <v>1840.67</v>
      </c>
      <c r="P2048" s="9" t="n">
        <v>1957.11</v>
      </c>
      <c r="Q2048" s="9" t="n">
        <v>1586.41</v>
      </c>
      <c r="R2048" s="9" t="n">
        <v>2079.16</v>
      </c>
      <c r="S2048" s="9" t="n">
        <v>1654.23</v>
      </c>
      <c r="T2048" s="9" t="n">
        <v>1752.52</v>
      </c>
      <c r="U2048" s="10">
        <f>SUM(I2048:T2048)</f>
        <v/>
      </c>
    </row>
    <row r="2049">
      <c r="A2049" s="2" t="inlineStr">
        <is>
          <t>SN-3000-3600-3620-3620PU0254</t>
        </is>
      </c>
      <c r="B2049" s="2" t="inlineStr">
        <is>
          <t>3620PU0254</t>
        </is>
      </c>
      <c r="C2049" s="2" t="inlineStr">
        <is>
          <t>Bomba rebose espesador relaves</t>
        </is>
      </c>
      <c r="D2049" s="2" t="n">
        <v>683</v>
      </c>
      <c r="E2049" s="2" t="inlineStr">
        <is>
          <t>CC-3000</t>
        </is>
      </c>
      <c r="F2049" s="2" t="inlineStr">
        <is>
          <t>P01</t>
        </is>
      </c>
      <c r="G2049" s="2" t="n">
        <v>620000</v>
      </c>
      <c r="H2049" s="2" t="inlineStr">
        <is>
          <t>Materiales</t>
        </is>
      </c>
      <c r="I2049" s="9" t="n">
        <v>1532.31</v>
      </c>
      <c r="J2049" s="9" t="n">
        <v>1299.89</v>
      </c>
      <c r="K2049" s="9" t="n">
        <v>1526.17</v>
      </c>
      <c r="L2049" s="9" t="n">
        <v>1533.39</v>
      </c>
      <c r="M2049" s="9" t="n">
        <v>1351.06</v>
      </c>
      <c r="N2049" s="9" t="n">
        <v>1357.83</v>
      </c>
      <c r="O2049" s="9" t="n">
        <v>1453.83</v>
      </c>
      <c r="P2049" s="9" t="n">
        <v>1366.14</v>
      </c>
      <c r="Q2049" s="9" t="n">
        <v>1224.83</v>
      </c>
      <c r="R2049" s="9" t="n">
        <v>1484.25</v>
      </c>
      <c r="S2049" s="9" t="n">
        <v>1405.21</v>
      </c>
      <c r="T2049" s="9" t="n">
        <v>1475.12</v>
      </c>
      <c r="U2049" s="10">
        <f>SUM(I2049:T2049)</f>
        <v/>
      </c>
    </row>
    <row r="2050">
      <c r="A2050" s="2" t="inlineStr">
        <is>
          <t>SN-3000-3600-3620-3620PU0254</t>
        </is>
      </c>
      <c r="B2050" s="2" t="inlineStr">
        <is>
          <t>3620PU0254</t>
        </is>
      </c>
      <c r="C2050" s="2" t="inlineStr">
        <is>
          <t>Bomba rebose espesador relaves</t>
        </is>
      </c>
      <c r="D2050" s="2" t="n">
        <v>683</v>
      </c>
      <c r="E2050" s="2" t="inlineStr">
        <is>
          <t>CC-3000</t>
        </is>
      </c>
      <c r="F2050" s="2" t="inlineStr">
        <is>
          <t>P01</t>
        </is>
      </c>
      <c r="G2050" s="2" t="n">
        <v>630000</v>
      </c>
      <c r="H2050" s="2" t="inlineStr">
        <is>
          <t>Servicios externos</t>
        </is>
      </c>
      <c r="I2050" s="9" t="n">
        <v>1438.54</v>
      </c>
      <c r="J2050" s="9" t="n">
        <v>1562.47</v>
      </c>
      <c r="K2050" s="9" t="n">
        <v>1421.62</v>
      </c>
      <c r="L2050" s="9" t="n">
        <v>1576.3</v>
      </c>
      <c r="M2050" s="9" t="n">
        <v>1364.34</v>
      </c>
      <c r="N2050" s="9" t="n">
        <v>1498</v>
      </c>
      <c r="O2050" s="9" t="n">
        <v>1583.61</v>
      </c>
      <c r="P2050" s="9" t="n">
        <v>1437.22</v>
      </c>
      <c r="Q2050" s="9" t="n">
        <v>1289.39</v>
      </c>
      <c r="R2050" s="9" t="n">
        <v>1598.1</v>
      </c>
      <c r="S2050" s="9" t="n">
        <v>1392.6</v>
      </c>
      <c r="T2050" s="9" t="n">
        <v>1488.54</v>
      </c>
      <c r="U2050" s="10">
        <f>SUM(I2050:T2050)</f>
        <v/>
      </c>
    </row>
    <row r="2051">
      <c r="A2051" s="2" t="inlineStr">
        <is>
          <t>SN-3000-3600-3620-3620PU0265</t>
        </is>
      </c>
      <c r="B2051" s="2" t="inlineStr">
        <is>
          <t>3620PU0265</t>
        </is>
      </c>
      <c r="C2051" s="2" t="inlineStr">
        <is>
          <t>Bomba descarga clarificador detox</t>
        </is>
      </c>
      <c r="D2051" s="2" t="n">
        <v>684</v>
      </c>
      <c r="E2051" s="2" t="inlineStr">
        <is>
          <t>CC-3000</t>
        </is>
      </c>
      <c r="F2051" s="2" t="inlineStr">
        <is>
          <t>P01</t>
        </is>
      </c>
      <c r="G2051" s="2" t="n">
        <v>610000</v>
      </c>
      <c r="H2051" s="2" t="inlineStr">
        <is>
          <t>Mano obra interna</t>
        </is>
      </c>
      <c r="I2051" s="9" t="n">
        <v>1908.11</v>
      </c>
      <c r="J2051" s="9" t="n">
        <v>1886.29</v>
      </c>
      <c r="K2051" s="9" t="n">
        <v>2113.6</v>
      </c>
      <c r="L2051" s="9" t="n">
        <v>2049.44</v>
      </c>
      <c r="M2051" s="9" t="n">
        <v>1885.95</v>
      </c>
      <c r="N2051" s="9" t="n">
        <v>1923.3</v>
      </c>
      <c r="O2051" s="9" t="n">
        <v>2044.28</v>
      </c>
      <c r="P2051" s="9" t="n">
        <v>1987.67</v>
      </c>
      <c r="Q2051" s="9" t="n">
        <v>1748.61</v>
      </c>
      <c r="R2051" s="9" t="n">
        <v>1944.85</v>
      </c>
      <c r="S2051" s="9" t="n">
        <v>1989.5</v>
      </c>
      <c r="T2051" s="9" t="n">
        <v>2091.94</v>
      </c>
      <c r="U2051" s="10">
        <f>SUM(I2051:T2051)</f>
        <v/>
      </c>
    </row>
    <row r="2052">
      <c r="A2052" s="2" t="inlineStr">
        <is>
          <t>SN-3000-3600-3620-3620PU0265</t>
        </is>
      </c>
      <c r="B2052" s="2" t="inlineStr">
        <is>
          <t>3620PU0265</t>
        </is>
      </c>
      <c r="C2052" s="2" t="inlineStr">
        <is>
          <t>Bomba descarga clarificador detox</t>
        </is>
      </c>
      <c r="D2052" s="2" t="n">
        <v>684</v>
      </c>
      <c r="E2052" s="2" t="inlineStr">
        <is>
          <t>CC-3000</t>
        </is>
      </c>
      <c r="F2052" s="2" t="inlineStr">
        <is>
          <t>P01</t>
        </is>
      </c>
      <c r="G2052" s="2" t="n">
        <v>620000</v>
      </c>
      <c r="H2052" s="2" t="inlineStr">
        <is>
          <t>Materiales</t>
        </is>
      </c>
      <c r="I2052" s="9" t="n">
        <v>1831.29</v>
      </c>
      <c r="J2052" s="9" t="n">
        <v>1920.96</v>
      </c>
      <c r="K2052" s="9" t="n">
        <v>2087.1</v>
      </c>
      <c r="L2052" s="9" t="n">
        <v>1931.96</v>
      </c>
      <c r="M2052" s="9" t="n">
        <v>1812.33</v>
      </c>
      <c r="N2052" s="9" t="n">
        <v>1865.51</v>
      </c>
      <c r="O2052" s="9" t="n">
        <v>2025.63</v>
      </c>
      <c r="P2052" s="9" t="n">
        <v>1784.03</v>
      </c>
      <c r="Q2052" s="9" t="n">
        <v>1819.03</v>
      </c>
      <c r="R2052" s="9" t="n">
        <v>2122.7</v>
      </c>
      <c r="S2052" s="9" t="n">
        <v>1893.31</v>
      </c>
      <c r="T2052" s="9" t="n">
        <v>1999.7</v>
      </c>
      <c r="U2052" s="10">
        <f>SUM(I2052:T2052)</f>
        <v/>
      </c>
    </row>
    <row r="2053">
      <c r="A2053" s="2" t="inlineStr">
        <is>
          <t>SN-3000-3600-3620-3620PU0265</t>
        </is>
      </c>
      <c r="B2053" s="2" t="inlineStr">
        <is>
          <t>3620PU0265</t>
        </is>
      </c>
      <c r="C2053" s="2" t="inlineStr">
        <is>
          <t>Bomba descarga clarificador detox</t>
        </is>
      </c>
      <c r="D2053" s="2" t="n">
        <v>684</v>
      </c>
      <c r="E2053" s="2" t="inlineStr">
        <is>
          <t>CC-3000</t>
        </is>
      </c>
      <c r="F2053" s="2" t="inlineStr">
        <is>
          <t>P01</t>
        </is>
      </c>
      <c r="G2053" s="2" t="n">
        <v>630000</v>
      </c>
      <c r="H2053" s="2" t="inlineStr">
        <is>
          <t>Servicios externos</t>
        </is>
      </c>
      <c r="I2053" s="9" t="n">
        <v>1831.93</v>
      </c>
      <c r="J2053" s="9" t="n">
        <v>1798.76</v>
      </c>
      <c r="K2053" s="9" t="n">
        <v>2005.12</v>
      </c>
      <c r="L2053" s="9" t="n">
        <v>1798.93</v>
      </c>
      <c r="M2053" s="9" t="n">
        <v>1928.28</v>
      </c>
      <c r="N2053" s="9" t="n">
        <v>1871.77</v>
      </c>
      <c r="O2053" s="9" t="n">
        <v>1828.54</v>
      </c>
      <c r="P2053" s="9" t="n">
        <v>1935.81</v>
      </c>
      <c r="Q2053" s="9" t="n">
        <v>1785.15</v>
      </c>
      <c r="R2053" s="9" t="n">
        <v>1978.13</v>
      </c>
      <c r="S2053" s="9" t="n">
        <v>1835.46</v>
      </c>
      <c r="T2053" s="9" t="n">
        <v>2062.49</v>
      </c>
      <c r="U2053" s="10">
        <f>SUM(I2053:T2053)</f>
        <v/>
      </c>
    </row>
    <row r="2054">
      <c r="A2054" s="2" t="inlineStr">
        <is>
          <t>SN-3000-3600-3620-3620PU0266</t>
        </is>
      </c>
      <c r="B2054" s="2" t="inlineStr">
        <is>
          <t>3620PU0266</t>
        </is>
      </c>
      <c r="C2054" s="2" t="inlineStr">
        <is>
          <t>Bomba descarga clarificador detox</t>
        </is>
      </c>
      <c r="D2054" s="2" t="n">
        <v>685</v>
      </c>
      <c r="E2054" s="2" t="inlineStr">
        <is>
          <t>CC-3000</t>
        </is>
      </c>
      <c r="F2054" s="2" t="inlineStr">
        <is>
          <t>P01</t>
        </is>
      </c>
      <c r="G2054" s="2" t="n">
        <v>610000</v>
      </c>
      <c r="H2054" s="2" t="inlineStr">
        <is>
          <t>Mano obra interna</t>
        </is>
      </c>
      <c r="I2054" s="9" t="n">
        <v>2888.98</v>
      </c>
      <c r="J2054" s="9" t="n">
        <v>2527.43</v>
      </c>
      <c r="K2054" s="9" t="n">
        <v>2666.91</v>
      </c>
      <c r="L2054" s="9" t="n">
        <v>2643.69</v>
      </c>
      <c r="M2054" s="9" t="n">
        <v>2865.86</v>
      </c>
      <c r="N2054" s="9" t="n">
        <v>2587.09</v>
      </c>
      <c r="O2054" s="9" t="n">
        <v>2652.77</v>
      </c>
      <c r="P2054" s="9" t="n">
        <v>2879.95</v>
      </c>
      <c r="Q2054" s="9" t="n">
        <v>2444.48</v>
      </c>
      <c r="R2054" s="9" t="n">
        <v>2868.55</v>
      </c>
      <c r="S2054" s="9" t="n">
        <v>2654.2</v>
      </c>
      <c r="T2054" s="9" t="n">
        <v>2737.68</v>
      </c>
      <c r="U2054" s="10">
        <f>SUM(I2054:T2054)</f>
        <v/>
      </c>
    </row>
    <row r="2055">
      <c r="A2055" s="2" t="inlineStr">
        <is>
          <t>SN-3000-3600-3620-3620PU0266</t>
        </is>
      </c>
      <c r="B2055" s="2" t="inlineStr">
        <is>
          <t>3620PU0266</t>
        </is>
      </c>
      <c r="C2055" s="2" t="inlineStr">
        <is>
          <t>Bomba descarga clarificador detox</t>
        </is>
      </c>
      <c r="D2055" s="2" t="n">
        <v>685</v>
      </c>
      <c r="E2055" s="2" t="inlineStr">
        <is>
          <t>CC-3000</t>
        </is>
      </c>
      <c r="F2055" s="2" t="inlineStr">
        <is>
          <t>P01</t>
        </is>
      </c>
      <c r="G2055" s="2" t="n">
        <v>620000</v>
      </c>
      <c r="H2055" s="2" t="inlineStr">
        <is>
          <t>Materiales</t>
        </is>
      </c>
      <c r="I2055" s="9" t="n">
        <v>2684.72</v>
      </c>
      <c r="J2055" s="9" t="n">
        <v>2613.52</v>
      </c>
      <c r="K2055" s="9" t="n">
        <v>2947.1</v>
      </c>
      <c r="L2055" s="9" t="n">
        <v>2929.25</v>
      </c>
      <c r="M2055" s="9" t="n">
        <v>2812.13</v>
      </c>
      <c r="N2055" s="9" t="n">
        <v>2732.01</v>
      </c>
      <c r="O2055" s="9" t="n">
        <v>2731.31</v>
      </c>
      <c r="P2055" s="9" t="n">
        <v>2761.06</v>
      </c>
      <c r="Q2055" s="9" t="n">
        <v>2536.31</v>
      </c>
      <c r="R2055" s="9" t="n">
        <v>3044.74</v>
      </c>
      <c r="S2055" s="9" t="n">
        <v>2635.05</v>
      </c>
      <c r="T2055" s="9" t="n">
        <v>2569.53</v>
      </c>
      <c r="U2055" s="10">
        <f>SUM(I2055:T2055)</f>
        <v/>
      </c>
    </row>
    <row r="2056">
      <c r="A2056" s="2" t="inlineStr">
        <is>
          <t>SN-3000-3600-3620-3620PU0266</t>
        </is>
      </c>
      <c r="B2056" s="2" t="inlineStr">
        <is>
          <t>3620PU0266</t>
        </is>
      </c>
      <c r="C2056" s="2" t="inlineStr">
        <is>
          <t>Bomba descarga clarificador detox</t>
        </is>
      </c>
      <c r="D2056" s="2" t="n">
        <v>685</v>
      </c>
      <c r="E2056" s="2" t="inlineStr">
        <is>
          <t>CC-3000</t>
        </is>
      </c>
      <c r="F2056" s="2" t="inlineStr">
        <is>
          <t>P01</t>
        </is>
      </c>
      <c r="G2056" s="2" t="n">
        <v>630000</v>
      </c>
      <c r="H2056" s="2" t="inlineStr">
        <is>
          <t>Servicios externos</t>
        </is>
      </c>
      <c r="I2056" s="9" t="n">
        <v>3143.28</v>
      </c>
      <c r="J2056" s="9" t="n">
        <v>3060.28</v>
      </c>
      <c r="K2056" s="9" t="n">
        <v>2898.34</v>
      </c>
      <c r="L2056" s="9" t="n">
        <v>2910.62</v>
      </c>
      <c r="M2056" s="9" t="n">
        <v>2829.68</v>
      </c>
      <c r="N2056" s="9" t="n">
        <v>2829.65</v>
      </c>
      <c r="O2056" s="9" t="n">
        <v>2783.96</v>
      </c>
      <c r="P2056" s="9" t="n">
        <v>2899.48</v>
      </c>
      <c r="Q2056" s="9" t="n">
        <v>2611.6</v>
      </c>
      <c r="R2056" s="9" t="n">
        <v>3067.69</v>
      </c>
      <c r="S2056" s="9" t="n">
        <v>2955.94</v>
      </c>
      <c r="T2056" s="9" t="n">
        <v>3170.03</v>
      </c>
      <c r="U2056" s="10">
        <f>SUM(I2056:T2056)</f>
        <v/>
      </c>
    </row>
    <row r="2057">
      <c r="A2057" s="2" t="inlineStr">
        <is>
          <t>SN-3000-3600-3620-3620PU0293</t>
        </is>
      </c>
      <c r="B2057" s="2" t="inlineStr">
        <is>
          <t>3620PU0293</t>
        </is>
      </c>
      <c r="C2057" s="2" t="inlineStr">
        <is>
          <t>Bomba sumidero espesador relaves</t>
        </is>
      </c>
      <c r="D2057" s="2" t="n">
        <v>686</v>
      </c>
      <c r="E2057" s="2" t="inlineStr">
        <is>
          <t>CC-3000</t>
        </is>
      </c>
      <c r="F2057" s="2" t="inlineStr">
        <is>
          <t>P01</t>
        </is>
      </c>
      <c r="G2057" s="2" t="n">
        <v>610000</v>
      </c>
      <c r="H2057" s="2" t="inlineStr">
        <is>
          <t>Mano obra interna</t>
        </is>
      </c>
      <c r="I2057" s="9" t="n">
        <v>2372.94</v>
      </c>
      <c r="J2057" s="9" t="n">
        <v>2097.24</v>
      </c>
      <c r="K2057" s="9" t="n">
        <v>2215.54</v>
      </c>
      <c r="L2057" s="9" t="n">
        <v>2428.08</v>
      </c>
      <c r="M2057" s="9" t="n">
        <v>2362.25</v>
      </c>
      <c r="N2057" s="9" t="n">
        <v>2309.66</v>
      </c>
      <c r="O2057" s="9" t="n">
        <v>2291.79</v>
      </c>
      <c r="P2057" s="9" t="n">
        <v>2430.83</v>
      </c>
      <c r="Q2057" s="9" t="n">
        <v>2027.09</v>
      </c>
      <c r="R2057" s="9" t="n">
        <v>2381.29</v>
      </c>
      <c r="S2057" s="9" t="n">
        <v>2096.55</v>
      </c>
      <c r="T2057" s="9" t="n">
        <v>2445.51</v>
      </c>
      <c r="U2057" s="10">
        <f>SUM(I2057:T2057)</f>
        <v/>
      </c>
    </row>
    <row r="2058">
      <c r="A2058" s="2" t="inlineStr">
        <is>
          <t>SN-3000-3600-3620-3620PU0293</t>
        </is>
      </c>
      <c r="B2058" s="2" t="inlineStr">
        <is>
          <t>3620PU0293</t>
        </is>
      </c>
      <c r="C2058" s="2" t="inlineStr">
        <is>
          <t>Bomba sumidero espesador relaves</t>
        </is>
      </c>
      <c r="D2058" s="2" t="n">
        <v>686</v>
      </c>
      <c r="E2058" s="2" t="inlineStr">
        <is>
          <t>CC-3000</t>
        </is>
      </c>
      <c r="F2058" s="2" t="inlineStr">
        <is>
          <t>P01</t>
        </is>
      </c>
      <c r="G2058" s="2" t="n">
        <v>620000</v>
      </c>
      <c r="H2058" s="2" t="inlineStr">
        <is>
          <t>Materiales</t>
        </is>
      </c>
      <c r="I2058" s="9" t="n">
        <v>2359.94</v>
      </c>
      <c r="J2058" s="9" t="n">
        <v>2457.02</v>
      </c>
      <c r="K2058" s="9" t="n">
        <v>2353.23</v>
      </c>
      <c r="L2058" s="9" t="n">
        <v>2318.46</v>
      </c>
      <c r="M2058" s="9" t="n">
        <v>2268.94</v>
      </c>
      <c r="N2058" s="9" t="n">
        <v>2152.08</v>
      </c>
      <c r="O2058" s="9" t="n">
        <v>2524.86</v>
      </c>
      <c r="P2058" s="9" t="n">
        <v>2469.12</v>
      </c>
      <c r="Q2058" s="9" t="n">
        <v>2171.77</v>
      </c>
      <c r="R2058" s="9" t="n">
        <v>2525.77</v>
      </c>
      <c r="S2058" s="9" t="n">
        <v>2486.31</v>
      </c>
      <c r="T2058" s="9" t="n">
        <v>2483.65</v>
      </c>
      <c r="U2058" s="10">
        <f>SUM(I2058:T2058)</f>
        <v/>
      </c>
    </row>
    <row r="2059">
      <c r="A2059" s="2" t="inlineStr">
        <is>
          <t>SN-3000-3600-3620-3620PU0293</t>
        </is>
      </c>
      <c r="B2059" s="2" t="inlineStr">
        <is>
          <t>3620PU0293</t>
        </is>
      </c>
      <c r="C2059" s="2" t="inlineStr">
        <is>
          <t>Bomba sumidero espesador relaves</t>
        </is>
      </c>
      <c r="D2059" s="2" t="n">
        <v>686</v>
      </c>
      <c r="E2059" s="2" t="inlineStr">
        <is>
          <t>CC-3000</t>
        </is>
      </c>
      <c r="F2059" s="2" t="inlineStr">
        <is>
          <t>P01</t>
        </is>
      </c>
      <c r="G2059" s="2" t="n">
        <v>630000</v>
      </c>
      <c r="H2059" s="2" t="inlineStr">
        <is>
          <t>Servicios externos</t>
        </is>
      </c>
      <c r="I2059" s="9" t="n">
        <v>2793.92</v>
      </c>
      <c r="J2059" s="9" t="n">
        <v>2601.98</v>
      </c>
      <c r="K2059" s="9" t="n">
        <v>3059.1</v>
      </c>
      <c r="L2059" s="9" t="n">
        <v>2848.11</v>
      </c>
      <c r="M2059" s="9" t="n">
        <v>2568.05</v>
      </c>
      <c r="N2059" s="9" t="n">
        <v>2596.95</v>
      </c>
      <c r="O2059" s="9" t="n">
        <v>2683.63</v>
      </c>
      <c r="P2059" s="9" t="n">
        <v>2629.59</v>
      </c>
      <c r="Q2059" s="9" t="n">
        <v>2745.12</v>
      </c>
      <c r="R2059" s="9" t="n">
        <v>3155.25</v>
      </c>
      <c r="S2059" s="9" t="n">
        <v>2541.14</v>
      </c>
      <c r="T2059" s="9" t="n">
        <v>2732.45</v>
      </c>
      <c r="U2059" s="10">
        <f>SUM(I2059:T2059)</f>
        <v/>
      </c>
    </row>
    <row r="2060">
      <c r="A2060" s="2" t="inlineStr">
        <is>
          <t>SN-3000-3600-3620-3620SY0030</t>
        </is>
      </c>
      <c r="B2060" s="2" t="inlineStr">
        <is>
          <t>3620SY0030</t>
        </is>
      </c>
      <c r="C2060" s="2" t="inlineStr">
        <is>
          <t>Lava ojos emergencia</t>
        </is>
      </c>
      <c r="D2060" s="2" t="n">
        <v>687</v>
      </c>
      <c r="E2060" s="2" t="inlineStr">
        <is>
          <t>CC-3000</t>
        </is>
      </c>
      <c r="F2060" s="2" t="inlineStr">
        <is>
          <t>P01</t>
        </is>
      </c>
      <c r="G2060" s="2" t="n">
        <v>610000</v>
      </c>
      <c r="H2060" s="2" t="inlineStr">
        <is>
          <t>Mano obra interna</t>
        </is>
      </c>
      <c r="I2060" s="9" t="n">
        <v>2866.9</v>
      </c>
      <c r="J2060" s="9" t="n">
        <v>2943.64</v>
      </c>
      <c r="K2060" s="9" t="n">
        <v>3136.1</v>
      </c>
      <c r="L2060" s="9" t="n">
        <v>3084.85</v>
      </c>
      <c r="M2060" s="9" t="n">
        <v>3011.55</v>
      </c>
      <c r="N2060" s="9" t="n">
        <v>2909.47</v>
      </c>
      <c r="O2060" s="9" t="n">
        <v>3166.25</v>
      </c>
      <c r="P2060" s="9" t="n">
        <v>2871.25</v>
      </c>
      <c r="Q2060" s="9" t="n">
        <v>2908.23</v>
      </c>
      <c r="R2060" s="9" t="n">
        <v>2933.71</v>
      </c>
      <c r="S2060" s="9" t="n">
        <v>2755.03</v>
      </c>
      <c r="T2060" s="9" t="n">
        <v>2773.6</v>
      </c>
      <c r="U2060" s="10">
        <f>SUM(I2060:T2060)</f>
        <v/>
      </c>
    </row>
    <row r="2061">
      <c r="A2061" s="2" t="inlineStr">
        <is>
          <t>SN-3000-3600-3620-3620SY0030</t>
        </is>
      </c>
      <c r="B2061" s="2" t="inlineStr">
        <is>
          <t>3620SY0030</t>
        </is>
      </c>
      <c r="C2061" s="2" t="inlineStr">
        <is>
          <t>Lava ojos emergencia</t>
        </is>
      </c>
      <c r="D2061" s="2" t="n">
        <v>687</v>
      </c>
      <c r="E2061" s="2" t="inlineStr">
        <is>
          <t>CC-3000</t>
        </is>
      </c>
      <c r="F2061" s="2" t="inlineStr">
        <is>
          <t>P01</t>
        </is>
      </c>
      <c r="G2061" s="2" t="n">
        <v>620000</v>
      </c>
      <c r="H2061" s="2" t="inlineStr">
        <is>
          <t>Materiales</t>
        </is>
      </c>
      <c r="I2061" s="9" t="n">
        <v>2644.24</v>
      </c>
      <c r="J2061" s="9" t="n">
        <v>2875.81</v>
      </c>
      <c r="K2061" s="9" t="n">
        <v>2921.48</v>
      </c>
      <c r="L2061" s="9" t="n">
        <v>2614.78</v>
      </c>
      <c r="M2061" s="9" t="n">
        <v>2832.46</v>
      </c>
      <c r="N2061" s="9" t="n">
        <v>2798.66</v>
      </c>
      <c r="O2061" s="9" t="n">
        <v>2839.59</v>
      </c>
      <c r="P2061" s="9" t="n">
        <v>2557.22</v>
      </c>
      <c r="Q2061" s="9" t="n">
        <v>2723.22</v>
      </c>
      <c r="R2061" s="9" t="n">
        <v>3094.97</v>
      </c>
      <c r="S2061" s="9" t="n">
        <v>2626.52</v>
      </c>
      <c r="T2061" s="9" t="n">
        <v>2731.07</v>
      </c>
      <c r="U2061" s="10">
        <f>SUM(I2061:T2061)</f>
        <v/>
      </c>
    </row>
    <row r="2062">
      <c r="A2062" s="2" t="inlineStr">
        <is>
          <t>SN-3000-3600-3620-3620SY0030</t>
        </is>
      </c>
      <c r="B2062" s="2" t="inlineStr">
        <is>
          <t>3620SY0030</t>
        </is>
      </c>
      <c r="C2062" s="2" t="inlineStr">
        <is>
          <t>Lava ojos emergencia</t>
        </is>
      </c>
      <c r="D2062" s="2" t="n">
        <v>687</v>
      </c>
      <c r="E2062" s="2" t="inlineStr">
        <is>
          <t>CC-3000</t>
        </is>
      </c>
      <c r="F2062" s="2" t="inlineStr">
        <is>
          <t>P01</t>
        </is>
      </c>
      <c r="G2062" s="2" t="n">
        <v>630000</v>
      </c>
      <c r="H2062" s="2" t="inlineStr">
        <is>
          <t>Servicios externos</t>
        </is>
      </c>
      <c r="I2062" s="9" t="n">
        <v>2826.63</v>
      </c>
      <c r="J2062" s="9" t="n">
        <v>2473.52</v>
      </c>
      <c r="K2062" s="9" t="n">
        <v>2525.79</v>
      </c>
      <c r="L2062" s="9" t="n">
        <v>2828.9</v>
      </c>
      <c r="M2062" s="9" t="n">
        <v>2392.07</v>
      </c>
      <c r="N2062" s="9" t="n">
        <v>2664.83</v>
      </c>
      <c r="O2062" s="9" t="n">
        <v>2535.16</v>
      </c>
      <c r="P2062" s="9" t="n">
        <v>2616.78</v>
      </c>
      <c r="Q2062" s="9" t="n">
        <v>2291.29</v>
      </c>
      <c r="R2062" s="9" t="n">
        <v>3001.93</v>
      </c>
      <c r="S2062" s="9" t="n">
        <v>2632.98</v>
      </c>
      <c r="T2062" s="9" t="n">
        <v>2834.25</v>
      </c>
      <c r="U2062" s="10">
        <f>SUM(I2062:T2062)</f>
        <v/>
      </c>
    </row>
    <row r="2063">
      <c r="A2063" s="2" t="inlineStr">
        <is>
          <t>SN-3000-3600-3620-3620TH0006</t>
        </is>
      </c>
      <c r="B2063" s="2" t="inlineStr">
        <is>
          <t>3620TH0006</t>
        </is>
      </c>
      <c r="C2063" s="2" t="inlineStr">
        <is>
          <t>Espesador relaves</t>
        </is>
      </c>
      <c r="D2063" s="2" t="n">
        <v>688</v>
      </c>
      <c r="E2063" s="2" t="inlineStr">
        <is>
          <t>CC-3000</t>
        </is>
      </c>
      <c r="F2063" s="2" t="inlineStr">
        <is>
          <t>P01</t>
        </is>
      </c>
      <c r="G2063" s="2" t="n">
        <v>610000</v>
      </c>
      <c r="H2063" s="2" t="inlineStr">
        <is>
          <t>Mano obra interna</t>
        </is>
      </c>
      <c r="I2063" s="9" t="n">
        <v>1699.97</v>
      </c>
      <c r="J2063" s="9" t="n">
        <v>1674.19</v>
      </c>
      <c r="K2063" s="9" t="n">
        <v>1805.42</v>
      </c>
      <c r="L2063" s="9" t="n">
        <v>1823.15</v>
      </c>
      <c r="M2063" s="9" t="n">
        <v>1854.02</v>
      </c>
      <c r="N2063" s="9" t="n">
        <v>1645.56</v>
      </c>
      <c r="O2063" s="9" t="n">
        <v>1811.53</v>
      </c>
      <c r="P2063" s="9" t="n">
        <v>1881.68</v>
      </c>
      <c r="Q2063" s="9" t="n">
        <v>1541.71</v>
      </c>
      <c r="R2063" s="9" t="n">
        <v>2001.03</v>
      </c>
      <c r="S2063" s="9" t="n">
        <v>1676.19</v>
      </c>
      <c r="T2063" s="9" t="n">
        <v>1845.96</v>
      </c>
      <c r="U2063" s="10">
        <f>SUM(I2063:T2063)</f>
        <v/>
      </c>
    </row>
    <row r="2064">
      <c r="A2064" s="2" t="inlineStr">
        <is>
          <t>SN-3000-3600-3620-3620TH0006</t>
        </is>
      </c>
      <c r="B2064" s="2" t="inlineStr">
        <is>
          <t>3620TH0006</t>
        </is>
      </c>
      <c r="C2064" s="2" t="inlineStr">
        <is>
          <t>Espesador relaves</t>
        </is>
      </c>
      <c r="D2064" s="2" t="n">
        <v>688</v>
      </c>
      <c r="E2064" s="2" t="inlineStr">
        <is>
          <t>CC-3000</t>
        </is>
      </c>
      <c r="F2064" s="2" t="inlineStr">
        <is>
          <t>P01</t>
        </is>
      </c>
      <c r="G2064" s="2" t="n">
        <v>620000</v>
      </c>
      <c r="H2064" s="2" t="inlineStr">
        <is>
          <t>Materiales</t>
        </is>
      </c>
      <c r="I2064" s="9" t="n">
        <v>1520.88</v>
      </c>
      <c r="J2064" s="9" t="n">
        <v>1393.26</v>
      </c>
      <c r="K2064" s="9" t="n">
        <v>1697.99</v>
      </c>
      <c r="L2064" s="9" t="n">
        <v>1642.66</v>
      </c>
      <c r="M2064" s="9" t="n">
        <v>1416.23</v>
      </c>
      <c r="N2064" s="9" t="n">
        <v>1580.18</v>
      </c>
      <c r="O2064" s="9" t="n">
        <v>1556.9</v>
      </c>
      <c r="P2064" s="9" t="n">
        <v>1615.89</v>
      </c>
      <c r="Q2064" s="9" t="n">
        <v>1325.9</v>
      </c>
      <c r="R2064" s="9" t="n">
        <v>1621.31</v>
      </c>
      <c r="S2064" s="9" t="n">
        <v>1521.81</v>
      </c>
      <c r="T2064" s="9" t="n">
        <v>1455.39</v>
      </c>
      <c r="U2064" s="10">
        <f>SUM(I2064:T2064)</f>
        <v/>
      </c>
    </row>
    <row r="2065">
      <c r="A2065" s="2" t="inlineStr">
        <is>
          <t>SN-3000-3600-3620-3620TH0006</t>
        </is>
      </c>
      <c r="B2065" s="2" t="inlineStr">
        <is>
          <t>3620TH0006</t>
        </is>
      </c>
      <c r="C2065" s="2" t="inlineStr">
        <is>
          <t>Espesador relaves</t>
        </is>
      </c>
      <c r="D2065" s="2" t="n">
        <v>688</v>
      </c>
      <c r="E2065" s="2" t="inlineStr">
        <is>
          <t>CC-3000</t>
        </is>
      </c>
      <c r="F2065" s="2" t="inlineStr">
        <is>
          <t>P01</t>
        </is>
      </c>
      <c r="G2065" s="2" t="n">
        <v>630000</v>
      </c>
      <c r="H2065" s="2" t="inlineStr">
        <is>
          <t>Servicios externos</t>
        </is>
      </c>
      <c r="I2065" s="9" t="n">
        <v>1652.78</v>
      </c>
      <c r="J2065" s="9" t="n">
        <v>1536.16</v>
      </c>
      <c r="K2065" s="9" t="n">
        <v>1631.85</v>
      </c>
      <c r="L2065" s="9" t="n">
        <v>1794.86</v>
      </c>
      <c r="M2065" s="9" t="n">
        <v>1562.43</v>
      </c>
      <c r="N2065" s="9" t="n">
        <v>1490.6</v>
      </c>
      <c r="O2065" s="9" t="n">
        <v>1644.23</v>
      </c>
      <c r="P2065" s="9" t="n">
        <v>1677.46</v>
      </c>
      <c r="Q2065" s="9" t="n">
        <v>1575.85</v>
      </c>
      <c r="R2065" s="9" t="n">
        <v>1833.85</v>
      </c>
      <c r="S2065" s="9" t="n">
        <v>1464.61</v>
      </c>
      <c r="T2065" s="9" t="n">
        <v>1630.09</v>
      </c>
      <c r="U2065" s="10">
        <f>SUM(I2065:T2065)</f>
        <v/>
      </c>
    </row>
    <row r="2066">
      <c r="A2066" s="2" t="inlineStr">
        <is>
          <t>SN-3000-3600-3620-3620TH0007</t>
        </is>
      </c>
      <c r="B2066" s="2" t="inlineStr">
        <is>
          <t>3620TH0007</t>
        </is>
      </c>
      <c r="C2066" s="2" t="inlineStr">
        <is>
          <t>Clarificador solución detox</t>
        </is>
      </c>
      <c r="D2066" s="2" t="n">
        <v>689</v>
      </c>
      <c r="E2066" s="2" t="inlineStr">
        <is>
          <t>CC-3000</t>
        </is>
      </c>
      <c r="F2066" s="2" t="inlineStr">
        <is>
          <t>P01</t>
        </is>
      </c>
      <c r="G2066" s="2" t="n">
        <v>610000</v>
      </c>
      <c r="H2066" s="2" t="inlineStr">
        <is>
          <t>Mano obra interna</t>
        </is>
      </c>
      <c r="I2066" s="9" t="n">
        <v>1921.31</v>
      </c>
      <c r="J2066" s="9" t="n">
        <v>1769.28</v>
      </c>
      <c r="K2066" s="9" t="n">
        <v>1692.89</v>
      </c>
      <c r="L2066" s="9" t="n">
        <v>1776.67</v>
      </c>
      <c r="M2066" s="9" t="n">
        <v>1630.13</v>
      </c>
      <c r="N2066" s="9" t="n">
        <v>1757.13</v>
      </c>
      <c r="O2066" s="9" t="n">
        <v>1644.88</v>
      </c>
      <c r="P2066" s="9" t="n">
        <v>1677.45</v>
      </c>
      <c r="Q2066" s="9" t="n">
        <v>1623.54</v>
      </c>
      <c r="R2066" s="9" t="n">
        <v>1894.81</v>
      </c>
      <c r="S2066" s="9" t="n">
        <v>1685.53</v>
      </c>
      <c r="T2066" s="9" t="n">
        <v>1783.32</v>
      </c>
      <c r="U2066" s="10">
        <f>SUM(I2066:T2066)</f>
        <v/>
      </c>
    </row>
    <row r="2067">
      <c r="A2067" s="2" t="inlineStr">
        <is>
          <t>SN-3000-3600-3620-3620TH0007</t>
        </is>
      </c>
      <c r="B2067" s="2" t="inlineStr">
        <is>
          <t>3620TH0007</t>
        </is>
      </c>
      <c r="C2067" s="2" t="inlineStr">
        <is>
          <t>Clarificador solución detox</t>
        </is>
      </c>
      <c r="D2067" s="2" t="n">
        <v>689</v>
      </c>
      <c r="E2067" s="2" t="inlineStr">
        <is>
          <t>CC-3000</t>
        </is>
      </c>
      <c r="F2067" s="2" t="inlineStr">
        <is>
          <t>P01</t>
        </is>
      </c>
      <c r="G2067" s="2" t="n">
        <v>620000</v>
      </c>
      <c r="H2067" s="2" t="inlineStr">
        <is>
          <t>Materiales</t>
        </is>
      </c>
      <c r="I2067" s="9" t="n">
        <v>1650.79</v>
      </c>
      <c r="J2067" s="9" t="n">
        <v>1639.04</v>
      </c>
      <c r="K2067" s="9" t="n">
        <v>1650.28</v>
      </c>
      <c r="L2067" s="9" t="n">
        <v>1648.5</v>
      </c>
      <c r="M2067" s="9" t="n">
        <v>1664.3</v>
      </c>
      <c r="N2067" s="9" t="n">
        <v>1576.66</v>
      </c>
      <c r="O2067" s="9" t="n">
        <v>1711.34</v>
      </c>
      <c r="P2067" s="9" t="n">
        <v>1666.38</v>
      </c>
      <c r="Q2067" s="9" t="n">
        <v>1612.14</v>
      </c>
      <c r="R2067" s="9" t="n">
        <v>1765.03</v>
      </c>
      <c r="S2067" s="9" t="n">
        <v>1596.58</v>
      </c>
      <c r="T2067" s="9" t="n">
        <v>1721.73</v>
      </c>
      <c r="U2067" s="10">
        <f>SUM(I2067:T2067)</f>
        <v/>
      </c>
    </row>
    <row r="2068">
      <c r="A2068" s="2" t="inlineStr">
        <is>
          <t>SN-3000-3600-3620-3620TH0007</t>
        </is>
      </c>
      <c r="B2068" s="2" t="inlineStr">
        <is>
          <t>3620TH0007</t>
        </is>
      </c>
      <c r="C2068" s="2" t="inlineStr">
        <is>
          <t>Clarificador solución detox</t>
        </is>
      </c>
      <c r="D2068" s="2" t="n">
        <v>689</v>
      </c>
      <c r="E2068" s="2" t="inlineStr">
        <is>
          <t>CC-3000</t>
        </is>
      </c>
      <c r="F2068" s="2" t="inlineStr">
        <is>
          <t>P01</t>
        </is>
      </c>
      <c r="G2068" s="2" t="n">
        <v>630000</v>
      </c>
      <c r="H2068" s="2" t="inlineStr">
        <is>
          <t>Servicios externos</t>
        </is>
      </c>
      <c r="I2068" s="9" t="n">
        <v>1437.46</v>
      </c>
      <c r="J2068" s="9" t="n">
        <v>1440.78</v>
      </c>
      <c r="K2068" s="9" t="n">
        <v>1368.13</v>
      </c>
      <c r="L2068" s="9" t="n">
        <v>1451.12</v>
      </c>
      <c r="M2068" s="9" t="n">
        <v>1441.9</v>
      </c>
      <c r="N2068" s="9" t="n">
        <v>1473.82</v>
      </c>
      <c r="O2068" s="9" t="n">
        <v>1521.49</v>
      </c>
      <c r="P2068" s="9" t="n">
        <v>1382.93</v>
      </c>
      <c r="Q2068" s="9" t="n">
        <v>1336.68</v>
      </c>
      <c r="R2068" s="9" t="n">
        <v>1436.99</v>
      </c>
      <c r="S2068" s="9" t="n">
        <v>1330.88</v>
      </c>
      <c r="T2068" s="9" t="n">
        <v>1519.59</v>
      </c>
      <c r="U2068" s="10">
        <f>SUM(I2068:T2068)</f>
        <v/>
      </c>
    </row>
    <row r="2069">
      <c r="A2069" s="2" t="inlineStr">
        <is>
          <t>SN-3000-3600-3620-3620TK0053</t>
        </is>
      </c>
      <c r="B2069" s="2" t="inlineStr">
        <is>
          <t>3620TK0053</t>
        </is>
      </c>
      <c r="C2069" s="2" t="inlineStr">
        <is>
          <t>Estanque rebose espesador relaves</t>
        </is>
      </c>
      <c r="D2069" s="2" t="n">
        <v>690</v>
      </c>
      <c r="E2069" s="2" t="inlineStr">
        <is>
          <t>CC-3000</t>
        </is>
      </c>
      <c r="F2069" s="2" t="inlineStr">
        <is>
          <t>P01</t>
        </is>
      </c>
      <c r="G2069" s="2" t="n">
        <v>610000</v>
      </c>
      <c r="H2069" s="2" t="inlineStr">
        <is>
          <t>Mano obra interna</t>
        </is>
      </c>
      <c r="I2069" s="9" t="n">
        <v>710.41</v>
      </c>
      <c r="J2069" s="9" t="n">
        <v>763.67</v>
      </c>
      <c r="K2069" s="9" t="n">
        <v>785.58</v>
      </c>
      <c r="L2069" s="9" t="n">
        <v>773.3</v>
      </c>
      <c r="M2069" s="9" t="n">
        <v>758.28</v>
      </c>
      <c r="N2069" s="9" t="n">
        <v>719.8099999999999</v>
      </c>
      <c r="O2069" s="9" t="n">
        <v>680.33</v>
      </c>
      <c r="P2069" s="9" t="n">
        <v>725.35</v>
      </c>
      <c r="Q2069" s="9" t="n">
        <v>667.92</v>
      </c>
      <c r="R2069" s="9" t="n">
        <v>757.16</v>
      </c>
      <c r="S2069" s="9" t="n">
        <v>738.3099999999999</v>
      </c>
      <c r="T2069" s="9" t="n">
        <v>730.51</v>
      </c>
      <c r="U2069" s="10">
        <f>SUM(I2069:T2069)</f>
        <v/>
      </c>
    </row>
    <row r="2070">
      <c r="A2070" s="2" t="inlineStr">
        <is>
          <t>SN-3000-3600-3620-3620TK0053</t>
        </is>
      </c>
      <c r="B2070" s="2" t="inlineStr">
        <is>
          <t>3620TK0053</t>
        </is>
      </c>
      <c r="C2070" s="2" t="inlineStr">
        <is>
          <t>Estanque rebose espesador relaves</t>
        </is>
      </c>
      <c r="D2070" s="2" t="n">
        <v>690</v>
      </c>
      <c r="E2070" s="2" t="inlineStr">
        <is>
          <t>CC-3000</t>
        </is>
      </c>
      <c r="F2070" s="2" t="inlineStr">
        <is>
          <t>P01</t>
        </is>
      </c>
      <c r="G2070" s="2" t="n">
        <v>620000</v>
      </c>
      <c r="H2070" s="2" t="inlineStr">
        <is>
          <t>Materiales</t>
        </is>
      </c>
      <c r="I2070" s="9" t="n">
        <v>668.5700000000001</v>
      </c>
      <c r="J2070" s="9" t="n">
        <v>640.04</v>
      </c>
      <c r="K2070" s="9" t="n">
        <v>744.33</v>
      </c>
      <c r="L2070" s="9" t="n">
        <v>710.74</v>
      </c>
      <c r="M2070" s="9" t="n">
        <v>678.85</v>
      </c>
      <c r="N2070" s="9" t="n">
        <v>650.22</v>
      </c>
      <c r="O2070" s="9" t="n">
        <v>696.01</v>
      </c>
      <c r="P2070" s="9" t="n">
        <v>706.5599999999999</v>
      </c>
      <c r="Q2070" s="9" t="n">
        <v>637.92</v>
      </c>
      <c r="R2070" s="9" t="n">
        <v>784.04</v>
      </c>
      <c r="S2070" s="9" t="n">
        <v>707.86</v>
      </c>
      <c r="T2070" s="9" t="n">
        <v>744.11</v>
      </c>
      <c r="U2070" s="10">
        <f>SUM(I2070:T2070)</f>
        <v/>
      </c>
    </row>
    <row r="2071">
      <c r="A2071" s="2" t="inlineStr">
        <is>
          <t>SN-3000-3600-3620-3620TK0053</t>
        </is>
      </c>
      <c r="B2071" s="2" t="inlineStr">
        <is>
          <t>3620TK0053</t>
        </is>
      </c>
      <c r="C2071" s="2" t="inlineStr">
        <is>
          <t>Estanque rebose espesador relaves</t>
        </is>
      </c>
      <c r="D2071" s="2" t="n">
        <v>690</v>
      </c>
      <c r="E2071" s="2" t="inlineStr">
        <is>
          <t>CC-3000</t>
        </is>
      </c>
      <c r="F2071" s="2" t="inlineStr">
        <is>
          <t>P01</t>
        </is>
      </c>
      <c r="G2071" s="2" t="n">
        <v>630000</v>
      </c>
      <c r="H2071" s="2" t="inlineStr">
        <is>
          <t>Servicios externos</t>
        </is>
      </c>
      <c r="I2071" s="9" t="n">
        <v>906.35</v>
      </c>
      <c r="J2071" s="9" t="n">
        <v>805.29</v>
      </c>
      <c r="K2071" s="9" t="n">
        <v>905.9299999999999</v>
      </c>
      <c r="L2071" s="9" t="n">
        <v>904.23</v>
      </c>
      <c r="M2071" s="9" t="n">
        <v>874.92</v>
      </c>
      <c r="N2071" s="9" t="n">
        <v>835.91</v>
      </c>
      <c r="O2071" s="9" t="n">
        <v>818.33</v>
      </c>
      <c r="P2071" s="9" t="n">
        <v>784.46</v>
      </c>
      <c r="Q2071" s="9" t="n">
        <v>752.4299999999999</v>
      </c>
      <c r="R2071" s="9" t="n">
        <v>933.79</v>
      </c>
      <c r="S2071" s="9" t="n">
        <v>769.49</v>
      </c>
      <c r="T2071" s="9" t="n">
        <v>839.77</v>
      </c>
      <c r="U2071" s="10">
        <f>SUM(I2071:T2071)</f>
        <v/>
      </c>
    </row>
    <row r="2072">
      <c r="A2072" s="2" t="inlineStr">
        <is>
          <t>SN-3000-3600-3630-3630AG0025</t>
        </is>
      </c>
      <c r="B2072" s="2" t="inlineStr">
        <is>
          <t>3630AG0025</t>
        </is>
      </c>
      <c r="C2072" s="2" t="inlineStr">
        <is>
          <t>Agitador estanque filtración</t>
        </is>
      </c>
      <c r="D2072" s="2" t="n">
        <v>691</v>
      </c>
      <c r="E2072" s="2" t="inlineStr">
        <is>
          <t>CC-3000</t>
        </is>
      </c>
      <c r="F2072" s="2" t="inlineStr">
        <is>
          <t>P01</t>
        </is>
      </c>
      <c r="G2072" s="2" t="n">
        <v>610000</v>
      </c>
      <c r="H2072" s="2" t="inlineStr">
        <is>
          <t>Mano obra interna</t>
        </is>
      </c>
      <c r="I2072" s="9" t="n">
        <v>2219.84</v>
      </c>
      <c r="J2072" s="9" t="n">
        <v>2253.44</v>
      </c>
      <c r="K2072" s="9" t="n">
        <v>2263.66</v>
      </c>
      <c r="L2072" s="9" t="n">
        <v>2286.26</v>
      </c>
      <c r="M2072" s="9" t="n">
        <v>2144.57</v>
      </c>
      <c r="N2072" s="9" t="n">
        <v>2154.14</v>
      </c>
      <c r="O2072" s="9" t="n">
        <v>2059.01</v>
      </c>
      <c r="P2072" s="9" t="n">
        <v>2038.15</v>
      </c>
      <c r="Q2072" s="9" t="n">
        <v>2126.93</v>
      </c>
      <c r="R2072" s="9" t="n">
        <v>2378.12</v>
      </c>
      <c r="S2072" s="9" t="n">
        <v>2127.48</v>
      </c>
      <c r="T2072" s="9" t="n">
        <v>2159.36</v>
      </c>
      <c r="U2072" s="10">
        <f>SUM(I2072:T2072)</f>
        <v/>
      </c>
    </row>
    <row r="2073">
      <c r="A2073" s="2" t="inlineStr">
        <is>
          <t>SN-3000-3600-3630-3630AG0025</t>
        </is>
      </c>
      <c r="B2073" s="2" t="inlineStr">
        <is>
          <t>3630AG0025</t>
        </is>
      </c>
      <c r="C2073" s="2" t="inlineStr">
        <is>
          <t>Agitador estanque filtración</t>
        </is>
      </c>
      <c r="D2073" s="2" t="n">
        <v>691</v>
      </c>
      <c r="E2073" s="2" t="inlineStr">
        <is>
          <t>CC-3000</t>
        </is>
      </c>
      <c r="F2073" s="2" t="inlineStr">
        <is>
          <t>P01</t>
        </is>
      </c>
      <c r="G2073" s="2" t="n">
        <v>620000</v>
      </c>
      <c r="H2073" s="2" t="inlineStr">
        <is>
          <t>Materiales</t>
        </is>
      </c>
      <c r="I2073" s="9" t="n">
        <v>2049.88</v>
      </c>
      <c r="J2073" s="9" t="n">
        <v>1841.15</v>
      </c>
      <c r="K2073" s="9" t="n">
        <v>2038.38</v>
      </c>
      <c r="L2073" s="9" t="n">
        <v>2019.63</v>
      </c>
      <c r="M2073" s="9" t="n">
        <v>1981.78</v>
      </c>
      <c r="N2073" s="9" t="n">
        <v>1943.85</v>
      </c>
      <c r="O2073" s="9" t="n">
        <v>2136.88</v>
      </c>
      <c r="P2073" s="9" t="n">
        <v>2037.22</v>
      </c>
      <c r="Q2073" s="9" t="n">
        <v>1966.46</v>
      </c>
      <c r="R2073" s="9" t="n">
        <v>2165.71</v>
      </c>
      <c r="S2073" s="9" t="n">
        <v>1965.85</v>
      </c>
      <c r="T2073" s="9" t="n">
        <v>1880.82</v>
      </c>
      <c r="U2073" s="10">
        <f>SUM(I2073:T2073)</f>
        <v/>
      </c>
    </row>
    <row r="2074">
      <c r="A2074" s="2" t="inlineStr">
        <is>
          <t>SN-3000-3600-3630-3630AG0025</t>
        </is>
      </c>
      <c r="B2074" s="2" t="inlineStr">
        <is>
          <t>3630AG0025</t>
        </is>
      </c>
      <c r="C2074" s="2" t="inlineStr">
        <is>
          <t>Agitador estanque filtración</t>
        </is>
      </c>
      <c r="D2074" s="2" t="n">
        <v>691</v>
      </c>
      <c r="E2074" s="2" t="inlineStr">
        <is>
          <t>CC-3000</t>
        </is>
      </c>
      <c r="F2074" s="2" t="inlineStr">
        <is>
          <t>P01</t>
        </is>
      </c>
      <c r="G2074" s="2" t="n">
        <v>630000</v>
      </c>
      <c r="H2074" s="2" t="inlineStr">
        <is>
          <t>Servicios externos</t>
        </is>
      </c>
      <c r="I2074" s="9" t="n">
        <v>1894.88</v>
      </c>
      <c r="J2074" s="9" t="n">
        <v>1774.95</v>
      </c>
      <c r="K2074" s="9" t="n">
        <v>1981.22</v>
      </c>
      <c r="L2074" s="9" t="n">
        <v>1886.17</v>
      </c>
      <c r="M2074" s="9" t="n">
        <v>1924.81</v>
      </c>
      <c r="N2074" s="9" t="n">
        <v>1884.73</v>
      </c>
      <c r="O2074" s="9" t="n">
        <v>1730.28</v>
      </c>
      <c r="P2074" s="9" t="n">
        <v>1800.64</v>
      </c>
      <c r="Q2074" s="9" t="n">
        <v>1751.17</v>
      </c>
      <c r="R2074" s="9" t="n">
        <v>1915.05</v>
      </c>
      <c r="S2074" s="9" t="n">
        <v>1708.15</v>
      </c>
      <c r="T2074" s="9" t="n">
        <v>1953.41</v>
      </c>
      <c r="U2074" s="10">
        <f>SUM(I2074:T2074)</f>
        <v/>
      </c>
    </row>
    <row r="2075">
      <c r="A2075" s="2" t="inlineStr">
        <is>
          <t>SN-3000-3600-3630-3630AG0026</t>
        </is>
      </c>
      <c r="B2075" s="2" t="inlineStr">
        <is>
          <t>3630AG0026</t>
        </is>
      </c>
      <c r="C2075" s="2" t="inlineStr">
        <is>
          <t>Agitador estanque filtración</t>
        </is>
      </c>
      <c r="D2075" s="2" t="n">
        <v>692</v>
      </c>
      <c r="E2075" s="2" t="inlineStr">
        <is>
          <t>CC-3000</t>
        </is>
      </c>
      <c r="F2075" s="2" t="inlineStr">
        <is>
          <t>P01</t>
        </is>
      </c>
      <c r="G2075" s="2" t="n">
        <v>610000</v>
      </c>
      <c r="H2075" s="2" t="inlineStr">
        <is>
          <t>Mano obra interna</t>
        </is>
      </c>
      <c r="I2075" s="9" t="n">
        <v>3098.61</v>
      </c>
      <c r="J2075" s="9" t="n">
        <v>2874.76</v>
      </c>
      <c r="K2075" s="9" t="n">
        <v>2972.36</v>
      </c>
      <c r="L2075" s="9" t="n">
        <v>2990.9</v>
      </c>
      <c r="M2075" s="9" t="n">
        <v>2860.75</v>
      </c>
      <c r="N2075" s="9" t="n">
        <v>2781.48</v>
      </c>
      <c r="O2075" s="9" t="n">
        <v>2771.22</v>
      </c>
      <c r="P2075" s="9" t="n">
        <v>3093.48</v>
      </c>
      <c r="Q2075" s="9" t="n">
        <v>2817.18</v>
      </c>
      <c r="R2075" s="9" t="n">
        <v>3226.81</v>
      </c>
      <c r="S2075" s="9" t="n">
        <v>3017.73</v>
      </c>
      <c r="T2075" s="9" t="n">
        <v>2849.31</v>
      </c>
      <c r="U2075" s="10">
        <f>SUM(I2075:T2075)</f>
        <v/>
      </c>
    </row>
    <row r="2076">
      <c r="A2076" s="2" t="inlineStr">
        <is>
          <t>SN-3000-3600-3630-3630AG0026</t>
        </is>
      </c>
      <c r="B2076" s="2" t="inlineStr">
        <is>
          <t>3630AG0026</t>
        </is>
      </c>
      <c r="C2076" s="2" t="inlineStr">
        <is>
          <t>Agitador estanque filtración</t>
        </is>
      </c>
      <c r="D2076" s="2" t="n">
        <v>692</v>
      </c>
      <c r="E2076" s="2" t="inlineStr">
        <is>
          <t>CC-3000</t>
        </is>
      </c>
      <c r="F2076" s="2" t="inlineStr">
        <is>
          <t>P01</t>
        </is>
      </c>
      <c r="G2076" s="2" t="n">
        <v>620000</v>
      </c>
      <c r="H2076" s="2" t="inlineStr">
        <is>
          <t>Materiales</t>
        </is>
      </c>
      <c r="I2076" s="9" t="n">
        <v>2327.46</v>
      </c>
      <c r="J2076" s="9" t="n">
        <v>2304.24</v>
      </c>
      <c r="K2076" s="9" t="n">
        <v>2263.48</v>
      </c>
      <c r="L2076" s="9" t="n">
        <v>2058.3</v>
      </c>
      <c r="M2076" s="9" t="n">
        <v>2240.68</v>
      </c>
      <c r="N2076" s="9" t="n">
        <v>1930.38</v>
      </c>
      <c r="O2076" s="9" t="n">
        <v>2181.72</v>
      </c>
      <c r="P2076" s="9" t="n">
        <v>2088.17</v>
      </c>
      <c r="Q2076" s="9" t="n">
        <v>2151.03</v>
      </c>
      <c r="R2076" s="9" t="n">
        <v>2318.6</v>
      </c>
      <c r="S2076" s="9" t="n">
        <v>2231.4</v>
      </c>
      <c r="T2076" s="9" t="n">
        <v>2128.34</v>
      </c>
      <c r="U2076" s="10">
        <f>SUM(I2076:T2076)</f>
        <v/>
      </c>
    </row>
    <row r="2077">
      <c r="A2077" s="2" t="inlineStr">
        <is>
          <t>SN-3000-3600-3630-3630AG0026</t>
        </is>
      </c>
      <c r="B2077" s="2" t="inlineStr">
        <is>
          <t>3630AG0026</t>
        </is>
      </c>
      <c r="C2077" s="2" t="inlineStr">
        <is>
          <t>Agitador estanque filtración</t>
        </is>
      </c>
      <c r="D2077" s="2" t="n">
        <v>692</v>
      </c>
      <c r="E2077" s="2" t="inlineStr">
        <is>
          <t>CC-3000</t>
        </is>
      </c>
      <c r="F2077" s="2" t="inlineStr">
        <is>
          <t>P01</t>
        </is>
      </c>
      <c r="G2077" s="2" t="n">
        <v>630000</v>
      </c>
      <c r="H2077" s="2" t="inlineStr">
        <is>
          <t>Servicios externos</t>
        </is>
      </c>
      <c r="I2077" s="9" t="n">
        <v>2648.58</v>
      </c>
      <c r="J2077" s="9" t="n">
        <v>2270.65</v>
      </c>
      <c r="K2077" s="9" t="n">
        <v>2529.27</v>
      </c>
      <c r="L2077" s="9" t="n">
        <v>2430.51</v>
      </c>
      <c r="M2077" s="9" t="n">
        <v>2501.35</v>
      </c>
      <c r="N2077" s="9" t="n">
        <v>2177.6</v>
      </c>
      <c r="O2077" s="9" t="n">
        <v>2398.04</v>
      </c>
      <c r="P2077" s="9" t="n">
        <v>2496.48</v>
      </c>
      <c r="Q2077" s="9" t="n">
        <v>2220.38</v>
      </c>
      <c r="R2077" s="9" t="n">
        <v>2426.73</v>
      </c>
      <c r="S2077" s="9" t="n">
        <v>2420.88</v>
      </c>
      <c r="T2077" s="9" t="n">
        <v>2458.49</v>
      </c>
      <c r="U2077" s="10">
        <f>SUM(I2077:T2077)</f>
        <v/>
      </c>
    </row>
    <row r="2078">
      <c r="A2078" s="2" t="inlineStr">
        <is>
          <t>SN-3000-3600-3630-3630AR0008</t>
        </is>
      </c>
      <c r="B2078" s="2" t="inlineStr">
        <is>
          <t>3630AR0008</t>
        </is>
      </c>
      <c r="C2078" s="2" t="inlineStr">
        <is>
          <t>Acumulador de aire instrumentos</t>
        </is>
      </c>
      <c r="D2078" s="2" t="n">
        <v>693</v>
      </c>
      <c r="E2078" s="2" t="inlineStr">
        <is>
          <t>CC-3000</t>
        </is>
      </c>
      <c r="F2078" s="2" t="inlineStr">
        <is>
          <t>P01</t>
        </is>
      </c>
      <c r="G2078" s="2" t="n">
        <v>610000</v>
      </c>
      <c r="H2078" s="2" t="inlineStr">
        <is>
          <t>Mano obra interna</t>
        </is>
      </c>
      <c r="I2078" s="9" t="n">
        <v>2139.33</v>
      </c>
      <c r="J2078" s="9" t="n">
        <v>2163.57</v>
      </c>
      <c r="K2078" s="9" t="n">
        <v>1991.51</v>
      </c>
      <c r="L2078" s="9" t="n">
        <v>2134.44</v>
      </c>
      <c r="M2078" s="9" t="n">
        <v>2111.78</v>
      </c>
      <c r="N2078" s="9" t="n">
        <v>1832.94</v>
      </c>
      <c r="O2078" s="9" t="n">
        <v>1902.17</v>
      </c>
      <c r="P2078" s="9" t="n">
        <v>2045.22</v>
      </c>
      <c r="Q2078" s="9" t="n">
        <v>2005.52</v>
      </c>
      <c r="R2078" s="9" t="n">
        <v>2099.47</v>
      </c>
      <c r="S2078" s="9" t="n">
        <v>2100.13</v>
      </c>
      <c r="T2078" s="9" t="n">
        <v>2141.44</v>
      </c>
      <c r="U2078" s="10">
        <f>SUM(I2078:T2078)</f>
        <v/>
      </c>
    </row>
    <row r="2079">
      <c r="A2079" s="2" t="inlineStr">
        <is>
          <t>SN-3000-3600-3630-3630AR0008</t>
        </is>
      </c>
      <c r="B2079" s="2" t="inlineStr">
        <is>
          <t>3630AR0008</t>
        </is>
      </c>
      <c r="C2079" s="2" t="inlineStr">
        <is>
          <t>Acumulador de aire instrumentos</t>
        </is>
      </c>
      <c r="D2079" s="2" t="n">
        <v>693</v>
      </c>
      <c r="E2079" s="2" t="inlineStr">
        <is>
          <t>CC-3000</t>
        </is>
      </c>
      <c r="F2079" s="2" t="inlineStr">
        <is>
          <t>P01</t>
        </is>
      </c>
      <c r="G2079" s="2" t="n">
        <v>620000</v>
      </c>
      <c r="H2079" s="2" t="inlineStr">
        <is>
          <t>Materiales</t>
        </is>
      </c>
      <c r="I2079" s="9" t="n">
        <v>2297.55</v>
      </c>
      <c r="J2079" s="9" t="n">
        <v>2375.66</v>
      </c>
      <c r="K2079" s="9" t="n">
        <v>2210.91</v>
      </c>
      <c r="L2079" s="9" t="n">
        <v>2294.27</v>
      </c>
      <c r="M2079" s="9" t="n">
        <v>2265.99</v>
      </c>
      <c r="N2079" s="9" t="n">
        <v>2022.02</v>
      </c>
      <c r="O2079" s="9" t="n">
        <v>2081.93</v>
      </c>
      <c r="P2079" s="9" t="n">
        <v>2068.65</v>
      </c>
      <c r="Q2079" s="9" t="n">
        <v>2031.16</v>
      </c>
      <c r="R2079" s="9" t="n">
        <v>2255.98</v>
      </c>
      <c r="S2079" s="9" t="n">
        <v>2278.89</v>
      </c>
      <c r="T2079" s="9" t="n">
        <v>2459.57</v>
      </c>
      <c r="U2079" s="10">
        <f>SUM(I2079:T2079)</f>
        <v/>
      </c>
    </row>
    <row r="2080">
      <c r="A2080" s="2" t="inlineStr">
        <is>
          <t>SN-3000-3600-3630-3630AR0008</t>
        </is>
      </c>
      <c r="B2080" s="2" t="inlineStr">
        <is>
          <t>3630AR0008</t>
        </is>
      </c>
      <c r="C2080" s="2" t="inlineStr">
        <is>
          <t>Acumulador de aire instrumentos</t>
        </is>
      </c>
      <c r="D2080" s="2" t="n">
        <v>693</v>
      </c>
      <c r="E2080" s="2" t="inlineStr">
        <is>
          <t>CC-3000</t>
        </is>
      </c>
      <c r="F2080" s="2" t="inlineStr">
        <is>
          <t>P01</t>
        </is>
      </c>
      <c r="G2080" s="2" t="n">
        <v>630000</v>
      </c>
      <c r="H2080" s="2" t="inlineStr">
        <is>
          <t>Servicios externos</t>
        </is>
      </c>
      <c r="I2080" s="9" t="n">
        <v>2098.35</v>
      </c>
      <c r="J2080" s="9" t="n">
        <v>1891.12</v>
      </c>
      <c r="K2080" s="9" t="n">
        <v>2018.08</v>
      </c>
      <c r="L2080" s="9" t="n">
        <v>2063.51</v>
      </c>
      <c r="M2080" s="9" t="n">
        <v>2021.4</v>
      </c>
      <c r="N2080" s="9" t="n">
        <v>2126.37</v>
      </c>
      <c r="O2080" s="9" t="n">
        <v>2044.16</v>
      </c>
      <c r="P2080" s="9" t="n">
        <v>2075.08</v>
      </c>
      <c r="Q2080" s="9" t="n">
        <v>1855.5</v>
      </c>
      <c r="R2080" s="9" t="n">
        <v>2061.6</v>
      </c>
      <c r="S2080" s="9" t="n">
        <v>2140.03</v>
      </c>
      <c r="T2080" s="9" t="n">
        <v>1967.59</v>
      </c>
      <c r="U2080" s="10">
        <f>SUM(I2080:T2080)</f>
        <v/>
      </c>
    </row>
    <row r="2081">
      <c r="A2081" s="2" t="inlineStr">
        <is>
          <t>SN-3000-3600-3630-3630AR0009</t>
        </is>
      </c>
      <c r="B2081" s="2" t="inlineStr">
        <is>
          <t>3630AR0009</t>
        </is>
      </c>
      <c r="C2081" s="2" t="inlineStr">
        <is>
          <t>Acumulador de aire</t>
        </is>
      </c>
      <c r="D2081" s="2" t="n">
        <v>694</v>
      </c>
      <c r="E2081" s="2" t="inlineStr">
        <is>
          <t>CC-3000</t>
        </is>
      </c>
      <c r="F2081" s="2" t="inlineStr">
        <is>
          <t>P01</t>
        </is>
      </c>
      <c r="G2081" s="2" t="n">
        <v>610000</v>
      </c>
      <c r="H2081" s="2" t="inlineStr">
        <is>
          <t>Mano obra interna</t>
        </is>
      </c>
      <c r="I2081" s="9" t="n">
        <v>984.5</v>
      </c>
      <c r="J2081" s="9" t="n">
        <v>1026.36</v>
      </c>
      <c r="K2081" s="9" t="n">
        <v>1141.86</v>
      </c>
      <c r="L2081" s="9" t="n">
        <v>986.9400000000001</v>
      </c>
      <c r="M2081" s="9" t="n">
        <v>1001.99</v>
      </c>
      <c r="N2081" s="9" t="n">
        <v>1023.88</v>
      </c>
      <c r="O2081" s="9" t="n">
        <v>948.65</v>
      </c>
      <c r="P2081" s="9" t="n">
        <v>1055.27</v>
      </c>
      <c r="Q2081" s="9" t="n">
        <v>890.03</v>
      </c>
      <c r="R2081" s="9" t="n">
        <v>1058.72</v>
      </c>
      <c r="S2081" s="9" t="n">
        <v>938.24</v>
      </c>
      <c r="T2081" s="9" t="n">
        <v>1107.95</v>
      </c>
      <c r="U2081" s="10">
        <f>SUM(I2081:T2081)</f>
        <v/>
      </c>
    </row>
    <row r="2082">
      <c r="A2082" s="2" t="inlineStr">
        <is>
          <t>SN-3000-3600-3630-3630AR0009</t>
        </is>
      </c>
      <c r="B2082" s="2" t="inlineStr">
        <is>
          <t>3630AR0009</t>
        </is>
      </c>
      <c r="C2082" s="2" t="inlineStr">
        <is>
          <t>Acumulador de aire</t>
        </is>
      </c>
      <c r="D2082" s="2" t="n">
        <v>694</v>
      </c>
      <c r="E2082" s="2" t="inlineStr">
        <is>
          <t>CC-3000</t>
        </is>
      </c>
      <c r="F2082" s="2" t="inlineStr">
        <is>
          <t>P01</t>
        </is>
      </c>
      <c r="G2082" s="2" t="n">
        <v>620000</v>
      </c>
      <c r="H2082" s="2" t="inlineStr">
        <is>
          <t>Materiales</t>
        </is>
      </c>
      <c r="I2082" s="9" t="n">
        <v>748.02</v>
      </c>
      <c r="J2082" s="9" t="n">
        <v>789.84</v>
      </c>
      <c r="K2082" s="9" t="n">
        <v>795.84</v>
      </c>
      <c r="L2082" s="9" t="n">
        <v>796.14</v>
      </c>
      <c r="M2082" s="9" t="n">
        <v>735.01</v>
      </c>
      <c r="N2082" s="9" t="n">
        <v>786.1900000000001</v>
      </c>
      <c r="O2082" s="9" t="n">
        <v>804.11</v>
      </c>
      <c r="P2082" s="9" t="n">
        <v>773.14</v>
      </c>
      <c r="Q2082" s="9" t="n">
        <v>697.54</v>
      </c>
      <c r="R2082" s="9" t="n">
        <v>865.6799999999999</v>
      </c>
      <c r="S2082" s="9" t="n">
        <v>799.77</v>
      </c>
      <c r="T2082" s="9" t="n">
        <v>778.55</v>
      </c>
      <c r="U2082" s="10">
        <f>SUM(I2082:T2082)</f>
        <v/>
      </c>
    </row>
    <row r="2083">
      <c r="A2083" s="2" t="inlineStr">
        <is>
          <t>SN-3000-3600-3630-3630AR0009</t>
        </is>
      </c>
      <c r="B2083" s="2" t="inlineStr">
        <is>
          <t>3630AR0009</t>
        </is>
      </c>
      <c r="C2083" s="2" t="inlineStr">
        <is>
          <t>Acumulador de aire</t>
        </is>
      </c>
      <c r="D2083" s="2" t="n">
        <v>694</v>
      </c>
      <c r="E2083" s="2" t="inlineStr">
        <is>
          <t>CC-3000</t>
        </is>
      </c>
      <c r="F2083" s="2" t="inlineStr">
        <is>
          <t>P01</t>
        </is>
      </c>
      <c r="G2083" s="2" t="n">
        <v>630000</v>
      </c>
      <c r="H2083" s="2" t="inlineStr">
        <is>
          <t>Servicios externos</t>
        </is>
      </c>
      <c r="I2083" s="9" t="n">
        <v>730.51</v>
      </c>
      <c r="J2083" s="9" t="n">
        <v>760.0599999999999</v>
      </c>
      <c r="K2083" s="9" t="n">
        <v>834.13</v>
      </c>
      <c r="L2083" s="9" t="n">
        <v>706.72</v>
      </c>
      <c r="M2083" s="9" t="n">
        <v>719.09</v>
      </c>
      <c r="N2083" s="9" t="n">
        <v>666.6799999999999</v>
      </c>
      <c r="O2083" s="9" t="n">
        <v>728.16</v>
      </c>
      <c r="P2083" s="9" t="n">
        <v>738.02</v>
      </c>
      <c r="Q2083" s="9" t="n">
        <v>745.03</v>
      </c>
      <c r="R2083" s="9" t="n">
        <v>754.4</v>
      </c>
      <c r="S2083" s="9" t="n">
        <v>758.1</v>
      </c>
      <c r="T2083" s="9" t="n">
        <v>748.28</v>
      </c>
      <c r="U2083" s="10">
        <f>SUM(I2083:T2083)</f>
        <v/>
      </c>
    </row>
    <row r="2084">
      <c r="A2084" s="2" t="inlineStr">
        <is>
          <t>SN-3000-3600-3630-3630AR0010</t>
        </is>
      </c>
      <c r="B2084" s="2" t="inlineStr">
        <is>
          <t>3630AR0010</t>
        </is>
      </c>
      <c r="C2084" s="2" t="inlineStr">
        <is>
          <t>Acumulador de aire</t>
        </is>
      </c>
      <c r="D2084" s="2" t="n">
        <v>695</v>
      </c>
      <c r="E2084" s="2" t="inlineStr">
        <is>
          <t>CC-3000</t>
        </is>
      </c>
      <c r="F2084" s="2" t="inlineStr">
        <is>
          <t>P01</t>
        </is>
      </c>
      <c r="G2084" s="2" t="n">
        <v>610000</v>
      </c>
      <c r="H2084" s="2" t="inlineStr">
        <is>
          <t>Mano obra interna</t>
        </is>
      </c>
      <c r="I2084" s="9" t="n">
        <v>2589.71</v>
      </c>
      <c r="J2084" s="9" t="n">
        <v>2309.29</v>
      </c>
      <c r="K2084" s="9" t="n">
        <v>2797.94</v>
      </c>
      <c r="L2084" s="9" t="n">
        <v>2414.47</v>
      </c>
      <c r="M2084" s="9" t="n">
        <v>2544.37</v>
      </c>
      <c r="N2084" s="9" t="n">
        <v>2566.43</v>
      </c>
      <c r="O2084" s="9" t="n">
        <v>2362.26</v>
      </c>
      <c r="P2084" s="9" t="n">
        <v>2551.32</v>
      </c>
      <c r="Q2084" s="9" t="n">
        <v>2478.68</v>
      </c>
      <c r="R2084" s="9" t="n">
        <v>2942.34</v>
      </c>
      <c r="S2084" s="9" t="n">
        <v>2538.51</v>
      </c>
      <c r="T2084" s="9" t="n">
        <v>2477.87</v>
      </c>
      <c r="U2084" s="10">
        <f>SUM(I2084:T2084)</f>
        <v/>
      </c>
    </row>
    <row r="2085">
      <c r="A2085" s="2" t="inlineStr">
        <is>
          <t>SN-3000-3600-3630-3630AR0010</t>
        </is>
      </c>
      <c r="B2085" s="2" t="inlineStr">
        <is>
          <t>3630AR0010</t>
        </is>
      </c>
      <c r="C2085" s="2" t="inlineStr">
        <is>
          <t>Acumulador de aire</t>
        </is>
      </c>
      <c r="D2085" s="2" t="n">
        <v>695</v>
      </c>
      <c r="E2085" s="2" t="inlineStr">
        <is>
          <t>CC-3000</t>
        </is>
      </c>
      <c r="F2085" s="2" t="inlineStr">
        <is>
          <t>P01</t>
        </is>
      </c>
      <c r="G2085" s="2" t="n">
        <v>620000</v>
      </c>
      <c r="H2085" s="2" t="inlineStr">
        <is>
          <t>Materiales</t>
        </is>
      </c>
      <c r="I2085" s="9" t="n">
        <v>2455.35</v>
      </c>
      <c r="J2085" s="9" t="n">
        <v>2366.67</v>
      </c>
      <c r="K2085" s="9" t="n">
        <v>2538.39</v>
      </c>
      <c r="L2085" s="9" t="n">
        <v>2222.77</v>
      </c>
      <c r="M2085" s="9" t="n">
        <v>2160.09</v>
      </c>
      <c r="N2085" s="9" t="n">
        <v>2276.34</v>
      </c>
      <c r="O2085" s="9" t="n">
        <v>2498.78</v>
      </c>
      <c r="P2085" s="9" t="n">
        <v>2314.1</v>
      </c>
      <c r="Q2085" s="9" t="n">
        <v>2327.33</v>
      </c>
      <c r="R2085" s="9" t="n">
        <v>2687.19</v>
      </c>
      <c r="S2085" s="9" t="n">
        <v>2399.5</v>
      </c>
      <c r="T2085" s="9" t="n">
        <v>2518.09</v>
      </c>
      <c r="U2085" s="10">
        <f>SUM(I2085:T2085)</f>
        <v/>
      </c>
    </row>
    <row r="2086">
      <c r="A2086" s="2" t="inlineStr">
        <is>
          <t>SN-3000-3600-3630-3630AR0010</t>
        </is>
      </c>
      <c r="B2086" s="2" t="inlineStr">
        <is>
          <t>3630AR0010</t>
        </is>
      </c>
      <c r="C2086" s="2" t="inlineStr">
        <is>
          <t>Acumulador de aire</t>
        </is>
      </c>
      <c r="D2086" s="2" t="n">
        <v>695</v>
      </c>
      <c r="E2086" s="2" t="inlineStr">
        <is>
          <t>CC-3000</t>
        </is>
      </c>
      <c r="F2086" s="2" t="inlineStr">
        <is>
          <t>P01</t>
        </is>
      </c>
      <c r="G2086" s="2" t="n">
        <v>630000</v>
      </c>
      <c r="H2086" s="2" t="inlineStr">
        <is>
          <t>Servicios externos</t>
        </is>
      </c>
      <c r="I2086" s="9" t="n">
        <v>2750.93</v>
      </c>
      <c r="J2086" s="9" t="n">
        <v>2603.5</v>
      </c>
      <c r="K2086" s="9" t="n">
        <v>2443.42</v>
      </c>
      <c r="L2086" s="9" t="n">
        <v>2465.9</v>
      </c>
      <c r="M2086" s="9" t="n">
        <v>2388.56</v>
      </c>
      <c r="N2086" s="9" t="n">
        <v>2264.09</v>
      </c>
      <c r="O2086" s="9" t="n">
        <v>2407.42</v>
      </c>
      <c r="P2086" s="9" t="n">
        <v>2733.67</v>
      </c>
      <c r="Q2086" s="9" t="n">
        <v>2448.89</v>
      </c>
      <c r="R2086" s="9" t="n">
        <v>2681.47</v>
      </c>
      <c r="S2086" s="9" t="n">
        <v>2598.16</v>
      </c>
      <c r="T2086" s="9" t="n">
        <v>2596.77</v>
      </c>
      <c r="U2086" s="10">
        <f>SUM(I2086:T2086)</f>
        <v/>
      </c>
    </row>
    <row r="2087">
      <c r="A2087" s="2" t="inlineStr">
        <is>
          <t>SN-3000-3600-3630-3630AR0011</t>
        </is>
      </c>
      <c r="B2087" s="2" t="inlineStr">
        <is>
          <t>3630AR0011</t>
        </is>
      </c>
      <c r="C2087" s="2" t="inlineStr">
        <is>
          <t>Acumulador de aire</t>
        </is>
      </c>
      <c r="D2087" s="2" t="n">
        <v>696</v>
      </c>
      <c r="E2087" s="2" t="inlineStr">
        <is>
          <t>CC-3000</t>
        </is>
      </c>
      <c r="F2087" s="2" t="inlineStr">
        <is>
          <t>P01</t>
        </is>
      </c>
      <c r="G2087" s="2" t="n">
        <v>610000</v>
      </c>
      <c r="H2087" s="2" t="inlineStr">
        <is>
          <t>Mano obra interna</t>
        </is>
      </c>
      <c r="I2087" s="9" t="n">
        <v>2289.01</v>
      </c>
      <c r="J2087" s="9" t="n">
        <v>2026.63</v>
      </c>
      <c r="K2087" s="9" t="n">
        <v>2248.49</v>
      </c>
      <c r="L2087" s="9" t="n">
        <v>2086.55</v>
      </c>
      <c r="M2087" s="9" t="n">
        <v>2090.49</v>
      </c>
      <c r="N2087" s="9" t="n">
        <v>2121.71</v>
      </c>
      <c r="O2087" s="9" t="n">
        <v>1997.22</v>
      </c>
      <c r="P2087" s="9" t="n">
        <v>2271.92</v>
      </c>
      <c r="Q2087" s="9" t="n">
        <v>1831.09</v>
      </c>
      <c r="R2087" s="9" t="n">
        <v>2290.37</v>
      </c>
      <c r="S2087" s="9" t="n">
        <v>2180.97</v>
      </c>
      <c r="T2087" s="9" t="n">
        <v>2296.55</v>
      </c>
      <c r="U2087" s="10">
        <f>SUM(I2087:T2087)</f>
        <v/>
      </c>
    </row>
    <row r="2088">
      <c r="A2088" s="2" t="inlineStr">
        <is>
          <t>SN-3000-3600-3630-3630AR0011</t>
        </is>
      </c>
      <c r="B2088" s="2" t="inlineStr">
        <is>
          <t>3630AR0011</t>
        </is>
      </c>
      <c r="C2088" s="2" t="inlineStr">
        <is>
          <t>Acumulador de aire</t>
        </is>
      </c>
      <c r="D2088" s="2" t="n">
        <v>696</v>
      </c>
      <c r="E2088" s="2" t="inlineStr">
        <is>
          <t>CC-3000</t>
        </is>
      </c>
      <c r="F2088" s="2" t="inlineStr">
        <is>
          <t>P01</t>
        </is>
      </c>
      <c r="G2088" s="2" t="n">
        <v>620000</v>
      </c>
      <c r="H2088" s="2" t="inlineStr">
        <is>
          <t>Materiales</t>
        </is>
      </c>
      <c r="I2088" s="9" t="n">
        <v>2065.68</v>
      </c>
      <c r="J2088" s="9" t="n">
        <v>2189.11</v>
      </c>
      <c r="K2088" s="9" t="n">
        <v>2051.4</v>
      </c>
      <c r="L2088" s="9" t="n">
        <v>2187.85</v>
      </c>
      <c r="M2088" s="9" t="n">
        <v>2224.22</v>
      </c>
      <c r="N2088" s="9" t="n">
        <v>2071.24</v>
      </c>
      <c r="O2088" s="9" t="n">
        <v>2039.54</v>
      </c>
      <c r="P2088" s="9" t="n">
        <v>2139.68</v>
      </c>
      <c r="Q2088" s="9" t="n">
        <v>2132.04</v>
      </c>
      <c r="R2088" s="9" t="n">
        <v>2357.4</v>
      </c>
      <c r="S2088" s="9" t="n">
        <v>2150.81</v>
      </c>
      <c r="T2088" s="9" t="n">
        <v>2120.54</v>
      </c>
      <c r="U2088" s="10">
        <f>SUM(I2088:T2088)</f>
        <v/>
      </c>
    </row>
    <row r="2089">
      <c r="A2089" s="2" t="inlineStr">
        <is>
          <t>SN-3000-3600-3630-3630AR0011</t>
        </is>
      </c>
      <c r="B2089" s="2" t="inlineStr">
        <is>
          <t>3630AR0011</t>
        </is>
      </c>
      <c r="C2089" s="2" t="inlineStr">
        <is>
          <t>Acumulador de aire</t>
        </is>
      </c>
      <c r="D2089" s="2" t="n">
        <v>696</v>
      </c>
      <c r="E2089" s="2" t="inlineStr">
        <is>
          <t>CC-3000</t>
        </is>
      </c>
      <c r="F2089" s="2" t="inlineStr">
        <is>
          <t>P01</t>
        </is>
      </c>
      <c r="G2089" s="2" t="n">
        <v>630000</v>
      </c>
      <c r="H2089" s="2" t="inlineStr">
        <is>
          <t>Servicios externos</t>
        </is>
      </c>
      <c r="I2089" s="9" t="n">
        <v>2093.37</v>
      </c>
      <c r="J2089" s="9" t="n">
        <v>2112.91</v>
      </c>
      <c r="K2089" s="9" t="n">
        <v>2124.17</v>
      </c>
      <c r="L2089" s="9" t="n">
        <v>2195.75</v>
      </c>
      <c r="M2089" s="9" t="n">
        <v>2182.2</v>
      </c>
      <c r="N2089" s="9" t="n">
        <v>2116.83</v>
      </c>
      <c r="O2089" s="9" t="n">
        <v>2020.48</v>
      </c>
      <c r="P2089" s="9" t="n">
        <v>2217.91</v>
      </c>
      <c r="Q2089" s="9" t="n">
        <v>2041.44</v>
      </c>
      <c r="R2089" s="9" t="n">
        <v>2121.73</v>
      </c>
      <c r="S2089" s="9" t="n">
        <v>1920.1</v>
      </c>
      <c r="T2089" s="9" t="n">
        <v>2216.43</v>
      </c>
      <c r="U2089" s="10">
        <f>SUM(I2089:T2089)</f>
        <v/>
      </c>
    </row>
    <row r="2090">
      <c r="A2090" s="2" t="inlineStr">
        <is>
          <t>SN-3000-3600-3630-3630AR0012</t>
        </is>
      </c>
      <c r="B2090" s="2" t="inlineStr">
        <is>
          <t>3630AR0012</t>
        </is>
      </c>
      <c r="C2090" s="2" t="inlineStr">
        <is>
          <t>Acumulador de aire</t>
        </is>
      </c>
      <c r="D2090" s="2" t="n">
        <v>697</v>
      </c>
      <c r="E2090" s="2" t="inlineStr">
        <is>
          <t>CC-3000</t>
        </is>
      </c>
      <c r="F2090" s="2" t="inlineStr">
        <is>
          <t>P01</t>
        </is>
      </c>
      <c r="G2090" s="2" t="n">
        <v>610000</v>
      </c>
      <c r="H2090" s="2" t="inlineStr">
        <is>
          <t>Mano obra interna</t>
        </is>
      </c>
      <c r="I2090" s="9" t="n">
        <v>1366.6</v>
      </c>
      <c r="J2090" s="9" t="n">
        <v>1295.68</v>
      </c>
      <c r="K2090" s="9" t="n">
        <v>1384.17</v>
      </c>
      <c r="L2090" s="9" t="n">
        <v>1556.5</v>
      </c>
      <c r="M2090" s="9" t="n">
        <v>1455.5</v>
      </c>
      <c r="N2090" s="9" t="n">
        <v>1362.72</v>
      </c>
      <c r="O2090" s="9" t="n">
        <v>1519.99</v>
      </c>
      <c r="P2090" s="9" t="n">
        <v>1445.01</v>
      </c>
      <c r="Q2090" s="9" t="n">
        <v>1368.65</v>
      </c>
      <c r="R2090" s="9" t="n">
        <v>1477.12</v>
      </c>
      <c r="S2090" s="9" t="n">
        <v>1393.29</v>
      </c>
      <c r="T2090" s="9" t="n">
        <v>1357.97</v>
      </c>
      <c r="U2090" s="10">
        <f>SUM(I2090:T2090)</f>
        <v/>
      </c>
    </row>
    <row r="2091">
      <c r="A2091" s="2" t="inlineStr">
        <is>
          <t>SN-3000-3600-3630-3630AR0012</t>
        </is>
      </c>
      <c r="B2091" s="2" t="inlineStr">
        <is>
          <t>3630AR0012</t>
        </is>
      </c>
      <c r="C2091" s="2" t="inlineStr">
        <is>
          <t>Acumulador de aire</t>
        </is>
      </c>
      <c r="D2091" s="2" t="n">
        <v>697</v>
      </c>
      <c r="E2091" s="2" t="inlineStr">
        <is>
          <t>CC-3000</t>
        </is>
      </c>
      <c r="F2091" s="2" t="inlineStr">
        <is>
          <t>P01</t>
        </is>
      </c>
      <c r="G2091" s="2" t="n">
        <v>620000</v>
      </c>
      <c r="H2091" s="2" t="inlineStr">
        <is>
          <t>Materiales</t>
        </is>
      </c>
      <c r="I2091" s="9" t="n">
        <v>1322.42</v>
      </c>
      <c r="J2091" s="9" t="n">
        <v>1316.26</v>
      </c>
      <c r="K2091" s="9" t="n">
        <v>1346.02</v>
      </c>
      <c r="L2091" s="9" t="n">
        <v>1405.14</v>
      </c>
      <c r="M2091" s="9" t="n">
        <v>1461.53</v>
      </c>
      <c r="N2091" s="9" t="n">
        <v>1312.32</v>
      </c>
      <c r="O2091" s="9" t="n">
        <v>1474.92</v>
      </c>
      <c r="P2091" s="9" t="n">
        <v>1433.95</v>
      </c>
      <c r="Q2091" s="9" t="n">
        <v>1305.18</v>
      </c>
      <c r="R2091" s="9" t="n">
        <v>1446.2</v>
      </c>
      <c r="S2091" s="9" t="n">
        <v>1446.8</v>
      </c>
      <c r="T2091" s="9" t="n">
        <v>1319.41</v>
      </c>
      <c r="U2091" s="10">
        <f>SUM(I2091:T2091)</f>
        <v/>
      </c>
    </row>
    <row r="2092">
      <c r="A2092" s="2" t="inlineStr">
        <is>
          <t>SN-3000-3600-3630-3630AR0012</t>
        </is>
      </c>
      <c r="B2092" s="2" t="inlineStr">
        <is>
          <t>3630AR0012</t>
        </is>
      </c>
      <c r="C2092" s="2" t="inlineStr">
        <is>
          <t>Acumulador de aire</t>
        </is>
      </c>
      <c r="D2092" s="2" t="n">
        <v>697</v>
      </c>
      <c r="E2092" s="2" t="inlineStr">
        <is>
          <t>CC-3000</t>
        </is>
      </c>
      <c r="F2092" s="2" t="inlineStr">
        <is>
          <t>P01</t>
        </is>
      </c>
      <c r="G2092" s="2" t="n">
        <v>630000</v>
      </c>
      <c r="H2092" s="2" t="inlineStr">
        <is>
          <t>Servicios externos</t>
        </is>
      </c>
      <c r="I2092" s="9" t="n">
        <v>1559.27</v>
      </c>
      <c r="J2092" s="9" t="n">
        <v>1461.75</v>
      </c>
      <c r="K2092" s="9" t="n">
        <v>1481.55</v>
      </c>
      <c r="L2092" s="9" t="n">
        <v>1514.41</v>
      </c>
      <c r="M2092" s="9" t="n">
        <v>1571.3</v>
      </c>
      <c r="N2092" s="9" t="n">
        <v>1509.72</v>
      </c>
      <c r="O2092" s="9" t="n">
        <v>1604.9</v>
      </c>
      <c r="P2092" s="9" t="n">
        <v>1451.2</v>
      </c>
      <c r="Q2092" s="9" t="n">
        <v>1369.59</v>
      </c>
      <c r="R2092" s="9" t="n">
        <v>1491.44</v>
      </c>
      <c r="S2092" s="9" t="n">
        <v>1553.31</v>
      </c>
      <c r="T2092" s="9" t="n">
        <v>1479.1</v>
      </c>
      <c r="U2092" s="10">
        <f>SUM(I2092:T2092)</f>
        <v/>
      </c>
    </row>
    <row r="2093">
      <c r="A2093" s="2" t="inlineStr">
        <is>
          <t>SN-3000-3600-3630-3630BX0023</t>
        </is>
      </c>
      <c r="B2093" s="2" t="inlineStr">
        <is>
          <t>3630BX0023</t>
        </is>
      </c>
      <c r="C2093" s="2" t="inlineStr">
        <is>
          <t>Cajón distribución relaves</t>
        </is>
      </c>
      <c r="D2093" s="2" t="n">
        <v>698</v>
      </c>
      <c r="E2093" s="2" t="inlineStr">
        <is>
          <t>CC-3000</t>
        </is>
      </c>
      <c r="F2093" s="2" t="inlineStr">
        <is>
          <t>P01</t>
        </is>
      </c>
      <c r="G2093" s="2" t="n">
        <v>610000</v>
      </c>
      <c r="H2093" s="2" t="inlineStr">
        <is>
          <t>Mano obra interna</t>
        </is>
      </c>
      <c r="I2093" s="9" t="n">
        <v>1665.02</v>
      </c>
      <c r="J2093" s="9" t="n">
        <v>1514.35</v>
      </c>
      <c r="K2093" s="9" t="n">
        <v>1596.29</v>
      </c>
      <c r="L2093" s="9" t="n">
        <v>1483.81</v>
      </c>
      <c r="M2093" s="9" t="n">
        <v>1514.96</v>
      </c>
      <c r="N2093" s="9" t="n">
        <v>1561.8</v>
      </c>
      <c r="O2093" s="9" t="n">
        <v>1546.2</v>
      </c>
      <c r="P2093" s="9" t="n">
        <v>1470.03</v>
      </c>
      <c r="Q2093" s="9" t="n">
        <v>1318.37</v>
      </c>
      <c r="R2093" s="9" t="n">
        <v>1607.95</v>
      </c>
      <c r="S2093" s="9" t="n">
        <v>1499.44</v>
      </c>
      <c r="T2093" s="9" t="n">
        <v>1440.14</v>
      </c>
      <c r="U2093" s="10">
        <f>SUM(I2093:T2093)</f>
        <v/>
      </c>
    </row>
    <row r="2094">
      <c r="A2094" s="2" t="inlineStr">
        <is>
          <t>SN-3000-3600-3630-3630BX0023</t>
        </is>
      </c>
      <c r="B2094" s="2" t="inlineStr">
        <is>
          <t>3630BX0023</t>
        </is>
      </c>
      <c r="C2094" s="2" t="inlineStr">
        <is>
          <t>Cajón distribución relaves</t>
        </is>
      </c>
      <c r="D2094" s="2" t="n">
        <v>698</v>
      </c>
      <c r="E2094" s="2" t="inlineStr">
        <is>
          <t>CC-3000</t>
        </is>
      </c>
      <c r="F2094" s="2" t="inlineStr">
        <is>
          <t>P01</t>
        </is>
      </c>
      <c r="G2094" s="2" t="n">
        <v>620000</v>
      </c>
      <c r="H2094" s="2" t="inlineStr">
        <is>
          <t>Materiales</t>
        </is>
      </c>
      <c r="I2094" s="9" t="n">
        <v>1605.08</v>
      </c>
      <c r="J2094" s="9" t="n">
        <v>1612.68</v>
      </c>
      <c r="K2094" s="9" t="n">
        <v>1494.19</v>
      </c>
      <c r="L2094" s="9" t="n">
        <v>1672.91</v>
      </c>
      <c r="M2094" s="9" t="n">
        <v>1555.41</v>
      </c>
      <c r="N2094" s="9" t="n">
        <v>1466.6</v>
      </c>
      <c r="O2094" s="9" t="n">
        <v>1683.84</v>
      </c>
      <c r="P2094" s="9" t="n">
        <v>1480.15</v>
      </c>
      <c r="Q2094" s="9" t="n">
        <v>1467.8</v>
      </c>
      <c r="R2094" s="9" t="n">
        <v>1640.9</v>
      </c>
      <c r="S2094" s="9" t="n">
        <v>1523.08</v>
      </c>
      <c r="T2094" s="9" t="n">
        <v>1602.99</v>
      </c>
      <c r="U2094" s="10">
        <f>SUM(I2094:T2094)</f>
        <v/>
      </c>
    </row>
    <row r="2095">
      <c r="A2095" s="2" t="inlineStr">
        <is>
          <t>SN-3000-3600-3630-3630BX0023</t>
        </is>
      </c>
      <c r="B2095" s="2" t="inlineStr">
        <is>
          <t>3630BX0023</t>
        </is>
      </c>
      <c r="C2095" s="2" t="inlineStr">
        <is>
          <t>Cajón distribución relaves</t>
        </is>
      </c>
      <c r="D2095" s="2" t="n">
        <v>698</v>
      </c>
      <c r="E2095" s="2" t="inlineStr">
        <is>
          <t>CC-3000</t>
        </is>
      </c>
      <c r="F2095" s="2" t="inlineStr">
        <is>
          <t>P01</t>
        </is>
      </c>
      <c r="G2095" s="2" t="n">
        <v>630000</v>
      </c>
      <c r="H2095" s="2" t="inlineStr">
        <is>
          <t>Servicios externos</t>
        </is>
      </c>
      <c r="I2095" s="9" t="n">
        <v>1394.52</v>
      </c>
      <c r="J2095" s="9" t="n">
        <v>1339.77</v>
      </c>
      <c r="K2095" s="9" t="n">
        <v>1433.09</v>
      </c>
      <c r="L2095" s="9" t="n">
        <v>1271.93</v>
      </c>
      <c r="M2095" s="9" t="n">
        <v>1275.19</v>
      </c>
      <c r="N2095" s="9" t="n">
        <v>1303.79</v>
      </c>
      <c r="O2095" s="9" t="n">
        <v>1254.88</v>
      </c>
      <c r="P2095" s="9" t="n">
        <v>1368.53</v>
      </c>
      <c r="Q2095" s="9" t="n">
        <v>1152.2</v>
      </c>
      <c r="R2095" s="9" t="n">
        <v>1398.22</v>
      </c>
      <c r="S2095" s="9" t="n">
        <v>1360.7</v>
      </c>
      <c r="T2095" s="9" t="n">
        <v>1410.8</v>
      </c>
      <c r="U2095" s="10">
        <f>SUM(I2095:T2095)</f>
        <v/>
      </c>
    </row>
    <row r="2096">
      <c r="A2096" s="2" t="inlineStr">
        <is>
          <t>SN-3000-3600-3630-3630BX0028</t>
        </is>
      </c>
      <c r="B2096" s="2" t="inlineStr">
        <is>
          <t>3630BX0028</t>
        </is>
      </c>
      <c r="C2096" s="2" t="inlineStr">
        <is>
          <t>Cajón recepción de filtrado</t>
        </is>
      </c>
      <c r="D2096" s="2" t="n">
        <v>699</v>
      </c>
      <c r="E2096" s="2" t="inlineStr">
        <is>
          <t>CC-3000</t>
        </is>
      </c>
      <c r="F2096" s="2" t="inlineStr">
        <is>
          <t>P01</t>
        </is>
      </c>
      <c r="G2096" s="2" t="n">
        <v>610000</v>
      </c>
      <c r="H2096" s="2" t="inlineStr">
        <is>
          <t>Mano obra interna</t>
        </is>
      </c>
      <c r="I2096" s="9" t="n">
        <v>1872.55</v>
      </c>
      <c r="J2096" s="9" t="n">
        <v>1762.55</v>
      </c>
      <c r="K2096" s="9" t="n">
        <v>1792</v>
      </c>
      <c r="L2096" s="9" t="n">
        <v>1905.69</v>
      </c>
      <c r="M2096" s="9" t="n">
        <v>1767.19</v>
      </c>
      <c r="N2096" s="9" t="n">
        <v>1682.45</v>
      </c>
      <c r="O2096" s="9" t="n">
        <v>1707.19</v>
      </c>
      <c r="P2096" s="9" t="n">
        <v>1841.79</v>
      </c>
      <c r="Q2096" s="9" t="n">
        <v>1559.28</v>
      </c>
      <c r="R2096" s="9" t="n">
        <v>1720.83</v>
      </c>
      <c r="S2096" s="9" t="n">
        <v>1595.03</v>
      </c>
      <c r="T2096" s="9" t="n">
        <v>1647.58</v>
      </c>
      <c r="U2096" s="10">
        <f>SUM(I2096:T2096)</f>
        <v/>
      </c>
    </row>
    <row r="2097">
      <c r="A2097" s="2" t="inlineStr">
        <is>
          <t>SN-3000-3600-3630-3630BX0028</t>
        </is>
      </c>
      <c r="B2097" s="2" t="inlineStr">
        <is>
          <t>3630BX0028</t>
        </is>
      </c>
      <c r="C2097" s="2" t="inlineStr">
        <is>
          <t>Cajón recepción de filtrado</t>
        </is>
      </c>
      <c r="D2097" s="2" t="n">
        <v>699</v>
      </c>
      <c r="E2097" s="2" t="inlineStr">
        <is>
          <t>CC-3000</t>
        </is>
      </c>
      <c r="F2097" s="2" t="inlineStr">
        <is>
          <t>P01</t>
        </is>
      </c>
      <c r="G2097" s="2" t="n">
        <v>620000</v>
      </c>
      <c r="H2097" s="2" t="inlineStr">
        <is>
          <t>Materiales</t>
        </is>
      </c>
      <c r="I2097" s="9" t="n">
        <v>1640.23</v>
      </c>
      <c r="J2097" s="9" t="n">
        <v>1540.45</v>
      </c>
      <c r="K2097" s="9" t="n">
        <v>1491.99</v>
      </c>
      <c r="L2097" s="9" t="n">
        <v>1632.9</v>
      </c>
      <c r="M2097" s="9" t="n">
        <v>1512.33</v>
      </c>
      <c r="N2097" s="9" t="n">
        <v>1462.99</v>
      </c>
      <c r="O2097" s="9" t="n">
        <v>1494.09</v>
      </c>
      <c r="P2097" s="9" t="n">
        <v>1614.99</v>
      </c>
      <c r="Q2097" s="9" t="n">
        <v>1380.23</v>
      </c>
      <c r="R2097" s="9" t="n">
        <v>1539.93</v>
      </c>
      <c r="S2097" s="9" t="n">
        <v>1431.68</v>
      </c>
      <c r="T2097" s="9" t="n">
        <v>1603.18</v>
      </c>
      <c r="U2097" s="10">
        <f>SUM(I2097:T2097)</f>
        <v/>
      </c>
    </row>
    <row r="2098">
      <c r="A2098" s="2" t="inlineStr">
        <is>
          <t>SN-3000-3600-3630-3630BX0028</t>
        </is>
      </c>
      <c r="B2098" s="2" t="inlineStr">
        <is>
          <t>3630BX0028</t>
        </is>
      </c>
      <c r="C2098" s="2" t="inlineStr">
        <is>
          <t>Cajón recepción de filtrado</t>
        </is>
      </c>
      <c r="D2098" s="2" t="n">
        <v>699</v>
      </c>
      <c r="E2098" s="2" t="inlineStr">
        <is>
          <t>CC-3000</t>
        </is>
      </c>
      <c r="F2098" s="2" t="inlineStr">
        <is>
          <t>P01</t>
        </is>
      </c>
      <c r="G2098" s="2" t="n">
        <v>630000</v>
      </c>
      <c r="H2098" s="2" t="inlineStr">
        <is>
          <t>Servicios externos</t>
        </is>
      </c>
      <c r="I2098" s="9" t="n">
        <v>1649.36</v>
      </c>
      <c r="J2098" s="9" t="n">
        <v>1570.79</v>
      </c>
      <c r="K2098" s="9" t="n">
        <v>1799.53</v>
      </c>
      <c r="L2098" s="9" t="n">
        <v>1787.11</v>
      </c>
      <c r="M2098" s="9" t="n">
        <v>1646.94</v>
      </c>
      <c r="N2098" s="9" t="n">
        <v>1715.03</v>
      </c>
      <c r="O2098" s="9" t="n">
        <v>1831.51</v>
      </c>
      <c r="P2098" s="9" t="n">
        <v>1619.27</v>
      </c>
      <c r="Q2098" s="9" t="n">
        <v>1602.54</v>
      </c>
      <c r="R2098" s="9" t="n">
        <v>1688.79</v>
      </c>
      <c r="S2098" s="9" t="n">
        <v>1702.38</v>
      </c>
      <c r="T2098" s="9" t="n">
        <v>1702.15</v>
      </c>
      <c r="U2098" s="10">
        <f>SUM(I2098:T2098)</f>
        <v/>
      </c>
    </row>
    <row r="2099">
      <c r="A2099" s="2" t="inlineStr">
        <is>
          <t>SN-3000-3600-3630-3630CN0013</t>
        </is>
      </c>
      <c r="B2099" s="2" t="inlineStr">
        <is>
          <t>3630CN0013</t>
        </is>
      </c>
      <c r="C2099" s="2" t="inlineStr">
        <is>
          <t>Puente grúa filtro relaves</t>
        </is>
      </c>
      <c r="D2099" s="2" t="n">
        <v>700</v>
      </c>
      <c r="E2099" s="2" t="inlineStr">
        <is>
          <t>CC-3000</t>
        </is>
      </c>
      <c r="F2099" s="2" t="inlineStr">
        <is>
          <t>P01</t>
        </is>
      </c>
      <c r="G2099" s="2" t="n">
        <v>610000</v>
      </c>
      <c r="H2099" s="2" t="inlineStr">
        <is>
          <t>Mano obra interna</t>
        </is>
      </c>
      <c r="I2099" s="9" t="n">
        <v>174.54</v>
      </c>
      <c r="J2099" s="9" t="n">
        <v>169.9</v>
      </c>
      <c r="K2099" s="9" t="n">
        <v>158.99</v>
      </c>
      <c r="L2099" s="9" t="n">
        <v>155.63</v>
      </c>
      <c r="M2099" s="9" t="n">
        <v>158.32</v>
      </c>
      <c r="N2099" s="9" t="n">
        <v>160.29</v>
      </c>
      <c r="O2099" s="9" t="n">
        <v>172.13</v>
      </c>
      <c r="P2099" s="9" t="n">
        <v>165.43</v>
      </c>
      <c r="Q2099" s="9" t="n">
        <v>154.96</v>
      </c>
      <c r="R2099" s="9" t="n">
        <v>185.73</v>
      </c>
      <c r="S2099" s="9" t="n">
        <v>159.83</v>
      </c>
      <c r="T2099" s="9" t="n">
        <v>169.75</v>
      </c>
      <c r="U2099" s="10">
        <f>SUM(I2099:T2099)</f>
        <v/>
      </c>
    </row>
    <row r="2100">
      <c r="A2100" s="2" t="inlineStr">
        <is>
          <t>SN-3000-3600-3630-3630CN0013</t>
        </is>
      </c>
      <c r="B2100" s="2" t="inlineStr">
        <is>
          <t>3630CN0013</t>
        </is>
      </c>
      <c r="C2100" s="2" t="inlineStr">
        <is>
          <t>Puente grúa filtro relaves</t>
        </is>
      </c>
      <c r="D2100" s="2" t="n">
        <v>700</v>
      </c>
      <c r="E2100" s="2" t="inlineStr">
        <is>
          <t>CC-3000</t>
        </is>
      </c>
      <c r="F2100" s="2" t="inlineStr">
        <is>
          <t>P01</t>
        </is>
      </c>
      <c r="G2100" s="2" t="n">
        <v>620000</v>
      </c>
      <c r="H2100" s="2" t="inlineStr">
        <is>
          <t>Materiales</t>
        </is>
      </c>
      <c r="I2100" s="9" t="n">
        <v>189.93</v>
      </c>
      <c r="J2100" s="9" t="n">
        <v>165.41</v>
      </c>
      <c r="K2100" s="9" t="n">
        <v>174.1</v>
      </c>
      <c r="L2100" s="9" t="n">
        <v>168.58</v>
      </c>
      <c r="M2100" s="9" t="n">
        <v>182.44</v>
      </c>
      <c r="N2100" s="9" t="n">
        <v>165.31</v>
      </c>
      <c r="O2100" s="9" t="n">
        <v>171.19</v>
      </c>
      <c r="P2100" s="9" t="n">
        <v>188.74</v>
      </c>
      <c r="Q2100" s="9" t="n">
        <v>174.4</v>
      </c>
      <c r="R2100" s="9" t="n">
        <v>203.42</v>
      </c>
      <c r="S2100" s="9" t="n">
        <v>160.06</v>
      </c>
      <c r="T2100" s="9" t="n">
        <v>189.12</v>
      </c>
      <c r="U2100" s="10">
        <f>SUM(I2100:T2100)</f>
        <v/>
      </c>
    </row>
    <row r="2101">
      <c r="A2101" s="2" t="inlineStr">
        <is>
          <t>SN-3000-3600-3630-3630CN0013</t>
        </is>
      </c>
      <c r="B2101" s="2" t="inlineStr">
        <is>
          <t>3630CN0013</t>
        </is>
      </c>
      <c r="C2101" s="2" t="inlineStr">
        <is>
          <t>Puente grúa filtro relaves</t>
        </is>
      </c>
      <c r="D2101" s="2" t="n">
        <v>700</v>
      </c>
      <c r="E2101" s="2" t="inlineStr">
        <is>
          <t>CC-3000</t>
        </is>
      </c>
      <c r="F2101" s="2" t="inlineStr">
        <is>
          <t>P01</t>
        </is>
      </c>
      <c r="G2101" s="2" t="n">
        <v>630000</v>
      </c>
      <c r="H2101" s="2" t="inlineStr">
        <is>
          <t>Servicios externos</t>
        </is>
      </c>
      <c r="I2101" s="9" t="n">
        <v>160.33</v>
      </c>
      <c r="J2101" s="9" t="n">
        <v>164.84</v>
      </c>
      <c r="K2101" s="9" t="n">
        <v>175.98</v>
      </c>
      <c r="L2101" s="9" t="n">
        <v>163.18</v>
      </c>
      <c r="M2101" s="9" t="n">
        <v>169.59</v>
      </c>
      <c r="N2101" s="9" t="n">
        <v>171.18</v>
      </c>
      <c r="O2101" s="9" t="n">
        <v>167.08</v>
      </c>
      <c r="P2101" s="9" t="n">
        <v>166.2</v>
      </c>
      <c r="Q2101" s="9" t="n">
        <v>154.47</v>
      </c>
      <c r="R2101" s="9" t="n">
        <v>196.13</v>
      </c>
      <c r="S2101" s="9" t="n">
        <v>152.99</v>
      </c>
      <c r="T2101" s="9" t="n">
        <v>171.35</v>
      </c>
      <c r="U2101" s="10">
        <f>SUM(I2101:T2101)</f>
        <v/>
      </c>
    </row>
    <row r="2102">
      <c r="A2102" s="2" t="inlineStr">
        <is>
          <t>SN-3000-3600-3630-3630CP0005</t>
        </is>
      </c>
      <c r="B2102" s="2" t="inlineStr">
        <is>
          <t>3630CP0005</t>
        </is>
      </c>
      <c r="C2102" s="2" t="inlineStr">
        <is>
          <t>Compresor servicio filtros</t>
        </is>
      </c>
      <c r="D2102" s="2" t="n">
        <v>701</v>
      </c>
      <c r="E2102" s="2" t="inlineStr">
        <is>
          <t>CC-3000</t>
        </is>
      </c>
      <c r="F2102" s="2" t="inlineStr">
        <is>
          <t>P01</t>
        </is>
      </c>
      <c r="G2102" s="2" t="n">
        <v>610000</v>
      </c>
      <c r="H2102" s="2" t="inlineStr">
        <is>
          <t>Mano obra interna</t>
        </is>
      </c>
      <c r="I2102" s="9" t="n">
        <v>857.0700000000001</v>
      </c>
      <c r="J2102" s="9" t="n">
        <v>727.5700000000001</v>
      </c>
      <c r="K2102" s="9" t="n">
        <v>803.25</v>
      </c>
      <c r="L2102" s="9" t="n">
        <v>795.1799999999999</v>
      </c>
      <c r="M2102" s="9" t="n">
        <v>830.21</v>
      </c>
      <c r="N2102" s="9" t="n">
        <v>720.73</v>
      </c>
      <c r="O2102" s="9" t="n">
        <v>808.48</v>
      </c>
      <c r="P2102" s="9" t="n">
        <v>743.05</v>
      </c>
      <c r="Q2102" s="9" t="n">
        <v>788.61</v>
      </c>
      <c r="R2102" s="9" t="n">
        <v>864.42</v>
      </c>
      <c r="S2102" s="9" t="n">
        <v>780.03</v>
      </c>
      <c r="T2102" s="9" t="n">
        <v>793.04</v>
      </c>
      <c r="U2102" s="10">
        <f>SUM(I2102:T2102)</f>
        <v/>
      </c>
    </row>
    <row r="2103">
      <c r="A2103" s="2" t="inlineStr">
        <is>
          <t>SN-3000-3600-3630-3630CP0005</t>
        </is>
      </c>
      <c r="B2103" s="2" t="inlineStr">
        <is>
          <t>3630CP0005</t>
        </is>
      </c>
      <c r="C2103" s="2" t="inlineStr">
        <is>
          <t>Compresor servicio filtros</t>
        </is>
      </c>
      <c r="D2103" s="2" t="n">
        <v>701</v>
      </c>
      <c r="E2103" s="2" t="inlineStr">
        <is>
          <t>CC-3000</t>
        </is>
      </c>
      <c r="F2103" s="2" t="inlineStr">
        <is>
          <t>P01</t>
        </is>
      </c>
      <c r="G2103" s="2" t="n">
        <v>620000</v>
      </c>
      <c r="H2103" s="2" t="inlineStr">
        <is>
          <t>Materiales</t>
        </is>
      </c>
      <c r="I2103" s="9" t="n">
        <v>760.65</v>
      </c>
      <c r="J2103" s="9" t="n">
        <v>782</v>
      </c>
      <c r="K2103" s="9" t="n">
        <v>864.34</v>
      </c>
      <c r="L2103" s="9" t="n">
        <v>780.34</v>
      </c>
      <c r="M2103" s="9" t="n">
        <v>820.33</v>
      </c>
      <c r="N2103" s="9" t="n">
        <v>704.75</v>
      </c>
      <c r="O2103" s="9" t="n">
        <v>835.9</v>
      </c>
      <c r="P2103" s="9" t="n">
        <v>761.77</v>
      </c>
      <c r="Q2103" s="9" t="n">
        <v>713.05</v>
      </c>
      <c r="R2103" s="9" t="n">
        <v>837.27</v>
      </c>
      <c r="S2103" s="9" t="n">
        <v>782.48</v>
      </c>
      <c r="T2103" s="9" t="n">
        <v>820.48</v>
      </c>
      <c r="U2103" s="10">
        <f>SUM(I2103:T2103)</f>
        <v/>
      </c>
    </row>
    <row r="2104">
      <c r="A2104" s="2" t="inlineStr">
        <is>
          <t>SN-3000-3600-3630-3630CP0005</t>
        </is>
      </c>
      <c r="B2104" s="2" t="inlineStr">
        <is>
          <t>3630CP0005</t>
        </is>
      </c>
      <c r="C2104" s="2" t="inlineStr">
        <is>
          <t>Compresor servicio filtros</t>
        </is>
      </c>
      <c r="D2104" s="2" t="n">
        <v>701</v>
      </c>
      <c r="E2104" s="2" t="inlineStr">
        <is>
          <t>CC-3000</t>
        </is>
      </c>
      <c r="F2104" s="2" t="inlineStr">
        <is>
          <t>P01</t>
        </is>
      </c>
      <c r="G2104" s="2" t="n">
        <v>630000</v>
      </c>
      <c r="H2104" s="2" t="inlineStr">
        <is>
          <t>Servicios externos</t>
        </is>
      </c>
      <c r="I2104" s="9" t="n">
        <v>848.37</v>
      </c>
      <c r="J2104" s="9" t="n">
        <v>754.12</v>
      </c>
      <c r="K2104" s="9" t="n">
        <v>827.4299999999999</v>
      </c>
      <c r="L2104" s="9" t="n">
        <v>825.38</v>
      </c>
      <c r="M2104" s="9" t="n">
        <v>827.11</v>
      </c>
      <c r="N2104" s="9" t="n">
        <v>798.99</v>
      </c>
      <c r="O2104" s="9" t="n">
        <v>856.17</v>
      </c>
      <c r="P2104" s="9" t="n">
        <v>856.09</v>
      </c>
      <c r="Q2104" s="9" t="n">
        <v>738.09</v>
      </c>
      <c r="R2104" s="9" t="n">
        <v>931.51</v>
      </c>
      <c r="S2104" s="9" t="n">
        <v>739.9299999999999</v>
      </c>
      <c r="T2104" s="9" t="n">
        <v>869.33</v>
      </c>
      <c r="U2104" s="10">
        <f>SUM(I2104:T2104)</f>
        <v/>
      </c>
    </row>
    <row r="2105">
      <c r="A2105" s="2" t="inlineStr">
        <is>
          <t>SN-3000-3600-3630-3630CP0006</t>
        </is>
      </c>
      <c r="B2105" s="2" t="inlineStr">
        <is>
          <t>3630CP0006</t>
        </is>
      </c>
      <c r="C2105" s="2" t="inlineStr">
        <is>
          <t>Compresor servicio filtros</t>
        </is>
      </c>
      <c r="D2105" s="2" t="n">
        <v>702</v>
      </c>
      <c r="E2105" s="2" t="inlineStr">
        <is>
          <t>CC-3000</t>
        </is>
      </c>
      <c r="F2105" s="2" t="inlineStr">
        <is>
          <t>P01</t>
        </is>
      </c>
      <c r="G2105" s="2" t="n">
        <v>610000</v>
      </c>
      <c r="H2105" s="2" t="inlineStr">
        <is>
          <t>Mano obra interna</t>
        </is>
      </c>
      <c r="I2105" s="9" t="n">
        <v>232.3</v>
      </c>
      <c r="J2105" s="9" t="n">
        <v>217.1</v>
      </c>
      <c r="K2105" s="9" t="n">
        <v>224.16</v>
      </c>
      <c r="L2105" s="9" t="n">
        <v>231.17</v>
      </c>
      <c r="M2105" s="9" t="n">
        <v>201.11</v>
      </c>
      <c r="N2105" s="9" t="n">
        <v>200.56</v>
      </c>
      <c r="O2105" s="9" t="n">
        <v>223.68</v>
      </c>
      <c r="P2105" s="9" t="n">
        <v>231.51</v>
      </c>
      <c r="Q2105" s="9" t="n">
        <v>200.43</v>
      </c>
      <c r="R2105" s="9" t="n">
        <v>227.57</v>
      </c>
      <c r="S2105" s="9" t="n">
        <v>213.12</v>
      </c>
      <c r="T2105" s="9" t="n">
        <v>227.11</v>
      </c>
      <c r="U2105" s="10">
        <f>SUM(I2105:T2105)</f>
        <v/>
      </c>
    </row>
    <row r="2106">
      <c r="A2106" s="2" t="inlineStr">
        <is>
          <t>SN-3000-3600-3630-3630CP0006</t>
        </is>
      </c>
      <c r="B2106" s="2" t="inlineStr">
        <is>
          <t>3630CP0006</t>
        </is>
      </c>
      <c r="C2106" s="2" t="inlineStr">
        <is>
          <t>Compresor servicio filtros</t>
        </is>
      </c>
      <c r="D2106" s="2" t="n">
        <v>702</v>
      </c>
      <c r="E2106" s="2" t="inlineStr">
        <is>
          <t>CC-3000</t>
        </is>
      </c>
      <c r="F2106" s="2" t="inlineStr">
        <is>
          <t>P01</t>
        </is>
      </c>
      <c r="G2106" s="2" t="n">
        <v>620000</v>
      </c>
      <c r="H2106" s="2" t="inlineStr">
        <is>
          <t>Materiales</t>
        </is>
      </c>
      <c r="I2106" s="9" t="n">
        <v>256.01</v>
      </c>
      <c r="J2106" s="9" t="n">
        <v>233.82</v>
      </c>
      <c r="K2106" s="9" t="n">
        <v>225.89</v>
      </c>
      <c r="L2106" s="9" t="n">
        <v>231.03</v>
      </c>
      <c r="M2106" s="9" t="n">
        <v>232.23</v>
      </c>
      <c r="N2106" s="9" t="n">
        <v>233.29</v>
      </c>
      <c r="O2106" s="9" t="n">
        <v>226.02</v>
      </c>
      <c r="P2106" s="9" t="n">
        <v>254.36</v>
      </c>
      <c r="Q2106" s="9" t="n">
        <v>213.79</v>
      </c>
      <c r="R2106" s="9" t="n">
        <v>256.4</v>
      </c>
      <c r="S2106" s="9" t="n">
        <v>211.35</v>
      </c>
      <c r="T2106" s="9" t="n">
        <v>254.82</v>
      </c>
      <c r="U2106" s="10">
        <f>SUM(I2106:T2106)</f>
        <v/>
      </c>
    </row>
    <row r="2107">
      <c r="A2107" s="2" t="inlineStr">
        <is>
          <t>SN-3000-3600-3630-3630CP0006</t>
        </is>
      </c>
      <c r="B2107" s="2" t="inlineStr">
        <is>
          <t>3630CP0006</t>
        </is>
      </c>
      <c r="C2107" s="2" t="inlineStr">
        <is>
          <t>Compresor servicio filtros</t>
        </is>
      </c>
      <c r="D2107" s="2" t="n">
        <v>702</v>
      </c>
      <c r="E2107" s="2" t="inlineStr">
        <is>
          <t>CC-3000</t>
        </is>
      </c>
      <c r="F2107" s="2" t="inlineStr">
        <is>
          <t>P01</t>
        </is>
      </c>
      <c r="G2107" s="2" t="n">
        <v>630000</v>
      </c>
      <c r="H2107" s="2" t="inlineStr">
        <is>
          <t>Servicios externos</t>
        </is>
      </c>
      <c r="I2107" s="9" t="n">
        <v>249.89</v>
      </c>
      <c r="J2107" s="9" t="n">
        <v>271</v>
      </c>
      <c r="K2107" s="9" t="n">
        <v>257.65</v>
      </c>
      <c r="L2107" s="9" t="n">
        <v>271.09</v>
      </c>
      <c r="M2107" s="9" t="n">
        <v>267.66</v>
      </c>
      <c r="N2107" s="9" t="n">
        <v>255.51</v>
      </c>
      <c r="O2107" s="9" t="n">
        <v>274.65</v>
      </c>
      <c r="P2107" s="9" t="n">
        <v>272.12</v>
      </c>
      <c r="Q2107" s="9" t="n">
        <v>258.5</v>
      </c>
      <c r="R2107" s="9" t="n">
        <v>263.42</v>
      </c>
      <c r="S2107" s="9" t="n">
        <v>241.33</v>
      </c>
      <c r="T2107" s="9" t="n">
        <v>266.84</v>
      </c>
      <c r="U2107" s="10">
        <f>SUM(I2107:T2107)</f>
        <v/>
      </c>
    </row>
    <row r="2108">
      <c r="A2108" s="2" t="inlineStr">
        <is>
          <t>SN-3000-3600-3630-3630CP0007</t>
        </is>
      </c>
      <c r="B2108" s="2" t="inlineStr">
        <is>
          <t>3630CP0007</t>
        </is>
      </c>
      <c r="C2108" s="2" t="inlineStr">
        <is>
          <t>Compresor servicio filtros</t>
        </is>
      </c>
      <c r="D2108" s="2" t="n">
        <v>703</v>
      </c>
      <c r="E2108" s="2" t="inlineStr">
        <is>
          <t>CC-3000</t>
        </is>
      </c>
      <c r="F2108" s="2" t="inlineStr">
        <is>
          <t>P01</t>
        </is>
      </c>
      <c r="G2108" s="2" t="n">
        <v>610000</v>
      </c>
      <c r="H2108" s="2" t="inlineStr">
        <is>
          <t>Mano obra interna</t>
        </is>
      </c>
      <c r="I2108" s="9" t="n">
        <v>1525.98</v>
      </c>
      <c r="J2108" s="9" t="n">
        <v>1364.27</v>
      </c>
      <c r="K2108" s="9" t="n">
        <v>1617.45</v>
      </c>
      <c r="L2108" s="9" t="n">
        <v>1631.4</v>
      </c>
      <c r="M2108" s="9" t="n">
        <v>1448.97</v>
      </c>
      <c r="N2108" s="9" t="n">
        <v>1358.7</v>
      </c>
      <c r="O2108" s="9" t="n">
        <v>1372.88</v>
      </c>
      <c r="P2108" s="9" t="n">
        <v>1423.04</v>
      </c>
      <c r="Q2108" s="9" t="n">
        <v>1428.1</v>
      </c>
      <c r="R2108" s="9" t="n">
        <v>1708.75</v>
      </c>
      <c r="S2108" s="9" t="n">
        <v>1345.52</v>
      </c>
      <c r="T2108" s="9" t="n">
        <v>1521.52</v>
      </c>
      <c r="U2108" s="10">
        <f>SUM(I2108:T2108)</f>
        <v/>
      </c>
    </row>
    <row r="2109">
      <c r="A2109" s="2" t="inlineStr">
        <is>
          <t>SN-3000-3600-3630-3630CP0007</t>
        </is>
      </c>
      <c r="B2109" s="2" t="inlineStr">
        <is>
          <t>3630CP0007</t>
        </is>
      </c>
      <c r="C2109" s="2" t="inlineStr">
        <is>
          <t>Compresor servicio filtros</t>
        </is>
      </c>
      <c r="D2109" s="2" t="n">
        <v>703</v>
      </c>
      <c r="E2109" s="2" t="inlineStr">
        <is>
          <t>CC-3000</t>
        </is>
      </c>
      <c r="F2109" s="2" t="inlineStr">
        <is>
          <t>P01</t>
        </is>
      </c>
      <c r="G2109" s="2" t="n">
        <v>620000</v>
      </c>
      <c r="H2109" s="2" t="inlineStr">
        <is>
          <t>Materiales</t>
        </is>
      </c>
      <c r="I2109" s="9" t="n">
        <v>1417.27</v>
      </c>
      <c r="J2109" s="9" t="n">
        <v>1433.9</v>
      </c>
      <c r="K2109" s="9" t="n">
        <v>1536.56</v>
      </c>
      <c r="L2109" s="9" t="n">
        <v>1551.1</v>
      </c>
      <c r="M2109" s="9" t="n">
        <v>1414.12</v>
      </c>
      <c r="N2109" s="9" t="n">
        <v>1431.18</v>
      </c>
      <c r="O2109" s="9" t="n">
        <v>1394.81</v>
      </c>
      <c r="P2109" s="9" t="n">
        <v>1372.71</v>
      </c>
      <c r="Q2109" s="9" t="n">
        <v>1273.26</v>
      </c>
      <c r="R2109" s="9" t="n">
        <v>1517.7</v>
      </c>
      <c r="S2109" s="9" t="n">
        <v>1290.35</v>
      </c>
      <c r="T2109" s="9" t="n">
        <v>1410.49</v>
      </c>
      <c r="U2109" s="10">
        <f>SUM(I2109:T2109)</f>
        <v/>
      </c>
    </row>
    <row r="2110">
      <c r="A2110" s="2" t="inlineStr">
        <is>
          <t>SN-3000-3600-3630-3630CP0007</t>
        </is>
      </c>
      <c r="B2110" s="2" t="inlineStr">
        <is>
          <t>3630CP0007</t>
        </is>
      </c>
      <c r="C2110" s="2" t="inlineStr">
        <is>
          <t>Compresor servicio filtros</t>
        </is>
      </c>
      <c r="D2110" s="2" t="n">
        <v>703</v>
      </c>
      <c r="E2110" s="2" t="inlineStr">
        <is>
          <t>CC-3000</t>
        </is>
      </c>
      <c r="F2110" s="2" t="inlineStr">
        <is>
          <t>P01</t>
        </is>
      </c>
      <c r="G2110" s="2" t="n">
        <v>630000</v>
      </c>
      <c r="H2110" s="2" t="inlineStr">
        <is>
          <t>Servicios externos</t>
        </is>
      </c>
      <c r="I2110" s="9" t="n">
        <v>1495.09</v>
      </c>
      <c r="J2110" s="9" t="n">
        <v>1312.9</v>
      </c>
      <c r="K2110" s="9" t="n">
        <v>1425.77</v>
      </c>
      <c r="L2110" s="9" t="n">
        <v>1478.51</v>
      </c>
      <c r="M2110" s="9" t="n">
        <v>1374.8</v>
      </c>
      <c r="N2110" s="9" t="n">
        <v>1349.9</v>
      </c>
      <c r="O2110" s="9" t="n">
        <v>1480.09</v>
      </c>
      <c r="P2110" s="9" t="n">
        <v>1317.38</v>
      </c>
      <c r="Q2110" s="9" t="n">
        <v>1284.16</v>
      </c>
      <c r="R2110" s="9" t="n">
        <v>1454.62</v>
      </c>
      <c r="S2110" s="9" t="n">
        <v>1302.49</v>
      </c>
      <c r="T2110" s="9" t="n">
        <v>1558.58</v>
      </c>
      <c r="U2110" s="10">
        <f>SUM(I2110:T2110)</f>
        <v/>
      </c>
    </row>
    <row r="2111">
      <c r="A2111" s="2" t="inlineStr">
        <is>
          <t>SN-3000-3600-3630-3630CP0008</t>
        </is>
      </c>
      <c r="B2111" s="2" t="inlineStr">
        <is>
          <t>3630CP0008</t>
        </is>
      </c>
      <c r="C2111" s="2" t="inlineStr">
        <is>
          <t>Compresor prensado filtros relaves</t>
        </is>
      </c>
      <c r="D2111" s="2" t="n">
        <v>704</v>
      </c>
      <c r="E2111" s="2" t="inlineStr">
        <is>
          <t>CC-3000</t>
        </is>
      </c>
      <c r="F2111" s="2" t="inlineStr">
        <is>
          <t>P01</t>
        </is>
      </c>
      <c r="G2111" s="2" t="n">
        <v>610000</v>
      </c>
      <c r="H2111" s="2" t="inlineStr">
        <is>
          <t>Mano obra interna</t>
        </is>
      </c>
      <c r="I2111" s="9" t="n">
        <v>1333.9</v>
      </c>
      <c r="J2111" s="9" t="n">
        <v>1329.26</v>
      </c>
      <c r="K2111" s="9" t="n">
        <v>1245</v>
      </c>
      <c r="L2111" s="9" t="n">
        <v>1274.61</v>
      </c>
      <c r="M2111" s="9" t="n">
        <v>1355.99</v>
      </c>
      <c r="N2111" s="9" t="n">
        <v>1315.91</v>
      </c>
      <c r="O2111" s="9" t="n">
        <v>1275.15</v>
      </c>
      <c r="P2111" s="9" t="n">
        <v>1274.02</v>
      </c>
      <c r="Q2111" s="9" t="n">
        <v>1260.87</v>
      </c>
      <c r="R2111" s="9" t="n">
        <v>1357.05</v>
      </c>
      <c r="S2111" s="9" t="n">
        <v>1182.31</v>
      </c>
      <c r="T2111" s="9" t="n">
        <v>1269.12</v>
      </c>
      <c r="U2111" s="10">
        <f>SUM(I2111:T2111)</f>
        <v/>
      </c>
    </row>
    <row r="2112">
      <c r="A2112" s="2" t="inlineStr">
        <is>
          <t>SN-3000-3600-3630-3630CP0008</t>
        </is>
      </c>
      <c r="B2112" s="2" t="inlineStr">
        <is>
          <t>3630CP0008</t>
        </is>
      </c>
      <c r="C2112" s="2" t="inlineStr">
        <is>
          <t>Compresor prensado filtros relaves</t>
        </is>
      </c>
      <c r="D2112" s="2" t="n">
        <v>704</v>
      </c>
      <c r="E2112" s="2" t="inlineStr">
        <is>
          <t>CC-3000</t>
        </is>
      </c>
      <c r="F2112" s="2" t="inlineStr">
        <is>
          <t>P01</t>
        </is>
      </c>
      <c r="G2112" s="2" t="n">
        <v>620000</v>
      </c>
      <c r="H2112" s="2" t="inlineStr">
        <is>
          <t>Materiales</t>
        </is>
      </c>
      <c r="I2112" s="9" t="n">
        <v>1211.89</v>
      </c>
      <c r="J2112" s="9" t="n">
        <v>1255.1</v>
      </c>
      <c r="K2112" s="9" t="n">
        <v>1369.89</v>
      </c>
      <c r="L2112" s="9" t="n">
        <v>1309.83</v>
      </c>
      <c r="M2112" s="9" t="n">
        <v>1178.85</v>
      </c>
      <c r="N2112" s="9" t="n">
        <v>1210.88</v>
      </c>
      <c r="O2112" s="9" t="n">
        <v>1322.1</v>
      </c>
      <c r="P2112" s="9" t="n">
        <v>1187.46</v>
      </c>
      <c r="Q2112" s="9" t="n">
        <v>1106.54</v>
      </c>
      <c r="R2112" s="9" t="n">
        <v>1350.5</v>
      </c>
      <c r="S2112" s="9" t="n">
        <v>1177.51</v>
      </c>
      <c r="T2112" s="9" t="n">
        <v>1388.03</v>
      </c>
      <c r="U2112" s="10">
        <f>SUM(I2112:T2112)</f>
        <v/>
      </c>
    </row>
    <row r="2113">
      <c r="A2113" s="2" t="inlineStr">
        <is>
          <t>SN-3000-3600-3630-3630CP0008</t>
        </is>
      </c>
      <c r="B2113" s="2" t="inlineStr">
        <is>
          <t>3630CP0008</t>
        </is>
      </c>
      <c r="C2113" s="2" t="inlineStr">
        <is>
          <t>Compresor prensado filtros relaves</t>
        </is>
      </c>
      <c r="D2113" s="2" t="n">
        <v>704</v>
      </c>
      <c r="E2113" s="2" t="inlineStr">
        <is>
          <t>CC-3000</t>
        </is>
      </c>
      <c r="F2113" s="2" t="inlineStr">
        <is>
          <t>P01</t>
        </is>
      </c>
      <c r="G2113" s="2" t="n">
        <v>630000</v>
      </c>
      <c r="H2113" s="2" t="inlineStr">
        <is>
          <t>Servicios externos</t>
        </is>
      </c>
      <c r="I2113" s="9" t="n">
        <v>1338.27</v>
      </c>
      <c r="J2113" s="9" t="n">
        <v>1380.37</v>
      </c>
      <c r="K2113" s="9" t="n">
        <v>1372.05</v>
      </c>
      <c r="L2113" s="9" t="n">
        <v>1305.4</v>
      </c>
      <c r="M2113" s="9" t="n">
        <v>1286.62</v>
      </c>
      <c r="N2113" s="9" t="n">
        <v>1327.14</v>
      </c>
      <c r="O2113" s="9" t="n">
        <v>1260.39</v>
      </c>
      <c r="P2113" s="9" t="n">
        <v>1306.79</v>
      </c>
      <c r="Q2113" s="9" t="n">
        <v>1204.36</v>
      </c>
      <c r="R2113" s="9" t="n">
        <v>1393.57</v>
      </c>
      <c r="S2113" s="9" t="n">
        <v>1352.2</v>
      </c>
      <c r="T2113" s="9" t="n">
        <v>1449.07</v>
      </c>
      <c r="U2113" s="10">
        <f>SUM(I2113:T2113)</f>
        <v/>
      </c>
    </row>
    <row r="2114">
      <c r="A2114" s="2" t="inlineStr">
        <is>
          <t>SN-3000-3600-3630-3630CP1001</t>
        </is>
      </c>
      <c r="B2114" s="2" t="inlineStr">
        <is>
          <t>3630CP1001</t>
        </is>
      </c>
      <c r="C2114" s="2" t="inlineStr">
        <is>
          <t>Caja HMI</t>
        </is>
      </c>
      <c r="D2114" s="2" t="n">
        <v>705</v>
      </c>
      <c r="E2114" s="2" t="inlineStr">
        <is>
          <t>CC-3000</t>
        </is>
      </c>
      <c r="F2114" s="2" t="inlineStr">
        <is>
          <t>P01</t>
        </is>
      </c>
      <c r="G2114" s="2" t="n">
        <v>610000</v>
      </c>
      <c r="H2114" s="2" t="inlineStr">
        <is>
          <t>Mano obra interna</t>
        </is>
      </c>
      <c r="I2114" s="9" t="n">
        <v>2138.3</v>
      </c>
      <c r="J2114" s="9" t="n">
        <v>2150.24</v>
      </c>
      <c r="K2114" s="9" t="n">
        <v>1962.47</v>
      </c>
      <c r="L2114" s="9" t="n">
        <v>1980.73</v>
      </c>
      <c r="M2114" s="9" t="n">
        <v>1997.99</v>
      </c>
      <c r="N2114" s="9" t="n">
        <v>1917.05</v>
      </c>
      <c r="O2114" s="9" t="n">
        <v>2020.98</v>
      </c>
      <c r="P2114" s="9" t="n">
        <v>1949.31</v>
      </c>
      <c r="Q2114" s="9" t="n">
        <v>1798.56</v>
      </c>
      <c r="R2114" s="9" t="n">
        <v>2210.68</v>
      </c>
      <c r="S2114" s="9" t="n">
        <v>2117.25</v>
      </c>
      <c r="T2114" s="9" t="n">
        <v>2041.39</v>
      </c>
      <c r="U2114" s="10">
        <f>SUM(I2114:T2114)</f>
        <v/>
      </c>
    </row>
    <row r="2115">
      <c r="A2115" s="2" t="inlineStr">
        <is>
          <t>SN-3000-3600-3630-3630CP1001</t>
        </is>
      </c>
      <c r="B2115" s="2" t="inlineStr">
        <is>
          <t>3630CP1001</t>
        </is>
      </c>
      <c r="C2115" s="2" t="inlineStr">
        <is>
          <t>Caja HMI</t>
        </is>
      </c>
      <c r="D2115" s="2" t="n">
        <v>705</v>
      </c>
      <c r="E2115" s="2" t="inlineStr">
        <is>
          <t>CC-3000</t>
        </is>
      </c>
      <c r="F2115" s="2" t="inlineStr">
        <is>
          <t>P01</t>
        </is>
      </c>
      <c r="G2115" s="2" t="n">
        <v>620000</v>
      </c>
      <c r="H2115" s="2" t="inlineStr">
        <is>
          <t>Materiales</t>
        </is>
      </c>
      <c r="I2115" s="9" t="n">
        <v>1679.76</v>
      </c>
      <c r="J2115" s="9" t="n">
        <v>1516.36</v>
      </c>
      <c r="K2115" s="9" t="n">
        <v>1576.29</v>
      </c>
      <c r="L2115" s="9" t="n">
        <v>1582.25</v>
      </c>
      <c r="M2115" s="9" t="n">
        <v>1632.89</v>
      </c>
      <c r="N2115" s="9" t="n">
        <v>1600.62</v>
      </c>
      <c r="O2115" s="9" t="n">
        <v>1616.09</v>
      </c>
      <c r="P2115" s="9" t="n">
        <v>1546.51</v>
      </c>
      <c r="Q2115" s="9" t="n">
        <v>1437.84</v>
      </c>
      <c r="R2115" s="9" t="n">
        <v>1614.58</v>
      </c>
      <c r="S2115" s="9" t="n">
        <v>1648.95</v>
      </c>
      <c r="T2115" s="9" t="n">
        <v>1652.3</v>
      </c>
      <c r="U2115" s="10">
        <f>SUM(I2115:T2115)</f>
        <v/>
      </c>
    </row>
    <row r="2116">
      <c r="A2116" s="2" t="inlineStr">
        <is>
          <t>SN-3000-3600-3630-3630CP1001</t>
        </is>
      </c>
      <c r="B2116" s="2" t="inlineStr">
        <is>
          <t>3630CP1001</t>
        </is>
      </c>
      <c r="C2116" s="2" t="inlineStr">
        <is>
          <t>Caja HMI</t>
        </is>
      </c>
      <c r="D2116" s="2" t="n">
        <v>705</v>
      </c>
      <c r="E2116" s="2" t="inlineStr">
        <is>
          <t>CC-3000</t>
        </is>
      </c>
      <c r="F2116" s="2" t="inlineStr">
        <is>
          <t>P01</t>
        </is>
      </c>
      <c r="G2116" s="2" t="n">
        <v>630000</v>
      </c>
      <c r="H2116" s="2" t="inlineStr">
        <is>
          <t>Servicios externos</t>
        </is>
      </c>
      <c r="I2116" s="9" t="n">
        <v>1649.22</v>
      </c>
      <c r="J2116" s="9" t="n">
        <v>1537.68</v>
      </c>
      <c r="K2116" s="9" t="n">
        <v>1747.29</v>
      </c>
      <c r="L2116" s="9" t="n">
        <v>1691.51</v>
      </c>
      <c r="M2116" s="9" t="n">
        <v>1476.4</v>
      </c>
      <c r="N2116" s="9" t="n">
        <v>1558.48</v>
      </c>
      <c r="O2116" s="9" t="n">
        <v>1571.71</v>
      </c>
      <c r="P2116" s="9" t="n">
        <v>1494.67</v>
      </c>
      <c r="Q2116" s="9" t="n">
        <v>1512.4</v>
      </c>
      <c r="R2116" s="9" t="n">
        <v>1711</v>
      </c>
      <c r="S2116" s="9" t="n">
        <v>1409.81</v>
      </c>
      <c r="T2116" s="9" t="n">
        <v>1635.5</v>
      </c>
      <c r="U2116" s="10">
        <f>SUM(I2116:T2116)</f>
        <v/>
      </c>
    </row>
    <row r="2117">
      <c r="A2117" s="2" t="inlineStr">
        <is>
          <t>SN-3000-3600-3630-3630CP1002</t>
        </is>
      </c>
      <c r="B2117" s="2" t="inlineStr">
        <is>
          <t>3630CP1002</t>
        </is>
      </c>
      <c r="C2117" s="2" t="inlineStr">
        <is>
          <t>Caja HMI</t>
        </is>
      </c>
      <c r="D2117" s="2" t="n">
        <v>706</v>
      </c>
      <c r="E2117" s="2" t="inlineStr">
        <is>
          <t>CC-3000</t>
        </is>
      </c>
      <c r="F2117" s="2" t="inlineStr">
        <is>
          <t>P01</t>
        </is>
      </c>
      <c r="G2117" s="2" t="n">
        <v>610000</v>
      </c>
      <c r="H2117" s="2" t="inlineStr">
        <is>
          <t>Mano obra interna</t>
        </is>
      </c>
      <c r="I2117" s="9" t="n">
        <v>2554.01</v>
      </c>
      <c r="J2117" s="9" t="n">
        <v>2549.63</v>
      </c>
      <c r="K2117" s="9" t="n">
        <v>2774.49</v>
      </c>
      <c r="L2117" s="9" t="n">
        <v>2554.71</v>
      </c>
      <c r="M2117" s="9" t="n">
        <v>2773.66</v>
      </c>
      <c r="N2117" s="9" t="n">
        <v>2344.63</v>
      </c>
      <c r="O2117" s="9" t="n">
        <v>2485.47</v>
      </c>
      <c r="P2117" s="9" t="n">
        <v>2488.12</v>
      </c>
      <c r="Q2117" s="9" t="n">
        <v>2480.66</v>
      </c>
      <c r="R2117" s="9" t="n">
        <v>2915.97</v>
      </c>
      <c r="S2117" s="9" t="n">
        <v>2528.65</v>
      </c>
      <c r="T2117" s="9" t="n">
        <v>2601.29</v>
      </c>
      <c r="U2117" s="10">
        <f>SUM(I2117:T2117)</f>
        <v/>
      </c>
    </row>
    <row r="2118">
      <c r="A2118" s="2" t="inlineStr">
        <is>
          <t>SN-3000-3600-3630-3630CP1002</t>
        </is>
      </c>
      <c r="B2118" s="2" t="inlineStr">
        <is>
          <t>3630CP1002</t>
        </is>
      </c>
      <c r="C2118" s="2" t="inlineStr">
        <is>
          <t>Caja HMI</t>
        </is>
      </c>
      <c r="D2118" s="2" t="n">
        <v>706</v>
      </c>
      <c r="E2118" s="2" t="inlineStr">
        <is>
          <t>CC-3000</t>
        </is>
      </c>
      <c r="F2118" s="2" t="inlineStr">
        <is>
          <t>P01</t>
        </is>
      </c>
      <c r="G2118" s="2" t="n">
        <v>620000</v>
      </c>
      <c r="H2118" s="2" t="inlineStr">
        <is>
          <t>Materiales</t>
        </is>
      </c>
      <c r="I2118" s="9" t="n">
        <v>2575.9</v>
      </c>
      <c r="J2118" s="9" t="n">
        <v>2575.64</v>
      </c>
      <c r="K2118" s="9" t="n">
        <v>2590.09</v>
      </c>
      <c r="L2118" s="9" t="n">
        <v>2554.82</v>
      </c>
      <c r="M2118" s="9" t="n">
        <v>2619.56</v>
      </c>
      <c r="N2118" s="9" t="n">
        <v>2464.91</v>
      </c>
      <c r="O2118" s="9" t="n">
        <v>2611.25</v>
      </c>
      <c r="P2118" s="9" t="n">
        <v>2847.59</v>
      </c>
      <c r="Q2118" s="9" t="n">
        <v>2387.11</v>
      </c>
      <c r="R2118" s="9" t="n">
        <v>3054.17</v>
      </c>
      <c r="S2118" s="9" t="n">
        <v>2697.46</v>
      </c>
      <c r="T2118" s="9" t="n">
        <v>2674.39</v>
      </c>
      <c r="U2118" s="10">
        <f>SUM(I2118:T2118)</f>
        <v/>
      </c>
    </row>
    <row r="2119">
      <c r="A2119" s="2" t="inlineStr">
        <is>
          <t>SN-3000-3600-3630-3630CP1002</t>
        </is>
      </c>
      <c r="B2119" s="2" t="inlineStr">
        <is>
          <t>3630CP1002</t>
        </is>
      </c>
      <c r="C2119" s="2" t="inlineStr">
        <is>
          <t>Caja HMI</t>
        </is>
      </c>
      <c r="D2119" s="2" t="n">
        <v>706</v>
      </c>
      <c r="E2119" s="2" t="inlineStr">
        <is>
          <t>CC-3000</t>
        </is>
      </c>
      <c r="F2119" s="2" t="inlineStr">
        <is>
          <t>P01</t>
        </is>
      </c>
      <c r="G2119" s="2" t="n">
        <v>630000</v>
      </c>
      <c r="H2119" s="2" t="inlineStr">
        <is>
          <t>Servicios externos</t>
        </is>
      </c>
      <c r="I2119" s="9" t="n">
        <v>2462.2</v>
      </c>
      <c r="J2119" s="9" t="n">
        <v>2254.21</v>
      </c>
      <c r="K2119" s="9" t="n">
        <v>2674.12</v>
      </c>
      <c r="L2119" s="9" t="n">
        <v>2514.91</v>
      </c>
      <c r="M2119" s="9" t="n">
        <v>2554.91</v>
      </c>
      <c r="N2119" s="9" t="n">
        <v>2447.19</v>
      </c>
      <c r="O2119" s="9" t="n">
        <v>2270.96</v>
      </c>
      <c r="P2119" s="9" t="n">
        <v>2317.84</v>
      </c>
      <c r="Q2119" s="9" t="n">
        <v>2136.76</v>
      </c>
      <c r="R2119" s="9" t="n">
        <v>2763.31</v>
      </c>
      <c r="S2119" s="9" t="n">
        <v>2492.46</v>
      </c>
      <c r="T2119" s="9" t="n">
        <v>2480.74</v>
      </c>
      <c r="U2119" s="10">
        <f>SUM(I2119:T2119)</f>
        <v/>
      </c>
    </row>
    <row r="2120">
      <c r="A2120" s="2" t="inlineStr">
        <is>
          <t>SN-3000-3600-3630-3630CP1003</t>
        </is>
      </c>
      <c r="B2120" s="2" t="inlineStr">
        <is>
          <t>3630CP1003</t>
        </is>
      </c>
      <c r="C2120" s="2" t="inlineStr">
        <is>
          <t>Caja HMI</t>
        </is>
      </c>
      <c r="D2120" s="2" t="n">
        <v>707</v>
      </c>
      <c r="E2120" s="2" t="inlineStr">
        <is>
          <t>CC-3000</t>
        </is>
      </c>
      <c r="F2120" s="2" t="inlineStr">
        <is>
          <t>P01</t>
        </is>
      </c>
      <c r="G2120" s="2" t="n">
        <v>610000</v>
      </c>
      <c r="H2120" s="2" t="inlineStr">
        <is>
          <t>Mano obra interna</t>
        </is>
      </c>
      <c r="I2120" s="9" t="n">
        <v>1850.19</v>
      </c>
      <c r="J2120" s="9" t="n">
        <v>1990.56</v>
      </c>
      <c r="K2120" s="9" t="n">
        <v>2121.86</v>
      </c>
      <c r="L2120" s="9" t="n">
        <v>1872.46</v>
      </c>
      <c r="M2120" s="9" t="n">
        <v>1755.72</v>
      </c>
      <c r="N2120" s="9" t="n">
        <v>1790.29</v>
      </c>
      <c r="O2120" s="9" t="n">
        <v>1780.84</v>
      </c>
      <c r="P2120" s="9" t="n">
        <v>2024.1</v>
      </c>
      <c r="Q2120" s="9" t="n">
        <v>1789.14</v>
      </c>
      <c r="R2120" s="9" t="n">
        <v>2122.66</v>
      </c>
      <c r="S2120" s="9" t="n">
        <v>1836.76</v>
      </c>
      <c r="T2120" s="9" t="n">
        <v>1904.91</v>
      </c>
      <c r="U2120" s="10">
        <f>SUM(I2120:T2120)</f>
        <v/>
      </c>
    </row>
    <row r="2121">
      <c r="A2121" s="2" t="inlineStr">
        <is>
          <t>SN-3000-3600-3630-3630CP1003</t>
        </is>
      </c>
      <c r="B2121" s="2" t="inlineStr">
        <is>
          <t>3630CP1003</t>
        </is>
      </c>
      <c r="C2121" s="2" t="inlineStr">
        <is>
          <t>Caja HMI</t>
        </is>
      </c>
      <c r="D2121" s="2" t="n">
        <v>707</v>
      </c>
      <c r="E2121" s="2" t="inlineStr">
        <is>
          <t>CC-3000</t>
        </is>
      </c>
      <c r="F2121" s="2" t="inlineStr">
        <is>
          <t>P01</t>
        </is>
      </c>
      <c r="G2121" s="2" t="n">
        <v>620000</v>
      </c>
      <c r="H2121" s="2" t="inlineStr">
        <is>
          <t>Materiales</t>
        </is>
      </c>
      <c r="I2121" s="9" t="n">
        <v>2059.41</v>
      </c>
      <c r="J2121" s="9" t="n">
        <v>1963.96</v>
      </c>
      <c r="K2121" s="9" t="n">
        <v>1950.39</v>
      </c>
      <c r="L2121" s="9" t="n">
        <v>1919.72</v>
      </c>
      <c r="M2121" s="9" t="n">
        <v>1760.94</v>
      </c>
      <c r="N2121" s="9" t="n">
        <v>1719.61</v>
      </c>
      <c r="O2121" s="9" t="n">
        <v>1972.68</v>
      </c>
      <c r="P2121" s="9" t="n">
        <v>1936.73</v>
      </c>
      <c r="Q2121" s="9" t="n">
        <v>1781.22</v>
      </c>
      <c r="R2121" s="9" t="n">
        <v>2194.57</v>
      </c>
      <c r="S2121" s="9" t="n">
        <v>1873.07</v>
      </c>
      <c r="T2121" s="9" t="n">
        <v>1926.1</v>
      </c>
      <c r="U2121" s="10">
        <f>SUM(I2121:T2121)</f>
        <v/>
      </c>
    </row>
    <row r="2122">
      <c r="A2122" s="2" t="inlineStr">
        <is>
          <t>SN-3000-3600-3630-3630CP1003</t>
        </is>
      </c>
      <c r="B2122" s="2" t="inlineStr">
        <is>
          <t>3630CP1003</t>
        </is>
      </c>
      <c r="C2122" s="2" t="inlineStr">
        <is>
          <t>Caja HMI</t>
        </is>
      </c>
      <c r="D2122" s="2" t="n">
        <v>707</v>
      </c>
      <c r="E2122" s="2" t="inlineStr">
        <is>
          <t>CC-3000</t>
        </is>
      </c>
      <c r="F2122" s="2" t="inlineStr">
        <is>
          <t>P01</t>
        </is>
      </c>
      <c r="G2122" s="2" t="n">
        <v>630000</v>
      </c>
      <c r="H2122" s="2" t="inlineStr">
        <is>
          <t>Servicios externos</t>
        </is>
      </c>
      <c r="I2122" s="9" t="n">
        <v>1996.78</v>
      </c>
      <c r="J2122" s="9" t="n">
        <v>1854.72</v>
      </c>
      <c r="K2122" s="9" t="n">
        <v>1794.26</v>
      </c>
      <c r="L2122" s="9" t="n">
        <v>1946.86</v>
      </c>
      <c r="M2122" s="9" t="n">
        <v>1819.22</v>
      </c>
      <c r="N2122" s="9" t="n">
        <v>1867.43</v>
      </c>
      <c r="O2122" s="9" t="n">
        <v>1986.15</v>
      </c>
      <c r="P2122" s="9" t="n">
        <v>1889.04</v>
      </c>
      <c r="Q2122" s="9" t="n">
        <v>1796.12</v>
      </c>
      <c r="R2122" s="9" t="n">
        <v>1864.11</v>
      </c>
      <c r="S2122" s="9" t="n">
        <v>1818.49</v>
      </c>
      <c r="T2122" s="9" t="n">
        <v>1965.31</v>
      </c>
      <c r="U2122" s="10">
        <f>SUM(I2122:T2122)</f>
        <v/>
      </c>
    </row>
    <row r="2123">
      <c r="A2123" s="2" t="inlineStr">
        <is>
          <t>SN-3000-3600-3630-3630CT0001</t>
        </is>
      </c>
      <c r="B2123" s="2" t="inlineStr">
        <is>
          <t>3630CT0001</t>
        </is>
      </c>
      <c r="C2123" s="2" t="inlineStr">
        <is>
          <t>Sistema CCTV filtrado relaves</t>
        </is>
      </c>
      <c r="D2123" s="2" t="n">
        <v>708</v>
      </c>
      <c r="E2123" s="2" t="inlineStr">
        <is>
          <t>CC-3000</t>
        </is>
      </c>
      <c r="F2123" s="2" t="inlineStr">
        <is>
          <t>P01</t>
        </is>
      </c>
      <c r="G2123" s="2" t="n">
        <v>610000</v>
      </c>
      <c r="H2123" s="2" t="inlineStr">
        <is>
          <t>Mano obra interna</t>
        </is>
      </c>
      <c r="I2123" s="9" t="n">
        <v>1826.58</v>
      </c>
      <c r="J2123" s="9" t="n">
        <v>1847.02</v>
      </c>
      <c r="K2123" s="9" t="n">
        <v>1730.82</v>
      </c>
      <c r="L2123" s="9" t="n">
        <v>1685.94</v>
      </c>
      <c r="M2123" s="9" t="n">
        <v>1797.88</v>
      </c>
      <c r="N2123" s="9" t="n">
        <v>1772.51</v>
      </c>
      <c r="O2123" s="9" t="n">
        <v>1862.6</v>
      </c>
      <c r="P2123" s="9" t="n">
        <v>1801.5</v>
      </c>
      <c r="Q2123" s="9" t="n">
        <v>1728.53</v>
      </c>
      <c r="R2123" s="9" t="n">
        <v>1962.19</v>
      </c>
      <c r="S2123" s="9" t="n">
        <v>1593.92</v>
      </c>
      <c r="T2123" s="9" t="n">
        <v>1864.08</v>
      </c>
      <c r="U2123" s="10">
        <f>SUM(I2123:T2123)</f>
        <v/>
      </c>
    </row>
    <row r="2124">
      <c r="A2124" s="2" t="inlineStr">
        <is>
          <t>SN-3000-3600-3630-3630CT0001</t>
        </is>
      </c>
      <c r="B2124" s="2" t="inlineStr">
        <is>
          <t>3630CT0001</t>
        </is>
      </c>
      <c r="C2124" s="2" t="inlineStr">
        <is>
          <t>Sistema CCTV filtrado relaves</t>
        </is>
      </c>
      <c r="D2124" s="2" t="n">
        <v>708</v>
      </c>
      <c r="E2124" s="2" t="inlineStr">
        <is>
          <t>CC-3000</t>
        </is>
      </c>
      <c r="F2124" s="2" t="inlineStr">
        <is>
          <t>P01</t>
        </is>
      </c>
      <c r="G2124" s="2" t="n">
        <v>620000</v>
      </c>
      <c r="H2124" s="2" t="inlineStr">
        <is>
          <t>Materiales</t>
        </is>
      </c>
      <c r="I2124" s="9" t="n">
        <v>1555.75</v>
      </c>
      <c r="J2124" s="9" t="n">
        <v>1540.53</v>
      </c>
      <c r="K2124" s="9" t="n">
        <v>1592.68</v>
      </c>
      <c r="L2124" s="9" t="n">
        <v>1579.7</v>
      </c>
      <c r="M2124" s="9" t="n">
        <v>1491.25</v>
      </c>
      <c r="N2124" s="9" t="n">
        <v>1470.97</v>
      </c>
      <c r="O2124" s="9" t="n">
        <v>1469.42</v>
      </c>
      <c r="P2124" s="9" t="n">
        <v>1582.95</v>
      </c>
      <c r="Q2124" s="9" t="n">
        <v>1544.7</v>
      </c>
      <c r="R2124" s="9" t="n">
        <v>1815.26</v>
      </c>
      <c r="S2124" s="9" t="n">
        <v>1619.19</v>
      </c>
      <c r="T2124" s="9" t="n">
        <v>1593.07</v>
      </c>
      <c r="U2124" s="10">
        <f>SUM(I2124:T2124)</f>
        <v/>
      </c>
    </row>
    <row r="2125">
      <c r="A2125" s="2" t="inlineStr">
        <is>
          <t>SN-3000-3600-3630-3630CT0001</t>
        </is>
      </c>
      <c r="B2125" s="2" t="inlineStr">
        <is>
          <t>3630CT0001</t>
        </is>
      </c>
      <c r="C2125" s="2" t="inlineStr">
        <is>
          <t>Sistema CCTV filtrado relaves</t>
        </is>
      </c>
      <c r="D2125" s="2" t="n">
        <v>708</v>
      </c>
      <c r="E2125" s="2" t="inlineStr">
        <is>
          <t>CC-3000</t>
        </is>
      </c>
      <c r="F2125" s="2" t="inlineStr">
        <is>
          <t>P01</t>
        </is>
      </c>
      <c r="G2125" s="2" t="n">
        <v>630000</v>
      </c>
      <c r="H2125" s="2" t="inlineStr">
        <is>
          <t>Servicios externos</t>
        </is>
      </c>
      <c r="I2125" s="9" t="n">
        <v>1818.74</v>
      </c>
      <c r="J2125" s="9" t="n">
        <v>1687.11</v>
      </c>
      <c r="K2125" s="9" t="n">
        <v>1956.1</v>
      </c>
      <c r="L2125" s="9" t="n">
        <v>1929.71</v>
      </c>
      <c r="M2125" s="9" t="n">
        <v>1913.19</v>
      </c>
      <c r="N2125" s="9" t="n">
        <v>1795.92</v>
      </c>
      <c r="O2125" s="9" t="n">
        <v>1743.73</v>
      </c>
      <c r="P2125" s="9" t="n">
        <v>1946.94</v>
      </c>
      <c r="Q2125" s="9" t="n">
        <v>1751.66</v>
      </c>
      <c r="R2125" s="9" t="n">
        <v>2086.7</v>
      </c>
      <c r="S2125" s="9" t="n">
        <v>1863.59</v>
      </c>
      <c r="T2125" s="9" t="n">
        <v>1811.04</v>
      </c>
      <c r="U2125" s="10">
        <f>SUM(I2125:T2125)</f>
        <v/>
      </c>
    </row>
    <row r="2126">
      <c r="A2126" s="2" t="inlineStr">
        <is>
          <t>SN-3000-3600-3630-3630DR0002</t>
        </is>
      </c>
      <c r="B2126" s="2" t="inlineStr">
        <is>
          <t>3630DR0002</t>
        </is>
      </c>
      <c r="C2126" s="2" t="inlineStr">
        <is>
          <t>Secador de aire</t>
        </is>
      </c>
      <c r="D2126" s="2" t="n">
        <v>709</v>
      </c>
      <c r="E2126" s="2" t="inlineStr">
        <is>
          <t>CC-3000</t>
        </is>
      </c>
      <c r="F2126" s="2" t="inlineStr">
        <is>
          <t>P01</t>
        </is>
      </c>
      <c r="G2126" s="2" t="n">
        <v>610000</v>
      </c>
      <c r="H2126" s="2" t="inlineStr">
        <is>
          <t>Mano obra interna</t>
        </is>
      </c>
      <c r="I2126" s="9" t="n">
        <v>704.83</v>
      </c>
      <c r="J2126" s="9" t="n">
        <v>670.39</v>
      </c>
      <c r="K2126" s="9" t="n">
        <v>720.33</v>
      </c>
      <c r="L2126" s="9" t="n">
        <v>739.36</v>
      </c>
      <c r="M2126" s="9" t="n">
        <v>767.5</v>
      </c>
      <c r="N2126" s="9" t="n">
        <v>737.58</v>
      </c>
      <c r="O2126" s="9" t="n">
        <v>753.9400000000001</v>
      </c>
      <c r="P2126" s="9" t="n">
        <v>672.1799999999999</v>
      </c>
      <c r="Q2126" s="9" t="n">
        <v>660.6</v>
      </c>
      <c r="R2126" s="9" t="n">
        <v>808.14</v>
      </c>
      <c r="S2126" s="9" t="n">
        <v>663.04</v>
      </c>
      <c r="T2126" s="9" t="n">
        <v>774.54</v>
      </c>
      <c r="U2126" s="10">
        <f>SUM(I2126:T2126)</f>
        <v/>
      </c>
    </row>
    <row r="2127">
      <c r="A2127" s="2" t="inlineStr">
        <is>
          <t>SN-3000-3600-3630-3630DR0002</t>
        </is>
      </c>
      <c r="B2127" s="2" t="inlineStr">
        <is>
          <t>3630DR0002</t>
        </is>
      </c>
      <c r="C2127" s="2" t="inlineStr">
        <is>
          <t>Secador de aire</t>
        </is>
      </c>
      <c r="D2127" s="2" t="n">
        <v>709</v>
      </c>
      <c r="E2127" s="2" t="inlineStr">
        <is>
          <t>CC-3000</t>
        </is>
      </c>
      <c r="F2127" s="2" t="inlineStr">
        <is>
          <t>P01</t>
        </is>
      </c>
      <c r="G2127" s="2" t="n">
        <v>620000</v>
      </c>
      <c r="H2127" s="2" t="inlineStr">
        <is>
          <t>Materiales</t>
        </is>
      </c>
      <c r="I2127" s="9" t="n">
        <v>900.95</v>
      </c>
      <c r="J2127" s="9" t="n">
        <v>919.27</v>
      </c>
      <c r="K2127" s="9" t="n">
        <v>879.77</v>
      </c>
      <c r="L2127" s="9" t="n">
        <v>951.76</v>
      </c>
      <c r="M2127" s="9" t="n">
        <v>825.83</v>
      </c>
      <c r="N2127" s="9" t="n">
        <v>815.67</v>
      </c>
      <c r="O2127" s="9" t="n">
        <v>934.41</v>
      </c>
      <c r="P2127" s="9" t="n">
        <v>933.58</v>
      </c>
      <c r="Q2127" s="9" t="n">
        <v>860.1799999999999</v>
      </c>
      <c r="R2127" s="9" t="n">
        <v>970.99</v>
      </c>
      <c r="S2127" s="9" t="n">
        <v>899.27</v>
      </c>
      <c r="T2127" s="9" t="n">
        <v>957.24</v>
      </c>
      <c r="U2127" s="10">
        <f>SUM(I2127:T2127)</f>
        <v/>
      </c>
    </row>
    <row r="2128">
      <c r="A2128" s="2" t="inlineStr">
        <is>
          <t>SN-3000-3600-3630-3630DR0002</t>
        </is>
      </c>
      <c r="B2128" s="2" t="inlineStr">
        <is>
          <t>3630DR0002</t>
        </is>
      </c>
      <c r="C2128" s="2" t="inlineStr">
        <is>
          <t>Secador de aire</t>
        </is>
      </c>
      <c r="D2128" s="2" t="n">
        <v>709</v>
      </c>
      <c r="E2128" s="2" t="inlineStr">
        <is>
          <t>CC-3000</t>
        </is>
      </c>
      <c r="F2128" s="2" t="inlineStr">
        <is>
          <t>P01</t>
        </is>
      </c>
      <c r="G2128" s="2" t="n">
        <v>630000</v>
      </c>
      <c r="H2128" s="2" t="inlineStr">
        <is>
          <t>Servicios externos</t>
        </is>
      </c>
      <c r="I2128" s="9" t="n">
        <v>990.2</v>
      </c>
      <c r="J2128" s="9" t="n">
        <v>941.75</v>
      </c>
      <c r="K2128" s="9" t="n">
        <v>971.4400000000001</v>
      </c>
      <c r="L2128" s="9" t="n">
        <v>944.4</v>
      </c>
      <c r="M2128" s="9" t="n">
        <v>848.89</v>
      </c>
      <c r="N2128" s="9" t="n">
        <v>826.36</v>
      </c>
      <c r="O2128" s="9" t="n">
        <v>960.42</v>
      </c>
      <c r="P2128" s="9" t="n">
        <v>956.79</v>
      </c>
      <c r="Q2128" s="9" t="n">
        <v>865.64</v>
      </c>
      <c r="R2128" s="9" t="n">
        <v>975.17</v>
      </c>
      <c r="S2128" s="9" t="n">
        <v>816.99</v>
      </c>
      <c r="T2128" s="9" t="n">
        <v>901.13</v>
      </c>
      <c r="U2128" s="10">
        <f>SUM(I2128:T2128)</f>
        <v/>
      </c>
    </row>
    <row r="2129">
      <c r="A2129" s="2" t="inlineStr">
        <is>
          <t>SN-3000-3600-3630-3630FA0053</t>
        </is>
      </c>
      <c r="B2129" s="2" t="inlineStr">
        <is>
          <t>3630FA0053</t>
        </is>
      </c>
      <c r="C2129" s="2" t="inlineStr">
        <is>
          <t>Ventilador sistema calefacción</t>
        </is>
      </c>
      <c r="D2129" s="2" t="n">
        <v>710</v>
      </c>
      <c r="E2129" s="2" t="inlineStr">
        <is>
          <t>CC-3000</t>
        </is>
      </c>
      <c r="F2129" s="2" t="inlineStr">
        <is>
          <t>P01</t>
        </is>
      </c>
      <c r="G2129" s="2" t="n">
        <v>610000</v>
      </c>
      <c r="H2129" s="2" t="inlineStr">
        <is>
          <t>Mano obra interna</t>
        </is>
      </c>
      <c r="I2129" s="9" t="n">
        <v>668.9</v>
      </c>
      <c r="J2129" s="9" t="n">
        <v>691.22</v>
      </c>
      <c r="K2129" s="9" t="n">
        <v>635.1</v>
      </c>
      <c r="L2129" s="9" t="n">
        <v>673.24</v>
      </c>
      <c r="M2129" s="9" t="n">
        <v>636.21</v>
      </c>
      <c r="N2129" s="9" t="n">
        <v>677.12</v>
      </c>
      <c r="O2129" s="9" t="n">
        <v>695.0700000000001</v>
      </c>
      <c r="P2129" s="9" t="n">
        <v>649.8200000000001</v>
      </c>
      <c r="Q2129" s="9" t="n">
        <v>660.22</v>
      </c>
      <c r="R2129" s="9" t="n">
        <v>709.83</v>
      </c>
      <c r="S2129" s="9" t="n">
        <v>601.9</v>
      </c>
      <c r="T2129" s="9" t="n">
        <v>672.4400000000001</v>
      </c>
      <c r="U2129" s="10">
        <f>SUM(I2129:T2129)</f>
        <v/>
      </c>
    </row>
    <row r="2130">
      <c r="A2130" s="2" t="inlineStr">
        <is>
          <t>SN-3000-3600-3630-3630FA0053</t>
        </is>
      </c>
      <c r="B2130" s="2" t="inlineStr">
        <is>
          <t>3630FA0053</t>
        </is>
      </c>
      <c r="C2130" s="2" t="inlineStr">
        <is>
          <t>Ventilador sistema calefacción</t>
        </is>
      </c>
      <c r="D2130" s="2" t="n">
        <v>710</v>
      </c>
      <c r="E2130" s="2" t="inlineStr">
        <is>
          <t>CC-3000</t>
        </is>
      </c>
      <c r="F2130" s="2" t="inlineStr">
        <is>
          <t>P01</t>
        </is>
      </c>
      <c r="G2130" s="2" t="n">
        <v>620000</v>
      </c>
      <c r="H2130" s="2" t="inlineStr">
        <is>
          <t>Materiales</t>
        </is>
      </c>
      <c r="I2130" s="9" t="n">
        <v>637.42</v>
      </c>
      <c r="J2130" s="9" t="n">
        <v>643.9400000000001</v>
      </c>
      <c r="K2130" s="9" t="n">
        <v>659.28</v>
      </c>
      <c r="L2130" s="9" t="n">
        <v>601.88</v>
      </c>
      <c r="M2130" s="9" t="n">
        <v>585.1</v>
      </c>
      <c r="N2130" s="9" t="n">
        <v>543.97</v>
      </c>
      <c r="O2130" s="9" t="n">
        <v>590.41</v>
      </c>
      <c r="P2130" s="9" t="n">
        <v>570.8200000000001</v>
      </c>
      <c r="Q2130" s="9" t="n">
        <v>568.79</v>
      </c>
      <c r="R2130" s="9" t="n">
        <v>680.97</v>
      </c>
      <c r="S2130" s="9" t="n">
        <v>615.33</v>
      </c>
      <c r="T2130" s="9" t="n">
        <v>576.4400000000001</v>
      </c>
      <c r="U2130" s="10">
        <f>SUM(I2130:T2130)</f>
        <v/>
      </c>
    </row>
    <row r="2131">
      <c r="A2131" s="2" t="inlineStr">
        <is>
          <t>SN-3000-3600-3630-3630FA0053</t>
        </is>
      </c>
      <c r="B2131" s="2" t="inlineStr">
        <is>
          <t>3630FA0053</t>
        </is>
      </c>
      <c r="C2131" s="2" t="inlineStr">
        <is>
          <t>Ventilador sistema calefacción</t>
        </is>
      </c>
      <c r="D2131" s="2" t="n">
        <v>710</v>
      </c>
      <c r="E2131" s="2" t="inlineStr">
        <is>
          <t>CC-3000</t>
        </is>
      </c>
      <c r="F2131" s="2" t="inlineStr">
        <is>
          <t>P01</t>
        </is>
      </c>
      <c r="G2131" s="2" t="n">
        <v>630000</v>
      </c>
      <c r="H2131" s="2" t="inlineStr">
        <is>
          <t>Servicios externos</t>
        </is>
      </c>
      <c r="I2131" s="9" t="n">
        <v>626.96</v>
      </c>
      <c r="J2131" s="9" t="n">
        <v>586.4400000000001</v>
      </c>
      <c r="K2131" s="9" t="n">
        <v>641.39</v>
      </c>
      <c r="L2131" s="9" t="n">
        <v>628.86</v>
      </c>
      <c r="M2131" s="9" t="n">
        <v>642.67</v>
      </c>
      <c r="N2131" s="9" t="n">
        <v>645.05</v>
      </c>
      <c r="O2131" s="9" t="n">
        <v>631.4</v>
      </c>
      <c r="P2131" s="9" t="n">
        <v>660.3</v>
      </c>
      <c r="Q2131" s="9" t="n">
        <v>558.25</v>
      </c>
      <c r="R2131" s="9" t="n">
        <v>728.89</v>
      </c>
      <c r="S2131" s="9" t="n">
        <v>581.2</v>
      </c>
      <c r="T2131" s="9" t="n">
        <v>613.36</v>
      </c>
      <c r="U2131" s="10">
        <f>SUM(I2131:T2131)</f>
        <v/>
      </c>
    </row>
    <row r="2132">
      <c r="A2132" s="2" t="inlineStr">
        <is>
          <t>SN-3000-3600-3630-3630FA0054</t>
        </is>
      </c>
      <c r="B2132" s="2" t="inlineStr">
        <is>
          <t>3630FA0054</t>
        </is>
      </c>
      <c r="C2132" s="2" t="inlineStr">
        <is>
          <t>Ventilador inyeccion</t>
        </is>
      </c>
      <c r="D2132" s="2" t="n">
        <v>711</v>
      </c>
      <c r="E2132" s="2" t="inlineStr">
        <is>
          <t>CC-3000</t>
        </is>
      </c>
      <c r="F2132" s="2" t="inlineStr">
        <is>
          <t>P01</t>
        </is>
      </c>
      <c r="G2132" s="2" t="n">
        <v>610000</v>
      </c>
      <c r="H2132" s="2" t="inlineStr">
        <is>
          <t>Mano obra interna</t>
        </is>
      </c>
      <c r="I2132" s="9" t="n">
        <v>1668.3</v>
      </c>
      <c r="J2132" s="9" t="n">
        <v>1673.96</v>
      </c>
      <c r="K2132" s="9" t="n">
        <v>1874.67</v>
      </c>
      <c r="L2132" s="9" t="n">
        <v>1803.59</v>
      </c>
      <c r="M2132" s="9" t="n">
        <v>1636.22</v>
      </c>
      <c r="N2132" s="9" t="n">
        <v>1631.07</v>
      </c>
      <c r="O2132" s="9" t="n">
        <v>1719.6</v>
      </c>
      <c r="P2132" s="9" t="n">
        <v>1771.28</v>
      </c>
      <c r="Q2132" s="9" t="n">
        <v>1628.42</v>
      </c>
      <c r="R2132" s="9" t="n">
        <v>1837.91</v>
      </c>
      <c r="S2132" s="9" t="n">
        <v>1675.91</v>
      </c>
      <c r="T2132" s="9" t="n">
        <v>1777.9</v>
      </c>
      <c r="U2132" s="10">
        <f>SUM(I2132:T2132)</f>
        <v/>
      </c>
    </row>
    <row r="2133">
      <c r="A2133" s="2" t="inlineStr">
        <is>
          <t>SN-3000-3600-3630-3630FA0054</t>
        </is>
      </c>
      <c r="B2133" s="2" t="inlineStr">
        <is>
          <t>3630FA0054</t>
        </is>
      </c>
      <c r="C2133" s="2" t="inlineStr">
        <is>
          <t>Ventilador inyeccion</t>
        </is>
      </c>
      <c r="D2133" s="2" t="n">
        <v>711</v>
      </c>
      <c r="E2133" s="2" t="inlineStr">
        <is>
          <t>CC-3000</t>
        </is>
      </c>
      <c r="F2133" s="2" t="inlineStr">
        <is>
          <t>P01</t>
        </is>
      </c>
      <c r="G2133" s="2" t="n">
        <v>620000</v>
      </c>
      <c r="H2133" s="2" t="inlineStr">
        <is>
          <t>Materiales</t>
        </is>
      </c>
      <c r="I2133" s="9" t="n">
        <v>1642.97</v>
      </c>
      <c r="J2133" s="9" t="n">
        <v>1715.08</v>
      </c>
      <c r="K2133" s="9" t="n">
        <v>1841.71</v>
      </c>
      <c r="L2133" s="9" t="n">
        <v>1702.62</v>
      </c>
      <c r="M2133" s="9" t="n">
        <v>1801.41</v>
      </c>
      <c r="N2133" s="9" t="n">
        <v>1542.75</v>
      </c>
      <c r="O2133" s="9" t="n">
        <v>1668.66</v>
      </c>
      <c r="P2133" s="9" t="n">
        <v>1656.34</v>
      </c>
      <c r="Q2133" s="9" t="n">
        <v>1681.93</v>
      </c>
      <c r="R2133" s="9" t="n">
        <v>1760.41</v>
      </c>
      <c r="S2133" s="9" t="n">
        <v>1628.8</v>
      </c>
      <c r="T2133" s="9" t="n">
        <v>1629.69</v>
      </c>
      <c r="U2133" s="10">
        <f>SUM(I2133:T2133)</f>
        <v/>
      </c>
    </row>
    <row r="2134">
      <c r="A2134" s="2" t="inlineStr">
        <is>
          <t>SN-3000-3600-3630-3630FA0054</t>
        </is>
      </c>
      <c r="B2134" s="2" t="inlineStr">
        <is>
          <t>3630FA0054</t>
        </is>
      </c>
      <c r="C2134" s="2" t="inlineStr">
        <is>
          <t>Ventilador inyeccion</t>
        </is>
      </c>
      <c r="D2134" s="2" t="n">
        <v>711</v>
      </c>
      <c r="E2134" s="2" t="inlineStr">
        <is>
          <t>CC-3000</t>
        </is>
      </c>
      <c r="F2134" s="2" t="inlineStr">
        <is>
          <t>P01</t>
        </is>
      </c>
      <c r="G2134" s="2" t="n">
        <v>630000</v>
      </c>
      <c r="H2134" s="2" t="inlineStr">
        <is>
          <t>Servicios externos</t>
        </is>
      </c>
      <c r="I2134" s="9" t="n">
        <v>2064.66</v>
      </c>
      <c r="J2134" s="9" t="n">
        <v>1825.06</v>
      </c>
      <c r="K2134" s="9" t="n">
        <v>2071.77</v>
      </c>
      <c r="L2134" s="9" t="n">
        <v>2083.95</v>
      </c>
      <c r="M2134" s="9" t="n">
        <v>1763.95</v>
      </c>
      <c r="N2134" s="9" t="n">
        <v>1904.09</v>
      </c>
      <c r="O2134" s="9" t="n">
        <v>1839.04</v>
      </c>
      <c r="P2134" s="9" t="n">
        <v>1812.36</v>
      </c>
      <c r="Q2134" s="9" t="n">
        <v>1809.67</v>
      </c>
      <c r="R2134" s="9" t="n">
        <v>2131</v>
      </c>
      <c r="S2134" s="9" t="n">
        <v>1820.82</v>
      </c>
      <c r="T2134" s="9" t="n">
        <v>1798.35</v>
      </c>
      <c r="U2134" s="10">
        <f>SUM(I2134:T2134)</f>
        <v/>
      </c>
    </row>
    <row r="2135">
      <c r="A2135" s="2" t="inlineStr">
        <is>
          <t>SN-3000-3600-3630-3630FA0055</t>
        </is>
      </c>
      <c r="B2135" s="2" t="inlineStr">
        <is>
          <t>3630FA0055</t>
        </is>
      </c>
      <c r="C2135" s="2" t="inlineStr">
        <is>
          <t>Extractor aire edificio</t>
        </is>
      </c>
      <c r="D2135" s="2" t="n">
        <v>712</v>
      </c>
      <c r="E2135" s="2" t="inlineStr">
        <is>
          <t>CC-3000</t>
        </is>
      </c>
      <c r="F2135" s="2" t="inlineStr">
        <is>
          <t>P01</t>
        </is>
      </c>
      <c r="G2135" s="2" t="n">
        <v>610000</v>
      </c>
      <c r="H2135" s="2" t="inlineStr">
        <is>
          <t>Mano obra interna</t>
        </is>
      </c>
      <c r="I2135" s="9" t="n">
        <v>2333.96</v>
      </c>
      <c r="J2135" s="9" t="n">
        <v>2092.18</v>
      </c>
      <c r="K2135" s="9" t="n">
        <v>2273.53</v>
      </c>
      <c r="L2135" s="9" t="n">
        <v>2083.25</v>
      </c>
      <c r="M2135" s="9" t="n">
        <v>2125.98</v>
      </c>
      <c r="N2135" s="9" t="n">
        <v>2115.64</v>
      </c>
      <c r="O2135" s="9" t="n">
        <v>2211.98</v>
      </c>
      <c r="P2135" s="9" t="n">
        <v>2100.38</v>
      </c>
      <c r="Q2135" s="9" t="n">
        <v>2143.37</v>
      </c>
      <c r="R2135" s="9" t="n">
        <v>2301.3</v>
      </c>
      <c r="S2135" s="9" t="n">
        <v>2161.95</v>
      </c>
      <c r="T2135" s="9" t="n">
        <v>2155.84</v>
      </c>
      <c r="U2135" s="10">
        <f>SUM(I2135:T2135)</f>
        <v/>
      </c>
    </row>
    <row r="2136">
      <c r="A2136" s="2" t="inlineStr">
        <is>
          <t>SN-3000-3600-3630-3630FA0055</t>
        </is>
      </c>
      <c r="B2136" s="2" t="inlineStr">
        <is>
          <t>3630FA0055</t>
        </is>
      </c>
      <c r="C2136" s="2" t="inlineStr">
        <is>
          <t>Extractor aire edificio</t>
        </is>
      </c>
      <c r="D2136" s="2" t="n">
        <v>712</v>
      </c>
      <c r="E2136" s="2" t="inlineStr">
        <is>
          <t>CC-3000</t>
        </is>
      </c>
      <c r="F2136" s="2" t="inlineStr">
        <is>
          <t>P01</t>
        </is>
      </c>
      <c r="G2136" s="2" t="n">
        <v>620000</v>
      </c>
      <c r="H2136" s="2" t="inlineStr">
        <is>
          <t>Materiales</t>
        </is>
      </c>
      <c r="I2136" s="9" t="n">
        <v>1811.3</v>
      </c>
      <c r="J2136" s="9" t="n">
        <v>1872.25</v>
      </c>
      <c r="K2136" s="9" t="n">
        <v>1897.46</v>
      </c>
      <c r="L2136" s="9" t="n">
        <v>1755.17</v>
      </c>
      <c r="M2136" s="9" t="n">
        <v>1703.1</v>
      </c>
      <c r="N2136" s="9" t="n">
        <v>1771.43</v>
      </c>
      <c r="O2136" s="9" t="n">
        <v>1767.88</v>
      </c>
      <c r="P2136" s="9" t="n">
        <v>1885.34</v>
      </c>
      <c r="Q2136" s="9" t="n">
        <v>1707.31</v>
      </c>
      <c r="R2136" s="9" t="n">
        <v>2057.01</v>
      </c>
      <c r="S2136" s="9" t="n">
        <v>1932.41</v>
      </c>
      <c r="T2136" s="9" t="n">
        <v>1897.75</v>
      </c>
      <c r="U2136" s="10">
        <f>SUM(I2136:T2136)</f>
        <v/>
      </c>
    </row>
    <row r="2137">
      <c r="A2137" s="2" t="inlineStr">
        <is>
          <t>SN-3000-3600-3630-3630FA0055</t>
        </is>
      </c>
      <c r="B2137" s="2" t="inlineStr">
        <is>
          <t>3630FA0055</t>
        </is>
      </c>
      <c r="C2137" s="2" t="inlineStr">
        <is>
          <t>Extractor aire edificio</t>
        </is>
      </c>
      <c r="D2137" s="2" t="n">
        <v>712</v>
      </c>
      <c r="E2137" s="2" t="inlineStr">
        <is>
          <t>CC-3000</t>
        </is>
      </c>
      <c r="F2137" s="2" t="inlineStr">
        <is>
          <t>P01</t>
        </is>
      </c>
      <c r="G2137" s="2" t="n">
        <v>630000</v>
      </c>
      <c r="H2137" s="2" t="inlineStr">
        <is>
          <t>Servicios externos</t>
        </is>
      </c>
      <c r="I2137" s="9" t="n">
        <v>2131.64</v>
      </c>
      <c r="J2137" s="9" t="n">
        <v>2109.86</v>
      </c>
      <c r="K2137" s="9" t="n">
        <v>1975.63</v>
      </c>
      <c r="L2137" s="9" t="n">
        <v>2158.52</v>
      </c>
      <c r="M2137" s="9" t="n">
        <v>2114.97</v>
      </c>
      <c r="N2137" s="9" t="n">
        <v>1885.78</v>
      </c>
      <c r="O2137" s="9" t="n">
        <v>1947.96</v>
      </c>
      <c r="P2137" s="9" t="n">
        <v>2150.4</v>
      </c>
      <c r="Q2137" s="9" t="n">
        <v>1906.29</v>
      </c>
      <c r="R2137" s="9" t="n">
        <v>2122.93</v>
      </c>
      <c r="S2137" s="9" t="n">
        <v>2033.48</v>
      </c>
      <c r="T2137" s="9" t="n">
        <v>1972.94</v>
      </c>
      <c r="U2137" s="10">
        <f>SUM(I2137:T2137)</f>
        <v/>
      </c>
    </row>
    <row r="2138">
      <c r="A2138" s="2" t="inlineStr">
        <is>
          <t>SN-3000-3600-3630-3630FA0056</t>
        </is>
      </c>
      <c r="B2138" s="2" t="inlineStr">
        <is>
          <t>3630FA0056</t>
        </is>
      </c>
      <c r="C2138" s="2" t="inlineStr">
        <is>
          <t>Extractor aire edificio</t>
        </is>
      </c>
      <c r="D2138" s="2" t="n">
        <v>713</v>
      </c>
      <c r="E2138" s="2" t="inlineStr">
        <is>
          <t>CC-3000</t>
        </is>
      </c>
      <c r="F2138" s="2" t="inlineStr">
        <is>
          <t>P01</t>
        </is>
      </c>
      <c r="G2138" s="2" t="n">
        <v>610000</v>
      </c>
      <c r="H2138" s="2" t="inlineStr">
        <is>
          <t>Mano obra interna</t>
        </is>
      </c>
      <c r="I2138" s="9" t="n">
        <v>769.03</v>
      </c>
      <c r="J2138" s="9" t="n">
        <v>744.54</v>
      </c>
      <c r="K2138" s="9" t="n">
        <v>811.95</v>
      </c>
      <c r="L2138" s="9" t="n">
        <v>759.3</v>
      </c>
      <c r="M2138" s="9" t="n">
        <v>777.59</v>
      </c>
      <c r="N2138" s="9" t="n">
        <v>693.61</v>
      </c>
      <c r="O2138" s="9" t="n">
        <v>757.4299999999999</v>
      </c>
      <c r="P2138" s="9" t="n">
        <v>712.64</v>
      </c>
      <c r="Q2138" s="9" t="n">
        <v>683.59</v>
      </c>
      <c r="R2138" s="9" t="n">
        <v>852.88</v>
      </c>
      <c r="S2138" s="9" t="n">
        <v>691.26</v>
      </c>
      <c r="T2138" s="9" t="n">
        <v>796.85</v>
      </c>
      <c r="U2138" s="10">
        <f>SUM(I2138:T2138)</f>
        <v/>
      </c>
    </row>
    <row r="2139">
      <c r="A2139" s="2" t="inlineStr">
        <is>
          <t>SN-3000-3600-3630-3630FA0056</t>
        </is>
      </c>
      <c r="B2139" s="2" t="inlineStr">
        <is>
          <t>3630FA0056</t>
        </is>
      </c>
      <c r="C2139" s="2" t="inlineStr">
        <is>
          <t>Extractor aire edificio</t>
        </is>
      </c>
      <c r="D2139" s="2" t="n">
        <v>713</v>
      </c>
      <c r="E2139" s="2" t="inlineStr">
        <is>
          <t>CC-3000</t>
        </is>
      </c>
      <c r="F2139" s="2" t="inlineStr">
        <is>
          <t>P01</t>
        </is>
      </c>
      <c r="G2139" s="2" t="n">
        <v>620000</v>
      </c>
      <c r="H2139" s="2" t="inlineStr">
        <is>
          <t>Materiales</t>
        </is>
      </c>
      <c r="I2139" s="9" t="n">
        <v>723.9</v>
      </c>
      <c r="J2139" s="9" t="n">
        <v>707.49</v>
      </c>
      <c r="K2139" s="9" t="n">
        <v>821.52</v>
      </c>
      <c r="L2139" s="9" t="n">
        <v>753.26</v>
      </c>
      <c r="M2139" s="9" t="n">
        <v>776.96</v>
      </c>
      <c r="N2139" s="9" t="n">
        <v>755.87</v>
      </c>
      <c r="O2139" s="9" t="n">
        <v>747.53</v>
      </c>
      <c r="P2139" s="9" t="n">
        <v>762.54</v>
      </c>
      <c r="Q2139" s="9" t="n">
        <v>702.24</v>
      </c>
      <c r="R2139" s="9" t="n">
        <v>885.41</v>
      </c>
      <c r="S2139" s="9" t="n">
        <v>720.34</v>
      </c>
      <c r="T2139" s="9" t="n">
        <v>738.16</v>
      </c>
      <c r="U2139" s="10">
        <f>SUM(I2139:T2139)</f>
        <v/>
      </c>
    </row>
    <row r="2140">
      <c r="A2140" s="2" t="inlineStr">
        <is>
          <t>SN-3000-3600-3630-3630FA0056</t>
        </is>
      </c>
      <c r="B2140" s="2" t="inlineStr">
        <is>
          <t>3630FA0056</t>
        </is>
      </c>
      <c r="C2140" s="2" t="inlineStr">
        <is>
          <t>Extractor aire edificio</t>
        </is>
      </c>
      <c r="D2140" s="2" t="n">
        <v>713</v>
      </c>
      <c r="E2140" s="2" t="inlineStr">
        <is>
          <t>CC-3000</t>
        </is>
      </c>
      <c r="F2140" s="2" t="inlineStr">
        <is>
          <t>P01</t>
        </is>
      </c>
      <c r="G2140" s="2" t="n">
        <v>630000</v>
      </c>
      <c r="H2140" s="2" t="inlineStr">
        <is>
          <t>Servicios externos</t>
        </is>
      </c>
      <c r="I2140" s="9" t="n">
        <v>798.5700000000001</v>
      </c>
      <c r="J2140" s="9" t="n">
        <v>773.76</v>
      </c>
      <c r="K2140" s="9" t="n">
        <v>839.02</v>
      </c>
      <c r="L2140" s="9" t="n">
        <v>825.9400000000001</v>
      </c>
      <c r="M2140" s="9" t="n">
        <v>728.2</v>
      </c>
      <c r="N2140" s="9" t="n">
        <v>722.9299999999999</v>
      </c>
      <c r="O2140" s="9" t="n">
        <v>792.1</v>
      </c>
      <c r="P2140" s="9" t="n">
        <v>811.76</v>
      </c>
      <c r="Q2140" s="9" t="n">
        <v>690.49</v>
      </c>
      <c r="R2140" s="9" t="n">
        <v>814.04</v>
      </c>
      <c r="S2140" s="9" t="n">
        <v>784.41</v>
      </c>
      <c r="T2140" s="9" t="n">
        <v>755.42</v>
      </c>
      <c r="U2140" s="10">
        <f>SUM(I2140:T2140)</f>
        <v/>
      </c>
    </row>
    <row r="2141">
      <c r="A2141" s="2" t="inlineStr">
        <is>
          <t>SN-3000-3600-3630-3630FA0057</t>
        </is>
      </c>
      <c r="B2141" s="2" t="inlineStr">
        <is>
          <t>3630FA0057</t>
        </is>
      </c>
      <c r="C2141" s="2" t="inlineStr">
        <is>
          <t>Extractor aire edificio</t>
        </is>
      </c>
      <c r="D2141" s="2" t="n">
        <v>714</v>
      </c>
      <c r="E2141" s="2" t="inlineStr">
        <is>
          <t>CC-3000</t>
        </is>
      </c>
      <c r="F2141" s="2" t="inlineStr">
        <is>
          <t>P01</t>
        </is>
      </c>
      <c r="G2141" s="2" t="n">
        <v>610000</v>
      </c>
      <c r="H2141" s="2" t="inlineStr">
        <is>
          <t>Mano obra interna</t>
        </is>
      </c>
      <c r="I2141" s="9" t="n">
        <v>1993.73</v>
      </c>
      <c r="J2141" s="9" t="n">
        <v>1893.88</v>
      </c>
      <c r="K2141" s="9" t="n">
        <v>1814.65</v>
      </c>
      <c r="L2141" s="9" t="n">
        <v>1822.18</v>
      </c>
      <c r="M2141" s="9" t="n">
        <v>1772.61</v>
      </c>
      <c r="N2141" s="9" t="n">
        <v>1869.52</v>
      </c>
      <c r="O2141" s="9" t="n">
        <v>1981.62</v>
      </c>
      <c r="P2141" s="9" t="n">
        <v>1913.28</v>
      </c>
      <c r="Q2141" s="9" t="n">
        <v>1703.22</v>
      </c>
      <c r="R2141" s="9" t="n">
        <v>1823.12</v>
      </c>
      <c r="S2141" s="9" t="n">
        <v>1831.83</v>
      </c>
      <c r="T2141" s="9" t="n">
        <v>1828.58</v>
      </c>
      <c r="U2141" s="10">
        <f>SUM(I2141:T2141)</f>
        <v/>
      </c>
    </row>
    <row r="2142">
      <c r="A2142" s="2" t="inlineStr">
        <is>
          <t>SN-3000-3600-3630-3630FA0057</t>
        </is>
      </c>
      <c r="B2142" s="2" t="inlineStr">
        <is>
          <t>3630FA0057</t>
        </is>
      </c>
      <c r="C2142" s="2" t="inlineStr">
        <is>
          <t>Extractor aire edificio</t>
        </is>
      </c>
      <c r="D2142" s="2" t="n">
        <v>714</v>
      </c>
      <c r="E2142" s="2" t="inlineStr">
        <is>
          <t>CC-3000</t>
        </is>
      </c>
      <c r="F2142" s="2" t="inlineStr">
        <is>
          <t>P01</t>
        </is>
      </c>
      <c r="G2142" s="2" t="n">
        <v>620000</v>
      </c>
      <c r="H2142" s="2" t="inlineStr">
        <is>
          <t>Materiales</t>
        </is>
      </c>
      <c r="I2142" s="9" t="n">
        <v>1974.63</v>
      </c>
      <c r="J2142" s="9" t="n">
        <v>1867.3</v>
      </c>
      <c r="K2142" s="9" t="n">
        <v>2101.52</v>
      </c>
      <c r="L2142" s="9" t="n">
        <v>1795.46</v>
      </c>
      <c r="M2142" s="9" t="n">
        <v>1946.05</v>
      </c>
      <c r="N2142" s="9" t="n">
        <v>1792.06</v>
      </c>
      <c r="O2142" s="9" t="n">
        <v>1967.78</v>
      </c>
      <c r="P2142" s="9" t="n">
        <v>1953.7</v>
      </c>
      <c r="Q2142" s="9" t="n">
        <v>1631.65</v>
      </c>
      <c r="R2142" s="9" t="n">
        <v>1980.55</v>
      </c>
      <c r="S2142" s="9" t="n">
        <v>1749.51</v>
      </c>
      <c r="T2142" s="9" t="n">
        <v>1827.24</v>
      </c>
      <c r="U2142" s="10">
        <f>SUM(I2142:T2142)</f>
        <v/>
      </c>
    </row>
    <row r="2143">
      <c r="A2143" s="2" t="inlineStr">
        <is>
          <t>SN-3000-3600-3630-3630FA0057</t>
        </is>
      </c>
      <c r="B2143" s="2" t="inlineStr">
        <is>
          <t>3630FA0057</t>
        </is>
      </c>
      <c r="C2143" s="2" t="inlineStr">
        <is>
          <t>Extractor aire edificio</t>
        </is>
      </c>
      <c r="D2143" s="2" t="n">
        <v>714</v>
      </c>
      <c r="E2143" s="2" t="inlineStr">
        <is>
          <t>CC-3000</t>
        </is>
      </c>
      <c r="F2143" s="2" t="inlineStr">
        <is>
          <t>P01</t>
        </is>
      </c>
      <c r="G2143" s="2" t="n">
        <v>630000</v>
      </c>
      <c r="H2143" s="2" t="inlineStr">
        <is>
          <t>Servicios externos</t>
        </is>
      </c>
      <c r="I2143" s="9" t="n">
        <v>1910.22</v>
      </c>
      <c r="J2143" s="9" t="n">
        <v>1915.25</v>
      </c>
      <c r="K2143" s="9" t="n">
        <v>1932.82</v>
      </c>
      <c r="L2143" s="9" t="n">
        <v>2021.25</v>
      </c>
      <c r="M2143" s="9" t="n">
        <v>2000.59</v>
      </c>
      <c r="N2143" s="9" t="n">
        <v>1816.35</v>
      </c>
      <c r="O2143" s="9" t="n">
        <v>1985.67</v>
      </c>
      <c r="P2143" s="9" t="n">
        <v>2052.54</v>
      </c>
      <c r="Q2143" s="9" t="n">
        <v>1699.61</v>
      </c>
      <c r="R2143" s="9" t="n">
        <v>2176.7</v>
      </c>
      <c r="S2143" s="9" t="n">
        <v>1836.74</v>
      </c>
      <c r="T2143" s="9" t="n">
        <v>1861.94</v>
      </c>
      <c r="U2143" s="10">
        <f>SUM(I2143:T2143)</f>
        <v/>
      </c>
    </row>
    <row r="2144">
      <c r="A2144" s="2" t="inlineStr">
        <is>
          <t>SN-3000-3600-3630-3630FA0058</t>
        </is>
      </c>
      <c r="B2144" s="2" t="inlineStr">
        <is>
          <t>3630FA0058</t>
        </is>
      </c>
      <c r="C2144" s="2" t="inlineStr">
        <is>
          <t>Extractor aire edificio</t>
        </is>
      </c>
      <c r="D2144" s="2" t="n">
        <v>715</v>
      </c>
      <c r="E2144" s="2" t="inlineStr">
        <is>
          <t>CC-3000</t>
        </is>
      </c>
      <c r="F2144" s="2" t="inlineStr">
        <is>
          <t>P01</t>
        </is>
      </c>
      <c r="G2144" s="2" t="n">
        <v>610000</v>
      </c>
      <c r="H2144" s="2" t="inlineStr">
        <is>
          <t>Mano obra interna</t>
        </is>
      </c>
      <c r="I2144" s="9" t="n">
        <v>153.85</v>
      </c>
      <c r="J2144" s="9" t="n">
        <v>163.21</v>
      </c>
      <c r="K2144" s="9" t="n">
        <v>150.71</v>
      </c>
      <c r="L2144" s="9" t="n">
        <v>150.75</v>
      </c>
      <c r="M2144" s="9" t="n">
        <v>156.51</v>
      </c>
      <c r="N2144" s="9" t="n">
        <v>152.84</v>
      </c>
      <c r="O2144" s="9" t="n">
        <v>163.49</v>
      </c>
      <c r="P2144" s="9" t="n">
        <v>151.43</v>
      </c>
      <c r="Q2144" s="9" t="n">
        <v>154.74</v>
      </c>
      <c r="R2144" s="9" t="n">
        <v>182.3</v>
      </c>
      <c r="S2144" s="9" t="n">
        <v>152.56</v>
      </c>
      <c r="T2144" s="9" t="n">
        <v>166.62</v>
      </c>
      <c r="U2144" s="10">
        <f>SUM(I2144:T2144)</f>
        <v/>
      </c>
    </row>
    <row r="2145">
      <c r="A2145" s="2" t="inlineStr">
        <is>
          <t>SN-3000-3600-3630-3630FA0058</t>
        </is>
      </c>
      <c r="B2145" s="2" t="inlineStr">
        <is>
          <t>3630FA0058</t>
        </is>
      </c>
      <c r="C2145" s="2" t="inlineStr">
        <is>
          <t>Extractor aire edificio</t>
        </is>
      </c>
      <c r="D2145" s="2" t="n">
        <v>715</v>
      </c>
      <c r="E2145" s="2" t="inlineStr">
        <is>
          <t>CC-3000</t>
        </is>
      </c>
      <c r="F2145" s="2" t="inlineStr">
        <is>
          <t>P01</t>
        </is>
      </c>
      <c r="G2145" s="2" t="n">
        <v>620000</v>
      </c>
      <c r="H2145" s="2" t="inlineStr">
        <is>
          <t>Materiales</t>
        </is>
      </c>
      <c r="I2145" s="9" t="n">
        <v>146.45</v>
      </c>
      <c r="J2145" s="9" t="n">
        <v>147.52</v>
      </c>
      <c r="K2145" s="9" t="n">
        <v>148.46</v>
      </c>
      <c r="L2145" s="9" t="n">
        <v>169.79</v>
      </c>
      <c r="M2145" s="9" t="n">
        <v>145.87</v>
      </c>
      <c r="N2145" s="9" t="n">
        <v>150.51</v>
      </c>
      <c r="O2145" s="9" t="n">
        <v>148.83</v>
      </c>
      <c r="P2145" s="9" t="n">
        <v>157.74</v>
      </c>
      <c r="Q2145" s="9" t="n">
        <v>136.78</v>
      </c>
      <c r="R2145" s="9" t="n">
        <v>173.74</v>
      </c>
      <c r="S2145" s="9" t="n">
        <v>139.87</v>
      </c>
      <c r="T2145" s="9" t="n">
        <v>166.25</v>
      </c>
      <c r="U2145" s="10">
        <f>SUM(I2145:T2145)</f>
        <v/>
      </c>
    </row>
    <row r="2146">
      <c r="A2146" s="2" t="inlineStr">
        <is>
          <t>SN-3000-3600-3630-3630FA0058</t>
        </is>
      </c>
      <c r="B2146" s="2" t="inlineStr">
        <is>
          <t>3630FA0058</t>
        </is>
      </c>
      <c r="C2146" s="2" t="inlineStr">
        <is>
          <t>Extractor aire edificio</t>
        </is>
      </c>
      <c r="D2146" s="2" t="n">
        <v>715</v>
      </c>
      <c r="E2146" s="2" t="inlineStr">
        <is>
          <t>CC-3000</t>
        </is>
      </c>
      <c r="F2146" s="2" t="inlineStr">
        <is>
          <t>P01</t>
        </is>
      </c>
      <c r="G2146" s="2" t="n">
        <v>630000</v>
      </c>
      <c r="H2146" s="2" t="inlineStr">
        <is>
          <t>Servicios externos</t>
        </is>
      </c>
      <c r="I2146" s="9" t="n">
        <v>179.53</v>
      </c>
      <c r="J2146" s="9" t="n">
        <v>156.73</v>
      </c>
      <c r="K2146" s="9" t="n">
        <v>168.16</v>
      </c>
      <c r="L2146" s="9" t="n">
        <v>184.79</v>
      </c>
      <c r="M2146" s="9" t="n">
        <v>158.97</v>
      </c>
      <c r="N2146" s="9" t="n">
        <v>154.46</v>
      </c>
      <c r="O2146" s="9" t="n">
        <v>172.26</v>
      </c>
      <c r="P2146" s="9" t="n">
        <v>164.67</v>
      </c>
      <c r="Q2146" s="9" t="n">
        <v>152.08</v>
      </c>
      <c r="R2146" s="9" t="n">
        <v>186.62</v>
      </c>
      <c r="S2146" s="9" t="n">
        <v>162.14</v>
      </c>
      <c r="T2146" s="9" t="n">
        <v>163.53</v>
      </c>
      <c r="U2146" s="10">
        <f>SUM(I2146:T2146)</f>
        <v/>
      </c>
    </row>
    <row r="2147">
      <c r="A2147" s="2" t="inlineStr">
        <is>
          <t>SN-3000-3600-3630-3630FL0010</t>
        </is>
      </c>
      <c r="B2147" s="2" t="inlineStr">
        <is>
          <t>3630FL0010</t>
        </is>
      </c>
      <c r="C2147" s="2" t="inlineStr">
        <is>
          <t>Filtro relaves 1</t>
        </is>
      </c>
      <c r="D2147" s="2" t="n">
        <v>716</v>
      </c>
      <c r="E2147" s="2" t="inlineStr">
        <is>
          <t>CC-3000</t>
        </is>
      </c>
      <c r="F2147" s="2" t="inlineStr">
        <is>
          <t>P01</t>
        </is>
      </c>
      <c r="G2147" s="2" t="n">
        <v>610000</v>
      </c>
      <c r="H2147" s="2" t="inlineStr">
        <is>
          <t>Mano obra interna</t>
        </is>
      </c>
      <c r="I2147" s="9" t="n">
        <v>2477.38</v>
      </c>
      <c r="J2147" s="9" t="n">
        <v>2525.38</v>
      </c>
      <c r="K2147" s="9" t="n">
        <v>2387.62</v>
      </c>
      <c r="L2147" s="9" t="n">
        <v>2574.7</v>
      </c>
      <c r="M2147" s="9" t="n">
        <v>2421.06</v>
      </c>
      <c r="N2147" s="9" t="n">
        <v>2327.38</v>
      </c>
      <c r="O2147" s="9" t="n">
        <v>2366.68</v>
      </c>
      <c r="P2147" s="9" t="n">
        <v>2284.08</v>
      </c>
      <c r="Q2147" s="9" t="n">
        <v>2428.62</v>
      </c>
      <c r="R2147" s="9" t="n">
        <v>2591.27</v>
      </c>
      <c r="S2147" s="9" t="n">
        <v>2461.87</v>
      </c>
      <c r="T2147" s="9" t="n">
        <v>2687.79</v>
      </c>
      <c r="U2147" s="10">
        <f>SUM(I2147:T2147)</f>
        <v/>
      </c>
    </row>
    <row r="2148">
      <c r="A2148" s="2" t="inlineStr">
        <is>
          <t>SN-3000-3600-3630-3630FL0010</t>
        </is>
      </c>
      <c r="B2148" s="2" t="inlineStr">
        <is>
          <t>3630FL0010</t>
        </is>
      </c>
      <c r="C2148" s="2" t="inlineStr">
        <is>
          <t>Filtro relaves 1</t>
        </is>
      </c>
      <c r="D2148" s="2" t="n">
        <v>716</v>
      </c>
      <c r="E2148" s="2" t="inlineStr">
        <is>
          <t>CC-3000</t>
        </is>
      </c>
      <c r="F2148" s="2" t="inlineStr">
        <is>
          <t>P01</t>
        </is>
      </c>
      <c r="G2148" s="2" t="n">
        <v>620000</v>
      </c>
      <c r="H2148" s="2" t="inlineStr">
        <is>
          <t>Materiales</t>
        </is>
      </c>
      <c r="I2148" s="9" t="n">
        <v>2411.18</v>
      </c>
      <c r="J2148" s="9" t="n">
        <v>2277.41</v>
      </c>
      <c r="K2148" s="9" t="n">
        <v>2649.5</v>
      </c>
      <c r="L2148" s="9" t="n">
        <v>2525.9</v>
      </c>
      <c r="M2148" s="9" t="n">
        <v>2439.47</v>
      </c>
      <c r="N2148" s="9" t="n">
        <v>2268.83</v>
      </c>
      <c r="O2148" s="9" t="n">
        <v>2535.19</v>
      </c>
      <c r="P2148" s="9" t="n">
        <v>2481.71</v>
      </c>
      <c r="Q2148" s="9" t="n">
        <v>2157.92</v>
      </c>
      <c r="R2148" s="9" t="n">
        <v>2631.06</v>
      </c>
      <c r="S2148" s="9" t="n">
        <v>2298.8</v>
      </c>
      <c r="T2148" s="9" t="n">
        <v>2244.72</v>
      </c>
      <c r="U2148" s="10">
        <f>SUM(I2148:T2148)</f>
        <v/>
      </c>
    </row>
    <row r="2149">
      <c r="A2149" s="2" t="inlineStr">
        <is>
          <t>SN-3000-3600-3630-3630FL0010</t>
        </is>
      </c>
      <c r="B2149" s="2" t="inlineStr">
        <is>
          <t>3630FL0010</t>
        </is>
      </c>
      <c r="C2149" s="2" t="inlineStr">
        <is>
          <t>Filtro relaves 1</t>
        </is>
      </c>
      <c r="D2149" s="2" t="n">
        <v>716</v>
      </c>
      <c r="E2149" s="2" t="inlineStr">
        <is>
          <t>CC-3000</t>
        </is>
      </c>
      <c r="F2149" s="2" t="inlineStr">
        <is>
          <t>P01</t>
        </is>
      </c>
      <c r="G2149" s="2" t="n">
        <v>630000</v>
      </c>
      <c r="H2149" s="2" t="inlineStr">
        <is>
          <t>Servicios externos</t>
        </is>
      </c>
      <c r="I2149" s="9" t="n">
        <v>2534.33</v>
      </c>
      <c r="J2149" s="9" t="n">
        <v>2606.15</v>
      </c>
      <c r="K2149" s="9" t="n">
        <v>2654.19</v>
      </c>
      <c r="L2149" s="9" t="n">
        <v>2632.03</v>
      </c>
      <c r="M2149" s="9" t="n">
        <v>2605.22</v>
      </c>
      <c r="N2149" s="9" t="n">
        <v>2726.82</v>
      </c>
      <c r="O2149" s="9" t="n">
        <v>2604.46</v>
      </c>
      <c r="P2149" s="9" t="n">
        <v>2505.85</v>
      </c>
      <c r="Q2149" s="9" t="n">
        <v>2504.09</v>
      </c>
      <c r="R2149" s="9" t="n">
        <v>2729</v>
      </c>
      <c r="S2149" s="9" t="n">
        <v>2396.22</v>
      </c>
      <c r="T2149" s="9" t="n">
        <v>2488.27</v>
      </c>
      <c r="U2149" s="10">
        <f>SUM(I2149:T2149)</f>
        <v/>
      </c>
    </row>
    <row r="2150">
      <c r="A2150" s="2" t="inlineStr">
        <is>
          <t>SN-3000-3600-3630-3630FL0011</t>
        </is>
      </c>
      <c r="B2150" s="2" t="inlineStr">
        <is>
          <t>3630FL0011</t>
        </is>
      </c>
      <c r="C2150" s="2" t="inlineStr">
        <is>
          <t>Filtro relaves 2</t>
        </is>
      </c>
      <c r="D2150" s="2" t="n">
        <v>717</v>
      </c>
      <c r="E2150" s="2" t="inlineStr">
        <is>
          <t>CC-3000</t>
        </is>
      </c>
      <c r="F2150" s="2" t="inlineStr">
        <is>
          <t>P01</t>
        </is>
      </c>
      <c r="G2150" s="2" t="n">
        <v>610000</v>
      </c>
      <c r="H2150" s="2" t="inlineStr">
        <is>
          <t>Mano obra interna</t>
        </is>
      </c>
      <c r="I2150" s="9" t="n">
        <v>2314.3</v>
      </c>
      <c r="J2150" s="9" t="n">
        <v>2231.11</v>
      </c>
      <c r="K2150" s="9" t="n">
        <v>2245.84</v>
      </c>
      <c r="L2150" s="9" t="n">
        <v>2449.28</v>
      </c>
      <c r="M2150" s="9" t="n">
        <v>2134.01</v>
      </c>
      <c r="N2150" s="9" t="n">
        <v>2337.21</v>
      </c>
      <c r="O2150" s="9" t="n">
        <v>2325.46</v>
      </c>
      <c r="P2150" s="9" t="n">
        <v>2117.45</v>
      </c>
      <c r="Q2150" s="9" t="n">
        <v>2291.9</v>
      </c>
      <c r="R2150" s="9" t="n">
        <v>2396.09</v>
      </c>
      <c r="S2150" s="9" t="n">
        <v>2201.32</v>
      </c>
      <c r="T2150" s="9" t="n">
        <v>2246.02</v>
      </c>
      <c r="U2150" s="10">
        <f>SUM(I2150:T2150)</f>
        <v/>
      </c>
    </row>
    <row r="2151">
      <c r="A2151" s="2" t="inlineStr">
        <is>
          <t>SN-3000-3600-3630-3630FL0011</t>
        </is>
      </c>
      <c r="B2151" s="2" t="inlineStr">
        <is>
          <t>3630FL0011</t>
        </is>
      </c>
      <c r="C2151" s="2" t="inlineStr">
        <is>
          <t>Filtro relaves 2</t>
        </is>
      </c>
      <c r="D2151" s="2" t="n">
        <v>717</v>
      </c>
      <c r="E2151" s="2" t="inlineStr">
        <is>
          <t>CC-3000</t>
        </is>
      </c>
      <c r="F2151" s="2" t="inlineStr">
        <is>
          <t>P01</t>
        </is>
      </c>
      <c r="G2151" s="2" t="n">
        <v>620000</v>
      </c>
      <c r="H2151" s="2" t="inlineStr">
        <is>
          <t>Materiales</t>
        </is>
      </c>
      <c r="I2151" s="9" t="n">
        <v>2855.19</v>
      </c>
      <c r="J2151" s="9" t="n">
        <v>2598.47</v>
      </c>
      <c r="K2151" s="9" t="n">
        <v>2708.87</v>
      </c>
      <c r="L2151" s="9" t="n">
        <v>2968.43</v>
      </c>
      <c r="M2151" s="9" t="n">
        <v>2657.61</v>
      </c>
      <c r="N2151" s="9" t="n">
        <v>2524.83</v>
      </c>
      <c r="O2151" s="9" t="n">
        <v>2804.32</v>
      </c>
      <c r="P2151" s="9" t="n">
        <v>2936.92</v>
      </c>
      <c r="Q2151" s="9" t="n">
        <v>2517.17</v>
      </c>
      <c r="R2151" s="9" t="n">
        <v>2915.02</v>
      </c>
      <c r="S2151" s="9" t="n">
        <v>2858.76</v>
      </c>
      <c r="T2151" s="9" t="n">
        <v>2684.63</v>
      </c>
      <c r="U2151" s="10">
        <f>SUM(I2151:T2151)</f>
        <v/>
      </c>
    </row>
    <row r="2152">
      <c r="A2152" s="2" t="inlineStr">
        <is>
          <t>SN-3000-3600-3630-3630FL0011</t>
        </is>
      </c>
      <c r="B2152" s="2" t="inlineStr">
        <is>
          <t>3630FL0011</t>
        </is>
      </c>
      <c r="C2152" s="2" t="inlineStr">
        <is>
          <t>Filtro relaves 2</t>
        </is>
      </c>
      <c r="D2152" s="2" t="n">
        <v>717</v>
      </c>
      <c r="E2152" s="2" t="inlineStr">
        <is>
          <t>CC-3000</t>
        </is>
      </c>
      <c r="F2152" s="2" t="inlineStr">
        <is>
          <t>P01</t>
        </is>
      </c>
      <c r="G2152" s="2" t="n">
        <v>630000</v>
      </c>
      <c r="H2152" s="2" t="inlineStr">
        <is>
          <t>Servicios externos</t>
        </is>
      </c>
      <c r="I2152" s="9" t="n">
        <v>2904.65</v>
      </c>
      <c r="J2152" s="9" t="n">
        <v>2754.73</v>
      </c>
      <c r="K2152" s="9" t="n">
        <v>2544.34</v>
      </c>
      <c r="L2152" s="9" t="n">
        <v>2632.61</v>
      </c>
      <c r="M2152" s="9" t="n">
        <v>2474.62</v>
      </c>
      <c r="N2152" s="9" t="n">
        <v>2718</v>
      </c>
      <c r="O2152" s="9" t="n">
        <v>2859.76</v>
      </c>
      <c r="P2152" s="9" t="n">
        <v>2537.89</v>
      </c>
      <c r="Q2152" s="9" t="n">
        <v>2535.95</v>
      </c>
      <c r="R2152" s="9" t="n">
        <v>3016.6</v>
      </c>
      <c r="S2152" s="9" t="n">
        <v>2458.14</v>
      </c>
      <c r="T2152" s="9" t="n">
        <v>2557.13</v>
      </c>
      <c r="U2152" s="10">
        <f>SUM(I2152:T2152)</f>
        <v/>
      </c>
    </row>
    <row r="2153">
      <c r="A2153" s="2" t="inlineStr">
        <is>
          <t>SN-3000-3600-3630-3630FL0012</t>
        </is>
      </c>
      <c r="B2153" s="2" t="inlineStr">
        <is>
          <t>3630FL0012</t>
        </is>
      </c>
      <c r="C2153" s="2" t="inlineStr">
        <is>
          <t>Filtro relaves 3</t>
        </is>
      </c>
      <c r="D2153" s="2" t="n">
        <v>718</v>
      </c>
      <c r="E2153" s="2" t="inlineStr">
        <is>
          <t>CC-3000</t>
        </is>
      </c>
      <c r="F2153" s="2" t="inlineStr">
        <is>
          <t>P01</t>
        </is>
      </c>
      <c r="G2153" s="2" t="n">
        <v>610000</v>
      </c>
      <c r="H2153" s="2" t="inlineStr">
        <is>
          <t>Mano obra interna</t>
        </is>
      </c>
      <c r="I2153" s="9" t="n">
        <v>1296.3</v>
      </c>
      <c r="J2153" s="9" t="n">
        <v>1349.54</v>
      </c>
      <c r="K2153" s="9" t="n">
        <v>1414.4</v>
      </c>
      <c r="L2153" s="9" t="n">
        <v>1237.96</v>
      </c>
      <c r="M2153" s="9" t="n">
        <v>1214.35</v>
      </c>
      <c r="N2153" s="9" t="n">
        <v>1213.27</v>
      </c>
      <c r="O2153" s="9" t="n">
        <v>1346.41</v>
      </c>
      <c r="P2153" s="9" t="n">
        <v>1310.04</v>
      </c>
      <c r="Q2153" s="9" t="n">
        <v>1201.6</v>
      </c>
      <c r="R2153" s="9" t="n">
        <v>1409.41</v>
      </c>
      <c r="S2153" s="9" t="n">
        <v>1166.28</v>
      </c>
      <c r="T2153" s="9" t="n">
        <v>1302.42</v>
      </c>
      <c r="U2153" s="10">
        <f>SUM(I2153:T2153)</f>
        <v/>
      </c>
    </row>
    <row r="2154">
      <c r="A2154" s="2" t="inlineStr">
        <is>
          <t>SN-3000-3600-3630-3630FL0012</t>
        </is>
      </c>
      <c r="B2154" s="2" t="inlineStr">
        <is>
          <t>3630FL0012</t>
        </is>
      </c>
      <c r="C2154" s="2" t="inlineStr">
        <is>
          <t>Filtro relaves 3</t>
        </is>
      </c>
      <c r="D2154" s="2" t="n">
        <v>718</v>
      </c>
      <c r="E2154" s="2" t="inlineStr">
        <is>
          <t>CC-3000</t>
        </is>
      </c>
      <c r="F2154" s="2" t="inlineStr">
        <is>
          <t>P01</t>
        </is>
      </c>
      <c r="G2154" s="2" t="n">
        <v>620000</v>
      </c>
      <c r="H2154" s="2" t="inlineStr">
        <is>
          <t>Materiales</t>
        </is>
      </c>
      <c r="I2154" s="9" t="n">
        <v>1618.43</v>
      </c>
      <c r="J2154" s="9" t="n">
        <v>1676.59</v>
      </c>
      <c r="K2154" s="9" t="n">
        <v>1693.6</v>
      </c>
      <c r="L2154" s="9" t="n">
        <v>1745.63</v>
      </c>
      <c r="M2154" s="9" t="n">
        <v>1699.42</v>
      </c>
      <c r="N2154" s="9" t="n">
        <v>1642.7</v>
      </c>
      <c r="O2154" s="9" t="n">
        <v>1793.59</v>
      </c>
      <c r="P2154" s="9" t="n">
        <v>1665.96</v>
      </c>
      <c r="Q2154" s="9" t="n">
        <v>1583.96</v>
      </c>
      <c r="R2154" s="9" t="n">
        <v>1687.02</v>
      </c>
      <c r="S2154" s="9" t="n">
        <v>1719.06</v>
      </c>
      <c r="T2154" s="9" t="n">
        <v>1656.06</v>
      </c>
      <c r="U2154" s="10">
        <f>SUM(I2154:T2154)</f>
        <v/>
      </c>
    </row>
    <row r="2155">
      <c r="A2155" s="2" t="inlineStr">
        <is>
          <t>SN-3000-3600-3630-3630FL0012</t>
        </is>
      </c>
      <c r="B2155" s="2" t="inlineStr">
        <is>
          <t>3630FL0012</t>
        </is>
      </c>
      <c r="C2155" s="2" t="inlineStr">
        <is>
          <t>Filtro relaves 3</t>
        </is>
      </c>
      <c r="D2155" s="2" t="n">
        <v>718</v>
      </c>
      <c r="E2155" s="2" t="inlineStr">
        <is>
          <t>CC-3000</t>
        </is>
      </c>
      <c r="F2155" s="2" t="inlineStr">
        <is>
          <t>P01</t>
        </is>
      </c>
      <c r="G2155" s="2" t="n">
        <v>630000</v>
      </c>
      <c r="H2155" s="2" t="inlineStr">
        <is>
          <t>Servicios externos</t>
        </is>
      </c>
      <c r="I2155" s="9" t="n">
        <v>1628.78</v>
      </c>
      <c r="J2155" s="9" t="n">
        <v>1504.79</v>
      </c>
      <c r="K2155" s="9" t="n">
        <v>1615.68</v>
      </c>
      <c r="L2155" s="9" t="n">
        <v>1825.88</v>
      </c>
      <c r="M2155" s="9" t="n">
        <v>1593.23</v>
      </c>
      <c r="N2155" s="9" t="n">
        <v>1485.66</v>
      </c>
      <c r="O2155" s="9" t="n">
        <v>1557.26</v>
      </c>
      <c r="P2155" s="9" t="n">
        <v>1606.17</v>
      </c>
      <c r="Q2155" s="9" t="n">
        <v>1428.94</v>
      </c>
      <c r="R2155" s="9" t="n">
        <v>1790.97</v>
      </c>
      <c r="S2155" s="9" t="n">
        <v>1531.24</v>
      </c>
      <c r="T2155" s="9" t="n">
        <v>1687.49</v>
      </c>
      <c r="U2155" s="10">
        <f>SUM(I2155:T2155)</f>
        <v/>
      </c>
    </row>
    <row r="2156">
      <c r="A2156" s="2" t="inlineStr">
        <is>
          <t>SN-3000-3600-3630-3630FP1001</t>
        </is>
      </c>
      <c r="B2156" s="2" t="inlineStr">
        <is>
          <t>3630FP1001</t>
        </is>
      </c>
      <c r="C2156" s="2" t="inlineStr">
        <is>
          <t>Tablero SCI</t>
        </is>
      </c>
      <c r="D2156" s="2" t="n">
        <v>719</v>
      </c>
      <c r="E2156" s="2" t="inlineStr">
        <is>
          <t>CC-3000</t>
        </is>
      </c>
      <c r="F2156" s="2" t="inlineStr">
        <is>
          <t>P01</t>
        </is>
      </c>
      <c r="G2156" s="2" t="n">
        <v>610000</v>
      </c>
      <c r="H2156" s="2" t="inlineStr">
        <is>
          <t>Mano obra interna</t>
        </is>
      </c>
      <c r="I2156" s="9" t="n">
        <v>1919.89</v>
      </c>
      <c r="J2156" s="9" t="n">
        <v>1902.58</v>
      </c>
      <c r="K2156" s="9" t="n">
        <v>1824.71</v>
      </c>
      <c r="L2156" s="9" t="n">
        <v>1912.48</v>
      </c>
      <c r="M2156" s="9" t="n">
        <v>1822.89</v>
      </c>
      <c r="N2156" s="9" t="n">
        <v>1742.93</v>
      </c>
      <c r="O2156" s="9" t="n">
        <v>1934.72</v>
      </c>
      <c r="P2156" s="9" t="n">
        <v>1927.54</v>
      </c>
      <c r="Q2156" s="9" t="n">
        <v>1807.59</v>
      </c>
      <c r="R2156" s="9" t="n">
        <v>1939.25</v>
      </c>
      <c r="S2156" s="9" t="n">
        <v>1778.16</v>
      </c>
      <c r="T2156" s="9" t="n">
        <v>1840.61</v>
      </c>
      <c r="U2156" s="10">
        <f>SUM(I2156:T2156)</f>
        <v/>
      </c>
    </row>
    <row r="2157">
      <c r="A2157" s="2" t="inlineStr">
        <is>
          <t>SN-3000-3600-3630-3630FP1001</t>
        </is>
      </c>
      <c r="B2157" s="2" t="inlineStr">
        <is>
          <t>3630FP1001</t>
        </is>
      </c>
      <c r="C2157" s="2" t="inlineStr">
        <is>
          <t>Tablero SCI</t>
        </is>
      </c>
      <c r="D2157" s="2" t="n">
        <v>719</v>
      </c>
      <c r="E2157" s="2" t="inlineStr">
        <is>
          <t>CC-3000</t>
        </is>
      </c>
      <c r="F2157" s="2" t="inlineStr">
        <is>
          <t>P01</t>
        </is>
      </c>
      <c r="G2157" s="2" t="n">
        <v>620000</v>
      </c>
      <c r="H2157" s="2" t="inlineStr">
        <is>
          <t>Materiales</t>
        </is>
      </c>
      <c r="I2157" s="9" t="n">
        <v>2094.9</v>
      </c>
      <c r="J2157" s="9" t="n">
        <v>1978.49</v>
      </c>
      <c r="K2157" s="9" t="n">
        <v>2227.81</v>
      </c>
      <c r="L2157" s="9" t="n">
        <v>1973.4</v>
      </c>
      <c r="M2157" s="9" t="n">
        <v>2198.91</v>
      </c>
      <c r="N2157" s="9" t="n">
        <v>1853.14</v>
      </c>
      <c r="O2157" s="9" t="n">
        <v>2156.18</v>
      </c>
      <c r="P2157" s="9" t="n">
        <v>2019.94</v>
      </c>
      <c r="Q2157" s="9" t="n">
        <v>2034.59</v>
      </c>
      <c r="R2157" s="9" t="n">
        <v>2075.2</v>
      </c>
      <c r="S2157" s="9" t="n">
        <v>1958.97</v>
      </c>
      <c r="T2157" s="9" t="n">
        <v>2040.47</v>
      </c>
      <c r="U2157" s="10">
        <f>SUM(I2157:T2157)</f>
        <v/>
      </c>
    </row>
    <row r="2158">
      <c r="A2158" s="2" t="inlineStr">
        <is>
          <t>SN-3000-3600-3630-3630FP1001</t>
        </is>
      </c>
      <c r="B2158" s="2" t="inlineStr">
        <is>
          <t>3630FP1001</t>
        </is>
      </c>
      <c r="C2158" s="2" t="inlineStr">
        <is>
          <t>Tablero SCI</t>
        </is>
      </c>
      <c r="D2158" s="2" t="n">
        <v>719</v>
      </c>
      <c r="E2158" s="2" t="inlineStr">
        <is>
          <t>CC-3000</t>
        </is>
      </c>
      <c r="F2158" s="2" t="inlineStr">
        <is>
          <t>P01</t>
        </is>
      </c>
      <c r="G2158" s="2" t="n">
        <v>630000</v>
      </c>
      <c r="H2158" s="2" t="inlineStr">
        <is>
          <t>Servicios externos</t>
        </is>
      </c>
      <c r="I2158" s="9" t="n">
        <v>2584.81</v>
      </c>
      <c r="J2158" s="9" t="n">
        <v>2199.08</v>
      </c>
      <c r="K2158" s="9" t="n">
        <v>2474.23</v>
      </c>
      <c r="L2158" s="9" t="n">
        <v>2414.94</v>
      </c>
      <c r="M2158" s="9" t="n">
        <v>2196.61</v>
      </c>
      <c r="N2158" s="9" t="n">
        <v>2126.88</v>
      </c>
      <c r="O2158" s="9" t="n">
        <v>2534.56</v>
      </c>
      <c r="P2158" s="9" t="n">
        <v>2329.99</v>
      </c>
      <c r="Q2158" s="9" t="n">
        <v>2056.15</v>
      </c>
      <c r="R2158" s="9" t="n">
        <v>2418.13</v>
      </c>
      <c r="S2158" s="9" t="n">
        <v>2190.16</v>
      </c>
      <c r="T2158" s="9" t="n">
        <v>2388.55</v>
      </c>
      <c r="U2158" s="10">
        <f>SUM(I2158:T2158)</f>
        <v/>
      </c>
    </row>
    <row r="2159">
      <c r="A2159" s="2" t="inlineStr">
        <is>
          <t>SN-3000-3600-3630-3630FP1002</t>
        </is>
      </c>
      <c r="B2159" s="2" t="inlineStr">
        <is>
          <t>3630FP1002</t>
        </is>
      </c>
      <c r="C2159" s="2" t="inlineStr">
        <is>
          <t>Tablero SCI</t>
        </is>
      </c>
      <c r="D2159" s="2" t="n">
        <v>720</v>
      </c>
      <c r="E2159" s="2" t="inlineStr">
        <is>
          <t>CC-3000</t>
        </is>
      </c>
      <c r="F2159" s="2" t="inlineStr">
        <is>
          <t>P01</t>
        </is>
      </c>
      <c r="G2159" s="2" t="n">
        <v>610000</v>
      </c>
      <c r="H2159" s="2" t="inlineStr">
        <is>
          <t>Mano obra interna</t>
        </is>
      </c>
      <c r="I2159" s="9" t="n">
        <v>1342.78</v>
      </c>
      <c r="J2159" s="9" t="n">
        <v>1235.21</v>
      </c>
      <c r="K2159" s="9" t="n">
        <v>1328.93</v>
      </c>
      <c r="L2159" s="9" t="n">
        <v>1261.01</v>
      </c>
      <c r="M2159" s="9" t="n">
        <v>1392.95</v>
      </c>
      <c r="N2159" s="9" t="n">
        <v>1205.64</v>
      </c>
      <c r="O2159" s="9" t="n">
        <v>1379.98</v>
      </c>
      <c r="P2159" s="9" t="n">
        <v>1292.04</v>
      </c>
      <c r="Q2159" s="9" t="n">
        <v>1228.26</v>
      </c>
      <c r="R2159" s="9" t="n">
        <v>1381.08</v>
      </c>
      <c r="S2159" s="9" t="n">
        <v>1322.9</v>
      </c>
      <c r="T2159" s="9" t="n">
        <v>1418.69</v>
      </c>
      <c r="U2159" s="10">
        <f>SUM(I2159:T2159)</f>
        <v/>
      </c>
    </row>
    <row r="2160">
      <c r="A2160" s="2" t="inlineStr">
        <is>
          <t>SN-3000-3600-3630-3630FP1002</t>
        </is>
      </c>
      <c r="B2160" s="2" t="inlineStr">
        <is>
          <t>3630FP1002</t>
        </is>
      </c>
      <c r="C2160" s="2" t="inlineStr">
        <is>
          <t>Tablero SCI</t>
        </is>
      </c>
      <c r="D2160" s="2" t="n">
        <v>720</v>
      </c>
      <c r="E2160" s="2" t="inlineStr">
        <is>
          <t>CC-3000</t>
        </is>
      </c>
      <c r="F2160" s="2" t="inlineStr">
        <is>
          <t>P01</t>
        </is>
      </c>
      <c r="G2160" s="2" t="n">
        <v>620000</v>
      </c>
      <c r="H2160" s="2" t="inlineStr">
        <is>
          <t>Materiales</t>
        </is>
      </c>
      <c r="I2160" s="9" t="n">
        <v>1251.78</v>
      </c>
      <c r="J2160" s="9" t="n">
        <v>1296.17</v>
      </c>
      <c r="K2160" s="9" t="n">
        <v>1255.08</v>
      </c>
      <c r="L2160" s="9" t="n">
        <v>1336.41</v>
      </c>
      <c r="M2160" s="9" t="n">
        <v>1183.61</v>
      </c>
      <c r="N2160" s="9" t="n">
        <v>1246.29</v>
      </c>
      <c r="O2160" s="9" t="n">
        <v>1282.3</v>
      </c>
      <c r="P2160" s="9" t="n">
        <v>1199.07</v>
      </c>
      <c r="Q2160" s="9" t="n">
        <v>1218.97</v>
      </c>
      <c r="R2160" s="9" t="n">
        <v>1367.48</v>
      </c>
      <c r="S2160" s="9" t="n">
        <v>1182.09</v>
      </c>
      <c r="T2160" s="9" t="n">
        <v>1267.51</v>
      </c>
      <c r="U2160" s="10">
        <f>SUM(I2160:T2160)</f>
        <v/>
      </c>
    </row>
    <row r="2161">
      <c r="A2161" s="2" t="inlineStr">
        <is>
          <t>SN-3000-3600-3630-3630FP1002</t>
        </is>
      </c>
      <c r="B2161" s="2" t="inlineStr">
        <is>
          <t>3630FP1002</t>
        </is>
      </c>
      <c r="C2161" s="2" t="inlineStr">
        <is>
          <t>Tablero SCI</t>
        </is>
      </c>
      <c r="D2161" s="2" t="n">
        <v>720</v>
      </c>
      <c r="E2161" s="2" t="inlineStr">
        <is>
          <t>CC-3000</t>
        </is>
      </c>
      <c r="F2161" s="2" t="inlineStr">
        <is>
          <t>P01</t>
        </is>
      </c>
      <c r="G2161" s="2" t="n">
        <v>630000</v>
      </c>
      <c r="H2161" s="2" t="inlineStr">
        <is>
          <t>Servicios externos</t>
        </is>
      </c>
      <c r="I2161" s="9" t="n">
        <v>1277.88</v>
      </c>
      <c r="J2161" s="9" t="n">
        <v>1415.6</v>
      </c>
      <c r="K2161" s="9" t="n">
        <v>1418.29</v>
      </c>
      <c r="L2161" s="9" t="n">
        <v>1281.78</v>
      </c>
      <c r="M2161" s="9" t="n">
        <v>1393.92</v>
      </c>
      <c r="N2161" s="9" t="n">
        <v>1244.11</v>
      </c>
      <c r="O2161" s="9" t="n">
        <v>1360.67</v>
      </c>
      <c r="P2161" s="9" t="n">
        <v>1290.59</v>
      </c>
      <c r="Q2161" s="9" t="n">
        <v>1293.29</v>
      </c>
      <c r="R2161" s="9" t="n">
        <v>1495.88</v>
      </c>
      <c r="S2161" s="9" t="n">
        <v>1307.33</v>
      </c>
      <c r="T2161" s="9" t="n">
        <v>1302.85</v>
      </c>
      <c r="U2161" s="10">
        <f>SUM(I2161:T2161)</f>
        <v/>
      </c>
    </row>
    <row r="2162">
      <c r="A2162" s="2" t="inlineStr">
        <is>
          <t>SN-3000-3600-3630-3630HE0147</t>
        </is>
      </c>
      <c r="B2162" s="2" t="inlineStr">
        <is>
          <t>3630HE0147</t>
        </is>
      </c>
      <c r="C2162" s="2" t="inlineStr">
        <is>
          <t>Calefactor eléctrico edificio</t>
        </is>
      </c>
      <c r="D2162" s="2" t="n">
        <v>721</v>
      </c>
      <c r="E2162" s="2" t="inlineStr">
        <is>
          <t>CC-3000</t>
        </is>
      </c>
      <c r="F2162" s="2" t="inlineStr">
        <is>
          <t>P01</t>
        </is>
      </c>
      <c r="G2162" s="2" t="n">
        <v>610000</v>
      </c>
      <c r="H2162" s="2" t="inlineStr">
        <is>
          <t>Mano obra interna</t>
        </is>
      </c>
      <c r="I2162" s="9" t="n">
        <v>595.22</v>
      </c>
      <c r="J2162" s="9" t="n">
        <v>551.97</v>
      </c>
      <c r="K2162" s="9" t="n">
        <v>597.08</v>
      </c>
      <c r="L2162" s="9" t="n">
        <v>625.22</v>
      </c>
      <c r="M2162" s="9" t="n">
        <v>619.1900000000001</v>
      </c>
      <c r="N2162" s="9" t="n">
        <v>552.88</v>
      </c>
      <c r="O2162" s="9" t="n">
        <v>569.13</v>
      </c>
      <c r="P2162" s="9" t="n">
        <v>625.36</v>
      </c>
      <c r="Q2162" s="9" t="n">
        <v>587.71</v>
      </c>
      <c r="R2162" s="9" t="n">
        <v>631.58</v>
      </c>
      <c r="S2162" s="9" t="n">
        <v>531.6900000000001</v>
      </c>
      <c r="T2162" s="9" t="n">
        <v>621.84</v>
      </c>
      <c r="U2162" s="10">
        <f>SUM(I2162:T2162)</f>
        <v/>
      </c>
    </row>
    <row r="2163">
      <c r="A2163" s="2" t="inlineStr">
        <is>
          <t>SN-3000-3600-3630-3630HE0147</t>
        </is>
      </c>
      <c r="B2163" s="2" t="inlineStr">
        <is>
          <t>3630HE0147</t>
        </is>
      </c>
      <c r="C2163" s="2" t="inlineStr">
        <is>
          <t>Calefactor eléctrico edificio</t>
        </is>
      </c>
      <c r="D2163" s="2" t="n">
        <v>721</v>
      </c>
      <c r="E2163" s="2" t="inlineStr">
        <is>
          <t>CC-3000</t>
        </is>
      </c>
      <c r="F2163" s="2" t="inlineStr">
        <is>
          <t>P01</t>
        </is>
      </c>
      <c r="G2163" s="2" t="n">
        <v>620000</v>
      </c>
      <c r="H2163" s="2" t="inlineStr">
        <is>
          <t>Materiales</t>
        </is>
      </c>
      <c r="I2163" s="9" t="n">
        <v>630.45</v>
      </c>
      <c r="J2163" s="9" t="n">
        <v>669.0700000000001</v>
      </c>
      <c r="K2163" s="9" t="n">
        <v>700.11</v>
      </c>
      <c r="L2163" s="9" t="n">
        <v>670.66</v>
      </c>
      <c r="M2163" s="9" t="n">
        <v>688.72</v>
      </c>
      <c r="N2163" s="9" t="n">
        <v>632.4299999999999</v>
      </c>
      <c r="O2163" s="9" t="n">
        <v>688.42</v>
      </c>
      <c r="P2163" s="9" t="n">
        <v>670.51</v>
      </c>
      <c r="Q2163" s="9" t="n">
        <v>597.85</v>
      </c>
      <c r="R2163" s="9" t="n">
        <v>733.96</v>
      </c>
      <c r="S2163" s="9" t="n">
        <v>672.36</v>
      </c>
      <c r="T2163" s="9" t="n">
        <v>730.61</v>
      </c>
      <c r="U2163" s="10">
        <f>SUM(I2163:T2163)</f>
        <v/>
      </c>
    </row>
    <row r="2164">
      <c r="A2164" s="2" t="inlineStr">
        <is>
          <t>SN-3000-3600-3630-3630HE0147</t>
        </is>
      </c>
      <c r="B2164" s="2" t="inlineStr">
        <is>
          <t>3630HE0147</t>
        </is>
      </c>
      <c r="C2164" s="2" t="inlineStr">
        <is>
          <t>Calefactor eléctrico edificio</t>
        </is>
      </c>
      <c r="D2164" s="2" t="n">
        <v>721</v>
      </c>
      <c r="E2164" s="2" t="inlineStr">
        <is>
          <t>CC-3000</t>
        </is>
      </c>
      <c r="F2164" s="2" t="inlineStr">
        <is>
          <t>P01</t>
        </is>
      </c>
      <c r="G2164" s="2" t="n">
        <v>630000</v>
      </c>
      <c r="H2164" s="2" t="inlineStr">
        <is>
          <t>Servicios externos</t>
        </is>
      </c>
      <c r="I2164" s="9" t="n">
        <v>570.7</v>
      </c>
      <c r="J2164" s="9" t="n">
        <v>638.03</v>
      </c>
      <c r="K2164" s="9" t="n">
        <v>632.22</v>
      </c>
      <c r="L2164" s="9" t="n">
        <v>658.04</v>
      </c>
      <c r="M2164" s="9" t="n">
        <v>557.01</v>
      </c>
      <c r="N2164" s="9" t="n">
        <v>560</v>
      </c>
      <c r="O2164" s="9" t="n">
        <v>565.98</v>
      </c>
      <c r="P2164" s="9" t="n">
        <v>632.71</v>
      </c>
      <c r="Q2164" s="9" t="n">
        <v>593.4299999999999</v>
      </c>
      <c r="R2164" s="9" t="n">
        <v>648.1900000000001</v>
      </c>
      <c r="S2164" s="9" t="n">
        <v>552.5599999999999</v>
      </c>
      <c r="T2164" s="9" t="n">
        <v>573.46</v>
      </c>
      <c r="U2164" s="10">
        <f>SUM(I2164:T2164)</f>
        <v/>
      </c>
    </row>
    <row r="2165">
      <c r="A2165" s="2" t="inlineStr">
        <is>
          <t>SN-3000-3600-3630-3630HE0151</t>
        </is>
      </c>
      <c r="B2165" s="2" t="inlineStr">
        <is>
          <t>3630HE0151</t>
        </is>
      </c>
      <c r="C2165" s="2" t="inlineStr">
        <is>
          <t>Calefactor eléctrico edificio</t>
        </is>
      </c>
      <c r="D2165" s="2" t="n">
        <v>722</v>
      </c>
      <c r="E2165" s="2" t="inlineStr">
        <is>
          <t>CC-3000</t>
        </is>
      </c>
      <c r="F2165" s="2" t="inlineStr">
        <is>
          <t>P01</t>
        </is>
      </c>
      <c r="G2165" s="2" t="n">
        <v>610000</v>
      </c>
      <c r="H2165" s="2" t="inlineStr">
        <is>
          <t>Mano obra interna</t>
        </is>
      </c>
      <c r="I2165" s="9" t="n">
        <v>307.24</v>
      </c>
      <c r="J2165" s="9" t="n">
        <v>305.33</v>
      </c>
      <c r="K2165" s="9" t="n">
        <v>300.5</v>
      </c>
      <c r="L2165" s="9" t="n">
        <v>302.49</v>
      </c>
      <c r="M2165" s="9" t="n">
        <v>274.76</v>
      </c>
      <c r="N2165" s="9" t="n">
        <v>292.51</v>
      </c>
      <c r="O2165" s="9" t="n">
        <v>297.09</v>
      </c>
      <c r="P2165" s="9" t="n">
        <v>320.61</v>
      </c>
      <c r="Q2165" s="9" t="n">
        <v>286.22</v>
      </c>
      <c r="R2165" s="9" t="n">
        <v>318.98</v>
      </c>
      <c r="S2165" s="9" t="n">
        <v>280.05</v>
      </c>
      <c r="T2165" s="9" t="n">
        <v>324.91</v>
      </c>
      <c r="U2165" s="10">
        <f>SUM(I2165:T2165)</f>
        <v/>
      </c>
    </row>
    <row r="2166">
      <c r="A2166" s="2" t="inlineStr">
        <is>
          <t>SN-3000-3600-3630-3630HE0151</t>
        </is>
      </c>
      <c r="B2166" s="2" t="inlineStr">
        <is>
          <t>3630HE0151</t>
        </is>
      </c>
      <c r="C2166" s="2" t="inlineStr">
        <is>
          <t>Calefactor eléctrico edificio</t>
        </is>
      </c>
      <c r="D2166" s="2" t="n">
        <v>722</v>
      </c>
      <c r="E2166" s="2" t="inlineStr">
        <is>
          <t>CC-3000</t>
        </is>
      </c>
      <c r="F2166" s="2" t="inlineStr">
        <is>
          <t>P01</t>
        </is>
      </c>
      <c r="G2166" s="2" t="n">
        <v>620000</v>
      </c>
      <c r="H2166" s="2" t="inlineStr">
        <is>
          <t>Materiales</t>
        </is>
      </c>
      <c r="I2166" s="9" t="n">
        <v>242.07</v>
      </c>
      <c r="J2166" s="9" t="n">
        <v>257.23</v>
      </c>
      <c r="K2166" s="9" t="n">
        <v>257.8</v>
      </c>
      <c r="L2166" s="9" t="n">
        <v>250.56</v>
      </c>
      <c r="M2166" s="9" t="n">
        <v>229.91</v>
      </c>
      <c r="N2166" s="9" t="n">
        <v>245.61</v>
      </c>
      <c r="O2166" s="9" t="n">
        <v>232.44</v>
      </c>
      <c r="P2166" s="9" t="n">
        <v>233.88</v>
      </c>
      <c r="Q2166" s="9" t="n">
        <v>215.83</v>
      </c>
      <c r="R2166" s="9" t="n">
        <v>248.62</v>
      </c>
      <c r="S2166" s="9" t="n">
        <v>253.22</v>
      </c>
      <c r="T2166" s="9" t="n">
        <v>251.54</v>
      </c>
      <c r="U2166" s="10">
        <f>SUM(I2166:T2166)</f>
        <v/>
      </c>
    </row>
    <row r="2167">
      <c r="A2167" s="2" t="inlineStr">
        <is>
          <t>SN-3000-3600-3630-3630HE0151</t>
        </is>
      </c>
      <c r="B2167" s="2" t="inlineStr">
        <is>
          <t>3630HE0151</t>
        </is>
      </c>
      <c r="C2167" s="2" t="inlineStr">
        <is>
          <t>Calefactor eléctrico edificio</t>
        </is>
      </c>
      <c r="D2167" s="2" t="n">
        <v>722</v>
      </c>
      <c r="E2167" s="2" t="inlineStr">
        <is>
          <t>CC-3000</t>
        </is>
      </c>
      <c r="F2167" s="2" t="inlineStr">
        <is>
          <t>P01</t>
        </is>
      </c>
      <c r="G2167" s="2" t="n">
        <v>630000</v>
      </c>
      <c r="H2167" s="2" t="inlineStr">
        <is>
          <t>Servicios externos</t>
        </is>
      </c>
      <c r="I2167" s="9" t="n">
        <v>331.54</v>
      </c>
      <c r="J2167" s="9" t="n">
        <v>285.33</v>
      </c>
      <c r="K2167" s="9" t="n">
        <v>287.65</v>
      </c>
      <c r="L2167" s="9" t="n">
        <v>314.33</v>
      </c>
      <c r="M2167" s="9" t="n">
        <v>300.01</v>
      </c>
      <c r="N2167" s="9" t="n">
        <v>288.43</v>
      </c>
      <c r="O2167" s="9" t="n">
        <v>281.67</v>
      </c>
      <c r="P2167" s="9" t="n">
        <v>300.33</v>
      </c>
      <c r="Q2167" s="9" t="n">
        <v>272.26</v>
      </c>
      <c r="R2167" s="9" t="n">
        <v>314.73</v>
      </c>
      <c r="S2167" s="9" t="n">
        <v>280.08</v>
      </c>
      <c r="T2167" s="9" t="n">
        <v>299.03</v>
      </c>
      <c r="U2167" s="10">
        <f>SUM(I2167:T2167)</f>
        <v/>
      </c>
    </row>
    <row r="2168">
      <c r="A2168" s="2" t="inlineStr">
        <is>
          <t>SN-3000-3600-3630-3630HE0152</t>
        </is>
      </c>
      <c r="B2168" s="2" t="inlineStr">
        <is>
          <t>3630HE0152</t>
        </is>
      </c>
      <c r="C2168" s="2" t="inlineStr">
        <is>
          <t>Calefactor eléctrico edificio</t>
        </is>
      </c>
      <c r="D2168" s="2" t="n">
        <v>723</v>
      </c>
      <c r="E2168" s="2" t="inlineStr">
        <is>
          <t>CC-3000</t>
        </is>
      </c>
      <c r="F2168" s="2" t="inlineStr">
        <is>
          <t>P01</t>
        </is>
      </c>
      <c r="G2168" s="2" t="n">
        <v>610000</v>
      </c>
      <c r="H2168" s="2" t="inlineStr">
        <is>
          <t>Mano obra interna</t>
        </is>
      </c>
      <c r="I2168" s="9" t="n">
        <v>602.28</v>
      </c>
      <c r="J2168" s="9" t="n">
        <v>645.3</v>
      </c>
      <c r="K2168" s="9" t="n">
        <v>671.34</v>
      </c>
      <c r="L2168" s="9" t="n">
        <v>629.4400000000001</v>
      </c>
      <c r="M2168" s="9" t="n">
        <v>648.67</v>
      </c>
      <c r="N2168" s="9" t="n">
        <v>627.6</v>
      </c>
      <c r="O2168" s="9" t="n">
        <v>594.85</v>
      </c>
      <c r="P2168" s="9" t="n">
        <v>602.8200000000001</v>
      </c>
      <c r="Q2168" s="9" t="n">
        <v>608.15</v>
      </c>
      <c r="R2168" s="9" t="n">
        <v>667.74</v>
      </c>
      <c r="S2168" s="9" t="n">
        <v>562.11</v>
      </c>
      <c r="T2168" s="9" t="n">
        <v>636.36</v>
      </c>
      <c r="U2168" s="10">
        <f>SUM(I2168:T2168)</f>
        <v/>
      </c>
    </row>
    <row r="2169">
      <c r="A2169" s="2" t="inlineStr">
        <is>
          <t>SN-3000-3600-3630-3630HE0152</t>
        </is>
      </c>
      <c r="B2169" s="2" t="inlineStr">
        <is>
          <t>3630HE0152</t>
        </is>
      </c>
      <c r="C2169" s="2" t="inlineStr">
        <is>
          <t>Calefactor eléctrico edificio</t>
        </is>
      </c>
      <c r="D2169" s="2" t="n">
        <v>723</v>
      </c>
      <c r="E2169" s="2" t="inlineStr">
        <is>
          <t>CC-3000</t>
        </is>
      </c>
      <c r="F2169" s="2" t="inlineStr">
        <is>
          <t>P01</t>
        </is>
      </c>
      <c r="G2169" s="2" t="n">
        <v>620000</v>
      </c>
      <c r="H2169" s="2" t="inlineStr">
        <is>
          <t>Materiales</t>
        </is>
      </c>
      <c r="I2169" s="9" t="n">
        <v>591.1900000000001</v>
      </c>
      <c r="J2169" s="9" t="n">
        <v>559.88</v>
      </c>
      <c r="K2169" s="9" t="n">
        <v>588.1900000000001</v>
      </c>
      <c r="L2169" s="9" t="n">
        <v>559.36</v>
      </c>
      <c r="M2169" s="9" t="n">
        <v>624.08</v>
      </c>
      <c r="N2169" s="9" t="n">
        <v>549.74</v>
      </c>
      <c r="O2169" s="9" t="n">
        <v>555.3099999999999</v>
      </c>
      <c r="P2169" s="9" t="n">
        <v>554.71</v>
      </c>
      <c r="Q2169" s="9" t="n">
        <v>558.27</v>
      </c>
      <c r="R2169" s="9" t="n">
        <v>691.5700000000001</v>
      </c>
      <c r="S2169" s="9" t="n">
        <v>542.74</v>
      </c>
      <c r="T2169" s="9" t="n">
        <v>564.58</v>
      </c>
      <c r="U2169" s="10">
        <f>SUM(I2169:T2169)</f>
        <v/>
      </c>
    </row>
    <row r="2170">
      <c r="A2170" s="2" t="inlineStr">
        <is>
          <t>SN-3000-3600-3630-3630HE0152</t>
        </is>
      </c>
      <c r="B2170" s="2" t="inlineStr">
        <is>
          <t>3630HE0152</t>
        </is>
      </c>
      <c r="C2170" s="2" t="inlineStr">
        <is>
          <t>Calefactor eléctrico edificio</t>
        </is>
      </c>
      <c r="D2170" s="2" t="n">
        <v>723</v>
      </c>
      <c r="E2170" s="2" t="inlineStr">
        <is>
          <t>CC-3000</t>
        </is>
      </c>
      <c r="F2170" s="2" t="inlineStr">
        <is>
          <t>P01</t>
        </is>
      </c>
      <c r="G2170" s="2" t="n">
        <v>630000</v>
      </c>
      <c r="H2170" s="2" t="inlineStr">
        <is>
          <t>Servicios externos</t>
        </is>
      </c>
      <c r="I2170" s="9" t="n">
        <v>643.65</v>
      </c>
      <c r="J2170" s="9" t="n">
        <v>594.51</v>
      </c>
      <c r="K2170" s="9" t="n">
        <v>623.59</v>
      </c>
      <c r="L2170" s="9" t="n">
        <v>630.23</v>
      </c>
      <c r="M2170" s="9" t="n">
        <v>599.36</v>
      </c>
      <c r="N2170" s="9" t="n">
        <v>636.42</v>
      </c>
      <c r="O2170" s="9" t="n">
        <v>578.7</v>
      </c>
      <c r="P2170" s="9" t="n">
        <v>597.23</v>
      </c>
      <c r="Q2170" s="9" t="n">
        <v>609.72</v>
      </c>
      <c r="R2170" s="9" t="n">
        <v>709.1</v>
      </c>
      <c r="S2170" s="9" t="n">
        <v>566.6900000000001</v>
      </c>
      <c r="T2170" s="9" t="n">
        <v>681.47</v>
      </c>
      <c r="U2170" s="10">
        <f>SUM(I2170:T2170)</f>
        <v/>
      </c>
    </row>
    <row r="2171">
      <c r="A2171" s="2" t="inlineStr">
        <is>
          <t>SN-3000-3600-3630-3630HE0153</t>
        </is>
      </c>
      <c r="B2171" s="2" t="inlineStr">
        <is>
          <t>3630HE0153</t>
        </is>
      </c>
      <c r="C2171" s="2" t="inlineStr">
        <is>
          <t>Calefactor eléctrico edificio</t>
        </is>
      </c>
      <c r="D2171" s="2" t="n">
        <v>724</v>
      </c>
      <c r="E2171" s="2" t="inlineStr">
        <is>
          <t>CC-3000</t>
        </is>
      </c>
      <c r="F2171" s="2" t="inlineStr">
        <is>
          <t>P01</t>
        </is>
      </c>
      <c r="G2171" s="2" t="n">
        <v>610000</v>
      </c>
      <c r="H2171" s="2" t="inlineStr">
        <is>
          <t>Mano obra interna</t>
        </is>
      </c>
      <c r="I2171" s="9" t="n">
        <v>569.24</v>
      </c>
      <c r="J2171" s="9" t="n">
        <v>565.9</v>
      </c>
      <c r="K2171" s="9" t="n">
        <v>577.61</v>
      </c>
      <c r="L2171" s="9" t="n">
        <v>558.3099999999999</v>
      </c>
      <c r="M2171" s="9" t="n">
        <v>553.5599999999999</v>
      </c>
      <c r="N2171" s="9" t="n">
        <v>560.34</v>
      </c>
      <c r="O2171" s="9" t="n">
        <v>609.13</v>
      </c>
      <c r="P2171" s="9" t="n">
        <v>565.62</v>
      </c>
      <c r="Q2171" s="9" t="n">
        <v>525.5700000000001</v>
      </c>
      <c r="R2171" s="9" t="n">
        <v>620.86</v>
      </c>
      <c r="S2171" s="9" t="n">
        <v>573.15</v>
      </c>
      <c r="T2171" s="9" t="n">
        <v>610.91</v>
      </c>
      <c r="U2171" s="10">
        <f>SUM(I2171:T2171)</f>
        <v/>
      </c>
    </row>
    <row r="2172">
      <c r="A2172" s="2" t="inlineStr">
        <is>
          <t>SN-3000-3600-3630-3630HE0153</t>
        </is>
      </c>
      <c r="B2172" s="2" t="inlineStr">
        <is>
          <t>3630HE0153</t>
        </is>
      </c>
      <c r="C2172" s="2" t="inlineStr">
        <is>
          <t>Calefactor eléctrico edificio</t>
        </is>
      </c>
      <c r="D2172" s="2" t="n">
        <v>724</v>
      </c>
      <c r="E2172" s="2" t="inlineStr">
        <is>
          <t>CC-3000</t>
        </is>
      </c>
      <c r="F2172" s="2" t="inlineStr">
        <is>
          <t>P01</t>
        </is>
      </c>
      <c r="G2172" s="2" t="n">
        <v>620000</v>
      </c>
      <c r="H2172" s="2" t="inlineStr">
        <is>
          <t>Materiales</t>
        </is>
      </c>
      <c r="I2172" s="9" t="n">
        <v>517.67</v>
      </c>
      <c r="J2172" s="9" t="n">
        <v>483.9</v>
      </c>
      <c r="K2172" s="9" t="n">
        <v>533.88</v>
      </c>
      <c r="L2172" s="9" t="n">
        <v>483.79</v>
      </c>
      <c r="M2172" s="9" t="n">
        <v>475.76</v>
      </c>
      <c r="N2172" s="9" t="n">
        <v>472.56</v>
      </c>
      <c r="O2172" s="9" t="n">
        <v>531.59</v>
      </c>
      <c r="P2172" s="9" t="n">
        <v>505.68</v>
      </c>
      <c r="Q2172" s="9" t="n">
        <v>500.29</v>
      </c>
      <c r="R2172" s="9" t="n">
        <v>505.18</v>
      </c>
      <c r="S2172" s="9" t="n">
        <v>481.13</v>
      </c>
      <c r="T2172" s="9" t="n">
        <v>501.04</v>
      </c>
      <c r="U2172" s="10">
        <f>SUM(I2172:T2172)</f>
        <v/>
      </c>
    </row>
    <row r="2173">
      <c r="A2173" s="2" t="inlineStr">
        <is>
          <t>SN-3000-3600-3630-3630HE0153</t>
        </is>
      </c>
      <c r="B2173" s="2" t="inlineStr">
        <is>
          <t>3630HE0153</t>
        </is>
      </c>
      <c r="C2173" s="2" t="inlineStr">
        <is>
          <t>Calefactor eléctrico edificio</t>
        </is>
      </c>
      <c r="D2173" s="2" t="n">
        <v>724</v>
      </c>
      <c r="E2173" s="2" t="inlineStr">
        <is>
          <t>CC-3000</t>
        </is>
      </c>
      <c r="F2173" s="2" t="inlineStr">
        <is>
          <t>P01</t>
        </is>
      </c>
      <c r="G2173" s="2" t="n">
        <v>630000</v>
      </c>
      <c r="H2173" s="2" t="inlineStr">
        <is>
          <t>Servicios externos</t>
        </is>
      </c>
      <c r="I2173" s="9" t="n">
        <v>567.77</v>
      </c>
      <c r="J2173" s="9" t="n">
        <v>550.22</v>
      </c>
      <c r="K2173" s="9" t="n">
        <v>561.38</v>
      </c>
      <c r="L2173" s="9" t="n">
        <v>553.6799999999999</v>
      </c>
      <c r="M2173" s="9" t="n">
        <v>561.92</v>
      </c>
      <c r="N2173" s="9" t="n">
        <v>497.04</v>
      </c>
      <c r="O2173" s="9" t="n">
        <v>558.2</v>
      </c>
      <c r="P2173" s="9" t="n">
        <v>565.04</v>
      </c>
      <c r="Q2173" s="9" t="n">
        <v>492.45</v>
      </c>
      <c r="R2173" s="9" t="n">
        <v>592.22</v>
      </c>
      <c r="S2173" s="9" t="n">
        <v>502.73</v>
      </c>
      <c r="T2173" s="9" t="n">
        <v>508.26</v>
      </c>
      <c r="U2173" s="10">
        <f>SUM(I2173:T2173)</f>
        <v/>
      </c>
    </row>
    <row r="2174">
      <c r="A2174" s="2" t="inlineStr">
        <is>
          <t>SN-3000-3600-3630-3630HT0046</t>
        </is>
      </c>
      <c r="B2174" s="2" t="inlineStr">
        <is>
          <t>3630HT0046</t>
        </is>
      </c>
      <c r="C2174" s="2" t="inlineStr">
        <is>
          <t>Tecle eléctrico muestreador</t>
        </is>
      </c>
      <c r="D2174" s="2" t="n">
        <v>725</v>
      </c>
      <c r="E2174" s="2" t="inlineStr">
        <is>
          <t>CC-3000</t>
        </is>
      </c>
      <c r="F2174" s="2" t="inlineStr">
        <is>
          <t>P01</t>
        </is>
      </c>
      <c r="G2174" s="2" t="n">
        <v>610000</v>
      </c>
      <c r="H2174" s="2" t="inlineStr">
        <is>
          <t>Mano obra interna</t>
        </is>
      </c>
      <c r="I2174" s="9" t="n">
        <v>1962.93</v>
      </c>
      <c r="J2174" s="9" t="n">
        <v>1976.9</v>
      </c>
      <c r="K2174" s="9" t="n">
        <v>2209.34</v>
      </c>
      <c r="L2174" s="9" t="n">
        <v>1928.74</v>
      </c>
      <c r="M2174" s="9" t="n">
        <v>1849.83</v>
      </c>
      <c r="N2174" s="9" t="n">
        <v>1965.13</v>
      </c>
      <c r="O2174" s="9" t="n">
        <v>1967.26</v>
      </c>
      <c r="P2174" s="9" t="n">
        <v>1992.97</v>
      </c>
      <c r="Q2174" s="9" t="n">
        <v>1852.92</v>
      </c>
      <c r="R2174" s="9" t="n">
        <v>2035.34</v>
      </c>
      <c r="S2174" s="9" t="n">
        <v>1801.06</v>
      </c>
      <c r="T2174" s="9" t="n">
        <v>2181.75</v>
      </c>
      <c r="U2174" s="10">
        <f>SUM(I2174:T2174)</f>
        <v/>
      </c>
    </row>
    <row r="2175">
      <c r="A2175" s="2" t="inlineStr">
        <is>
          <t>SN-3000-3600-3630-3630HT0046</t>
        </is>
      </c>
      <c r="B2175" s="2" t="inlineStr">
        <is>
          <t>3630HT0046</t>
        </is>
      </c>
      <c r="C2175" s="2" t="inlineStr">
        <is>
          <t>Tecle eléctrico muestreador</t>
        </is>
      </c>
      <c r="D2175" s="2" t="n">
        <v>725</v>
      </c>
      <c r="E2175" s="2" t="inlineStr">
        <is>
          <t>CC-3000</t>
        </is>
      </c>
      <c r="F2175" s="2" t="inlineStr">
        <is>
          <t>P01</t>
        </is>
      </c>
      <c r="G2175" s="2" t="n">
        <v>620000</v>
      </c>
      <c r="H2175" s="2" t="inlineStr">
        <is>
          <t>Materiales</t>
        </is>
      </c>
      <c r="I2175" s="9" t="n">
        <v>1710.54</v>
      </c>
      <c r="J2175" s="9" t="n">
        <v>1796.09</v>
      </c>
      <c r="K2175" s="9" t="n">
        <v>1840.78</v>
      </c>
      <c r="L2175" s="9" t="n">
        <v>1624.34</v>
      </c>
      <c r="M2175" s="9" t="n">
        <v>1680.42</v>
      </c>
      <c r="N2175" s="9" t="n">
        <v>1680.86</v>
      </c>
      <c r="O2175" s="9" t="n">
        <v>1750.29</v>
      </c>
      <c r="P2175" s="9" t="n">
        <v>1765.12</v>
      </c>
      <c r="Q2175" s="9" t="n">
        <v>1567.72</v>
      </c>
      <c r="R2175" s="9" t="n">
        <v>1733.83</v>
      </c>
      <c r="S2175" s="9" t="n">
        <v>1632.29</v>
      </c>
      <c r="T2175" s="9" t="n">
        <v>1761.57</v>
      </c>
      <c r="U2175" s="10">
        <f>SUM(I2175:T2175)</f>
        <v/>
      </c>
    </row>
    <row r="2176">
      <c r="A2176" s="2" t="inlineStr">
        <is>
          <t>SN-3000-3600-3630-3630HT0046</t>
        </is>
      </c>
      <c r="B2176" s="2" t="inlineStr">
        <is>
          <t>3630HT0046</t>
        </is>
      </c>
      <c r="C2176" s="2" t="inlineStr">
        <is>
          <t>Tecle eléctrico muestreador</t>
        </is>
      </c>
      <c r="D2176" s="2" t="n">
        <v>725</v>
      </c>
      <c r="E2176" s="2" t="inlineStr">
        <is>
          <t>CC-3000</t>
        </is>
      </c>
      <c r="F2176" s="2" t="inlineStr">
        <is>
          <t>P01</t>
        </is>
      </c>
      <c r="G2176" s="2" t="n">
        <v>630000</v>
      </c>
      <c r="H2176" s="2" t="inlineStr">
        <is>
          <t>Servicios externos</t>
        </is>
      </c>
      <c r="I2176" s="9" t="n">
        <v>1853.2</v>
      </c>
      <c r="J2176" s="9" t="n">
        <v>1786.16</v>
      </c>
      <c r="K2176" s="9" t="n">
        <v>2160.68</v>
      </c>
      <c r="L2176" s="9" t="n">
        <v>1881.28</v>
      </c>
      <c r="M2176" s="9" t="n">
        <v>1865.7</v>
      </c>
      <c r="N2176" s="9" t="n">
        <v>1943.47</v>
      </c>
      <c r="O2176" s="9" t="n">
        <v>1922</v>
      </c>
      <c r="P2176" s="9" t="n">
        <v>1848.57</v>
      </c>
      <c r="Q2176" s="9" t="n">
        <v>1805.05</v>
      </c>
      <c r="R2176" s="9" t="n">
        <v>2125.37</v>
      </c>
      <c r="S2176" s="9" t="n">
        <v>1872.79</v>
      </c>
      <c r="T2176" s="9" t="n">
        <v>2110.85</v>
      </c>
      <c r="U2176" s="10">
        <f>SUM(I2176:T2176)</f>
        <v/>
      </c>
    </row>
    <row r="2177">
      <c r="A2177" s="2" t="inlineStr">
        <is>
          <t>SN-3000-3600-3630-3630HT0047</t>
        </is>
      </c>
      <c r="B2177" s="2" t="inlineStr">
        <is>
          <t>3630HT0047</t>
        </is>
      </c>
      <c r="C2177" s="2" t="inlineStr">
        <is>
          <t>Tecle bomba relaves</t>
        </is>
      </c>
      <c r="D2177" s="2" t="n">
        <v>726</v>
      </c>
      <c r="E2177" s="2" t="inlineStr">
        <is>
          <t>CC-3000</t>
        </is>
      </c>
      <c r="F2177" s="2" t="inlineStr">
        <is>
          <t>P01</t>
        </is>
      </c>
      <c r="G2177" s="2" t="n">
        <v>610000</v>
      </c>
      <c r="H2177" s="2" t="inlineStr">
        <is>
          <t>Mano obra interna</t>
        </is>
      </c>
      <c r="I2177" s="9" t="n">
        <v>828.04</v>
      </c>
      <c r="J2177" s="9" t="n">
        <v>730.4400000000001</v>
      </c>
      <c r="K2177" s="9" t="n">
        <v>801.6799999999999</v>
      </c>
      <c r="L2177" s="9" t="n">
        <v>839.3099999999999</v>
      </c>
      <c r="M2177" s="9" t="n">
        <v>748.08</v>
      </c>
      <c r="N2177" s="9" t="n">
        <v>766.84</v>
      </c>
      <c r="O2177" s="9" t="n">
        <v>747.21</v>
      </c>
      <c r="P2177" s="9" t="n">
        <v>739.9</v>
      </c>
      <c r="Q2177" s="9" t="n">
        <v>738.8</v>
      </c>
      <c r="R2177" s="9" t="n">
        <v>876.61</v>
      </c>
      <c r="S2177" s="9" t="n">
        <v>718.11</v>
      </c>
      <c r="T2177" s="9" t="n">
        <v>856.1</v>
      </c>
      <c r="U2177" s="10">
        <f>SUM(I2177:T2177)</f>
        <v/>
      </c>
    </row>
    <row r="2178">
      <c r="A2178" s="2" t="inlineStr">
        <is>
          <t>SN-3000-3600-3630-3630HT0047</t>
        </is>
      </c>
      <c r="B2178" s="2" t="inlineStr">
        <is>
          <t>3630HT0047</t>
        </is>
      </c>
      <c r="C2178" s="2" t="inlineStr">
        <is>
          <t>Tecle bomba relaves</t>
        </is>
      </c>
      <c r="D2178" s="2" t="n">
        <v>726</v>
      </c>
      <c r="E2178" s="2" t="inlineStr">
        <is>
          <t>CC-3000</t>
        </is>
      </c>
      <c r="F2178" s="2" t="inlineStr">
        <is>
          <t>P01</t>
        </is>
      </c>
      <c r="G2178" s="2" t="n">
        <v>620000</v>
      </c>
      <c r="H2178" s="2" t="inlineStr">
        <is>
          <t>Materiales</t>
        </is>
      </c>
      <c r="I2178" s="9" t="n">
        <v>731.99</v>
      </c>
      <c r="J2178" s="9" t="n">
        <v>716.14</v>
      </c>
      <c r="K2178" s="9" t="n">
        <v>745.98</v>
      </c>
      <c r="L2178" s="9" t="n">
        <v>729.1900000000001</v>
      </c>
      <c r="M2178" s="9" t="n">
        <v>791.5700000000001</v>
      </c>
      <c r="N2178" s="9" t="n">
        <v>729.4</v>
      </c>
      <c r="O2178" s="9" t="n">
        <v>750.1799999999999</v>
      </c>
      <c r="P2178" s="9" t="n">
        <v>817.9</v>
      </c>
      <c r="Q2178" s="9" t="n">
        <v>696.02</v>
      </c>
      <c r="R2178" s="9" t="n">
        <v>779.47</v>
      </c>
      <c r="S2178" s="9" t="n">
        <v>712.36</v>
      </c>
      <c r="T2178" s="9" t="n">
        <v>742.4400000000001</v>
      </c>
      <c r="U2178" s="10">
        <f>SUM(I2178:T2178)</f>
        <v/>
      </c>
    </row>
    <row r="2179">
      <c r="A2179" s="2" t="inlineStr">
        <is>
          <t>SN-3000-3600-3630-3630HT0047</t>
        </is>
      </c>
      <c r="B2179" s="2" t="inlineStr">
        <is>
          <t>3630HT0047</t>
        </is>
      </c>
      <c r="C2179" s="2" t="inlineStr">
        <is>
          <t>Tecle bomba relaves</t>
        </is>
      </c>
      <c r="D2179" s="2" t="n">
        <v>726</v>
      </c>
      <c r="E2179" s="2" t="inlineStr">
        <is>
          <t>CC-3000</t>
        </is>
      </c>
      <c r="F2179" s="2" t="inlineStr">
        <is>
          <t>P01</t>
        </is>
      </c>
      <c r="G2179" s="2" t="n">
        <v>630000</v>
      </c>
      <c r="H2179" s="2" t="inlineStr">
        <is>
          <t>Servicios externos</t>
        </is>
      </c>
      <c r="I2179" s="9" t="n">
        <v>812.37</v>
      </c>
      <c r="J2179" s="9" t="n">
        <v>812.86</v>
      </c>
      <c r="K2179" s="9" t="n">
        <v>872.3</v>
      </c>
      <c r="L2179" s="9" t="n">
        <v>878.72</v>
      </c>
      <c r="M2179" s="9" t="n">
        <v>842.13</v>
      </c>
      <c r="N2179" s="9" t="n">
        <v>750</v>
      </c>
      <c r="O2179" s="9" t="n">
        <v>773</v>
      </c>
      <c r="P2179" s="9" t="n">
        <v>828.22</v>
      </c>
      <c r="Q2179" s="9" t="n">
        <v>729.42</v>
      </c>
      <c r="R2179" s="9" t="n">
        <v>828.85</v>
      </c>
      <c r="S2179" s="9" t="n">
        <v>800.41</v>
      </c>
      <c r="T2179" s="9" t="n">
        <v>812.3099999999999</v>
      </c>
      <c r="U2179" s="10">
        <f>SUM(I2179:T2179)</f>
        <v/>
      </c>
    </row>
    <row r="2180">
      <c r="A2180" s="2" t="inlineStr">
        <is>
          <t>SN-3000-3600-3630-3630HT0085</t>
        </is>
      </c>
      <c r="B2180" s="2" t="inlineStr">
        <is>
          <t>3630HT0085</t>
        </is>
      </c>
      <c r="C2180" s="2" t="inlineStr">
        <is>
          <t>Carro mantención bomba clarificado</t>
        </is>
      </c>
      <c r="D2180" s="2" t="n">
        <v>727</v>
      </c>
      <c r="E2180" s="2" t="inlineStr">
        <is>
          <t>CC-3000</t>
        </is>
      </c>
      <c r="F2180" s="2" t="inlineStr">
        <is>
          <t>P01</t>
        </is>
      </c>
      <c r="G2180" s="2" t="n">
        <v>610000</v>
      </c>
      <c r="H2180" s="2" t="inlineStr">
        <is>
          <t>Mano obra interna</t>
        </is>
      </c>
      <c r="I2180" s="9" t="n">
        <v>1947.05</v>
      </c>
      <c r="J2180" s="9" t="n">
        <v>2084.25</v>
      </c>
      <c r="K2180" s="9" t="n">
        <v>2111.81</v>
      </c>
      <c r="L2180" s="9" t="n">
        <v>1866.89</v>
      </c>
      <c r="M2180" s="9" t="n">
        <v>1948.16</v>
      </c>
      <c r="N2180" s="9" t="n">
        <v>1898.2</v>
      </c>
      <c r="O2180" s="9" t="n">
        <v>2028.08</v>
      </c>
      <c r="P2180" s="9" t="n">
        <v>1963.57</v>
      </c>
      <c r="Q2180" s="9" t="n">
        <v>1825.01</v>
      </c>
      <c r="R2180" s="9" t="n">
        <v>2075.1</v>
      </c>
      <c r="S2180" s="9" t="n">
        <v>1833.37</v>
      </c>
      <c r="T2180" s="9" t="n">
        <v>2137.34</v>
      </c>
      <c r="U2180" s="10">
        <f>SUM(I2180:T2180)</f>
        <v/>
      </c>
    </row>
    <row r="2181">
      <c r="A2181" s="2" t="inlineStr">
        <is>
          <t>SN-3000-3600-3630-3630HT0085</t>
        </is>
      </c>
      <c r="B2181" s="2" t="inlineStr">
        <is>
          <t>3630HT0085</t>
        </is>
      </c>
      <c r="C2181" s="2" t="inlineStr">
        <is>
          <t>Carro mantención bomba clarificado</t>
        </is>
      </c>
      <c r="D2181" s="2" t="n">
        <v>727</v>
      </c>
      <c r="E2181" s="2" t="inlineStr">
        <is>
          <t>CC-3000</t>
        </is>
      </c>
      <c r="F2181" s="2" t="inlineStr">
        <is>
          <t>P01</t>
        </is>
      </c>
      <c r="G2181" s="2" t="n">
        <v>620000</v>
      </c>
      <c r="H2181" s="2" t="inlineStr">
        <is>
          <t>Materiales</t>
        </is>
      </c>
      <c r="I2181" s="9" t="n">
        <v>1601.91</v>
      </c>
      <c r="J2181" s="9" t="n">
        <v>1573.05</v>
      </c>
      <c r="K2181" s="9" t="n">
        <v>1839.92</v>
      </c>
      <c r="L2181" s="9" t="n">
        <v>1748.14</v>
      </c>
      <c r="M2181" s="9" t="n">
        <v>1744.07</v>
      </c>
      <c r="N2181" s="9" t="n">
        <v>1692.62</v>
      </c>
      <c r="O2181" s="9" t="n">
        <v>1775.1</v>
      </c>
      <c r="P2181" s="9" t="n">
        <v>1699.44</v>
      </c>
      <c r="Q2181" s="9" t="n">
        <v>1489.3</v>
      </c>
      <c r="R2181" s="9" t="n">
        <v>1716.96</v>
      </c>
      <c r="S2181" s="9" t="n">
        <v>1652.5</v>
      </c>
      <c r="T2181" s="9" t="n">
        <v>1675.53</v>
      </c>
      <c r="U2181" s="10">
        <f>SUM(I2181:T2181)</f>
        <v/>
      </c>
    </row>
    <row r="2182">
      <c r="A2182" s="2" t="inlineStr">
        <is>
          <t>SN-3000-3600-3630-3630HT0085</t>
        </is>
      </c>
      <c r="B2182" s="2" t="inlineStr">
        <is>
          <t>3630HT0085</t>
        </is>
      </c>
      <c r="C2182" s="2" t="inlineStr">
        <is>
          <t>Carro mantención bomba clarificado</t>
        </is>
      </c>
      <c r="D2182" s="2" t="n">
        <v>727</v>
      </c>
      <c r="E2182" s="2" t="inlineStr">
        <is>
          <t>CC-3000</t>
        </is>
      </c>
      <c r="F2182" s="2" t="inlineStr">
        <is>
          <t>P01</t>
        </is>
      </c>
      <c r="G2182" s="2" t="n">
        <v>630000</v>
      </c>
      <c r="H2182" s="2" t="inlineStr">
        <is>
          <t>Servicios externos</t>
        </is>
      </c>
      <c r="I2182" s="9" t="n">
        <v>1847.69</v>
      </c>
      <c r="J2182" s="9" t="n">
        <v>1812.14</v>
      </c>
      <c r="K2182" s="9" t="n">
        <v>1727.87</v>
      </c>
      <c r="L2182" s="9" t="n">
        <v>1712.01</v>
      </c>
      <c r="M2182" s="9" t="n">
        <v>1855.2</v>
      </c>
      <c r="N2182" s="9" t="n">
        <v>1645.88</v>
      </c>
      <c r="O2182" s="9" t="n">
        <v>1855.33</v>
      </c>
      <c r="P2182" s="9" t="n">
        <v>1822.53</v>
      </c>
      <c r="Q2182" s="9" t="n">
        <v>1815.17</v>
      </c>
      <c r="R2182" s="9" t="n">
        <v>2057.16</v>
      </c>
      <c r="S2182" s="9" t="n">
        <v>1728.23</v>
      </c>
      <c r="T2182" s="9" t="n">
        <v>1871.5</v>
      </c>
      <c r="U2182" s="10">
        <f>SUM(I2182:T2182)</f>
        <v/>
      </c>
    </row>
    <row r="2183">
      <c r="A2183" s="2" t="inlineStr">
        <is>
          <t>SN-3000-3600-3630-3630HT0086</t>
        </is>
      </c>
      <c r="B2183" s="2" t="inlineStr">
        <is>
          <t>3630HT0086</t>
        </is>
      </c>
      <c r="C2183" s="2" t="inlineStr">
        <is>
          <t>Carro mantención bomba clarificado</t>
        </is>
      </c>
      <c r="D2183" s="2" t="n">
        <v>728</v>
      </c>
      <c r="E2183" s="2" t="inlineStr">
        <is>
          <t>CC-3000</t>
        </is>
      </c>
      <c r="F2183" s="2" t="inlineStr">
        <is>
          <t>P01</t>
        </is>
      </c>
      <c r="G2183" s="2" t="n">
        <v>610000</v>
      </c>
      <c r="H2183" s="2" t="inlineStr">
        <is>
          <t>Mano obra interna</t>
        </is>
      </c>
      <c r="I2183" s="9" t="n">
        <v>1162.1</v>
      </c>
      <c r="J2183" s="9" t="n">
        <v>1184.62</v>
      </c>
      <c r="K2183" s="9" t="n">
        <v>1219.61</v>
      </c>
      <c r="L2183" s="9" t="n">
        <v>1182.06</v>
      </c>
      <c r="M2183" s="9" t="n">
        <v>1088.07</v>
      </c>
      <c r="N2183" s="9" t="n">
        <v>1162.27</v>
      </c>
      <c r="O2183" s="9" t="n">
        <v>1117.87</v>
      </c>
      <c r="P2183" s="9" t="n">
        <v>1217.99</v>
      </c>
      <c r="Q2183" s="9" t="n">
        <v>1098.57</v>
      </c>
      <c r="R2183" s="9" t="n">
        <v>1224.91</v>
      </c>
      <c r="S2183" s="9" t="n">
        <v>1039.92</v>
      </c>
      <c r="T2183" s="9" t="n">
        <v>1126.28</v>
      </c>
      <c r="U2183" s="10">
        <f>SUM(I2183:T2183)</f>
        <v/>
      </c>
    </row>
    <row r="2184">
      <c r="A2184" s="2" t="inlineStr">
        <is>
          <t>SN-3000-3600-3630-3630HT0086</t>
        </is>
      </c>
      <c r="B2184" s="2" t="inlineStr">
        <is>
          <t>3630HT0086</t>
        </is>
      </c>
      <c r="C2184" s="2" t="inlineStr">
        <is>
          <t>Carro mantención bomba clarificado</t>
        </is>
      </c>
      <c r="D2184" s="2" t="n">
        <v>728</v>
      </c>
      <c r="E2184" s="2" t="inlineStr">
        <is>
          <t>CC-3000</t>
        </is>
      </c>
      <c r="F2184" s="2" t="inlineStr">
        <is>
          <t>P01</t>
        </is>
      </c>
      <c r="G2184" s="2" t="n">
        <v>620000</v>
      </c>
      <c r="H2184" s="2" t="inlineStr">
        <is>
          <t>Materiales</t>
        </is>
      </c>
      <c r="I2184" s="9" t="n">
        <v>1492.23</v>
      </c>
      <c r="J2184" s="9" t="n">
        <v>1386.34</v>
      </c>
      <c r="K2184" s="9" t="n">
        <v>1427.28</v>
      </c>
      <c r="L2184" s="9" t="n">
        <v>1455.13</v>
      </c>
      <c r="M2184" s="9" t="n">
        <v>1369.17</v>
      </c>
      <c r="N2184" s="9" t="n">
        <v>1360.59</v>
      </c>
      <c r="O2184" s="9" t="n">
        <v>1348.74</v>
      </c>
      <c r="P2184" s="9" t="n">
        <v>1465.24</v>
      </c>
      <c r="Q2184" s="9" t="n">
        <v>1336.68</v>
      </c>
      <c r="R2184" s="9" t="n">
        <v>1459.28</v>
      </c>
      <c r="S2184" s="9" t="n">
        <v>1417.81</v>
      </c>
      <c r="T2184" s="9" t="n">
        <v>1408.79</v>
      </c>
      <c r="U2184" s="10">
        <f>SUM(I2184:T2184)</f>
        <v/>
      </c>
    </row>
    <row r="2185">
      <c r="A2185" s="2" t="inlineStr">
        <is>
          <t>SN-3000-3600-3630-3630HT0086</t>
        </is>
      </c>
      <c r="B2185" s="2" t="inlineStr">
        <is>
          <t>3630HT0086</t>
        </is>
      </c>
      <c r="C2185" s="2" t="inlineStr">
        <is>
          <t>Carro mantención bomba clarificado</t>
        </is>
      </c>
      <c r="D2185" s="2" t="n">
        <v>728</v>
      </c>
      <c r="E2185" s="2" t="inlineStr">
        <is>
          <t>CC-3000</t>
        </is>
      </c>
      <c r="F2185" s="2" t="inlineStr">
        <is>
          <t>P01</t>
        </is>
      </c>
      <c r="G2185" s="2" t="n">
        <v>630000</v>
      </c>
      <c r="H2185" s="2" t="inlineStr">
        <is>
          <t>Servicios externos</t>
        </is>
      </c>
      <c r="I2185" s="9" t="n">
        <v>1077.37</v>
      </c>
      <c r="J2185" s="9" t="n">
        <v>1150.31</v>
      </c>
      <c r="K2185" s="9" t="n">
        <v>1235.87</v>
      </c>
      <c r="L2185" s="9" t="n">
        <v>1213.7</v>
      </c>
      <c r="M2185" s="9" t="n">
        <v>1148.03</v>
      </c>
      <c r="N2185" s="9" t="n">
        <v>1020.03</v>
      </c>
      <c r="O2185" s="9" t="n">
        <v>1058.81</v>
      </c>
      <c r="P2185" s="9" t="n">
        <v>1102.96</v>
      </c>
      <c r="Q2185" s="9" t="n">
        <v>1113.44</v>
      </c>
      <c r="R2185" s="9" t="n">
        <v>1310.79</v>
      </c>
      <c r="S2185" s="9" t="n">
        <v>1050.36</v>
      </c>
      <c r="T2185" s="9" t="n">
        <v>1196.82</v>
      </c>
      <c r="U2185" s="10">
        <f>SUM(I2185:T2185)</f>
        <v/>
      </c>
    </row>
    <row r="2186">
      <c r="A2186" s="2" t="inlineStr">
        <is>
          <t>SN-3000-3600-3630-3630IO0001</t>
        </is>
      </c>
      <c r="B2186" s="2" t="inlineStr">
        <is>
          <t>3630IO0001</t>
        </is>
      </c>
      <c r="C2186" s="2" t="inlineStr">
        <is>
          <t xml:space="preserve">Gabinete RIO  </t>
        </is>
      </c>
      <c r="D2186" s="2" t="n">
        <v>729</v>
      </c>
      <c r="E2186" s="2" t="inlineStr">
        <is>
          <t>CC-3000</t>
        </is>
      </c>
      <c r="F2186" s="2" t="inlineStr">
        <is>
          <t>P01</t>
        </is>
      </c>
      <c r="G2186" s="2" t="n">
        <v>610000</v>
      </c>
      <c r="H2186" s="2" t="inlineStr">
        <is>
          <t>Mano obra interna</t>
        </is>
      </c>
      <c r="I2186" s="9" t="n">
        <v>199.12</v>
      </c>
      <c r="J2186" s="9" t="n">
        <v>209.08</v>
      </c>
      <c r="K2186" s="9" t="n">
        <v>228.17</v>
      </c>
      <c r="L2186" s="9" t="n">
        <v>207.78</v>
      </c>
      <c r="M2186" s="9" t="n">
        <v>221.94</v>
      </c>
      <c r="N2186" s="9" t="n">
        <v>193.08</v>
      </c>
      <c r="O2186" s="9" t="n">
        <v>196.65</v>
      </c>
      <c r="P2186" s="9" t="n">
        <v>199.23</v>
      </c>
      <c r="Q2186" s="9" t="n">
        <v>206.86</v>
      </c>
      <c r="R2186" s="9" t="n">
        <v>224.38</v>
      </c>
      <c r="S2186" s="9" t="n">
        <v>213.81</v>
      </c>
      <c r="T2186" s="9" t="n">
        <v>215.05</v>
      </c>
      <c r="U2186" s="10">
        <f>SUM(I2186:T2186)</f>
        <v/>
      </c>
    </row>
    <row r="2187">
      <c r="A2187" s="2" t="inlineStr">
        <is>
          <t>SN-3000-3600-3630-3630IO0001</t>
        </is>
      </c>
      <c r="B2187" s="2" t="inlineStr">
        <is>
          <t>3630IO0001</t>
        </is>
      </c>
      <c r="C2187" s="2" t="inlineStr">
        <is>
          <t xml:space="preserve">Gabinete RIO  </t>
        </is>
      </c>
      <c r="D2187" s="2" t="n">
        <v>729</v>
      </c>
      <c r="E2187" s="2" t="inlineStr">
        <is>
          <t>CC-3000</t>
        </is>
      </c>
      <c r="F2187" s="2" t="inlineStr">
        <is>
          <t>P01</t>
        </is>
      </c>
      <c r="G2187" s="2" t="n">
        <v>620000</v>
      </c>
      <c r="H2187" s="2" t="inlineStr">
        <is>
          <t>Materiales</t>
        </is>
      </c>
      <c r="I2187" s="9" t="n">
        <v>211.66</v>
      </c>
      <c r="J2187" s="9" t="n">
        <v>192.25</v>
      </c>
      <c r="K2187" s="9" t="n">
        <v>213.74</v>
      </c>
      <c r="L2187" s="9" t="n">
        <v>189.08</v>
      </c>
      <c r="M2187" s="9" t="n">
        <v>199.85</v>
      </c>
      <c r="N2187" s="9" t="n">
        <v>195.07</v>
      </c>
      <c r="O2187" s="9" t="n">
        <v>210.34</v>
      </c>
      <c r="P2187" s="9" t="n">
        <v>188.77</v>
      </c>
      <c r="Q2187" s="9" t="n">
        <v>187.04</v>
      </c>
      <c r="R2187" s="9" t="n">
        <v>210.85</v>
      </c>
      <c r="S2187" s="9" t="n">
        <v>187.73</v>
      </c>
      <c r="T2187" s="9" t="n">
        <v>187.94</v>
      </c>
      <c r="U2187" s="10">
        <f>SUM(I2187:T2187)</f>
        <v/>
      </c>
    </row>
    <row r="2188">
      <c r="A2188" s="2" t="inlineStr">
        <is>
          <t>SN-3000-3600-3630-3630IO0001</t>
        </is>
      </c>
      <c r="B2188" s="2" t="inlineStr">
        <is>
          <t>3630IO0001</t>
        </is>
      </c>
      <c r="C2188" s="2" t="inlineStr">
        <is>
          <t xml:space="preserve">Gabinete RIO  </t>
        </is>
      </c>
      <c r="D2188" s="2" t="n">
        <v>729</v>
      </c>
      <c r="E2188" s="2" t="inlineStr">
        <is>
          <t>CC-3000</t>
        </is>
      </c>
      <c r="F2188" s="2" t="inlineStr">
        <is>
          <t>P01</t>
        </is>
      </c>
      <c r="G2188" s="2" t="n">
        <v>630000</v>
      </c>
      <c r="H2188" s="2" t="inlineStr">
        <is>
          <t>Servicios externos</t>
        </is>
      </c>
      <c r="I2188" s="9" t="n">
        <v>186.6</v>
      </c>
      <c r="J2188" s="9" t="n">
        <v>177.64</v>
      </c>
      <c r="K2188" s="9" t="n">
        <v>175.56</v>
      </c>
      <c r="L2188" s="9" t="n">
        <v>186.58</v>
      </c>
      <c r="M2188" s="9" t="n">
        <v>160.13</v>
      </c>
      <c r="N2188" s="9" t="n">
        <v>169.13</v>
      </c>
      <c r="O2188" s="9" t="n">
        <v>183.74</v>
      </c>
      <c r="P2188" s="9" t="n">
        <v>182.71</v>
      </c>
      <c r="Q2188" s="9" t="n">
        <v>158.17</v>
      </c>
      <c r="R2188" s="9" t="n">
        <v>194.38</v>
      </c>
      <c r="S2188" s="9" t="n">
        <v>165.95</v>
      </c>
      <c r="T2188" s="9" t="n">
        <v>185.59</v>
      </c>
      <c r="U2188" s="10">
        <f>SUM(I2188:T2188)</f>
        <v/>
      </c>
    </row>
    <row r="2189">
      <c r="A2189" s="2" t="inlineStr">
        <is>
          <t>SN-3000-3600-3630-3630IO0002</t>
        </is>
      </c>
      <c r="B2189" s="2" t="inlineStr">
        <is>
          <t>3630IO0002</t>
        </is>
      </c>
      <c r="C2189" s="2" t="inlineStr">
        <is>
          <t xml:space="preserve">Gabinete RIO  </t>
        </is>
      </c>
      <c r="D2189" s="2" t="n">
        <v>730</v>
      </c>
      <c r="E2189" s="2" t="inlineStr">
        <is>
          <t>CC-3000</t>
        </is>
      </c>
      <c r="F2189" s="2" t="inlineStr">
        <is>
          <t>P01</t>
        </is>
      </c>
      <c r="G2189" s="2" t="n">
        <v>610000</v>
      </c>
      <c r="H2189" s="2" t="inlineStr">
        <is>
          <t>Mano obra interna</t>
        </is>
      </c>
      <c r="I2189" s="9" t="n">
        <v>2740.93</v>
      </c>
      <c r="J2189" s="9" t="n">
        <v>2365.75</v>
      </c>
      <c r="K2189" s="9" t="n">
        <v>2695.58</v>
      </c>
      <c r="L2189" s="9" t="n">
        <v>2653.77</v>
      </c>
      <c r="M2189" s="9" t="n">
        <v>2594.02</v>
      </c>
      <c r="N2189" s="9" t="n">
        <v>2539.73</v>
      </c>
      <c r="O2189" s="9" t="n">
        <v>2749.36</v>
      </c>
      <c r="P2189" s="9" t="n">
        <v>2691.53</v>
      </c>
      <c r="Q2189" s="9" t="n">
        <v>2290.2</v>
      </c>
      <c r="R2189" s="9" t="n">
        <v>2922.66</v>
      </c>
      <c r="S2189" s="9" t="n">
        <v>2342.76</v>
      </c>
      <c r="T2189" s="9" t="n">
        <v>2665.16</v>
      </c>
      <c r="U2189" s="10">
        <f>SUM(I2189:T2189)</f>
        <v/>
      </c>
    </row>
    <row r="2190">
      <c r="A2190" s="2" t="inlineStr">
        <is>
          <t>SN-3000-3600-3630-3630IO0002</t>
        </is>
      </c>
      <c r="B2190" s="2" t="inlineStr">
        <is>
          <t>3630IO0002</t>
        </is>
      </c>
      <c r="C2190" s="2" t="inlineStr">
        <is>
          <t xml:space="preserve">Gabinete RIO  </t>
        </is>
      </c>
      <c r="D2190" s="2" t="n">
        <v>730</v>
      </c>
      <c r="E2190" s="2" t="inlineStr">
        <is>
          <t>CC-3000</t>
        </is>
      </c>
      <c r="F2190" s="2" t="inlineStr">
        <is>
          <t>P01</t>
        </is>
      </c>
      <c r="G2190" s="2" t="n">
        <v>620000</v>
      </c>
      <c r="H2190" s="2" t="inlineStr">
        <is>
          <t>Materiales</t>
        </is>
      </c>
      <c r="I2190" s="9" t="n">
        <v>2677.72</v>
      </c>
      <c r="J2190" s="9" t="n">
        <v>2913.82</v>
      </c>
      <c r="K2190" s="9" t="n">
        <v>3028.62</v>
      </c>
      <c r="L2190" s="9" t="n">
        <v>2865.35</v>
      </c>
      <c r="M2190" s="9" t="n">
        <v>2688.09</v>
      </c>
      <c r="N2190" s="9" t="n">
        <v>2638.23</v>
      </c>
      <c r="O2190" s="9" t="n">
        <v>3013.32</v>
      </c>
      <c r="P2190" s="9" t="n">
        <v>2666.13</v>
      </c>
      <c r="Q2190" s="9" t="n">
        <v>2641.4</v>
      </c>
      <c r="R2190" s="9" t="n">
        <v>2820.11</v>
      </c>
      <c r="S2190" s="9" t="n">
        <v>2589.95</v>
      </c>
      <c r="T2190" s="9" t="n">
        <v>2963.25</v>
      </c>
      <c r="U2190" s="10">
        <f>SUM(I2190:T2190)</f>
        <v/>
      </c>
    </row>
    <row r="2191">
      <c r="A2191" s="2" t="inlineStr">
        <is>
          <t>SN-3000-3600-3630-3630IO0002</t>
        </is>
      </c>
      <c r="B2191" s="2" t="inlineStr">
        <is>
          <t>3630IO0002</t>
        </is>
      </c>
      <c r="C2191" s="2" t="inlineStr">
        <is>
          <t xml:space="preserve">Gabinete RIO  </t>
        </is>
      </c>
      <c r="D2191" s="2" t="n">
        <v>730</v>
      </c>
      <c r="E2191" s="2" t="inlineStr">
        <is>
          <t>CC-3000</t>
        </is>
      </c>
      <c r="F2191" s="2" t="inlineStr">
        <is>
          <t>P01</t>
        </is>
      </c>
      <c r="G2191" s="2" t="n">
        <v>630000</v>
      </c>
      <c r="H2191" s="2" t="inlineStr">
        <is>
          <t>Servicios externos</t>
        </is>
      </c>
      <c r="I2191" s="9" t="n">
        <v>2593.09</v>
      </c>
      <c r="J2191" s="9" t="n">
        <v>2321.57</v>
      </c>
      <c r="K2191" s="9" t="n">
        <v>2437.96</v>
      </c>
      <c r="L2191" s="9" t="n">
        <v>2230.19</v>
      </c>
      <c r="M2191" s="9" t="n">
        <v>2502.95</v>
      </c>
      <c r="N2191" s="9" t="n">
        <v>2135.95</v>
      </c>
      <c r="O2191" s="9" t="n">
        <v>2372.48</v>
      </c>
      <c r="P2191" s="9" t="n">
        <v>2315.88</v>
      </c>
      <c r="Q2191" s="9" t="n">
        <v>2164.4</v>
      </c>
      <c r="R2191" s="9" t="n">
        <v>2600.07</v>
      </c>
      <c r="S2191" s="9" t="n">
        <v>2340.85</v>
      </c>
      <c r="T2191" s="9" t="n">
        <v>2259.64</v>
      </c>
      <c r="U2191" s="10">
        <f>SUM(I2191:T2191)</f>
        <v/>
      </c>
    </row>
    <row r="2192">
      <c r="A2192" s="2" t="inlineStr">
        <is>
          <t>SN-3000-3600-3630-3630IO0003</t>
        </is>
      </c>
      <c r="B2192" s="2" t="inlineStr">
        <is>
          <t>3630IO0003</t>
        </is>
      </c>
      <c r="C2192" s="2" t="inlineStr">
        <is>
          <t xml:space="preserve">Gabinete RIO  </t>
        </is>
      </c>
      <c r="D2192" s="2" t="n">
        <v>731</v>
      </c>
      <c r="E2192" s="2" t="inlineStr">
        <is>
          <t>CC-3000</t>
        </is>
      </c>
      <c r="F2192" s="2" t="inlineStr">
        <is>
          <t>P01</t>
        </is>
      </c>
      <c r="G2192" s="2" t="n">
        <v>610000</v>
      </c>
      <c r="H2192" s="2" t="inlineStr">
        <is>
          <t>Mano obra interna</t>
        </is>
      </c>
      <c r="I2192" s="9" t="n">
        <v>231.86</v>
      </c>
      <c r="J2192" s="9" t="n">
        <v>211.81</v>
      </c>
      <c r="K2192" s="9" t="n">
        <v>211.94</v>
      </c>
      <c r="L2192" s="9" t="n">
        <v>215.2</v>
      </c>
      <c r="M2192" s="9" t="n">
        <v>204.91</v>
      </c>
      <c r="N2192" s="9" t="n">
        <v>195.08</v>
      </c>
      <c r="O2192" s="9" t="n">
        <v>212.89</v>
      </c>
      <c r="P2192" s="9" t="n">
        <v>218.3</v>
      </c>
      <c r="Q2192" s="9" t="n">
        <v>188.23</v>
      </c>
      <c r="R2192" s="9" t="n">
        <v>237.95</v>
      </c>
      <c r="S2192" s="9" t="n">
        <v>226.68</v>
      </c>
      <c r="T2192" s="9" t="n">
        <v>236.62</v>
      </c>
      <c r="U2192" s="10">
        <f>SUM(I2192:T2192)</f>
        <v/>
      </c>
    </row>
    <row r="2193">
      <c r="A2193" s="2" t="inlineStr">
        <is>
          <t>SN-3000-3600-3630-3630IO0003</t>
        </is>
      </c>
      <c r="B2193" s="2" t="inlineStr">
        <is>
          <t>3630IO0003</t>
        </is>
      </c>
      <c r="C2193" s="2" t="inlineStr">
        <is>
          <t xml:space="preserve">Gabinete RIO  </t>
        </is>
      </c>
      <c r="D2193" s="2" t="n">
        <v>731</v>
      </c>
      <c r="E2193" s="2" t="inlineStr">
        <is>
          <t>CC-3000</t>
        </is>
      </c>
      <c r="F2193" s="2" t="inlineStr">
        <is>
          <t>P01</t>
        </is>
      </c>
      <c r="G2193" s="2" t="n">
        <v>620000</v>
      </c>
      <c r="H2193" s="2" t="inlineStr">
        <is>
          <t>Materiales</t>
        </is>
      </c>
      <c r="I2193" s="9" t="n">
        <v>227.92</v>
      </c>
      <c r="J2193" s="9" t="n">
        <v>210.97</v>
      </c>
      <c r="K2193" s="9" t="n">
        <v>252.04</v>
      </c>
      <c r="L2193" s="9" t="n">
        <v>220.2</v>
      </c>
      <c r="M2193" s="9" t="n">
        <v>218.73</v>
      </c>
      <c r="N2193" s="9" t="n">
        <v>223.32</v>
      </c>
      <c r="O2193" s="9" t="n">
        <v>220.1</v>
      </c>
      <c r="P2193" s="9" t="n">
        <v>244.14</v>
      </c>
      <c r="Q2193" s="9" t="n">
        <v>225.48</v>
      </c>
      <c r="R2193" s="9" t="n">
        <v>260.36</v>
      </c>
      <c r="S2193" s="9" t="n">
        <v>235.89</v>
      </c>
      <c r="T2193" s="9" t="n">
        <v>224.82</v>
      </c>
      <c r="U2193" s="10">
        <f>SUM(I2193:T2193)</f>
        <v/>
      </c>
    </row>
    <row r="2194">
      <c r="A2194" s="2" t="inlineStr">
        <is>
          <t>SN-3000-3600-3630-3630IO0003</t>
        </is>
      </c>
      <c r="B2194" s="2" t="inlineStr">
        <is>
          <t>3630IO0003</t>
        </is>
      </c>
      <c r="C2194" s="2" t="inlineStr">
        <is>
          <t xml:space="preserve">Gabinete RIO  </t>
        </is>
      </c>
      <c r="D2194" s="2" t="n">
        <v>731</v>
      </c>
      <c r="E2194" s="2" t="inlineStr">
        <is>
          <t>CC-3000</t>
        </is>
      </c>
      <c r="F2194" s="2" t="inlineStr">
        <is>
          <t>P01</t>
        </is>
      </c>
      <c r="G2194" s="2" t="n">
        <v>630000</v>
      </c>
      <c r="H2194" s="2" t="inlineStr">
        <is>
          <t>Servicios externos</t>
        </is>
      </c>
      <c r="I2194" s="9" t="n">
        <v>226.27</v>
      </c>
      <c r="J2194" s="9" t="n">
        <v>229.44</v>
      </c>
      <c r="K2194" s="9" t="n">
        <v>219.93</v>
      </c>
      <c r="L2194" s="9" t="n">
        <v>239.54</v>
      </c>
      <c r="M2194" s="9" t="n">
        <v>241.52</v>
      </c>
      <c r="N2194" s="9" t="n">
        <v>201.1</v>
      </c>
      <c r="O2194" s="9" t="n">
        <v>212.26</v>
      </c>
      <c r="P2194" s="9" t="n">
        <v>213.08</v>
      </c>
      <c r="Q2194" s="9" t="n">
        <v>208.88</v>
      </c>
      <c r="R2194" s="9" t="n">
        <v>236.51</v>
      </c>
      <c r="S2194" s="9" t="n">
        <v>230.45</v>
      </c>
      <c r="T2194" s="9" t="n">
        <v>229.31</v>
      </c>
      <c r="U2194" s="10">
        <f>SUM(I2194:T2194)</f>
        <v/>
      </c>
    </row>
    <row r="2195">
      <c r="A2195" s="2" t="inlineStr">
        <is>
          <t>SN-3000-3600-3630-3630IO0004</t>
        </is>
      </c>
      <c r="B2195" s="2" t="inlineStr">
        <is>
          <t>3630IO0004</t>
        </is>
      </c>
      <c r="C2195" s="2" t="inlineStr">
        <is>
          <t xml:space="preserve">Gabinete RIO  </t>
        </is>
      </c>
      <c r="D2195" s="2" t="n">
        <v>732</v>
      </c>
      <c r="E2195" s="2" t="inlineStr">
        <is>
          <t>CC-3000</t>
        </is>
      </c>
      <c r="F2195" s="2" t="inlineStr">
        <is>
          <t>P01</t>
        </is>
      </c>
      <c r="G2195" s="2" t="n">
        <v>610000</v>
      </c>
      <c r="H2195" s="2" t="inlineStr">
        <is>
          <t>Mano obra interna</t>
        </is>
      </c>
      <c r="I2195" s="9" t="n">
        <v>1870.72</v>
      </c>
      <c r="J2195" s="9" t="n">
        <v>1705.68</v>
      </c>
      <c r="K2195" s="9" t="n">
        <v>1784.14</v>
      </c>
      <c r="L2195" s="9" t="n">
        <v>1884.47</v>
      </c>
      <c r="M2195" s="9" t="n">
        <v>1831.23</v>
      </c>
      <c r="N2195" s="9" t="n">
        <v>1561.66</v>
      </c>
      <c r="O2195" s="9" t="n">
        <v>1670.84</v>
      </c>
      <c r="P2195" s="9" t="n">
        <v>1688.46</v>
      </c>
      <c r="Q2195" s="9" t="n">
        <v>1609.45</v>
      </c>
      <c r="R2195" s="9" t="n">
        <v>1846.18</v>
      </c>
      <c r="S2195" s="9" t="n">
        <v>1760.68</v>
      </c>
      <c r="T2195" s="9" t="n">
        <v>1891.67</v>
      </c>
      <c r="U2195" s="10">
        <f>SUM(I2195:T2195)</f>
        <v/>
      </c>
    </row>
    <row r="2196">
      <c r="A2196" s="2" t="inlineStr">
        <is>
          <t>SN-3000-3600-3630-3630IO0004</t>
        </is>
      </c>
      <c r="B2196" s="2" t="inlineStr">
        <is>
          <t>3630IO0004</t>
        </is>
      </c>
      <c r="C2196" s="2" t="inlineStr">
        <is>
          <t xml:space="preserve">Gabinete RIO  </t>
        </is>
      </c>
      <c r="D2196" s="2" t="n">
        <v>732</v>
      </c>
      <c r="E2196" s="2" t="inlineStr">
        <is>
          <t>CC-3000</t>
        </is>
      </c>
      <c r="F2196" s="2" t="inlineStr">
        <is>
          <t>P01</t>
        </is>
      </c>
      <c r="G2196" s="2" t="n">
        <v>620000</v>
      </c>
      <c r="H2196" s="2" t="inlineStr">
        <is>
          <t>Materiales</t>
        </is>
      </c>
      <c r="I2196" s="9" t="n">
        <v>1624.94</v>
      </c>
      <c r="J2196" s="9" t="n">
        <v>1519.19</v>
      </c>
      <c r="K2196" s="9" t="n">
        <v>1627.24</v>
      </c>
      <c r="L2196" s="9" t="n">
        <v>1641.73</v>
      </c>
      <c r="M2196" s="9" t="n">
        <v>1657.79</v>
      </c>
      <c r="N2196" s="9" t="n">
        <v>1432.47</v>
      </c>
      <c r="O2196" s="9" t="n">
        <v>1472.41</v>
      </c>
      <c r="P2196" s="9" t="n">
        <v>1606.75</v>
      </c>
      <c r="Q2196" s="9" t="n">
        <v>1442.1</v>
      </c>
      <c r="R2196" s="9" t="n">
        <v>1607.8</v>
      </c>
      <c r="S2196" s="9" t="n">
        <v>1432.08</v>
      </c>
      <c r="T2196" s="9" t="n">
        <v>1614.35</v>
      </c>
      <c r="U2196" s="10">
        <f>SUM(I2196:T2196)</f>
        <v/>
      </c>
    </row>
    <row r="2197">
      <c r="A2197" s="2" t="inlineStr">
        <is>
          <t>SN-3000-3600-3630-3630IO0004</t>
        </is>
      </c>
      <c r="B2197" s="2" t="inlineStr">
        <is>
          <t>3630IO0004</t>
        </is>
      </c>
      <c r="C2197" s="2" t="inlineStr">
        <is>
          <t xml:space="preserve">Gabinete RIO  </t>
        </is>
      </c>
      <c r="D2197" s="2" t="n">
        <v>732</v>
      </c>
      <c r="E2197" s="2" t="inlineStr">
        <is>
          <t>CC-3000</t>
        </is>
      </c>
      <c r="F2197" s="2" t="inlineStr">
        <is>
          <t>P01</t>
        </is>
      </c>
      <c r="G2197" s="2" t="n">
        <v>630000</v>
      </c>
      <c r="H2197" s="2" t="inlineStr">
        <is>
          <t>Servicios externos</t>
        </is>
      </c>
      <c r="I2197" s="9" t="n">
        <v>1763.63</v>
      </c>
      <c r="J2197" s="9" t="n">
        <v>1552.3</v>
      </c>
      <c r="K2197" s="9" t="n">
        <v>1574.9</v>
      </c>
      <c r="L2197" s="9" t="n">
        <v>1669.25</v>
      </c>
      <c r="M2197" s="9" t="n">
        <v>1518.9</v>
      </c>
      <c r="N2197" s="9" t="n">
        <v>1528.51</v>
      </c>
      <c r="O2197" s="9" t="n">
        <v>1596.52</v>
      </c>
      <c r="P2197" s="9" t="n">
        <v>1587.18</v>
      </c>
      <c r="Q2197" s="9" t="n">
        <v>1560.21</v>
      </c>
      <c r="R2197" s="9" t="n">
        <v>1647.51</v>
      </c>
      <c r="S2197" s="9" t="n">
        <v>1649.37</v>
      </c>
      <c r="T2197" s="9" t="n">
        <v>1699.72</v>
      </c>
      <c r="U2197" s="10">
        <f>SUM(I2197:T2197)</f>
        <v/>
      </c>
    </row>
    <row r="2198">
      <c r="A2198" s="2" t="inlineStr">
        <is>
          <t>SN-3000-3600-3630-3630IO0005</t>
        </is>
      </c>
      <c r="B2198" s="2" t="inlineStr">
        <is>
          <t>3630IO0005</t>
        </is>
      </c>
      <c r="C2198" s="2" t="inlineStr">
        <is>
          <t xml:space="preserve">Gabinete RIO  </t>
        </is>
      </c>
      <c r="D2198" s="2" t="n">
        <v>733</v>
      </c>
      <c r="E2198" s="2" t="inlineStr">
        <is>
          <t>CC-3000</t>
        </is>
      </c>
      <c r="F2198" s="2" t="inlineStr">
        <is>
          <t>P01</t>
        </is>
      </c>
      <c r="G2198" s="2" t="n">
        <v>610000</v>
      </c>
      <c r="H2198" s="2" t="inlineStr">
        <is>
          <t>Mano obra interna</t>
        </is>
      </c>
      <c r="I2198" s="9" t="n">
        <v>2612.41</v>
      </c>
      <c r="J2198" s="9" t="n">
        <v>2562.36</v>
      </c>
      <c r="K2198" s="9" t="n">
        <v>2707.72</v>
      </c>
      <c r="L2198" s="9" t="n">
        <v>2781.45</v>
      </c>
      <c r="M2198" s="9" t="n">
        <v>2475.27</v>
      </c>
      <c r="N2198" s="9" t="n">
        <v>2749.35</v>
      </c>
      <c r="O2198" s="9" t="n">
        <v>2524.85</v>
      </c>
      <c r="P2198" s="9" t="n">
        <v>2599.7</v>
      </c>
      <c r="Q2198" s="9" t="n">
        <v>2353.53</v>
      </c>
      <c r="R2198" s="9" t="n">
        <v>2795.16</v>
      </c>
      <c r="S2198" s="9" t="n">
        <v>2751.81</v>
      </c>
      <c r="T2198" s="9" t="n">
        <v>2787.36</v>
      </c>
      <c r="U2198" s="10">
        <f>SUM(I2198:T2198)</f>
        <v/>
      </c>
    </row>
    <row r="2199">
      <c r="A2199" s="2" t="inlineStr">
        <is>
          <t>SN-3000-3600-3630-3630IO0005</t>
        </is>
      </c>
      <c r="B2199" s="2" t="inlineStr">
        <is>
          <t>3630IO0005</t>
        </is>
      </c>
      <c r="C2199" s="2" t="inlineStr">
        <is>
          <t xml:space="preserve">Gabinete RIO  </t>
        </is>
      </c>
      <c r="D2199" s="2" t="n">
        <v>733</v>
      </c>
      <c r="E2199" s="2" t="inlineStr">
        <is>
          <t>CC-3000</t>
        </is>
      </c>
      <c r="F2199" s="2" t="inlineStr">
        <is>
          <t>P01</t>
        </is>
      </c>
      <c r="G2199" s="2" t="n">
        <v>620000</v>
      </c>
      <c r="H2199" s="2" t="inlineStr">
        <is>
          <t>Materiales</t>
        </is>
      </c>
      <c r="I2199" s="9" t="n">
        <v>2611.51</v>
      </c>
      <c r="J2199" s="9" t="n">
        <v>2492.42</v>
      </c>
      <c r="K2199" s="9" t="n">
        <v>2592.06</v>
      </c>
      <c r="L2199" s="9" t="n">
        <v>2605.06</v>
      </c>
      <c r="M2199" s="9" t="n">
        <v>2435.34</v>
      </c>
      <c r="N2199" s="9" t="n">
        <v>2309.02</v>
      </c>
      <c r="O2199" s="9" t="n">
        <v>2366.93</v>
      </c>
      <c r="P2199" s="9" t="n">
        <v>2306.12</v>
      </c>
      <c r="Q2199" s="9" t="n">
        <v>2268.31</v>
      </c>
      <c r="R2199" s="9" t="n">
        <v>2766.2</v>
      </c>
      <c r="S2199" s="9" t="n">
        <v>2372.6</v>
      </c>
      <c r="T2199" s="9" t="n">
        <v>2614.93</v>
      </c>
      <c r="U2199" s="10">
        <f>SUM(I2199:T2199)</f>
        <v/>
      </c>
    </row>
    <row r="2200">
      <c r="A2200" s="2" t="inlineStr">
        <is>
          <t>SN-3000-3600-3630-3630IO0005</t>
        </is>
      </c>
      <c r="B2200" s="2" t="inlineStr">
        <is>
          <t>3630IO0005</t>
        </is>
      </c>
      <c r="C2200" s="2" t="inlineStr">
        <is>
          <t xml:space="preserve">Gabinete RIO  </t>
        </is>
      </c>
      <c r="D2200" s="2" t="n">
        <v>733</v>
      </c>
      <c r="E2200" s="2" t="inlineStr">
        <is>
          <t>CC-3000</t>
        </is>
      </c>
      <c r="F2200" s="2" t="inlineStr">
        <is>
          <t>P01</t>
        </is>
      </c>
      <c r="G2200" s="2" t="n">
        <v>630000</v>
      </c>
      <c r="H2200" s="2" t="inlineStr">
        <is>
          <t>Servicios externos</t>
        </is>
      </c>
      <c r="I2200" s="9" t="n">
        <v>2715.91</v>
      </c>
      <c r="J2200" s="9" t="n">
        <v>2601.27</v>
      </c>
      <c r="K2200" s="9" t="n">
        <v>2734.11</v>
      </c>
      <c r="L2200" s="9" t="n">
        <v>2697.97</v>
      </c>
      <c r="M2200" s="9" t="n">
        <v>2439.51</v>
      </c>
      <c r="N2200" s="9" t="n">
        <v>2325.9</v>
      </c>
      <c r="O2200" s="9" t="n">
        <v>2778.73</v>
      </c>
      <c r="P2200" s="9" t="n">
        <v>2390.42</v>
      </c>
      <c r="Q2200" s="9" t="n">
        <v>2389.17</v>
      </c>
      <c r="R2200" s="9" t="n">
        <v>2748.88</v>
      </c>
      <c r="S2200" s="9" t="n">
        <v>2441.57</v>
      </c>
      <c r="T2200" s="9" t="n">
        <v>2736.33</v>
      </c>
      <c r="U2200" s="10">
        <f>SUM(I2200:T2200)</f>
        <v/>
      </c>
    </row>
    <row r="2201">
      <c r="A2201" s="2" t="inlineStr">
        <is>
          <t>SN-3000-3600-3630-3630IO0006</t>
        </is>
      </c>
      <c r="B2201" s="2" t="inlineStr">
        <is>
          <t>3630IO0006</t>
        </is>
      </c>
      <c r="C2201" s="2" t="inlineStr">
        <is>
          <t xml:space="preserve">Gabinete RIO  </t>
        </is>
      </c>
      <c r="D2201" s="2" t="n">
        <v>734</v>
      </c>
      <c r="E2201" s="2" t="inlineStr">
        <is>
          <t>CC-3000</t>
        </is>
      </c>
      <c r="F2201" s="2" t="inlineStr">
        <is>
          <t>P01</t>
        </is>
      </c>
      <c r="G2201" s="2" t="n">
        <v>610000</v>
      </c>
      <c r="H2201" s="2" t="inlineStr">
        <is>
          <t>Mano obra interna</t>
        </is>
      </c>
      <c r="I2201" s="9" t="n">
        <v>3046.18</v>
      </c>
      <c r="J2201" s="9" t="n">
        <v>2713.71</v>
      </c>
      <c r="K2201" s="9" t="n">
        <v>2920.65</v>
      </c>
      <c r="L2201" s="9" t="n">
        <v>3043.84</v>
      </c>
      <c r="M2201" s="9" t="n">
        <v>2992.44</v>
      </c>
      <c r="N2201" s="9" t="n">
        <v>2880.35</v>
      </c>
      <c r="O2201" s="9" t="n">
        <v>2901.28</v>
      </c>
      <c r="P2201" s="9" t="n">
        <v>2640.35</v>
      </c>
      <c r="Q2201" s="9" t="n">
        <v>2409.58</v>
      </c>
      <c r="R2201" s="9" t="n">
        <v>3179.31</v>
      </c>
      <c r="S2201" s="9" t="n">
        <v>2860.78</v>
      </c>
      <c r="T2201" s="9" t="n">
        <v>2956</v>
      </c>
      <c r="U2201" s="10">
        <f>SUM(I2201:T2201)</f>
        <v/>
      </c>
    </row>
    <row r="2202">
      <c r="A2202" s="2" t="inlineStr">
        <is>
          <t>SN-3000-3600-3630-3630IO0006</t>
        </is>
      </c>
      <c r="B2202" s="2" t="inlineStr">
        <is>
          <t>3630IO0006</t>
        </is>
      </c>
      <c r="C2202" s="2" t="inlineStr">
        <is>
          <t xml:space="preserve">Gabinete RIO  </t>
        </is>
      </c>
      <c r="D2202" s="2" t="n">
        <v>734</v>
      </c>
      <c r="E2202" s="2" t="inlineStr">
        <is>
          <t>CC-3000</t>
        </is>
      </c>
      <c r="F2202" s="2" t="inlineStr">
        <is>
          <t>P01</t>
        </is>
      </c>
      <c r="G2202" s="2" t="n">
        <v>620000</v>
      </c>
      <c r="H2202" s="2" t="inlineStr">
        <is>
          <t>Materiales</t>
        </is>
      </c>
      <c r="I2202" s="9" t="n">
        <v>2533.67</v>
      </c>
      <c r="J2202" s="9" t="n">
        <v>2320.58</v>
      </c>
      <c r="K2202" s="9" t="n">
        <v>2484.67</v>
      </c>
      <c r="L2202" s="9" t="n">
        <v>2434.47</v>
      </c>
      <c r="M2202" s="9" t="n">
        <v>2561.52</v>
      </c>
      <c r="N2202" s="9" t="n">
        <v>2222.25</v>
      </c>
      <c r="O2202" s="9" t="n">
        <v>2458.88</v>
      </c>
      <c r="P2202" s="9" t="n">
        <v>2371.86</v>
      </c>
      <c r="Q2202" s="9" t="n">
        <v>2318.78</v>
      </c>
      <c r="R2202" s="9" t="n">
        <v>2645.06</v>
      </c>
      <c r="S2202" s="9" t="n">
        <v>2509.52</v>
      </c>
      <c r="T2202" s="9" t="n">
        <v>2306.63</v>
      </c>
      <c r="U2202" s="10">
        <f>SUM(I2202:T2202)</f>
        <v/>
      </c>
    </row>
    <row r="2203">
      <c r="A2203" s="2" t="inlineStr">
        <is>
          <t>SN-3000-3600-3630-3630IO0006</t>
        </is>
      </c>
      <c r="B2203" s="2" t="inlineStr">
        <is>
          <t>3630IO0006</t>
        </is>
      </c>
      <c r="C2203" s="2" t="inlineStr">
        <is>
          <t xml:space="preserve">Gabinete RIO  </t>
        </is>
      </c>
      <c r="D2203" s="2" t="n">
        <v>734</v>
      </c>
      <c r="E2203" s="2" t="inlineStr">
        <is>
          <t>CC-3000</t>
        </is>
      </c>
      <c r="F2203" s="2" t="inlineStr">
        <is>
          <t>P01</t>
        </is>
      </c>
      <c r="G2203" s="2" t="n">
        <v>630000</v>
      </c>
      <c r="H2203" s="2" t="inlineStr">
        <is>
          <t>Servicios externos</t>
        </is>
      </c>
      <c r="I2203" s="9" t="n">
        <v>2570.48</v>
      </c>
      <c r="J2203" s="9" t="n">
        <v>2328.56</v>
      </c>
      <c r="K2203" s="9" t="n">
        <v>2358.25</v>
      </c>
      <c r="L2203" s="9" t="n">
        <v>2469.62</v>
      </c>
      <c r="M2203" s="9" t="n">
        <v>2448.27</v>
      </c>
      <c r="N2203" s="9" t="n">
        <v>2140.81</v>
      </c>
      <c r="O2203" s="9" t="n">
        <v>2335.61</v>
      </c>
      <c r="P2203" s="9" t="n">
        <v>2532.74</v>
      </c>
      <c r="Q2203" s="9" t="n">
        <v>2255.41</v>
      </c>
      <c r="R2203" s="9" t="n">
        <v>2410.86</v>
      </c>
      <c r="S2203" s="9" t="n">
        <v>2256.37</v>
      </c>
      <c r="T2203" s="9" t="n">
        <v>2505.49</v>
      </c>
      <c r="U2203" s="10">
        <f>SUM(I2203:T2203)</f>
        <v/>
      </c>
    </row>
    <row r="2204">
      <c r="A2204" s="2" t="inlineStr">
        <is>
          <t>SN-3000-3600-3630-3630PL0004</t>
        </is>
      </c>
      <c r="B2204" s="2" t="inlineStr">
        <is>
          <t>3630PL0004</t>
        </is>
      </c>
      <c r="C2204" s="2" t="inlineStr">
        <is>
          <t>Línea relaves 3630-5219-ATNA-12"-TSL-N</t>
        </is>
      </c>
      <c r="D2204" s="2" t="n">
        <v>735</v>
      </c>
      <c r="E2204" s="2" t="inlineStr">
        <is>
          <t>CC-3000</t>
        </is>
      </c>
      <c r="F2204" s="2" t="inlineStr">
        <is>
          <t>P01</t>
        </is>
      </c>
      <c r="G2204" s="2" t="n">
        <v>610000</v>
      </c>
      <c r="H2204" s="2" t="inlineStr">
        <is>
          <t>Mano obra interna</t>
        </is>
      </c>
      <c r="I2204" s="9" t="n">
        <v>1839.37</v>
      </c>
      <c r="J2204" s="9" t="n">
        <v>1733.84</v>
      </c>
      <c r="K2204" s="9" t="n">
        <v>1758.21</v>
      </c>
      <c r="L2204" s="9" t="n">
        <v>1866.23</v>
      </c>
      <c r="M2204" s="9" t="n">
        <v>1665.08</v>
      </c>
      <c r="N2204" s="9" t="n">
        <v>1567.52</v>
      </c>
      <c r="O2204" s="9" t="n">
        <v>1757.13</v>
      </c>
      <c r="P2204" s="9" t="n">
        <v>1730.91</v>
      </c>
      <c r="Q2204" s="9" t="n">
        <v>1551.76</v>
      </c>
      <c r="R2204" s="9" t="n">
        <v>1800.21</v>
      </c>
      <c r="S2204" s="9" t="n">
        <v>1630.45</v>
      </c>
      <c r="T2204" s="9" t="n">
        <v>1679.48</v>
      </c>
      <c r="U2204" s="10">
        <f>SUM(I2204:T2204)</f>
        <v/>
      </c>
    </row>
    <row r="2205">
      <c r="A2205" s="2" t="inlineStr">
        <is>
          <t>SN-3000-3600-3630-3630PL0004</t>
        </is>
      </c>
      <c r="B2205" s="2" t="inlineStr">
        <is>
          <t>3630PL0004</t>
        </is>
      </c>
      <c r="C2205" s="2" t="inlineStr">
        <is>
          <t>Línea relaves 3630-5219-ATNA-12"-TSL-N</t>
        </is>
      </c>
      <c r="D2205" s="2" t="n">
        <v>735</v>
      </c>
      <c r="E2205" s="2" t="inlineStr">
        <is>
          <t>CC-3000</t>
        </is>
      </c>
      <c r="F2205" s="2" t="inlineStr">
        <is>
          <t>P01</t>
        </is>
      </c>
      <c r="G2205" s="2" t="n">
        <v>620000</v>
      </c>
      <c r="H2205" s="2" t="inlineStr">
        <is>
          <t>Materiales</t>
        </is>
      </c>
      <c r="I2205" s="9" t="n">
        <v>2047.17</v>
      </c>
      <c r="J2205" s="9" t="n">
        <v>1910.03</v>
      </c>
      <c r="K2205" s="9" t="n">
        <v>1986.89</v>
      </c>
      <c r="L2205" s="9" t="n">
        <v>1957.9</v>
      </c>
      <c r="M2205" s="9" t="n">
        <v>1870.56</v>
      </c>
      <c r="N2205" s="9" t="n">
        <v>1747.84</v>
      </c>
      <c r="O2205" s="9" t="n">
        <v>1886.19</v>
      </c>
      <c r="P2205" s="9" t="n">
        <v>1900.52</v>
      </c>
      <c r="Q2205" s="9" t="n">
        <v>1836.51</v>
      </c>
      <c r="R2205" s="9" t="n">
        <v>2204</v>
      </c>
      <c r="S2205" s="9" t="n">
        <v>1863.79</v>
      </c>
      <c r="T2205" s="9" t="n">
        <v>2128.42</v>
      </c>
      <c r="U2205" s="10">
        <f>SUM(I2205:T2205)</f>
        <v/>
      </c>
    </row>
    <row r="2206">
      <c r="A2206" s="2" t="inlineStr">
        <is>
          <t>SN-3000-3600-3630-3630PL0004</t>
        </is>
      </c>
      <c r="B2206" s="2" t="inlineStr">
        <is>
          <t>3630PL0004</t>
        </is>
      </c>
      <c r="C2206" s="2" t="inlineStr">
        <is>
          <t>Línea relaves 3630-5219-ATNA-12"-TSL-N</t>
        </is>
      </c>
      <c r="D2206" s="2" t="n">
        <v>735</v>
      </c>
      <c r="E2206" s="2" t="inlineStr">
        <is>
          <t>CC-3000</t>
        </is>
      </c>
      <c r="F2206" s="2" t="inlineStr">
        <is>
          <t>P01</t>
        </is>
      </c>
      <c r="G2206" s="2" t="n">
        <v>630000</v>
      </c>
      <c r="H2206" s="2" t="inlineStr">
        <is>
          <t>Servicios externos</t>
        </is>
      </c>
      <c r="I2206" s="9" t="n">
        <v>2179.43</v>
      </c>
      <c r="J2206" s="9" t="n">
        <v>2068.7</v>
      </c>
      <c r="K2206" s="9" t="n">
        <v>2082.11</v>
      </c>
      <c r="L2206" s="9" t="n">
        <v>2056.83</v>
      </c>
      <c r="M2206" s="9" t="n">
        <v>1844.53</v>
      </c>
      <c r="N2206" s="9" t="n">
        <v>1961.61</v>
      </c>
      <c r="O2206" s="9" t="n">
        <v>2013.92</v>
      </c>
      <c r="P2206" s="9" t="n">
        <v>1981.96</v>
      </c>
      <c r="Q2206" s="9" t="n">
        <v>1901.33</v>
      </c>
      <c r="R2206" s="9" t="n">
        <v>2117.5</v>
      </c>
      <c r="S2206" s="9" t="n">
        <v>1925.29</v>
      </c>
      <c r="T2206" s="9" t="n">
        <v>1977.96</v>
      </c>
      <c r="U2206" s="10">
        <f>SUM(I2206:T2206)</f>
        <v/>
      </c>
    </row>
    <row r="2207">
      <c r="A2207" s="2" t="inlineStr">
        <is>
          <t>SN-3000-3600-3630-3630PL0005</t>
        </is>
      </c>
      <c r="B2207" s="2" t="inlineStr">
        <is>
          <t>3630PL0005</t>
        </is>
      </c>
      <c r="C2207" s="2" t="inlineStr">
        <is>
          <t>Línea relaves 3630-5239-ATNA-12"-TSL-N</t>
        </is>
      </c>
      <c r="D2207" s="2" t="n">
        <v>736</v>
      </c>
      <c r="E2207" s="2" t="inlineStr">
        <is>
          <t>CC-3000</t>
        </is>
      </c>
      <c r="F2207" s="2" t="inlineStr">
        <is>
          <t>P01</t>
        </is>
      </c>
      <c r="G2207" s="2" t="n">
        <v>610000</v>
      </c>
      <c r="H2207" s="2" t="inlineStr">
        <is>
          <t>Mano obra interna</t>
        </is>
      </c>
      <c r="I2207" s="9" t="n">
        <v>1274.32</v>
      </c>
      <c r="J2207" s="9" t="n">
        <v>1222.76</v>
      </c>
      <c r="K2207" s="9" t="n">
        <v>1270.2</v>
      </c>
      <c r="L2207" s="9" t="n">
        <v>1109.7</v>
      </c>
      <c r="M2207" s="9" t="n">
        <v>1241.96</v>
      </c>
      <c r="N2207" s="9" t="n">
        <v>1085.09</v>
      </c>
      <c r="O2207" s="9" t="n">
        <v>1251.01</v>
      </c>
      <c r="P2207" s="9" t="n">
        <v>1119.44</v>
      </c>
      <c r="Q2207" s="9" t="n">
        <v>1085.39</v>
      </c>
      <c r="R2207" s="9" t="n">
        <v>1320.36</v>
      </c>
      <c r="S2207" s="9" t="n">
        <v>1165.34</v>
      </c>
      <c r="T2207" s="9" t="n">
        <v>1178.76</v>
      </c>
      <c r="U2207" s="10">
        <f>SUM(I2207:T2207)</f>
        <v/>
      </c>
    </row>
    <row r="2208">
      <c r="A2208" s="2" t="inlineStr">
        <is>
          <t>SN-3000-3600-3630-3630PL0005</t>
        </is>
      </c>
      <c r="B2208" s="2" t="inlineStr">
        <is>
          <t>3630PL0005</t>
        </is>
      </c>
      <c r="C2208" s="2" t="inlineStr">
        <is>
          <t>Línea relaves 3630-5239-ATNA-12"-TSL-N</t>
        </is>
      </c>
      <c r="D2208" s="2" t="n">
        <v>736</v>
      </c>
      <c r="E2208" s="2" t="inlineStr">
        <is>
          <t>CC-3000</t>
        </is>
      </c>
      <c r="F2208" s="2" t="inlineStr">
        <is>
          <t>P01</t>
        </is>
      </c>
      <c r="G2208" s="2" t="n">
        <v>620000</v>
      </c>
      <c r="H2208" s="2" t="inlineStr">
        <is>
          <t>Materiales</t>
        </is>
      </c>
      <c r="I2208" s="9" t="n">
        <v>1182.58</v>
      </c>
      <c r="J2208" s="9" t="n">
        <v>1091.4</v>
      </c>
      <c r="K2208" s="9" t="n">
        <v>1213.56</v>
      </c>
      <c r="L2208" s="9" t="n">
        <v>1119.17</v>
      </c>
      <c r="M2208" s="9" t="n">
        <v>1172.84</v>
      </c>
      <c r="N2208" s="9" t="n">
        <v>1011.56</v>
      </c>
      <c r="O2208" s="9" t="n">
        <v>1158.92</v>
      </c>
      <c r="P2208" s="9" t="n">
        <v>1130.39</v>
      </c>
      <c r="Q2208" s="9" t="n">
        <v>1036.27</v>
      </c>
      <c r="R2208" s="9" t="n">
        <v>1242.69</v>
      </c>
      <c r="S2208" s="9" t="n">
        <v>1138.59</v>
      </c>
      <c r="T2208" s="9" t="n">
        <v>1253.34</v>
      </c>
      <c r="U2208" s="10">
        <f>SUM(I2208:T2208)</f>
        <v/>
      </c>
    </row>
    <row r="2209">
      <c r="A2209" s="2" t="inlineStr">
        <is>
          <t>SN-3000-3600-3630-3630PL0005</t>
        </is>
      </c>
      <c r="B2209" s="2" t="inlineStr">
        <is>
          <t>3630PL0005</t>
        </is>
      </c>
      <c r="C2209" s="2" t="inlineStr">
        <is>
          <t>Línea relaves 3630-5239-ATNA-12"-TSL-N</t>
        </is>
      </c>
      <c r="D2209" s="2" t="n">
        <v>736</v>
      </c>
      <c r="E2209" s="2" t="inlineStr">
        <is>
          <t>CC-3000</t>
        </is>
      </c>
      <c r="F2209" s="2" t="inlineStr">
        <is>
          <t>P01</t>
        </is>
      </c>
      <c r="G2209" s="2" t="n">
        <v>630000</v>
      </c>
      <c r="H2209" s="2" t="inlineStr">
        <is>
          <t>Servicios externos</t>
        </is>
      </c>
      <c r="I2209" s="9" t="n">
        <v>1283.07</v>
      </c>
      <c r="J2209" s="9" t="n">
        <v>1192.25</v>
      </c>
      <c r="K2209" s="9" t="n">
        <v>1231.48</v>
      </c>
      <c r="L2209" s="9" t="n">
        <v>1148.59</v>
      </c>
      <c r="M2209" s="9" t="n">
        <v>1175</v>
      </c>
      <c r="N2209" s="9" t="n">
        <v>1226.04</v>
      </c>
      <c r="O2209" s="9" t="n">
        <v>1192.67</v>
      </c>
      <c r="P2209" s="9" t="n">
        <v>1206.3</v>
      </c>
      <c r="Q2209" s="9" t="n">
        <v>1089.43</v>
      </c>
      <c r="R2209" s="9" t="n">
        <v>1262.59</v>
      </c>
      <c r="S2209" s="9" t="n">
        <v>1093.45</v>
      </c>
      <c r="T2209" s="9" t="n">
        <v>1255.15</v>
      </c>
      <c r="U2209" s="10">
        <f>SUM(I2209:T2209)</f>
        <v/>
      </c>
    </row>
    <row r="2210">
      <c r="A2210" s="2" t="inlineStr">
        <is>
          <t>SN-3000-3600-3630-3630PL0006</t>
        </is>
      </c>
      <c r="B2210" s="2" t="inlineStr">
        <is>
          <t>3630PL0006</t>
        </is>
      </c>
      <c r="C2210" s="2" t="inlineStr">
        <is>
          <t>Línea relaves 3630-5220-ATNA-12"-TSL-N</t>
        </is>
      </c>
      <c r="D2210" s="2" t="n">
        <v>737</v>
      </c>
      <c r="E2210" s="2" t="inlineStr">
        <is>
          <t>CC-3000</t>
        </is>
      </c>
      <c r="F2210" s="2" t="inlineStr">
        <is>
          <t>P01</t>
        </is>
      </c>
      <c r="G2210" s="2" t="n">
        <v>610000</v>
      </c>
      <c r="H2210" s="2" t="inlineStr">
        <is>
          <t>Mano obra interna</t>
        </is>
      </c>
      <c r="I2210" s="9" t="n">
        <v>258.41</v>
      </c>
      <c r="J2210" s="9" t="n">
        <v>246.99</v>
      </c>
      <c r="K2210" s="9" t="n">
        <v>269.07</v>
      </c>
      <c r="L2210" s="9" t="n">
        <v>264.62</v>
      </c>
      <c r="M2210" s="9" t="n">
        <v>257.04</v>
      </c>
      <c r="N2210" s="9" t="n">
        <v>237.95</v>
      </c>
      <c r="O2210" s="9" t="n">
        <v>243.21</v>
      </c>
      <c r="P2210" s="9" t="n">
        <v>265.98</v>
      </c>
      <c r="Q2210" s="9" t="n">
        <v>215.19</v>
      </c>
      <c r="R2210" s="9" t="n">
        <v>253.52</v>
      </c>
      <c r="S2210" s="9" t="n">
        <v>237.87</v>
      </c>
      <c r="T2210" s="9" t="n">
        <v>257.22</v>
      </c>
      <c r="U2210" s="10">
        <f>SUM(I2210:T2210)</f>
        <v/>
      </c>
    </row>
    <row r="2211">
      <c r="A2211" s="2" t="inlineStr">
        <is>
          <t>SN-3000-3600-3630-3630PL0006</t>
        </is>
      </c>
      <c r="B2211" s="2" t="inlineStr">
        <is>
          <t>3630PL0006</t>
        </is>
      </c>
      <c r="C2211" s="2" t="inlineStr">
        <is>
          <t>Línea relaves 3630-5220-ATNA-12"-TSL-N</t>
        </is>
      </c>
      <c r="D2211" s="2" t="n">
        <v>737</v>
      </c>
      <c r="E2211" s="2" t="inlineStr">
        <is>
          <t>CC-3000</t>
        </is>
      </c>
      <c r="F2211" s="2" t="inlineStr">
        <is>
          <t>P01</t>
        </is>
      </c>
      <c r="G2211" s="2" t="n">
        <v>620000</v>
      </c>
      <c r="H2211" s="2" t="inlineStr">
        <is>
          <t>Materiales</t>
        </is>
      </c>
      <c r="I2211" s="9" t="n">
        <v>223.72</v>
      </c>
      <c r="J2211" s="9" t="n">
        <v>210.48</v>
      </c>
      <c r="K2211" s="9" t="n">
        <v>217.89</v>
      </c>
      <c r="L2211" s="9" t="n">
        <v>213.74</v>
      </c>
      <c r="M2211" s="9" t="n">
        <v>210.19</v>
      </c>
      <c r="N2211" s="9" t="n">
        <v>191.47</v>
      </c>
      <c r="O2211" s="9" t="n">
        <v>198.56</v>
      </c>
      <c r="P2211" s="9" t="n">
        <v>204.45</v>
      </c>
      <c r="Q2211" s="9" t="n">
        <v>203.7</v>
      </c>
      <c r="R2211" s="9" t="n">
        <v>231.55</v>
      </c>
      <c r="S2211" s="9" t="n">
        <v>204.31</v>
      </c>
      <c r="T2211" s="9" t="n">
        <v>217.33</v>
      </c>
      <c r="U2211" s="10">
        <f>SUM(I2211:T2211)</f>
        <v/>
      </c>
    </row>
    <row r="2212">
      <c r="A2212" s="2" t="inlineStr">
        <is>
          <t>SN-3000-3600-3630-3630PL0006</t>
        </is>
      </c>
      <c r="B2212" s="2" t="inlineStr">
        <is>
          <t>3630PL0006</t>
        </is>
      </c>
      <c r="C2212" s="2" t="inlineStr">
        <is>
          <t>Línea relaves 3630-5220-ATNA-12"-TSL-N</t>
        </is>
      </c>
      <c r="D2212" s="2" t="n">
        <v>737</v>
      </c>
      <c r="E2212" s="2" t="inlineStr">
        <is>
          <t>CC-3000</t>
        </is>
      </c>
      <c r="F2212" s="2" t="inlineStr">
        <is>
          <t>P01</t>
        </is>
      </c>
      <c r="G2212" s="2" t="n">
        <v>630000</v>
      </c>
      <c r="H2212" s="2" t="inlineStr">
        <is>
          <t>Servicios externos</t>
        </is>
      </c>
      <c r="I2212" s="9" t="n">
        <v>249.27</v>
      </c>
      <c r="J2212" s="9" t="n">
        <v>232.16</v>
      </c>
      <c r="K2212" s="9" t="n">
        <v>276.43</v>
      </c>
      <c r="L2212" s="9" t="n">
        <v>261.63</v>
      </c>
      <c r="M2212" s="9" t="n">
        <v>257.24</v>
      </c>
      <c r="N2212" s="9" t="n">
        <v>239.5</v>
      </c>
      <c r="O2212" s="9" t="n">
        <v>262.42</v>
      </c>
      <c r="P2212" s="9" t="n">
        <v>255.18</v>
      </c>
      <c r="Q2212" s="9" t="n">
        <v>217.8</v>
      </c>
      <c r="R2212" s="9" t="n">
        <v>288.68</v>
      </c>
      <c r="S2212" s="9" t="n">
        <v>236.32</v>
      </c>
      <c r="T2212" s="9" t="n">
        <v>240.89</v>
      </c>
      <c r="U2212" s="10">
        <f>SUM(I2212:T2212)</f>
        <v/>
      </c>
    </row>
    <row r="2213">
      <c r="A2213" s="2" t="inlineStr">
        <is>
          <t>SN-3000-3600-3630-3630PL0007</t>
        </is>
      </c>
      <c r="B2213" s="2" t="inlineStr">
        <is>
          <t>3630PL0007</t>
        </is>
      </c>
      <c r="C2213" s="2" t="inlineStr">
        <is>
          <t>Línea relaves 3630-5242-ATNA-12"-TSL-N</t>
        </is>
      </c>
      <c r="D2213" s="2" t="n">
        <v>738</v>
      </c>
      <c r="E2213" s="2" t="inlineStr">
        <is>
          <t>CC-3000</t>
        </is>
      </c>
      <c r="F2213" s="2" t="inlineStr">
        <is>
          <t>P01</t>
        </is>
      </c>
      <c r="G2213" s="2" t="n">
        <v>610000</v>
      </c>
      <c r="H2213" s="2" t="inlineStr">
        <is>
          <t>Mano obra interna</t>
        </is>
      </c>
      <c r="I2213" s="9" t="n">
        <v>322.54</v>
      </c>
      <c r="J2213" s="9" t="n">
        <v>310.38</v>
      </c>
      <c r="K2213" s="9" t="n">
        <v>324.93</v>
      </c>
      <c r="L2213" s="9" t="n">
        <v>332.67</v>
      </c>
      <c r="M2213" s="9" t="n">
        <v>294.73</v>
      </c>
      <c r="N2213" s="9" t="n">
        <v>294.63</v>
      </c>
      <c r="O2213" s="9" t="n">
        <v>311.16</v>
      </c>
      <c r="P2213" s="9" t="n">
        <v>328.36</v>
      </c>
      <c r="Q2213" s="9" t="n">
        <v>275.56</v>
      </c>
      <c r="R2213" s="9" t="n">
        <v>353.15</v>
      </c>
      <c r="S2213" s="9" t="n">
        <v>278.84</v>
      </c>
      <c r="T2213" s="9" t="n">
        <v>322.8</v>
      </c>
      <c r="U2213" s="10">
        <f>SUM(I2213:T2213)</f>
        <v/>
      </c>
    </row>
    <row r="2214">
      <c r="A2214" s="2" t="inlineStr">
        <is>
          <t>SN-3000-3600-3630-3630PL0007</t>
        </is>
      </c>
      <c r="B2214" s="2" t="inlineStr">
        <is>
          <t>3630PL0007</t>
        </is>
      </c>
      <c r="C2214" s="2" t="inlineStr">
        <is>
          <t>Línea relaves 3630-5242-ATNA-12"-TSL-N</t>
        </is>
      </c>
      <c r="D2214" s="2" t="n">
        <v>738</v>
      </c>
      <c r="E2214" s="2" t="inlineStr">
        <is>
          <t>CC-3000</t>
        </is>
      </c>
      <c r="F2214" s="2" t="inlineStr">
        <is>
          <t>P01</t>
        </is>
      </c>
      <c r="G2214" s="2" t="n">
        <v>620000</v>
      </c>
      <c r="H2214" s="2" t="inlineStr">
        <is>
          <t>Materiales</t>
        </is>
      </c>
      <c r="I2214" s="9" t="n">
        <v>393.22</v>
      </c>
      <c r="J2214" s="9" t="n">
        <v>333.82</v>
      </c>
      <c r="K2214" s="9" t="n">
        <v>352.67</v>
      </c>
      <c r="L2214" s="9" t="n">
        <v>348.89</v>
      </c>
      <c r="M2214" s="9" t="n">
        <v>368.21</v>
      </c>
      <c r="N2214" s="9" t="n">
        <v>356.27</v>
      </c>
      <c r="O2214" s="9" t="n">
        <v>390.6</v>
      </c>
      <c r="P2214" s="9" t="n">
        <v>364.43</v>
      </c>
      <c r="Q2214" s="9" t="n">
        <v>317.68</v>
      </c>
      <c r="R2214" s="9" t="n">
        <v>376.98</v>
      </c>
      <c r="S2214" s="9" t="n">
        <v>326.96</v>
      </c>
      <c r="T2214" s="9" t="n">
        <v>388.52</v>
      </c>
      <c r="U2214" s="10">
        <f>SUM(I2214:T2214)</f>
        <v/>
      </c>
    </row>
    <row r="2215">
      <c r="A2215" s="2" t="inlineStr">
        <is>
          <t>SN-3000-3600-3630-3630PL0007</t>
        </is>
      </c>
      <c r="B2215" s="2" t="inlineStr">
        <is>
          <t>3630PL0007</t>
        </is>
      </c>
      <c r="C2215" s="2" t="inlineStr">
        <is>
          <t>Línea relaves 3630-5242-ATNA-12"-TSL-N</t>
        </is>
      </c>
      <c r="D2215" s="2" t="n">
        <v>738</v>
      </c>
      <c r="E2215" s="2" t="inlineStr">
        <is>
          <t>CC-3000</t>
        </is>
      </c>
      <c r="F2215" s="2" t="inlineStr">
        <is>
          <t>P01</t>
        </is>
      </c>
      <c r="G2215" s="2" t="n">
        <v>630000</v>
      </c>
      <c r="H2215" s="2" t="inlineStr">
        <is>
          <t>Servicios externos</t>
        </is>
      </c>
      <c r="I2215" s="9" t="n">
        <v>418.45</v>
      </c>
      <c r="J2215" s="9" t="n">
        <v>368.66</v>
      </c>
      <c r="K2215" s="9" t="n">
        <v>361.55</v>
      </c>
      <c r="L2215" s="9" t="n">
        <v>371.56</v>
      </c>
      <c r="M2215" s="9" t="n">
        <v>381.01</v>
      </c>
      <c r="N2215" s="9" t="n">
        <v>389.81</v>
      </c>
      <c r="O2215" s="9" t="n">
        <v>355.74</v>
      </c>
      <c r="P2215" s="9" t="n">
        <v>356.41</v>
      </c>
      <c r="Q2215" s="9" t="n">
        <v>364.83</v>
      </c>
      <c r="R2215" s="9" t="n">
        <v>420.39</v>
      </c>
      <c r="S2215" s="9" t="n">
        <v>352.86</v>
      </c>
      <c r="T2215" s="9" t="n">
        <v>404.6</v>
      </c>
      <c r="U2215" s="10">
        <f>SUM(I2215:T2215)</f>
        <v/>
      </c>
    </row>
    <row r="2216">
      <c r="A2216" s="2" t="inlineStr">
        <is>
          <t>SN-3000-3600-3630-3630PL0008</t>
        </is>
      </c>
      <c r="B2216" s="2" t="inlineStr">
        <is>
          <t>3630PL0008</t>
        </is>
      </c>
      <c r="C2216" s="2" t="inlineStr">
        <is>
          <t>Línea relaves 3630-5221-ATNA-12"-TSL-N</t>
        </is>
      </c>
      <c r="D2216" s="2" t="n">
        <v>739</v>
      </c>
      <c r="E2216" s="2" t="inlineStr">
        <is>
          <t>CC-3000</t>
        </is>
      </c>
      <c r="F2216" s="2" t="inlineStr">
        <is>
          <t>P01</t>
        </is>
      </c>
      <c r="G2216" s="2" t="n">
        <v>610000</v>
      </c>
      <c r="H2216" s="2" t="inlineStr">
        <is>
          <t>Mano obra interna</t>
        </is>
      </c>
      <c r="I2216" s="9" t="n">
        <v>2560.04</v>
      </c>
      <c r="J2216" s="9" t="n">
        <v>2201.67</v>
      </c>
      <c r="K2216" s="9" t="n">
        <v>2259.88</v>
      </c>
      <c r="L2216" s="9" t="n">
        <v>2337.98</v>
      </c>
      <c r="M2216" s="9" t="n">
        <v>2207.5</v>
      </c>
      <c r="N2216" s="9" t="n">
        <v>2254.36</v>
      </c>
      <c r="O2216" s="9" t="n">
        <v>2419.12</v>
      </c>
      <c r="P2216" s="9" t="n">
        <v>2342.67</v>
      </c>
      <c r="Q2216" s="9" t="n">
        <v>2241.7</v>
      </c>
      <c r="R2216" s="9" t="n">
        <v>2477.24</v>
      </c>
      <c r="S2216" s="9" t="n">
        <v>2101.18</v>
      </c>
      <c r="T2216" s="9" t="n">
        <v>2563.42</v>
      </c>
      <c r="U2216" s="10">
        <f>SUM(I2216:T2216)</f>
        <v/>
      </c>
    </row>
    <row r="2217">
      <c r="A2217" s="2" t="inlineStr">
        <is>
          <t>SN-3000-3600-3630-3630PL0008</t>
        </is>
      </c>
      <c r="B2217" s="2" t="inlineStr">
        <is>
          <t>3630PL0008</t>
        </is>
      </c>
      <c r="C2217" s="2" t="inlineStr">
        <is>
          <t>Línea relaves 3630-5221-ATNA-12"-TSL-N</t>
        </is>
      </c>
      <c r="D2217" s="2" t="n">
        <v>739</v>
      </c>
      <c r="E2217" s="2" t="inlineStr">
        <is>
          <t>CC-3000</t>
        </is>
      </c>
      <c r="F2217" s="2" t="inlineStr">
        <is>
          <t>P01</t>
        </is>
      </c>
      <c r="G2217" s="2" t="n">
        <v>620000</v>
      </c>
      <c r="H2217" s="2" t="inlineStr">
        <is>
          <t>Materiales</t>
        </is>
      </c>
      <c r="I2217" s="9" t="n">
        <v>2695.58</v>
      </c>
      <c r="J2217" s="9" t="n">
        <v>2768.35</v>
      </c>
      <c r="K2217" s="9" t="n">
        <v>2986.79</v>
      </c>
      <c r="L2217" s="9" t="n">
        <v>2753.05</v>
      </c>
      <c r="M2217" s="9" t="n">
        <v>2839.64</v>
      </c>
      <c r="N2217" s="9" t="n">
        <v>2724.04</v>
      </c>
      <c r="O2217" s="9" t="n">
        <v>2702.9</v>
      </c>
      <c r="P2217" s="9" t="n">
        <v>2669.28</v>
      </c>
      <c r="Q2217" s="9" t="n">
        <v>2747.37</v>
      </c>
      <c r="R2217" s="9" t="n">
        <v>2969.46</v>
      </c>
      <c r="S2217" s="9" t="n">
        <v>2631.1</v>
      </c>
      <c r="T2217" s="9" t="n">
        <v>2985.5</v>
      </c>
      <c r="U2217" s="10">
        <f>SUM(I2217:T2217)</f>
        <v/>
      </c>
    </row>
    <row r="2218">
      <c r="A2218" s="2" t="inlineStr">
        <is>
          <t>SN-3000-3600-3630-3630PL0008</t>
        </is>
      </c>
      <c r="B2218" s="2" t="inlineStr">
        <is>
          <t>3630PL0008</t>
        </is>
      </c>
      <c r="C2218" s="2" t="inlineStr">
        <is>
          <t>Línea relaves 3630-5221-ATNA-12"-TSL-N</t>
        </is>
      </c>
      <c r="D2218" s="2" t="n">
        <v>739</v>
      </c>
      <c r="E2218" s="2" t="inlineStr">
        <is>
          <t>CC-3000</t>
        </is>
      </c>
      <c r="F2218" s="2" t="inlineStr">
        <is>
          <t>P01</t>
        </is>
      </c>
      <c r="G2218" s="2" t="n">
        <v>630000</v>
      </c>
      <c r="H2218" s="2" t="inlineStr">
        <is>
          <t>Servicios externos</t>
        </is>
      </c>
      <c r="I2218" s="9" t="n">
        <v>2671.67</v>
      </c>
      <c r="J2218" s="9" t="n">
        <v>2832.47</v>
      </c>
      <c r="K2218" s="9" t="n">
        <v>2884.44</v>
      </c>
      <c r="L2218" s="9" t="n">
        <v>2705.6</v>
      </c>
      <c r="M2218" s="9" t="n">
        <v>2654.98</v>
      </c>
      <c r="N2218" s="9" t="n">
        <v>2689.11</v>
      </c>
      <c r="O2218" s="9" t="n">
        <v>2590.14</v>
      </c>
      <c r="P2218" s="9" t="n">
        <v>2698.64</v>
      </c>
      <c r="Q2218" s="9" t="n">
        <v>2588.68</v>
      </c>
      <c r="R2218" s="9" t="n">
        <v>2945.58</v>
      </c>
      <c r="S2218" s="9" t="n">
        <v>2673.08</v>
      </c>
      <c r="T2218" s="9" t="n">
        <v>2774.89</v>
      </c>
      <c r="U2218" s="10">
        <f>SUM(I2218:T2218)</f>
        <v/>
      </c>
    </row>
    <row r="2219">
      <c r="A2219" s="2" t="inlineStr">
        <is>
          <t>SN-3000-3600-3630-3630PL0009</t>
        </is>
      </c>
      <c r="B2219" s="2" t="inlineStr">
        <is>
          <t>3630PL0009</t>
        </is>
      </c>
      <c r="C2219" s="2" t="inlineStr">
        <is>
          <t>Línea relaves 3630-5205-LUNA-10"-TSL-N</t>
        </is>
      </c>
      <c r="D2219" s="2" t="n">
        <v>740</v>
      </c>
      <c r="E2219" s="2" t="inlineStr">
        <is>
          <t>CC-3000</t>
        </is>
      </c>
      <c r="F2219" s="2" t="inlineStr">
        <is>
          <t>P01</t>
        </is>
      </c>
      <c r="G2219" s="2" t="n">
        <v>610000</v>
      </c>
      <c r="H2219" s="2" t="inlineStr">
        <is>
          <t>Mano obra interna</t>
        </is>
      </c>
      <c r="I2219" s="9" t="n">
        <v>1012.34</v>
      </c>
      <c r="J2219" s="9" t="n">
        <v>995.96</v>
      </c>
      <c r="K2219" s="9" t="n">
        <v>1084.47</v>
      </c>
      <c r="L2219" s="9" t="n">
        <v>1053.63</v>
      </c>
      <c r="M2219" s="9" t="n">
        <v>984.02</v>
      </c>
      <c r="N2219" s="9" t="n">
        <v>1034.94</v>
      </c>
      <c r="O2219" s="9" t="n">
        <v>943.41</v>
      </c>
      <c r="P2219" s="9" t="n">
        <v>958.21</v>
      </c>
      <c r="Q2219" s="9" t="n">
        <v>912.8</v>
      </c>
      <c r="R2219" s="9" t="n">
        <v>1037.91</v>
      </c>
      <c r="S2219" s="9" t="n">
        <v>993.54</v>
      </c>
      <c r="T2219" s="9" t="n">
        <v>945.84</v>
      </c>
      <c r="U2219" s="10">
        <f>SUM(I2219:T2219)</f>
        <v/>
      </c>
    </row>
    <row r="2220">
      <c r="A2220" s="2" t="inlineStr">
        <is>
          <t>SN-3000-3600-3630-3630PL0009</t>
        </is>
      </c>
      <c r="B2220" s="2" t="inlineStr">
        <is>
          <t>3630PL0009</t>
        </is>
      </c>
      <c r="C2220" s="2" t="inlineStr">
        <is>
          <t>Línea relaves 3630-5205-LUNA-10"-TSL-N</t>
        </is>
      </c>
      <c r="D2220" s="2" t="n">
        <v>740</v>
      </c>
      <c r="E2220" s="2" t="inlineStr">
        <is>
          <t>CC-3000</t>
        </is>
      </c>
      <c r="F2220" s="2" t="inlineStr">
        <is>
          <t>P01</t>
        </is>
      </c>
      <c r="G2220" s="2" t="n">
        <v>620000</v>
      </c>
      <c r="H2220" s="2" t="inlineStr">
        <is>
          <t>Materiales</t>
        </is>
      </c>
      <c r="I2220" s="9" t="n">
        <v>953.25</v>
      </c>
      <c r="J2220" s="9" t="n">
        <v>978.99</v>
      </c>
      <c r="K2220" s="9" t="n">
        <v>1056.19</v>
      </c>
      <c r="L2220" s="9" t="n">
        <v>1034.14</v>
      </c>
      <c r="M2220" s="9" t="n">
        <v>907.11</v>
      </c>
      <c r="N2220" s="9" t="n">
        <v>932.95</v>
      </c>
      <c r="O2220" s="9" t="n">
        <v>893.5</v>
      </c>
      <c r="P2220" s="9" t="n">
        <v>935.74</v>
      </c>
      <c r="Q2220" s="9" t="n">
        <v>942.97</v>
      </c>
      <c r="R2220" s="9" t="n">
        <v>1034.23</v>
      </c>
      <c r="S2220" s="9" t="n">
        <v>882.51</v>
      </c>
      <c r="T2220" s="9" t="n">
        <v>970.42</v>
      </c>
      <c r="U2220" s="10">
        <f>SUM(I2220:T2220)</f>
        <v/>
      </c>
    </row>
    <row r="2221">
      <c r="A2221" s="2" t="inlineStr">
        <is>
          <t>SN-3000-3600-3630-3630PL0009</t>
        </is>
      </c>
      <c r="B2221" s="2" t="inlineStr">
        <is>
          <t>3630PL0009</t>
        </is>
      </c>
      <c r="C2221" s="2" t="inlineStr">
        <is>
          <t>Línea relaves 3630-5205-LUNA-10"-TSL-N</t>
        </is>
      </c>
      <c r="D2221" s="2" t="n">
        <v>740</v>
      </c>
      <c r="E2221" s="2" t="inlineStr">
        <is>
          <t>CC-3000</t>
        </is>
      </c>
      <c r="F2221" s="2" t="inlineStr">
        <is>
          <t>P01</t>
        </is>
      </c>
      <c r="G2221" s="2" t="n">
        <v>630000</v>
      </c>
      <c r="H2221" s="2" t="inlineStr">
        <is>
          <t>Servicios externos</t>
        </is>
      </c>
      <c r="I2221" s="9" t="n">
        <v>965.04</v>
      </c>
      <c r="J2221" s="9" t="n">
        <v>945.36</v>
      </c>
      <c r="K2221" s="9" t="n">
        <v>968.3200000000001</v>
      </c>
      <c r="L2221" s="9" t="n">
        <v>1051.69</v>
      </c>
      <c r="M2221" s="9" t="n">
        <v>961.34</v>
      </c>
      <c r="N2221" s="9" t="n">
        <v>969.96</v>
      </c>
      <c r="O2221" s="9" t="n">
        <v>1002.34</v>
      </c>
      <c r="P2221" s="9" t="n">
        <v>985.83</v>
      </c>
      <c r="Q2221" s="9" t="n">
        <v>894.84</v>
      </c>
      <c r="R2221" s="9" t="n">
        <v>954.58</v>
      </c>
      <c r="S2221" s="9" t="n">
        <v>947.96</v>
      </c>
      <c r="T2221" s="9" t="n">
        <v>953.55</v>
      </c>
      <c r="U2221" s="10">
        <f>SUM(I2221:T2221)</f>
        <v/>
      </c>
    </row>
    <row r="2222">
      <c r="A2222" s="2" t="inlineStr">
        <is>
          <t>SN-3000-3600-3630-3630PL0010</t>
        </is>
      </c>
      <c r="B2222" s="2" t="inlineStr">
        <is>
          <t>3630PL0010</t>
        </is>
      </c>
      <c r="C2222" s="2" t="inlineStr">
        <is>
          <t>Línea relaves 3630-5201-ATNA-10"-TSL-N</t>
        </is>
      </c>
      <c r="D2222" s="2" t="n">
        <v>741</v>
      </c>
      <c r="E2222" s="2" t="inlineStr">
        <is>
          <t>CC-3000</t>
        </is>
      </c>
      <c r="F2222" s="2" t="inlineStr">
        <is>
          <t>P01</t>
        </is>
      </c>
      <c r="G2222" s="2" t="n">
        <v>610000</v>
      </c>
      <c r="H2222" s="2" t="inlineStr">
        <is>
          <t>Mano obra interna</t>
        </is>
      </c>
      <c r="I2222" s="9" t="n">
        <v>1650.49</v>
      </c>
      <c r="J2222" s="9" t="n">
        <v>1667.09</v>
      </c>
      <c r="K2222" s="9" t="n">
        <v>1807.16</v>
      </c>
      <c r="L2222" s="9" t="n">
        <v>1633.62</v>
      </c>
      <c r="M2222" s="9" t="n">
        <v>1625.4</v>
      </c>
      <c r="N2222" s="9" t="n">
        <v>1647.22</v>
      </c>
      <c r="O2222" s="9" t="n">
        <v>1588.63</v>
      </c>
      <c r="P2222" s="9" t="n">
        <v>1536.72</v>
      </c>
      <c r="Q2222" s="9" t="n">
        <v>1465.49</v>
      </c>
      <c r="R2222" s="9" t="n">
        <v>1871.51</v>
      </c>
      <c r="S2222" s="9" t="n">
        <v>1493.08</v>
      </c>
      <c r="T2222" s="9" t="n">
        <v>1610.22</v>
      </c>
      <c r="U2222" s="10">
        <f>SUM(I2222:T2222)</f>
        <v/>
      </c>
    </row>
    <row r="2223">
      <c r="A2223" s="2" t="inlineStr">
        <is>
          <t>SN-3000-3600-3630-3630PL0010</t>
        </is>
      </c>
      <c r="B2223" s="2" t="inlineStr">
        <is>
          <t>3630PL0010</t>
        </is>
      </c>
      <c r="C2223" s="2" t="inlineStr">
        <is>
          <t>Línea relaves 3630-5201-ATNA-10"-TSL-N</t>
        </is>
      </c>
      <c r="D2223" s="2" t="n">
        <v>741</v>
      </c>
      <c r="E2223" s="2" t="inlineStr">
        <is>
          <t>CC-3000</t>
        </is>
      </c>
      <c r="F2223" s="2" t="inlineStr">
        <is>
          <t>P01</t>
        </is>
      </c>
      <c r="G2223" s="2" t="n">
        <v>620000</v>
      </c>
      <c r="H2223" s="2" t="inlineStr">
        <is>
          <t>Materiales</t>
        </is>
      </c>
      <c r="I2223" s="9" t="n">
        <v>1877.92</v>
      </c>
      <c r="J2223" s="9" t="n">
        <v>1836.6</v>
      </c>
      <c r="K2223" s="9" t="n">
        <v>1776.59</v>
      </c>
      <c r="L2223" s="9" t="n">
        <v>1904.31</v>
      </c>
      <c r="M2223" s="9" t="n">
        <v>1631.33</v>
      </c>
      <c r="N2223" s="9" t="n">
        <v>1574.74</v>
      </c>
      <c r="O2223" s="9" t="n">
        <v>1868.9</v>
      </c>
      <c r="P2223" s="9" t="n">
        <v>1744.18</v>
      </c>
      <c r="Q2223" s="9" t="n">
        <v>1540.79</v>
      </c>
      <c r="R2223" s="9" t="n">
        <v>1875.85</v>
      </c>
      <c r="S2223" s="9" t="n">
        <v>1763.57</v>
      </c>
      <c r="T2223" s="9" t="n">
        <v>1861.17</v>
      </c>
      <c r="U2223" s="10">
        <f>SUM(I2223:T2223)</f>
        <v/>
      </c>
    </row>
    <row r="2224">
      <c r="A2224" s="2" t="inlineStr">
        <is>
          <t>SN-3000-3600-3630-3630PL0010</t>
        </is>
      </c>
      <c r="B2224" s="2" t="inlineStr">
        <is>
          <t>3630PL0010</t>
        </is>
      </c>
      <c r="C2224" s="2" t="inlineStr">
        <is>
          <t>Línea relaves 3630-5201-ATNA-10"-TSL-N</t>
        </is>
      </c>
      <c r="D2224" s="2" t="n">
        <v>741</v>
      </c>
      <c r="E2224" s="2" t="inlineStr">
        <is>
          <t>CC-3000</t>
        </is>
      </c>
      <c r="F2224" s="2" t="inlineStr">
        <is>
          <t>P01</t>
        </is>
      </c>
      <c r="G2224" s="2" t="n">
        <v>630000</v>
      </c>
      <c r="H2224" s="2" t="inlineStr">
        <is>
          <t>Servicios externos</t>
        </is>
      </c>
      <c r="I2224" s="9" t="n">
        <v>2066.98</v>
      </c>
      <c r="J2224" s="9" t="n">
        <v>2087.95</v>
      </c>
      <c r="K2224" s="9" t="n">
        <v>2069.16</v>
      </c>
      <c r="L2224" s="9" t="n">
        <v>2081.69</v>
      </c>
      <c r="M2224" s="9" t="n">
        <v>2063.81</v>
      </c>
      <c r="N2224" s="9" t="n">
        <v>1891.67</v>
      </c>
      <c r="O2224" s="9" t="n">
        <v>1866.71</v>
      </c>
      <c r="P2224" s="9" t="n">
        <v>1953.02</v>
      </c>
      <c r="Q2224" s="9" t="n">
        <v>1901.03</v>
      </c>
      <c r="R2224" s="9" t="n">
        <v>2053.23</v>
      </c>
      <c r="S2224" s="9" t="n">
        <v>1829.48</v>
      </c>
      <c r="T2224" s="9" t="n">
        <v>1964.94</v>
      </c>
      <c r="U2224" s="10">
        <f>SUM(I2224:T2224)</f>
        <v/>
      </c>
    </row>
    <row r="2225">
      <c r="A2225" s="2" t="inlineStr">
        <is>
          <t>SN-3000-3600-3630-3630PU0240</t>
        </is>
      </c>
      <c r="B2225" s="2" t="inlineStr">
        <is>
          <t>3630PU0240</t>
        </is>
      </c>
      <c r="C2225" s="2" t="inlineStr">
        <is>
          <t>Bomba alimentación filtración relave</t>
        </is>
      </c>
      <c r="D2225" s="2" t="n">
        <v>742</v>
      </c>
      <c r="E2225" s="2" t="inlineStr">
        <is>
          <t>CC-3000</t>
        </is>
      </c>
      <c r="F2225" s="2" t="inlineStr">
        <is>
          <t>P01</t>
        </is>
      </c>
      <c r="G2225" s="2" t="n">
        <v>610000</v>
      </c>
      <c r="H2225" s="2" t="inlineStr">
        <is>
          <t>Mano obra interna</t>
        </is>
      </c>
      <c r="I2225" s="9" t="n">
        <v>160.44</v>
      </c>
      <c r="J2225" s="9" t="n">
        <v>143.23</v>
      </c>
      <c r="K2225" s="9" t="n">
        <v>146.67</v>
      </c>
      <c r="L2225" s="9" t="n">
        <v>159.53</v>
      </c>
      <c r="M2225" s="9" t="n">
        <v>157.92</v>
      </c>
      <c r="N2225" s="9" t="n">
        <v>133.51</v>
      </c>
      <c r="O2225" s="9" t="n">
        <v>144.89</v>
      </c>
      <c r="P2225" s="9" t="n">
        <v>161.92</v>
      </c>
      <c r="Q2225" s="9" t="n">
        <v>138.23</v>
      </c>
      <c r="R2225" s="9" t="n">
        <v>174.58</v>
      </c>
      <c r="S2225" s="9" t="n">
        <v>141.15</v>
      </c>
      <c r="T2225" s="9" t="n">
        <v>146.59</v>
      </c>
      <c r="U2225" s="10">
        <f>SUM(I2225:T2225)</f>
        <v/>
      </c>
    </row>
    <row r="2226">
      <c r="A2226" s="2" t="inlineStr">
        <is>
          <t>SN-3000-3600-3630-3630PU0240</t>
        </is>
      </c>
      <c r="B2226" s="2" t="inlineStr">
        <is>
          <t>3630PU0240</t>
        </is>
      </c>
      <c r="C2226" s="2" t="inlineStr">
        <is>
          <t>Bomba alimentación filtración relave</t>
        </is>
      </c>
      <c r="D2226" s="2" t="n">
        <v>742</v>
      </c>
      <c r="E2226" s="2" t="inlineStr">
        <is>
          <t>CC-3000</t>
        </is>
      </c>
      <c r="F2226" s="2" t="inlineStr">
        <is>
          <t>P01</t>
        </is>
      </c>
      <c r="G2226" s="2" t="n">
        <v>620000</v>
      </c>
      <c r="H2226" s="2" t="inlineStr">
        <is>
          <t>Materiales</t>
        </is>
      </c>
      <c r="I2226" s="9" t="n">
        <v>144.06</v>
      </c>
      <c r="J2226" s="9" t="n">
        <v>158.3</v>
      </c>
      <c r="K2226" s="9" t="n">
        <v>167.9</v>
      </c>
      <c r="L2226" s="9" t="n">
        <v>165.71</v>
      </c>
      <c r="M2226" s="9" t="n">
        <v>158.01</v>
      </c>
      <c r="N2226" s="9" t="n">
        <v>152.53</v>
      </c>
      <c r="O2226" s="9" t="n">
        <v>155.11</v>
      </c>
      <c r="P2226" s="9" t="n">
        <v>158.92</v>
      </c>
      <c r="Q2226" s="9" t="n">
        <v>134.13</v>
      </c>
      <c r="R2226" s="9" t="n">
        <v>160.08</v>
      </c>
      <c r="S2226" s="9" t="n">
        <v>149.62</v>
      </c>
      <c r="T2226" s="9" t="n">
        <v>162.59</v>
      </c>
      <c r="U2226" s="10">
        <f>SUM(I2226:T2226)</f>
        <v/>
      </c>
    </row>
    <row r="2227">
      <c r="A2227" s="2" t="inlineStr">
        <is>
          <t>SN-3000-3600-3630-3630PU0240</t>
        </is>
      </c>
      <c r="B2227" s="2" t="inlineStr">
        <is>
          <t>3630PU0240</t>
        </is>
      </c>
      <c r="C2227" s="2" t="inlineStr">
        <is>
          <t>Bomba alimentación filtración relave</t>
        </is>
      </c>
      <c r="D2227" s="2" t="n">
        <v>742</v>
      </c>
      <c r="E2227" s="2" t="inlineStr">
        <is>
          <t>CC-3000</t>
        </is>
      </c>
      <c r="F2227" s="2" t="inlineStr">
        <is>
          <t>P01</t>
        </is>
      </c>
      <c r="G2227" s="2" t="n">
        <v>630000</v>
      </c>
      <c r="H2227" s="2" t="inlineStr">
        <is>
          <t>Servicios externos</t>
        </is>
      </c>
      <c r="I2227" s="9" t="n">
        <v>188.32</v>
      </c>
      <c r="J2227" s="9" t="n">
        <v>171.62</v>
      </c>
      <c r="K2227" s="9" t="n">
        <v>186.8</v>
      </c>
      <c r="L2227" s="9" t="n">
        <v>192.58</v>
      </c>
      <c r="M2227" s="9" t="n">
        <v>163.57</v>
      </c>
      <c r="N2227" s="9" t="n">
        <v>178.72</v>
      </c>
      <c r="O2227" s="9" t="n">
        <v>175.69</v>
      </c>
      <c r="P2227" s="9" t="n">
        <v>178.86</v>
      </c>
      <c r="Q2227" s="9" t="n">
        <v>172.74</v>
      </c>
      <c r="R2227" s="9" t="n">
        <v>185.98</v>
      </c>
      <c r="S2227" s="9" t="n">
        <v>167.19</v>
      </c>
      <c r="T2227" s="9" t="n">
        <v>178.35</v>
      </c>
      <c r="U2227" s="10">
        <f>SUM(I2227:T2227)</f>
        <v/>
      </c>
    </row>
    <row r="2228">
      <c r="A2228" s="2" t="inlineStr">
        <is>
          <t>SN-3000-3600-3630-3630PU0242</t>
        </is>
      </c>
      <c r="B2228" s="2" t="inlineStr">
        <is>
          <t>3630PU0242</t>
        </is>
      </c>
      <c r="C2228" s="2" t="inlineStr">
        <is>
          <t>Bomba alimentación filtración relave</t>
        </is>
      </c>
      <c r="D2228" s="2" t="n">
        <v>743</v>
      </c>
      <c r="E2228" s="2" t="inlineStr">
        <is>
          <t>CC-3000</t>
        </is>
      </c>
      <c r="F2228" s="2" t="inlineStr">
        <is>
          <t>P01</t>
        </is>
      </c>
      <c r="G2228" s="2" t="n">
        <v>610000</v>
      </c>
      <c r="H2228" s="2" t="inlineStr">
        <is>
          <t>Mano obra interna</t>
        </is>
      </c>
      <c r="I2228" s="9" t="n">
        <v>793.1</v>
      </c>
      <c r="J2228" s="9" t="n">
        <v>739.96</v>
      </c>
      <c r="K2228" s="9" t="n">
        <v>856.8200000000001</v>
      </c>
      <c r="L2228" s="9" t="n">
        <v>742.05</v>
      </c>
      <c r="M2228" s="9" t="n">
        <v>764.27</v>
      </c>
      <c r="N2228" s="9" t="n">
        <v>796.38</v>
      </c>
      <c r="O2228" s="9" t="n">
        <v>827.5700000000001</v>
      </c>
      <c r="P2228" s="9" t="n">
        <v>801.76</v>
      </c>
      <c r="Q2228" s="9" t="n">
        <v>733.9299999999999</v>
      </c>
      <c r="R2228" s="9" t="n">
        <v>808.87</v>
      </c>
      <c r="S2228" s="9" t="n">
        <v>736.47</v>
      </c>
      <c r="T2228" s="9" t="n">
        <v>737.13</v>
      </c>
      <c r="U2228" s="10">
        <f>SUM(I2228:T2228)</f>
        <v/>
      </c>
    </row>
    <row r="2229">
      <c r="A2229" s="2" t="inlineStr">
        <is>
          <t>SN-3000-3600-3630-3630PU0242</t>
        </is>
      </c>
      <c r="B2229" s="2" t="inlineStr">
        <is>
          <t>3630PU0242</t>
        </is>
      </c>
      <c r="C2229" s="2" t="inlineStr">
        <is>
          <t>Bomba alimentación filtración relave</t>
        </is>
      </c>
      <c r="D2229" s="2" t="n">
        <v>743</v>
      </c>
      <c r="E2229" s="2" t="inlineStr">
        <is>
          <t>CC-3000</t>
        </is>
      </c>
      <c r="F2229" s="2" t="inlineStr">
        <is>
          <t>P01</t>
        </is>
      </c>
      <c r="G2229" s="2" t="n">
        <v>620000</v>
      </c>
      <c r="H2229" s="2" t="inlineStr">
        <is>
          <t>Materiales</t>
        </is>
      </c>
      <c r="I2229" s="9" t="n">
        <v>967.3099999999999</v>
      </c>
      <c r="J2229" s="9" t="n">
        <v>986.05</v>
      </c>
      <c r="K2229" s="9" t="n">
        <v>982.97</v>
      </c>
      <c r="L2229" s="9" t="n">
        <v>990.84</v>
      </c>
      <c r="M2229" s="9" t="n">
        <v>973.4400000000001</v>
      </c>
      <c r="N2229" s="9" t="n">
        <v>977.22</v>
      </c>
      <c r="O2229" s="9" t="n">
        <v>930.4</v>
      </c>
      <c r="P2229" s="9" t="n">
        <v>958.53</v>
      </c>
      <c r="Q2229" s="9" t="n">
        <v>853.92</v>
      </c>
      <c r="R2229" s="9" t="n">
        <v>980.13</v>
      </c>
      <c r="S2229" s="9" t="n">
        <v>959.71</v>
      </c>
      <c r="T2229" s="9" t="n">
        <v>940.29</v>
      </c>
      <c r="U2229" s="10">
        <f>SUM(I2229:T2229)</f>
        <v/>
      </c>
    </row>
    <row r="2230">
      <c r="A2230" s="2" t="inlineStr">
        <is>
          <t>SN-3000-3600-3630-3630PU0242</t>
        </is>
      </c>
      <c r="B2230" s="2" t="inlineStr">
        <is>
          <t>3630PU0242</t>
        </is>
      </c>
      <c r="C2230" s="2" t="inlineStr">
        <is>
          <t>Bomba alimentación filtración relave</t>
        </is>
      </c>
      <c r="D2230" s="2" t="n">
        <v>743</v>
      </c>
      <c r="E2230" s="2" t="inlineStr">
        <is>
          <t>CC-3000</t>
        </is>
      </c>
      <c r="F2230" s="2" t="inlineStr">
        <is>
          <t>P01</t>
        </is>
      </c>
      <c r="G2230" s="2" t="n">
        <v>630000</v>
      </c>
      <c r="H2230" s="2" t="inlineStr">
        <is>
          <t>Servicios externos</t>
        </is>
      </c>
      <c r="I2230" s="9" t="n">
        <v>840.95</v>
      </c>
      <c r="J2230" s="9" t="n">
        <v>767.02</v>
      </c>
      <c r="K2230" s="9" t="n">
        <v>752.36</v>
      </c>
      <c r="L2230" s="9" t="n">
        <v>735.08</v>
      </c>
      <c r="M2230" s="9" t="n">
        <v>719.9299999999999</v>
      </c>
      <c r="N2230" s="9" t="n">
        <v>737.14</v>
      </c>
      <c r="O2230" s="9" t="n">
        <v>795.8</v>
      </c>
      <c r="P2230" s="9" t="n">
        <v>791.48</v>
      </c>
      <c r="Q2230" s="9" t="n">
        <v>680</v>
      </c>
      <c r="R2230" s="9" t="n">
        <v>853.15</v>
      </c>
      <c r="S2230" s="9" t="n">
        <v>738.41</v>
      </c>
      <c r="T2230" s="9" t="n">
        <v>781.63</v>
      </c>
      <c r="U2230" s="10">
        <f>SUM(I2230:T2230)</f>
        <v/>
      </c>
    </row>
    <row r="2231">
      <c r="A2231" s="2" t="inlineStr">
        <is>
          <t>SN-3000-3600-3630-3630PU0244</t>
        </is>
      </c>
      <c r="B2231" s="2" t="inlineStr">
        <is>
          <t>3630PU0244</t>
        </is>
      </c>
      <c r="C2231" s="2" t="inlineStr">
        <is>
          <t>Bomba alimentación filtración relave</t>
        </is>
      </c>
      <c r="D2231" s="2" t="n">
        <v>744</v>
      </c>
      <c r="E2231" s="2" t="inlineStr">
        <is>
          <t>CC-3000</t>
        </is>
      </c>
      <c r="F2231" s="2" t="inlineStr">
        <is>
          <t>P01</t>
        </is>
      </c>
      <c r="G2231" s="2" t="n">
        <v>610000</v>
      </c>
      <c r="H2231" s="2" t="inlineStr">
        <is>
          <t>Mano obra interna</t>
        </is>
      </c>
      <c r="I2231" s="9" t="n">
        <v>2520.87</v>
      </c>
      <c r="J2231" s="9" t="n">
        <v>2357.83</v>
      </c>
      <c r="K2231" s="9" t="n">
        <v>2774.09</v>
      </c>
      <c r="L2231" s="9" t="n">
        <v>2473.88</v>
      </c>
      <c r="M2231" s="9" t="n">
        <v>2428.39</v>
      </c>
      <c r="N2231" s="9" t="n">
        <v>2506.11</v>
      </c>
      <c r="O2231" s="9" t="n">
        <v>2613.09</v>
      </c>
      <c r="P2231" s="9" t="n">
        <v>2657.36</v>
      </c>
      <c r="Q2231" s="9" t="n">
        <v>2242.53</v>
      </c>
      <c r="R2231" s="9" t="n">
        <v>2671.71</v>
      </c>
      <c r="S2231" s="9" t="n">
        <v>2309.32</v>
      </c>
      <c r="T2231" s="9" t="n">
        <v>2591.98</v>
      </c>
      <c r="U2231" s="10">
        <f>SUM(I2231:T2231)</f>
        <v/>
      </c>
    </row>
    <row r="2232">
      <c r="A2232" s="2" t="inlineStr">
        <is>
          <t>SN-3000-3600-3630-3630PU0244</t>
        </is>
      </c>
      <c r="B2232" s="2" t="inlineStr">
        <is>
          <t>3630PU0244</t>
        </is>
      </c>
      <c r="C2232" s="2" t="inlineStr">
        <is>
          <t>Bomba alimentación filtración relave</t>
        </is>
      </c>
      <c r="D2232" s="2" t="n">
        <v>744</v>
      </c>
      <c r="E2232" s="2" t="inlineStr">
        <is>
          <t>CC-3000</t>
        </is>
      </c>
      <c r="F2232" s="2" t="inlineStr">
        <is>
          <t>P01</t>
        </is>
      </c>
      <c r="G2232" s="2" t="n">
        <v>620000</v>
      </c>
      <c r="H2232" s="2" t="inlineStr">
        <is>
          <t>Materiales</t>
        </is>
      </c>
      <c r="I2232" s="9" t="n">
        <v>2218.27</v>
      </c>
      <c r="J2232" s="9" t="n">
        <v>1911.21</v>
      </c>
      <c r="K2232" s="9" t="n">
        <v>2022.66</v>
      </c>
      <c r="L2232" s="9" t="n">
        <v>2132.45</v>
      </c>
      <c r="M2232" s="9" t="n">
        <v>2240.42</v>
      </c>
      <c r="N2232" s="9" t="n">
        <v>2142.66</v>
      </c>
      <c r="O2232" s="9" t="n">
        <v>2276.96</v>
      </c>
      <c r="P2232" s="9" t="n">
        <v>2079.59</v>
      </c>
      <c r="Q2232" s="9" t="n">
        <v>1820.98</v>
      </c>
      <c r="R2232" s="9" t="n">
        <v>2204.01</v>
      </c>
      <c r="S2232" s="9" t="n">
        <v>2099.28</v>
      </c>
      <c r="T2232" s="9" t="n">
        <v>2015.58</v>
      </c>
      <c r="U2232" s="10">
        <f>SUM(I2232:T2232)</f>
        <v/>
      </c>
    </row>
    <row r="2233">
      <c r="A2233" s="2" t="inlineStr">
        <is>
          <t>SN-3000-3600-3630-3630PU0244</t>
        </is>
      </c>
      <c r="B2233" s="2" t="inlineStr">
        <is>
          <t>3630PU0244</t>
        </is>
      </c>
      <c r="C2233" s="2" t="inlineStr">
        <is>
          <t>Bomba alimentación filtración relave</t>
        </is>
      </c>
      <c r="D2233" s="2" t="n">
        <v>744</v>
      </c>
      <c r="E2233" s="2" t="inlineStr">
        <is>
          <t>CC-3000</t>
        </is>
      </c>
      <c r="F2233" s="2" t="inlineStr">
        <is>
          <t>P01</t>
        </is>
      </c>
      <c r="G2233" s="2" t="n">
        <v>630000</v>
      </c>
      <c r="H2233" s="2" t="inlineStr">
        <is>
          <t>Servicios externos</t>
        </is>
      </c>
      <c r="I2233" s="9" t="n">
        <v>2040.23</v>
      </c>
      <c r="J2233" s="9" t="n">
        <v>2110.28</v>
      </c>
      <c r="K2233" s="9" t="n">
        <v>2116.05</v>
      </c>
      <c r="L2233" s="9" t="n">
        <v>2054.97</v>
      </c>
      <c r="M2233" s="9" t="n">
        <v>2098.84</v>
      </c>
      <c r="N2233" s="9" t="n">
        <v>2007.87</v>
      </c>
      <c r="O2233" s="9" t="n">
        <v>2165.23</v>
      </c>
      <c r="P2233" s="9" t="n">
        <v>2235.39</v>
      </c>
      <c r="Q2233" s="9" t="n">
        <v>1878.49</v>
      </c>
      <c r="R2233" s="9" t="n">
        <v>2428.13</v>
      </c>
      <c r="S2233" s="9" t="n">
        <v>1924.78</v>
      </c>
      <c r="T2233" s="9" t="n">
        <v>2163.41</v>
      </c>
      <c r="U2233" s="10">
        <f>SUM(I2233:T2233)</f>
        <v/>
      </c>
    </row>
    <row r="2234">
      <c r="A2234" s="2" t="inlineStr">
        <is>
          <t>SN-3000-3600-3630-3630PU0246</t>
        </is>
      </c>
      <c r="B2234" s="2" t="inlineStr">
        <is>
          <t>3630PU0246</t>
        </is>
      </c>
      <c r="C2234" s="2" t="inlineStr">
        <is>
          <t>Bomba lavado telas</t>
        </is>
      </c>
      <c r="D2234" s="2" t="n">
        <v>745</v>
      </c>
      <c r="E2234" s="2" t="inlineStr">
        <is>
          <t>CC-3000</t>
        </is>
      </c>
      <c r="F2234" s="2" t="inlineStr">
        <is>
          <t>P01</t>
        </is>
      </c>
      <c r="G2234" s="2" t="n">
        <v>610000</v>
      </c>
      <c r="H2234" s="2" t="inlineStr">
        <is>
          <t>Mano obra interna</t>
        </is>
      </c>
      <c r="I2234" s="9" t="n">
        <v>3134.23</v>
      </c>
      <c r="J2234" s="9" t="n">
        <v>2851.04</v>
      </c>
      <c r="K2234" s="9" t="n">
        <v>2790.41</v>
      </c>
      <c r="L2234" s="9" t="n">
        <v>2932.31</v>
      </c>
      <c r="M2234" s="9" t="n">
        <v>2784.23</v>
      </c>
      <c r="N2234" s="9" t="n">
        <v>2726.31</v>
      </c>
      <c r="O2234" s="9" t="n">
        <v>2723.61</v>
      </c>
      <c r="P2234" s="9" t="n">
        <v>2859.27</v>
      </c>
      <c r="Q2234" s="9" t="n">
        <v>2514.14</v>
      </c>
      <c r="R2234" s="9" t="n">
        <v>3205.89</v>
      </c>
      <c r="S2234" s="9" t="n">
        <v>2811.28</v>
      </c>
      <c r="T2234" s="9" t="n">
        <v>2707.71</v>
      </c>
      <c r="U2234" s="10">
        <f>SUM(I2234:T2234)</f>
        <v/>
      </c>
    </row>
    <row r="2235">
      <c r="A2235" s="2" t="inlineStr">
        <is>
          <t>SN-3000-3600-3630-3630PU0246</t>
        </is>
      </c>
      <c r="B2235" s="2" t="inlineStr">
        <is>
          <t>3630PU0246</t>
        </is>
      </c>
      <c r="C2235" s="2" t="inlineStr">
        <is>
          <t>Bomba lavado telas</t>
        </is>
      </c>
      <c r="D2235" s="2" t="n">
        <v>745</v>
      </c>
      <c r="E2235" s="2" t="inlineStr">
        <is>
          <t>CC-3000</t>
        </is>
      </c>
      <c r="F2235" s="2" t="inlineStr">
        <is>
          <t>P01</t>
        </is>
      </c>
      <c r="G2235" s="2" t="n">
        <v>620000</v>
      </c>
      <c r="H2235" s="2" t="inlineStr">
        <is>
          <t>Materiales</t>
        </is>
      </c>
      <c r="I2235" s="9" t="n">
        <v>3132.38</v>
      </c>
      <c r="J2235" s="9" t="n">
        <v>2879.42</v>
      </c>
      <c r="K2235" s="9" t="n">
        <v>2881.72</v>
      </c>
      <c r="L2235" s="9" t="n">
        <v>3143.86</v>
      </c>
      <c r="M2235" s="9" t="n">
        <v>2920.8</v>
      </c>
      <c r="N2235" s="9" t="n">
        <v>3067.81</v>
      </c>
      <c r="O2235" s="9" t="n">
        <v>2789.41</v>
      </c>
      <c r="P2235" s="9" t="n">
        <v>2788.1</v>
      </c>
      <c r="Q2235" s="9" t="n">
        <v>3005.68</v>
      </c>
      <c r="R2235" s="9" t="n">
        <v>3490.19</v>
      </c>
      <c r="S2235" s="9" t="n">
        <v>2695.77</v>
      </c>
      <c r="T2235" s="9" t="n">
        <v>3162.72</v>
      </c>
      <c r="U2235" s="10">
        <f>SUM(I2235:T2235)</f>
        <v/>
      </c>
    </row>
    <row r="2236">
      <c r="A2236" s="2" t="inlineStr">
        <is>
          <t>SN-3000-3600-3630-3630PU0246</t>
        </is>
      </c>
      <c r="B2236" s="2" t="inlineStr">
        <is>
          <t>3630PU0246</t>
        </is>
      </c>
      <c r="C2236" s="2" t="inlineStr">
        <is>
          <t>Bomba lavado telas</t>
        </is>
      </c>
      <c r="D2236" s="2" t="n">
        <v>745</v>
      </c>
      <c r="E2236" s="2" t="inlineStr">
        <is>
          <t>CC-3000</t>
        </is>
      </c>
      <c r="F2236" s="2" t="inlineStr">
        <is>
          <t>P01</t>
        </is>
      </c>
      <c r="G2236" s="2" t="n">
        <v>630000</v>
      </c>
      <c r="H2236" s="2" t="inlineStr">
        <is>
          <t>Servicios externos</t>
        </is>
      </c>
      <c r="I2236" s="9" t="n">
        <v>2630.41</v>
      </c>
      <c r="J2236" s="9" t="n">
        <v>2603.51</v>
      </c>
      <c r="K2236" s="9" t="n">
        <v>2410.78</v>
      </c>
      <c r="L2236" s="9" t="n">
        <v>2444.66</v>
      </c>
      <c r="M2236" s="9" t="n">
        <v>2282.32</v>
      </c>
      <c r="N2236" s="9" t="n">
        <v>2212.41</v>
      </c>
      <c r="O2236" s="9" t="n">
        <v>2309.44</v>
      </c>
      <c r="P2236" s="9" t="n">
        <v>2614.4</v>
      </c>
      <c r="Q2236" s="9" t="n">
        <v>2248.72</v>
      </c>
      <c r="R2236" s="9" t="n">
        <v>2689.11</v>
      </c>
      <c r="S2236" s="9" t="n">
        <v>2527.84</v>
      </c>
      <c r="T2236" s="9" t="n">
        <v>2531.28</v>
      </c>
      <c r="U2236" s="10">
        <f>SUM(I2236:T2236)</f>
        <v/>
      </c>
    </row>
    <row r="2237">
      <c r="A2237" s="2" t="inlineStr">
        <is>
          <t>SN-3000-3600-3630-3630PU0247</t>
        </is>
      </c>
      <c r="B2237" s="2" t="inlineStr">
        <is>
          <t>3630PU0247</t>
        </is>
      </c>
      <c r="C2237" s="2" t="inlineStr">
        <is>
          <t>Bomba lavado telas</t>
        </is>
      </c>
      <c r="D2237" s="2" t="n">
        <v>746</v>
      </c>
      <c r="E2237" s="2" t="inlineStr">
        <is>
          <t>CC-3000</t>
        </is>
      </c>
      <c r="F2237" s="2" t="inlineStr">
        <is>
          <t>P01</t>
        </is>
      </c>
      <c r="G2237" s="2" t="n">
        <v>610000</v>
      </c>
      <c r="H2237" s="2" t="inlineStr">
        <is>
          <t>Mano obra interna</t>
        </is>
      </c>
      <c r="I2237" s="9" t="n">
        <v>1247.24</v>
      </c>
      <c r="J2237" s="9" t="n">
        <v>1319.49</v>
      </c>
      <c r="K2237" s="9" t="n">
        <v>1285.19</v>
      </c>
      <c r="L2237" s="9" t="n">
        <v>1411.92</v>
      </c>
      <c r="M2237" s="9" t="n">
        <v>1260.79</v>
      </c>
      <c r="N2237" s="9" t="n">
        <v>1302.43</v>
      </c>
      <c r="O2237" s="9" t="n">
        <v>1356.97</v>
      </c>
      <c r="P2237" s="9" t="n">
        <v>1349.08</v>
      </c>
      <c r="Q2237" s="9" t="n">
        <v>1187.73</v>
      </c>
      <c r="R2237" s="9" t="n">
        <v>1376.02</v>
      </c>
      <c r="S2237" s="9" t="n">
        <v>1357.55</v>
      </c>
      <c r="T2237" s="9" t="n">
        <v>1240.18</v>
      </c>
      <c r="U2237" s="10">
        <f>SUM(I2237:T2237)</f>
        <v/>
      </c>
    </row>
    <row r="2238">
      <c r="A2238" s="2" t="inlineStr">
        <is>
          <t>SN-3000-3600-3630-3630PU0247</t>
        </is>
      </c>
      <c r="B2238" s="2" t="inlineStr">
        <is>
          <t>3630PU0247</t>
        </is>
      </c>
      <c r="C2238" s="2" t="inlineStr">
        <is>
          <t>Bomba lavado telas</t>
        </is>
      </c>
      <c r="D2238" s="2" t="n">
        <v>746</v>
      </c>
      <c r="E2238" s="2" t="inlineStr">
        <is>
          <t>CC-3000</t>
        </is>
      </c>
      <c r="F2238" s="2" t="inlineStr">
        <is>
          <t>P01</t>
        </is>
      </c>
      <c r="G2238" s="2" t="n">
        <v>620000</v>
      </c>
      <c r="H2238" s="2" t="inlineStr">
        <is>
          <t>Materiales</t>
        </is>
      </c>
      <c r="I2238" s="9" t="n">
        <v>1210.35</v>
      </c>
      <c r="J2238" s="9" t="n">
        <v>1205.66</v>
      </c>
      <c r="K2238" s="9" t="n">
        <v>1174.72</v>
      </c>
      <c r="L2238" s="9" t="n">
        <v>1220.01</v>
      </c>
      <c r="M2238" s="9" t="n">
        <v>1163.59</v>
      </c>
      <c r="N2238" s="9" t="n">
        <v>1036.3</v>
      </c>
      <c r="O2238" s="9" t="n">
        <v>1188.33</v>
      </c>
      <c r="P2238" s="9" t="n">
        <v>1222.7</v>
      </c>
      <c r="Q2238" s="9" t="n">
        <v>1170.01</v>
      </c>
      <c r="R2238" s="9" t="n">
        <v>1161.91</v>
      </c>
      <c r="S2238" s="9" t="n">
        <v>1156.77</v>
      </c>
      <c r="T2238" s="9" t="n">
        <v>1166.23</v>
      </c>
      <c r="U2238" s="10">
        <f>SUM(I2238:T2238)</f>
        <v/>
      </c>
    </row>
    <row r="2239">
      <c r="A2239" s="2" t="inlineStr">
        <is>
          <t>SN-3000-3600-3630-3630PU0247</t>
        </is>
      </c>
      <c r="B2239" s="2" t="inlineStr">
        <is>
          <t>3630PU0247</t>
        </is>
      </c>
      <c r="C2239" s="2" t="inlineStr">
        <is>
          <t>Bomba lavado telas</t>
        </is>
      </c>
      <c r="D2239" s="2" t="n">
        <v>746</v>
      </c>
      <c r="E2239" s="2" t="inlineStr">
        <is>
          <t>CC-3000</t>
        </is>
      </c>
      <c r="F2239" s="2" t="inlineStr">
        <is>
          <t>P01</t>
        </is>
      </c>
      <c r="G2239" s="2" t="n">
        <v>630000</v>
      </c>
      <c r="H2239" s="2" t="inlineStr">
        <is>
          <t>Servicios externos</t>
        </is>
      </c>
      <c r="I2239" s="9" t="n">
        <v>1164.08</v>
      </c>
      <c r="J2239" s="9" t="n">
        <v>1036.24</v>
      </c>
      <c r="K2239" s="9" t="n">
        <v>1132.81</v>
      </c>
      <c r="L2239" s="9" t="n">
        <v>1100.81</v>
      </c>
      <c r="M2239" s="9" t="n">
        <v>1083.62</v>
      </c>
      <c r="N2239" s="9" t="n">
        <v>1069.37</v>
      </c>
      <c r="O2239" s="9" t="n">
        <v>1095.09</v>
      </c>
      <c r="P2239" s="9" t="n">
        <v>1128.42</v>
      </c>
      <c r="Q2239" s="9" t="n">
        <v>998.8200000000001</v>
      </c>
      <c r="R2239" s="9" t="n">
        <v>1233.8</v>
      </c>
      <c r="S2239" s="9" t="n">
        <v>1145.42</v>
      </c>
      <c r="T2239" s="9" t="n">
        <v>1086.27</v>
      </c>
      <c r="U2239" s="10">
        <f>SUM(I2239:T2239)</f>
        <v/>
      </c>
    </row>
    <row r="2240">
      <c r="A2240" s="2" t="inlineStr">
        <is>
          <t>SN-3000-3600-3630-3630PU0248</t>
        </is>
      </c>
      <c r="B2240" s="2" t="inlineStr">
        <is>
          <t>3630PU0248</t>
        </is>
      </c>
      <c r="C2240" s="2" t="inlineStr">
        <is>
          <t>Bomba lavado telas</t>
        </is>
      </c>
      <c r="D2240" s="2" t="n">
        <v>747</v>
      </c>
      <c r="E2240" s="2" t="inlineStr">
        <is>
          <t>CC-3000</t>
        </is>
      </c>
      <c r="F2240" s="2" t="inlineStr">
        <is>
          <t>P01</t>
        </is>
      </c>
      <c r="G2240" s="2" t="n">
        <v>610000</v>
      </c>
      <c r="H2240" s="2" t="inlineStr">
        <is>
          <t>Mano obra interna</t>
        </is>
      </c>
      <c r="I2240" s="9" t="n">
        <v>2360.09</v>
      </c>
      <c r="J2240" s="9" t="n">
        <v>2246.98</v>
      </c>
      <c r="K2240" s="9" t="n">
        <v>2279.55</v>
      </c>
      <c r="L2240" s="9" t="n">
        <v>2360.47</v>
      </c>
      <c r="M2240" s="9" t="n">
        <v>2066.13</v>
      </c>
      <c r="N2240" s="9" t="n">
        <v>2114.03</v>
      </c>
      <c r="O2240" s="9" t="n">
        <v>2270.99</v>
      </c>
      <c r="P2240" s="9" t="n">
        <v>2083.41</v>
      </c>
      <c r="Q2240" s="9" t="n">
        <v>2104.66</v>
      </c>
      <c r="R2240" s="9" t="n">
        <v>2495.38</v>
      </c>
      <c r="S2240" s="9" t="n">
        <v>2276.72</v>
      </c>
      <c r="T2240" s="9" t="n">
        <v>2149.94</v>
      </c>
      <c r="U2240" s="10">
        <f>SUM(I2240:T2240)</f>
        <v/>
      </c>
    </row>
    <row r="2241">
      <c r="A2241" s="2" t="inlineStr">
        <is>
          <t>SN-3000-3600-3630-3630PU0248</t>
        </is>
      </c>
      <c r="B2241" s="2" t="inlineStr">
        <is>
          <t>3630PU0248</t>
        </is>
      </c>
      <c r="C2241" s="2" t="inlineStr">
        <is>
          <t>Bomba lavado telas</t>
        </is>
      </c>
      <c r="D2241" s="2" t="n">
        <v>747</v>
      </c>
      <c r="E2241" s="2" t="inlineStr">
        <is>
          <t>CC-3000</t>
        </is>
      </c>
      <c r="F2241" s="2" t="inlineStr">
        <is>
          <t>P01</t>
        </is>
      </c>
      <c r="G2241" s="2" t="n">
        <v>620000</v>
      </c>
      <c r="H2241" s="2" t="inlineStr">
        <is>
          <t>Materiales</t>
        </is>
      </c>
      <c r="I2241" s="9" t="n">
        <v>2579.46</v>
      </c>
      <c r="J2241" s="9" t="n">
        <v>2393.4</v>
      </c>
      <c r="K2241" s="9" t="n">
        <v>2460.3</v>
      </c>
      <c r="L2241" s="9" t="n">
        <v>2568.98</v>
      </c>
      <c r="M2241" s="9" t="n">
        <v>2609.06</v>
      </c>
      <c r="N2241" s="9" t="n">
        <v>2383.25</v>
      </c>
      <c r="O2241" s="9" t="n">
        <v>2549.93</v>
      </c>
      <c r="P2241" s="9" t="n">
        <v>2426.2</v>
      </c>
      <c r="Q2241" s="9" t="n">
        <v>2271.45</v>
      </c>
      <c r="R2241" s="9" t="n">
        <v>2587.77</v>
      </c>
      <c r="S2241" s="9" t="n">
        <v>2484.37</v>
      </c>
      <c r="T2241" s="9" t="n">
        <v>2464.67</v>
      </c>
      <c r="U2241" s="10">
        <f>SUM(I2241:T2241)</f>
        <v/>
      </c>
    </row>
    <row r="2242">
      <c r="A2242" s="2" t="inlineStr">
        <is>
          <t>SN-3000-3600-3630-3630PU0248</t>
        </is>
      </c>
      <c r="B2242" s="2" t="inlineStr">
        <is>
          <t>3630PU0248</t>
        </is>
      </c>
      <c r="C2242" s="2" t="inlineStr">
        <is>
          <t>Bomba lavado telas</t>
        </is>
      </c>
      <c r="D2242" s="2" t="n">
        <v>747</v>
      </c>
      <c r="E2242" s="2" t="inlineStr">
        <is>
          <t>CC-3000</t>
        </is>
      </c>
      <c r="F2242" s="2" t="inlineStr">
        <is>
          <t>P01</t>
        </is>
      </c>
      <c r="G2242" s="2" t="n">
        <v>630000</v>
      </c>
      <c r="H2242" s="2" t="inlineStr">
        <is>
          <t>Servicios externos</t>
        </is>
      </c>
      <c r="I2242" s="9" t="n">
        <v>1990.64</v>
      </c>
      <c r="J2242" s="9" t="n">
        <v>2072.49</v>
      </c>
      <c r="K2242" s="9" t="n">
        <v>2132.95</v>
      </c>
      <c r="L2242" s="9" t="n">
        <v>1981.66</v>
      </c>
      <c r="M2242" s="9" t="n">
        <v>2099.3</v>
      </c>
      <c r="N2242" s="9" t="n">
        <v>1774.58</v>
      </c>
      <c r="O2242" s="9" t="n">
        <v>1848.97</v>
      </c>
      <c r="P2242" s="9" t="n">
        <v>1871.5</v>
      </c>
      <c r="Q2242" s="9" t="n">
        <v>1740.17</v>
      </c>
      <c r="R2242" s="9" t="n">
        <v>2006.16</v>
      </c>
      <c r="S2242" s="9" t="n">
        <v>1977.77</v>
      </c>
      <c r="T2242" s="9" t="n">
        <v>2053.79</v>
      </c>
      <c r="U2242" s="10">
        <f>SUM(I2242:T2242)</f>
        <v/>
      </c>
    </row>
    <row r="2243">
      <c r="A2243" s="2" t="inlineStr">
        <is>
          <t>SN-3000-3600-3630-3630PU0251</t>
        </is>
      </c>
      <c r="B2243" s="2" t="inlineStr">
        <is>
          <t>3630PU0251</t>
        </is>
      </c>
      <c r="C2243" s="2" t="inlineStr">
        <is>
          <t>Bomba filtrado relaves</t>
        </is>
      </c>
      <c r="D2243" s="2" t="n">
        <v>748</v>
      </c>
      <c r="E2243" s="2" t="inlineStr">
        <is>
          <t>CC-3000</t>
        </is>
      </c>
      <c r="F2243" s="2" t="inlineStr">
        <is>
          <t>P01</t>
        </is>
      </c>
      <c r="G2243" s="2" t="n">
        <v>610000</v>
      </c>
      <c r="H2243" s="2" t="inlineStr">
        <is>
          <t>Mano obra interna</t>
        </is>
      </c>
      <c r="I2243" s="9" t="n">
        <v>2949.43</v>
      </c>
      <c r="J2243" s="9" t="n">
        <v>2875.73</v>
      </c>
      <c r="K2243" s="9" t="n">
        <v>2757.85</v>
      </c>
      <c r="L2243" s="9" t="n">
        <v>2922.59</v>
      </c>
      <c r="M2243" s="9" t="n">
        <v>2811.21</v>
      </c>
      <c r="N2243" s="9" t="n">
        <v>2871.8</v>
      </c>
      <c r="O2243" s="9" t="n">
        <v>2685.79</v>
      </c>
      <c r="P2243" s="9" t="n">
        <v>2604.7</v>
      </c>
      <c r="Q2243" s="9" t="n">
        <v>2674.92</v>
      </c>
      <c r="R2243" s="9" t="n">
        <v>3140.86</v>
      </c>
      <c r="S2243" s="9" t="n">
        <v>2620.92</v>
      </c>
      <c r="T2243" s="9" t="n">
        <v>2878.58</v>
      </c>
      <c r="U2243" s="10">
        <f>SUM(I2243:T2243)</f>
        <v/>
      </c>
    </row>
    <row r="2244">
      <c r="A2244" s="2" t="inlineStr">
        <is>
          <t>SN-3000-3600-3630-3630PU0251</t>
        </is>
      </c>
      <c r="B2244" s="2" t="inlineStr">
        <is>
          <t>3630PU0251</t>
        </is>
      </c>
      <c r="C2244" s="2" t="inlineStr">
        <is>
          <t>Bomba filtrado relaves</t>
        </is>
      </c>
      <c r="D2244" s="2" t="n">
        <v>748</v>
      </c>
      <c r="E2244" s="2" t="inlineStr">
        <is>
          <t>CC-3000</t>
        </is>
      </c>
      <c r="F2244" s="2" t="inlineStr">
        <is>
          <t>P01</t>
        </is>
      </c>
      <c r="G2244" s="2" t="n">
        <v>620000</v>
      </c>
      <c r="H2244" s="2" t="inlineStr">
        <is>
          <t>Materiales</t>
        </is>
      </c>
      <c r="I2244" s="9" t="n">
        <v>2533.6</v>
      </c>
      <c r="J2244" s="9" t="n">
        <v>2134.61</v>
      </c>
      <c r="K2244" s="9" t="n">
        <v>2219.85</v>
      </c>
      <c r="L2244" s="9" t="n">
        <v>2190.33</v>
      </c>
      <c r="M2244" s="9" t="n">
        <v>2261.17</v>
      </c>
      <c r="N2244" s="9" t="n">
        <v>2067.7</v>
      </c>
      <c r="O2244" s="9" t="n">
        <v>2403.28</v>
      </c>
      <c r="P2244" s="9" t="n">
        <v>2457.4</v>
      </c>
      <c r="Q2244" s="9" t="n">
        <v>2069.36</v>
      </c>
      <c r="R2244" s="9" t="n">
        <v>2544.37</v>
      </c>
      <c r="S2244" s="9" t="n">
        <v>2074.01</v>
      </c>
      <c r="T2244" s="9" t="n">
        <v>2303.45</v>
      </c>
      <c r="U2244" s="10">
        <f>SUM(I2244:T2244)</f>
        <v/>
      </c>
    </row>
    <row r="2245">
      <c r="A2245" s="2" t="inlineStr">
        <is>
          <t>SN-3000-3600-3630-3630PU0251</t>
        </is>
      </c>
      <c r="B2245" s="2" t="inlineStr">
        <is>
          <t>3630PU0251</t>
        </is>
      </c>
      <c r="C2245" s="2" t="inlineStr">
        <is>
          <t>Bomba filtrado relaves</t>
        </is>
      </c>
      <c r="D2245" s="2" t="n">
        <v>748</v>
      </c>
      <c r="E2245" s="2" t="inlineStr">
        <is>
          <t>CC-3000</t>
        </is>
      </c>
      <c r="F2245" s="2" t="inlineStr">
        <is>
          <t>P01</t>
        </is>
      </c>
      <c r="G2245" s="2" t="n">
        <v>630000</v>
      </c>
      <c r="H2245" s="2" t="inlineStr">
        <is>
          <t>Servicios externos</t>
        </is>
      </c>
      <c r="I2245" s="9" t="n">
        <v>2360.14</v>
      </c>
      <c r="J2245" s="9" t="n">
        <v>2435.41</v>
      </c>
      <c r="K2245" s="9" t="n">
        <v>2345.84</v>
      </c>
      <c r="L2245" s="9" t="n">
        <v>2612.73</v>
      </c>
      <c r="M2245" s="9" t="n">
        <v>2454.97</v>
      </c>
      <c r="N2245" s="9" t="n">
        <v>2388.62</v>
      </c>
      <c r="O2245" s="9" t="n">
        <v>2586.4</v>
      </c>
      <c r="P2245" s="9" t="n">
        <v>2586.02</v>
      </c>
      <c r="Q2245" s="9" t="n">
        <v>2268.42</v>
      </c>
      <c r="R2245" s="9" t="n">
        <v>2604.5</v>
      </c>
      <c r="S2245" s="9" t="n">
        <v>2278.07</v>
      </c>
      <c r="T2245" s="9" t="n">
        <v>2537.37</v>
      </c>
      <c r="U2245" s="10">
        <f>SUM(I2245:T2245)</f>
        <v/>
      </c>
    </row>
    <row r="2246">
      <c r="A2246" s="2" t="inlineStr">
        <is>
          <t>SN-3000-3600-3630-3630PU0252</t>
        </is>
      </c>
      <c r="B2246" s="2" t="inlineStr">
        <is>
          <t>3630PU0252</t>
        </is>
      </c>
      <c r="C2246" s="2" t="inlineStr">
        <is>
          <t>Bomba filtrado relaves</t>
        </is>
      </c>
      <c r="D2246" s="2" t="n">
        <v>749</v>
      </c>
      <c r="E2246" s="2" t="inlineStr">
        <is>
          <t>CC-3000</t>
        </is>
      </c>
      <c r="F2246" s="2" t="inlineStr">
        <is>
          <t>P01</t>
        </is>
      </c>
      <c r="G2246" s="2" t="n">
        <v>610000</v>
      </c>
      <c r="H2246" s="2" t="inlineStr">
        <is>
          <t>Mano obra interna</t>
        </is>
      </c>
      <c r="I2246" s="9" t="n">
        <v>1292.93</v>
      </c>
      <c r="J2246" s="9" t="n">
        <v>1117.77</v>
      </c>
      <c r="K2246" s="9" t="n">
        <v>1184.87</v>
      </c>
      <c r="L2246" s="9" t="n">
        <v>1174.98</v>
      </c>
      <c r="M2246" s="9" t="n">
        <v>1229.63</v>
      </c>
      <c r="N2246" s="9" t="n">
        <v>1059.8</v>
      </c>
      <c r="O2246" s="9" t="n">
        <v>1176.62</v>
      </c>
      <c r="P2246" s="9" t="n">
        <v>1169.89</v>
      </c>
      <c r="Q2246" s="9" t="n">
        <v>1027.31</v>
      </c>
      <c r="R2246" s="9" t="n">
        <v>1259.15</v>
      </c>
      <c r="S2246" s="9" t="n">
        <v>1149.12</v>
      </c>
      <c r="T2246" s="9" t="n">
        <v>1118.43</v>
      </c>
      <c r="U2246" s="10">
        <f>SUM(I2246:T2246)</f>
        <v/>
      </c>
    </row>
    <row r="2247">
      <c r="A2247" s="2" t="inlineStr">
        <is>
          <t>SN-3000-3600-3630-3630PU0252</t>
        </is>
      </c>
      <c r="B2247" s="2" t="inlineStr">
        <is>
          <t>3630PU0252</t>
        </is>
      </c>
      <c r="C2247" s="2" t="inlineStr">
        <is>
          <t>Bomba filtrado relaves</t>
        </is>
      </c>
      <c r="D2247" s="2" t="n">
        <v>749</v>
      </c>
      <c r="E2247" s="2" t="inlineStr">
        <is>
          <t>CC-3000</t>
        </is>
      </c>
      <c r="F2247" s="2" t="inlineStr">
        <is>
          <t>P01</t>
        </is>
      </c>
      <c r="G2247" s="2" t="n">
        <v>620000</v>
      </c>
      <c r="H2247" s="2" t="inlineStr">
        <is>
          <t>Materiales</t>
        </is>
      </c>
      <c r="I2247" s="9" t="n">
        <v>1224.26</v>
      </c>
      <c r="J2247" s="9" t="n">
        <v>1184.56</v>
      </c>
      <c r="K2247" s="9" t="n">
        <v>1158.36</v>
      </c>
      <c r="L2247" s="9" t="n">
        <v>1144.56</v>
      </c>
      <c r="M2247" s="9" t="n">
        <v>1067.67</v>
      </c>
      <c r="N2247" s="9" t="n">
        <v>1153.05</v>
      </c>
      <c r="O2247" s="9" t="n">
        <v>1077.3</v>
      </c>
      <c r="P2247" s="9" t="n">
        <v>1107.92</v>
      </c>
      <c r="Q2247" s="9" t="n">
        <v>957.24</v>
      </c>
      <c r="R2247" s="9" t="n">
        <v>1175.72</v>
      </c>
      <c r="S2247" s="9" t="n">
        <v>1007.34</v>
      </c>
      <c r="T2247" s="9" t="n">
        <v>1177.99</v>
      </c>
      <c r="U2247" s="10">
        <f>SUM(I2247:T2247)</f>
        <v/>
      </c>
    </row>
    <row r="2248">
      <c r="A2248" s="2" t="inlineStr">
        <is>
          <t>SN-3000-3600-3630-3630PU0252</t>
        </is>
      </c>
      <c r="B2248" s="2" t="inlineStr">
        <is>
          <t>3630PU0252</t>
        </is>
      </c>
      <c r="C2248" s="2" t="inlineStr">
        <is>
          <t>Bomba filtrado relaves</t>
        </is>
      </c>
      <c r="D2248" s="2" t="n">
        <v>749</v>
      </c>
      <c r="E2248" s="2" t="inlineStr">
        <is>
          <t>CC-3000</t>
        </is>
      </c>
      <c r="F2248" s="2" t="inlineStr">
        <is>
          <t>P01</t>
        </is>
      </c>
      <c r="G2248" s="2" t="n">
        <v>630000</v>
      </c>
      <c r="H2248" s="2" t="inlineStr">
        <is>
          <t>Servicios externos</t>
        </is>
      </c>
      <c r="I2248" s="9" t="n">
        <v>1177.38</v>
      </c>
      <c r="J2248" s="9" t="n">
        <v>1084.55</v>
      </c>
      <c r="K2248" s="9" t="n">
        <v>1235.51</v>
      </c>
      <c r="L2248" s="9" t="n">
        <v>1072.69</v>
      </c>
      <c r="M2248" s="9" t="n">
        <v>1098.33</v>
      </c>
      <c r="N2248" s="9" t="n">
        <v>1117.9</v>
      </c>
      <c r="O2248" s="9" t="n">
        <v>1215.14</v>
      </c>
      <c r="P2248" s="9" t="n">
        <v>1090.94</v>
      </c>
      <c r="Q2248" s="9" t="n">
        <v>1068.34</v>
      </c>
      <c r="R2248" s="9" t="n">
        <v>1237.06</v>
      </c>
      <c r="S2248" s="9" t="n">
        <v>1169.84</v>
      </c>
      <c r="T2248" s="9" t="n">
        <v>1073.88</v>
      </c>
      <c r="U2248" s="10">
        <f>SUM(I2248:T2248)</f>
        <v/>
      </c>
    </row>
    <row r="2249">
      <c r="A2249" s="2" t="inlineStr">
        <is>
          <t>SN-3000-3600-3630-3630PU0261</t>
        </is>
      </c>
      <c r="B2249" s="2" t="inlineStr">
        <is>
          <t>3630PU0261</t>
        </is>
      </c>
      <c r="C2249" s="2" t="inlineStr">
        <is>
          <t>Bomba agua de sello</t>
        </is>
      </c>
      <c r="D2249" s="2" t="n">
        <v>750</v>
      </c>
      <c r="E2249" s="2" t="inlineStr">
        <is>
          <t>CC-3000</t>
        </is>
      </c>
      <c r="F2249" s="2" t="inlineStr">
        <is>
          <t>P01</t>
        </is>
      </c>
      <c r="G2249" s="2" t="n">
        <v>610000</v>
      </c>
      <c r="H2249" s="2" t="inlineStr">
        <is>
          <t>Mano obra interna</t>
        </is>
      </c>
      <c r="I2249" s="9" t="n">
        <v>2461.54</v>
      </c>
      <c r="J2249" s="9" t="n">
        <v>2310.34</v>
      </c>
      <c r="K2249" s="9" t="n">
        <v>2472.71</v>
      </c>
      <c r="L2249" s="9" t="n">
        <v>2794.27</v>
      </c>
      <c r="M2249" s="9" t="n">
        <v>2399.36</v>
      </c>
      <c r="N2249" s="9" t="n">
        <v>2597.79</v>
      </c>
      <c r="O2249" s="9" t="n">
        <v>2421.63</v>
      </c>
      <c r="P2249" s="9" t="n">
        <v>2713.61</v>
      </c>
      <c r="Q2249" s="9" t="n">
        <v>2423.24</v>
      </c>
      <c r="R2249" s="9" t="n">
        <v>2570.03</v>
      </c>
      <c r="S2249" s="9" t="n">
        <v>2491.44</v>
      </c>
      <c r="T2249" s="9" t="n">
        <v>2503.19</v>
      </c>
      <c r="U2249" s="10">
        <f>SUM(I2249:T2249)</f>
        <v/>
      </c>
    </row>
    <row r="2250">
      <c r="A2250" s="2" t="inlineStr">
        <is>
          <t>SN-3000-3600-3630-3630PU0261</t>
        </is>
      </c>
      <c r="B2250" s="2" t="inlineStr">
        <is>
          <t>3630PU0261</t>
        </is>
      </c>
      <c r="C2250" s="2" t="inlineStr">
        <is>
          <t>Bomba agua de sello</t>
        </is>
      </c>
      <c r="D2250" s="2" t="n">
        <v>750</v>
      </c>
      <c r="E2250" s="2" t="inlineStr">
        <is>
          <t>CC-3000</t>
        </is>
      </c>
      <c r="F2250" s="2" t="inlineStr">
        <is>
          <t>P01</t>
        </is>
      </c>
      <c r="G2250" s="2" t="n">
        <v>620000</v>
      </c>
      <c r="H2250" s="2" t="inlineStr">
        <is>
          <t>Materiales</t>
        </is>
      </c>
      <c r="I2250" s="9" t="n">
        <v>2440.47</v>
      </c>
      <c r="J2250" s="9" t="n">
        <v>2347.79</v>
      </c>
      <c r="K2250" s="9" t="n">
        <v>2555.5</v>
      </c>
      <c r="L2250" s="9" t="n">
        <v>2572.88</v>
      </c>
      <c r="M2250" s="9" t="n">
        <v>2323.48</v>
      </c>
      <c r="N2250" s="9" t="n">
        <v>2464.39</v>
      </c>
      <c r="O2250" s="9" t="n">
        <v>2584.24</v>
      </c>
      <c r="P2250" s="9" t="n">
        <v>2234.68</v>
      </c>
      <c r="Q2250" s="9" t="n">
        <v>2072.5</v>
      </c>
      <c r="R2250" s="9" t="n">
        <v>2571.83</v>
      </c>
      <c r="S2250" s="9" t="n">
        <v>2370.54</v>
      </c>
      <c r="T2250" s="9" t="n">
        <v>2362.53</v>
      </c>
      <c r="U2250" s="10">
        <f>SUM(I2250:T2250)</f>
        <v/>
      </c>
    </row>
    <row r="2251">
      <c r="A2251" s="2" t="inlineStr">
        <is>
          <t>SN-3000-3600-3630-3630PU0261</t>
        </is>
      </c>
      <c r="B2251" s="2" t="inlineStr">
        <is>
          <t>3630PU0261</t>
        </is>
      </c>
      <c r="C2251" s="2" t="inlineStr">
        <is>
          <t>Bomba agua de sello</t>
        </is>
      </c>
      <c r="D2251" s="2" t="n">
        <v>750</v>
      </c>
      <c r="E2251" s="2" t="inlineStr">
        <is>
          <t>CC-3000</t>
        </is>
      </c>
      <c r="F2251" s="2" t="inlineStr">
        <is>
          <t>P01</t>
        </is>
      </c>
      <c r="G2251" s="2" t="n">
        <v>630000</v>
      </c>
      <c r="H2251" s="2" t="inlineStr">
        <is>
          <t>Servicios externos</t>
        </is>
      </c>
      <c r="I2251" s="9" t="n">
        <v>2458.95</v>
      </c>
      <c r="J2251" s="9" t="n">
        <v>2343.98</v>
      </c>
      <c r="K2251" s="9" t="n">
        <v>2287.35</v>
      </c>
      <c r="L2251" s="9" t="n">
        <v>2540.79</v>
      </c>
      <c r="M2251" s="9" t="n">
        <v>2384.43</v>
      </c>
      <c r="N2251" s="9" t="n">
        <v>2189.8</v>
      </c>
      <c r="O2251" s="9" t="n">
        <v>2411.81</v>
      </c>
      <c r="P2251" s="9" t="n">
        <v>2195.13</v>
      </c>
      <c r="Q2251" s="9" t="n">
        <v>2168.96</v>
      </c>
      <c r="R2251" s="9" t="n">
        <v>2391.82</v>
      </c>
      <c r="S2251" s="9" t="n">
        <v>2100.78</v>
      </c>
      <c r="T2251" s="9" t="n">
        <v>2315.2</v>
      </c>
      <c r="U2251" s="10">
        <f>SUM(I2251:T2251)</f>
        <v/>
      </c>
    </row>
    <row r="2252">
      <c r="A2252" s="2" t="inlineStr">
        <is>
          <t>SN-3000-3600-3630-3630PU0262</t>
        </is>
      </c>
      <c r="B2252" s="2" t="inlineStr">
        <is>
          <t>3630PU0262</t>
        </is>
      </c>
      <c r="C2252" s="2" t="inlineStr">
        <is>
          <t>Bomba agua de sello</t>
        </is>
      </c>
      <c r="D2252" s="2" t="n">
        <v>751</v>
      </c>
      <c r="E2252" s="2" t="inlineStr">
        <is>
          <t>CC-3000</t>
        </is>
      </c>
      <c r="F2252" s="2" t="inlineStr">
        <is>
          <t>P01</t>
        </is>
      </c>
      <c r="G2252" s="2" t="n">
        <v>610000</v>
      </c>
      <c r="H2252" s="2" t="inlineStr">
        <is>
          <t>Mano obra interna</t>
        </is>
      </c>
      <c r="I2252" s="9" t="n">
        <v>1536.09</v>
      </c>
      <c r="J2252" s="9" t="n">
        <v>1491.35</v>
      </c>
      <c r="K2252" s="9" t="n">
        <v>1434.43</v>
      </c>
      <c r="L2252" s="9" t="n">
        <v>1391.2</v>
      </c>
      <c r="M2252" s="9" t="n">
        <v>1526.32</v>
      </c>
      <c r="N2252" s="9" t="n">
        <v>1296.31</v>
      </c>
      <c r="O2252" s="9" t="n">
        <v>1437.1</v>
      </c>
      <c r="P2252" s="9" t="n">
        <v>1470.87</v>
      </c>
      <c r="Q2252" s="9" t="n">
        <v>1441.33</v>
      </c>
      <c r="R2252" s="9" t="n">
        <v>1674.85</v>
      </c>
      <c r="S2252" s="9" t="n">
        <v>1477.53</v>
      </c>
      <c r="T2252" s="9" t="n">
        <v>1434.65</v>
      </c>
      <c r="U2252" s="10">
        <f>SUM(I2252:T2252)</f>
        <v/>
      </c>
    </row>
    <row r="2253">
      <c r="A2253" s="2" t="inlineStr">
        <is>
          <t>SN-3000-3600-3630-3630PU0262</t>
        </is>
      </c>
      <c r="B2253" s="2" t="inlineStr">
        <is>
          <t>3630PU0262</t>
        </is>
      </c>
      <c r="C2253" s="2" t="inlineStr">
        <is>
          <t>Bomba agua de sello</t>
        </is>
      </c>
      <c r="D2253" s="2" t="n">
        <v>751</v>
      </c>
      <c r="E2253" s="2" t="inlineStr">
        <is>
          <t>CC-3000</t>
        </is>
      </c>
      <c r="F2253" s="2" t="inlineStr">
        <is>
          <t>P01</t>
        </is>
      </c>
      <c r="G2253" s="2" t="n">
        <v>620000</v>
      </c>
      <c r="H2253" s="2" t="inlineStr">
        <is>
          <t>Materiales</t>
        </is>
      </c>
      <c r="I2253" s="9" t="n">
        <v>1660.57</v>
      </c>
      <c r="J2253" s="9" t="n">
        <v>1593.5</v>
      </c>
      <c r="K2253" s="9" t="n">
        <v>1762.26</v>
      </c>
      <c r="L2253" s="9" t="n">
        <v>1782.38</v>
      </c>
      <c r="M2253" s="9" t="n">
        <v>1557.9</v>
      </c>
      <c r="N2253" s="9" t="n">
        <v>1506.83</v>
      </c>
      <c r="O2253" s="9" t="n">
        <v>1773.31</v>
      </c>
      <c r="P2253" s="9" t="n">
        <v>1791.6</v>
      </c>
      <c r="Q2253" s="9" t="n">
        <v>1604.6</v>
      </c>
      <c r="R2253" s="9" t="n">
        <v>1807.56</v>
      </c>
      <c r="S2253" s="9" t="n">
        <v>1731.96</v>
      </c>
      <c r="T2253" s="9" t="n">
        <v>1783.59</v>
      </c>
      <c r="U2253" s="10">
        <f>SUM(I2253:T2253)</f>
        <v/>
      </c>
    </row>
    <row r="2254">
      <c r="A2254" s="2" t="inlineStr">
        <is>
          <t>SN-3000-3600-3630-3630PU0262</t>
        </is>
      </c>
      <c r="B2254" s="2" t="inlineStr">
        <is>
          <t>3630PU0262</t>
        </is>
      </c>
      <c r="C2254" s="2" t="inlineStr">
        <is>
          <t>Bomba agua de sello</t>
        </is>
      </c>
      <c r="D2254" s="2" t="n">
        <v>751</v>
      </c>
      <c r="E2254" s="2" t="inlineStr">
        <is>
          <t>CC-3000</t>
        </is>
      </c>
      <c r="F2254" s="2" t="inlineStr">
        <is>
          <t>P01</t>
        </is>
      </c>
      <c r="G2254" s="2" t="n">
        <v>630000</v>
      </c>
      <c r="H2254" s="2" t="inlineStr">
        <is>
          <t>Servicios externos</t>
        </is>
      </c>
      <c r="I2254" s="9" t="n">
        <v>1639.23</v>
      </c>
      <c r="J2254" s="9" t="n">
        <v>1549.72</v>
      </c>
      <c r="K2254" s="9" t="n">
        <v>1683.56</v>
      </c>
      <c r="L2254" s="9" t="n">
        <v>1632.25</v>
      </c>
      <c r="M2254" s="9" t="n">
        <v>1594.26</v>
      </c>
      <c r="N2254" s="9" t="n">
        <v>1584.76</v>
      </c>
      <c r="O2254" s="9" t="n">
        <v>1566.61</v>
      </c>
      <c r="P2254" s="9" t="n">
        <v>1733.15</v>
      </c>
      <c r="Q2254" s="9" t="n">
        <v>1451.86</v>
      </c>
      <c r="R2254" s="9" t="n">
        <v>1777.69</v>
      </c>
      <c r="S2254" s="9" t="n">
        <v>1663.63</v>
      </c>
      <c r="T2254" s="9" t="n">
        <v>1673.97</v>
      </c>
      <c r="U2254" s="10">
        <f>SUM(I2254:T2254)</f>
        <v/>
      </c>
    </row>
    <row r="2255">
      <c r="A2255" s="2" t="inlineStr">
        <is>
          <t>SN-3000-3600-3630-3630PU0291</t>
        </is>
      </c>
      <c r="B2255" s="2" t="inlineStr">
        <is>
          <t>3630PU0291</t>
        </is>
      </c>
      <c r="C2255" s="2" t="inlineStr">
        <is>
          <t>Bomba sumidero filtros relaves</t>
        </is>
      </c>
      <c r="D2255" s="2" t="n">
        <v>752</v>
      </c>
      <c r="E2255" s="2" t="inlineStr">
        <is>
          <t>CC-3000</t>
        </is>
      </c>
      <c r="F2255" s="2" t="inlineStr">
        <is>
          <t>P01</t>
        </is>
      </c>
      <c r="G2255" s="2" t="n">
        <v>610000</v>
      </c>
      <c r="H2255" s="2" t="inlineStr">
        <is>
          <t>Mano obra interna</t>
        </is>
      </c>
      <c r="I2255" s="9" t="n">
        <v>781.45</v>
      </c>
      <c r="J2255" s="9" t="n">
        <v>799.17</v>
      </c>
      <c r="K2255" s="9" t="n">
        <v>855.11</v>
      </c>
      <c r="L2255" s="9" t="n">
        <v>802</v>
      </c>
      <c r="M2255" s="9" t="n">
        <v>796.34</v>
      </c>
      <c r="N2255" s="9" t="n">
        <v>677.73</v>
      </c>
      <c r="O2255" s="9" t="n">
        <v>815.72</v>
      </c>
      <c r="P2255" s="9" t="n">
        <v>823.8</v>
      </c>
      <c r="Q2255" s="9" t="n">
        <v>724.05</v>
      </c>
      <c r="R2255" s="9" t="n">
        <v>862.51</v>
      </c>
      <c r="S2255" s="9" t="n">
        <v>745.55</v>
      </c>
      <c r="T2255" s="9" t="n">
        <v>753.3099999999999</v>
      </c>
      <c r="U2255" s="10">
        <f>SUM(I2255:T2255)</f>
        <v/>
      </c>
    </row>
    <row r="2256">
      <c r="A2256" s="2" t="inlineStr">
        <is>
          <t>SN-3000-3600-3630-3630PU0291</t>
        </is>
      </c>
      <c r="B2256" s="2" t="inlineStr">
        <is>
          <t>3630PU0291</t>
        </is>
      </c>
      <c r="C2256" s="2" t="inlineStr">
        <is>
          <t>Bomba sumidero filtros relaves</t>
        </is>
      </c>
      <c r="D2256" s="2" t="n">
        <v>752</v>
      </c>
      <c r="E2256" s="2" t="inlineStr">
        <is>
          <t>CC-3000</t>
        </is>
      </c>
      <c r="F2256" s="2" t="inlineStr">
        <is>
          <t>P01</t>
        </is>
      </c>
      <c r="G2256" s="2" t="n">
        <v>620000</v>
      </c>
      <c r="H2256" s="2" t="inlineStr">
        <is>
          <t>Materiales</t>
        </is>
      </c>
      <c r="I2256" s="9" t="n">
        <v>888.27</v>
      </c>
      <c r="J2256" s="9" t="n">
        <v>854.6</v>
      </c>
      <c r="K2256" s="9" t="n">
        <v>906.47</v>
      </c>
      <c r="L2256" s="9" t="n">
        <v>925.63</v>
      </c>
      <c r="M2256" s="9" t="n">
        <v>879.46</v>
      </c>
      <c r="N2256" s="9" t="n">
        <v>781.35</v>
      </c>
      <c r="O2256" s="9" t="n">
        <v>852.6900000000001</v>
      </c>
      <c r="P2256" s="9" t="n">
        <v>922.01</v>
      </c>
      <c r="Q2256" s="9" t="n">
        <v>804.59</v>
      </c>
      <c r="R2256" s="9" t="n">
        <v>988.85</v>
      </c>
      <c r="S2256" s="9" t="n">
        <v>871.08</v>
      </c>
      <c r="T2256" s="9" t="n">
        <v>892.6799999999999</v>
      </c>
      <c r="U2256" s="10">
        <f>SUM(I2256:T2256)</f>
        <v/>
      </c>
    </row>
    <row r="2257">
      <c r="A2257" s="2" t="inlineStr">
        <is>
          <t>SN-3000-3600-3630-3630PU0291</t>
        </is>
      </c>
      <c r="B2257" s="2" t="inlineStr">
        <is>
          <t>3630PU0291</t>
        </is>
      </c>
      <c r="C2257" s="2" t="inlineStr">
        <is>
          <t>Bomba sumidero filtros relaves</t>
        </is>
      </c>
      <c r="D2257" s="2" t="n">
        <v>752</v>
      </c>
      <c r="E2257" s="2" t="inlineStr">
        <is>
          <t>CC-3000</t>
        </is>
      </c>
      <c r="F2257" s="2" t="inlineStr">
        <is>
          <t>P01</t>
        </is>
      </c>
      <c r="G2257" s="2" t="n">
        <v>630000</v>
      </c>
      <c r="H2257" s="2" t="inlineStr">
        <is>
          <t>Servicios externos</t>
        </is>
      </c>
      <c r="I2257" s="9" t="n">
        <v>747.88</v>
      </c>
      <c r="J2257" s="9" t="n">
        <v>761.92</v>
      </c>
      <c r="K2257" s="9" t="n">
        <v>771.8</v>
      </c>
      <c r="L2257" s="9" t="n">
        <v>809.9</v>
      </c>
      <c r="M2257" s="9" t="n">
        <v>779.65</v>
      </c>
      <c r="N2257" s="9" t="n">
        <v>701.3200000000001</v>
      </c>
      <c r="O2257" s="9" t="n">
        <v>781.17</v>
      </c>
      <c r="P2257" s="9" t="n">
        <v>755.0599999999999</v>
      </c>
      <c r="Q2257" s="9" t="n">
        <v>684.1</v>
      </c>
      <c r="R2257" s="9" t="n">
        <v>804.24</v>
      </c>
      <c r="S2257" s="9" t="n">
        <v>778.4400000000001</v>
      </c>
      <c r="T2257" s="9" t="n">
        <v>750.26</v>
      </c>
      <c r="U2257" s="10">
        <f>SUM(I2257:T2257)</f>
        <v/>
      </c>
    </row>
    <row r="2258">
      <c r="A2258" s="2" t="inlineStr">
        <is>
          <t>SN-3000-3600-3630-3630PU0292</t>
        </is>
      </c>
      <c r="B2258" s="2" t="inlineStr">
        <is>
          <t>3630PU0292</t>
        </is>
      </c>
      <c r="C2258" s="2" t="inlineStr">
        <is>
          <t>Bomba sumidero filtro relaves</t>
        </is>
      </c>
      <c r="D2258" s="2" t="n">
        <v>753</v>
      </c>
      <c r="E2258" s="2" t="inlineStr">
        <is>
          <t>CC-3000</t>
        </is>
      </c>
      <c r="F2258" s="2" t="inlineStr">
        <is>
          <t>P01</t>
        </is>
      </c>
      <c r="G2258" s="2" t="n">
        <v>610000</v>
      </c>
      <c r="H2258" s="2" t="inlineStr">
        <is>
          <t>Mano obra interna</t>
        </is>
      </c>
      <c r="I2258" s="9" t="n">
        <v>785.7</v>
      </c>
      <c r="J2258" s="9" t="n">
        <v>740.96</v>
      </c>
      <c r="K2258" s="9" t="n">
        <v>819.1</v>
      </c>
      <c r="L2258" s="9" t="n">
        <v>760.28</v>
      </c>
      <c r="M2258" s="9" t="n">
        <v>819.8200000000001</v>
      </c>
      <c r="N2258" s="9" t="n">
        <v>720.62</v>
      </c>
      <c r="O2258" s="9" t="n">
        <v>801.08</v>
      </c>
      <c r="P2258" s="9" t="n">
        <v>740.5</v>
      </c>
      <c r="Q2258" s="9" t="n">
        <v>790.04</v>
      </c>
      <c r="R2258" s="9" t="n">
        <v>844</v>
      </c>
      <c r="S2258" s="9" t="n">
        <v>802.51</v>
      </c>
      <c r="T2258" s="9" t="n">
        <v>834.45</v>
      </c>
      <c r="U2258" s="10">
        <f>SUM(I2258:T2258)</f>
        <v/>
      </c>
    </row>
    <row r="2259">
      <c r="A2259" s="2" t="inlineStr">
        <is>
          <t>SN-3000-3600-3630-3630PU0292</t>
        </is>
      </c>
      <c r="B2259" s="2" t="inlineStr">
        <is>
          <t>3630PU0292</t>
        </is>
      </c>
      <c r="C2259" s="2" t="inlineStr">
        <is>
          <t>Bomba sumidero filtro relaves</t>
        </is>
      </c>
      <c r="D2259" s="2" t="n">
        <v>753</v>
      </c>
      <c r="E2259" s="2" t="inlineStr">
        <is>
          <t>CC-3000</t>
        </is>
      </c>
      <c r="F2259" s="2" t="inlineStr">
        <is>
          <t>P01</t>
        </is>
      </c>
      <c r="G2259" s="2" t="n">
        <v>620000</v>
      </c>
      <c r="H2259" s="2" t="inlineStr">
        <is>
          <t>Materiales</t>
        </is>
      </c>
      <c r="I2259" s="9" t="n">
        <v>939.6900000000001</v>
      </c>
      <c r="J2259" s="9" t="n">
        <v>806.37</v>
      </c>
      <c r="K2259" s="9" t="n">
        <v>928.13</v>
      </c>
      <c r="L2259" s="9" t="n">
        <v>860.47</v>
      </c>
      <c r="M2259" s="9" t="n">
        <v>905.23</v>
      </c>
      <c r="N2259" s="9" t="n">
        <v>897.39</v>
      </c>
      <c r="O2259" s="9" t="n">
        <v>931.29</v>
      </c>
      <c r="P2259" s="9" t="n">
        <v>820.1799999999999</v>
      </c>
      <c r="Q2259" s="9" t="n">
        <v>797.23</v>
      </c>
      <c r="R2259" s="9" t="n">
        <v>922.8099999999999</v>
      </c>
      <c r="S2259" s="9" t="n">
        <v>795.58</v>
      </c>
      <c r="T2259" s="9" t="n">
        <v>830.59</v>
      </c>
      <c r="U2259" s="10">
        <f>SUM(I2259:T2259)</f>
        <v/>
      </c>
    </row>
    <row r="2260">
      <c r="A2260" s="2" t="inlineStr">
        <is>
          <t>SN-3000-3600-3630-3630PU0292</t>
        </is>
      </c>
      <c r="B2260" s="2" t="inlineStr">
        <is>
          <t>3630PU0292</t>
        </is>
      </c>
      <c r="C2260" s="2" t="inlineStr">
        <is>
          <t>Bomba sumidero filtro relaves</t>
        </is>
      </c>
      <c r="D2260" s="2" t="n">
        <v>753</v>
      </c>
      <c r="E2260" s="2" t="inlineStr">
        <is>
          <t>CC-3000</t>
        </is>
      </c>
      <c r="F2260" s="2" t="inlineStr">
        <is>
          <t>P01</t>
        </is>
      </c>
      <c r="G2260" s="2" t="n">
        <v>630000</v>
      </c>
      <c r="H2260" s="2" t="inlineStr">
        <is>
          <t>Servicios externos</t>
        </is>
      </c>
      <c r="I2260" s="9" t="n">
        <v>852.8</v>
      </c>
      <c r="J2260" s="9" t="n">
        <v>771.1</v>
      </c>
      <c r="K2260" s="9" t="n">
        <v>814.48</v>
      </c>
      <c r="L2260" s="9" t="n">
        <v>787.8099999999999</v>
      </c>
      <c r="M2260" s="9" t="n">
        <v>786.3099999999999</v>
      </c>
      <c r="N2260" s="9" t="n">
        <v>794.49</v>
      </c>
      <c r="O2260" s="9" t="n">
        <v>785.76</v>
      </c>
      <c r="P2260" s="9" t="n">
        <v>719.98</v>
      </c>
      <c r="Q2260" s="9" t="n">
        <v>720.0599999999999</v>
      </c>
      <c r="R2260" s="9" t="n">
        <v>900.99</v>
      </c>
      <c r="S2260" s="9" t="n">
        <v>736.17</v>
      </c>
      <c r="T2260" s="9" t="n">
        <v>797.72</v>
      </c>
      <c r="U2260" s="10">
        <f>SUM(I2260:T2260)</f>
        <v/>
      </c>
    </row>
    <row r="2261">
      <c r="A2261" s="2" t="inlineStr">
        <is>
          <t>SN-3000-3600-3630-3630PU0293</t>
        </is>
      </c>
      <c r="B2261" s="2" t="inlineStr">
        <is>
          <t>3630PU0293</t>
        </is>
      </c>
      <c r="C2261" s="2" t="inlineStr">
        <is>
          <t>Bomba sumidero filtro</t>
        </is>
      </c>
      <c r="D2261" s="2" t="n">
        <v>754</v>
      </c>
      <c r="E2261" s="2" t="inlineStr">
        <is>
          <t>CC-3000</t>
        </is>
      </c>
      <c r="F2261" s="2" t="inlineStr">
        <is>
          <t>P01</t>
        </is>
      </c>
      <c r="G2261" s="2" t="n">
        <v>610000</v>
      </c>
      <c r="H2261" s="2" t="inlineStr">
        <is>
          <t>Mano obra interna</t>
        </is>
      </c>
      <c r="I2261" s="9" t="n">
        <v>2007.73</v>
      </c>
      <c r="J2261" s="9" t="n">
        <v>2178.12</v>
      </c>
      <c r="K2261" s="9" t="n">
        <v>2083.78</v>
      </c>
      <c r="L2261" s="9" t="n">
        <v>2066.14</v>
      </c>
      <c r="M2261" s="9" t="n">
        <v>2027.68</v>
      </c>
      <c r="N2261" s="9" t="n">
        <v>2143.75</v>
      </c>
      <c r="O2261" s="9" t="n">
        <v>1948.65</v>
      </c>
      <c r="P2261" s="9" t="n">
        <v>2191.3</v>
      </c>
      <c r="Q2261" s="9" t="n">
        <v>1893.06</v>
      </c>
      <c r="R2261" s="9" t="n">
        <v>2375.98</v>
      </c>
      <c r="S2261" s="9" t="n">
        <v>2178.81</v>
      </c>
      <c r="T2261" s="9" t="n">
        <v>2066.23</v>
      </c>
      <c r="U2261" s="10">
        <f>SUM(I2261:T2261)</f>
        <v/>
      </c>
    </row>
    <row r="2262">
      <c r="A2262" s="2" t="inlineStr">
        <is>
          <t>SN-3000-3600-3630-3630PU0293</t>
        </is>
      </c>
      <c r="B2262" s="2" t="inlineStr">
        <is>
          <t>3630PU0293</t>
        </is>
      </c>
      <c r="C2262" s="2" t="inlineStr">
        <is>
          <t>Bomba sumidero filtro</t>
        </is>
      </c>
      <c r="D2262" s="2" t="n">
        <v>754</v>
      </c>
      <c r="E2262" s="2" t="inlineStr">
        <is>
          <t>CC-3000</t>
        </is>
      </c>
      <c r="F2262" s="2" t="inlineStr">
        <is>
          <t>P01</t>
        </is>
      </c>
      <c r="G2262" s="2" t="n">
        <v>620000</v>
      </c>
      <c r="H2262" s="2" t="inlineStr">
        <is>
          <t>Materiales</t>
        </is>
      </c>
      <c r="I2262" s="9" t="n">
        <v>1994.23</v>
      </c>
      <c r="J2262" s="9" t="n">
        <v>2124.46</v>
      </c>
      <c r="K2262" s="9" t="n">
        <v>2015.51</v>
      </c>
      <c r="L2262" s="9" t="n">
        <v>2035.88</v>
      </c>
      <c r="M2262" s="9" t="n">
        <v>1952.99</v>
      </c>
      <c r="N2262" s="9" t="n">
        <v>1934.64</v>
      </c>
      <c r="O2262" s="9" t="n">
        <v>1931.18</v>
      </c>
      <c r="P2262" s="9" t="n">
        <v>2187.97</v>
      </c>
      <c r="Q2262" s="9" t="n">
        <v>2039.3</v>
      </c>
      <c r="R2262" s="9" t="n">
        <v>2202.7</v>
      </c>
      <c r="S2262" s="9" t="n">
        <v>2041.18</v>
      </c>
      <c r="T2262" s="9" t="n">
        <v>2149.87</v>
      </c>
      <c r="U2262" s="10">
        <f>SUM(I2262:T2262)</f>
        <v/>
      </c>
    </row>
    <row r="2263">
      <c r="A2263" s="2" t="inlineStr">
        <is>
          <t>SN-3000-3600-3630-3630PU0293</t>
        </is>
      </c>
      <c r="B2263" s="2" t="inlineStr">
        <is>
          <t>3630PU0293</t>
        </is>
      </c>
      <c r="C2263" s="2" t="inlineStr">
        <is>
          <t>Bomba sumidero filtro</t>
        </is>
      </c>
      <c r="D2263" s="2" t="n">
        <v>754</v>
      </c>
      <c r="E2263" s="2" t="inlineStr">
        <is>
          <t>CC-3000</t>
        </is>
      </c>
      <c r="F2263" s="2" t="inlineStr">
        <is>
          <t>P01</t>
        </is>
      </c>
      <c r="G2263" s="2" t="n">
        <v>630000</v>
      </c>
      <c r="H2263" s="2" t="inlineStr">
        <is>
          <t>Servicios externos</t>
        </is>
      </c>
      <c r="I2263" s="9" t="n">
        <v>2539.19</v>
      </c>
      <c r="J2263" s="9" t="n">
        <v>2445.63</v>
      </c>
      <c r="K2263" s="9" t="n">
        <v>2611.3</v>
      </c>
      <c r="L2263" s="9" t="n">
        <v>2616.1</v>
      </c>
      <c r="M2263" s="9" t="n">
        <v>2393.3</v>
      </c>
      <c r="N2263" s="9" t="n">
        <v>2305.89</v>
      </c>
      <c r="O2263" s="9" t="n">
        <v>2388.87</v>
      </c>
      <c r="P2263" s="9" t="n">
        <v>2496.64</v>
      </c>
      <c r="Q2263" s="9" t="n">
        <v>2256.13</v>
      </c>
      <c r="R2263" s="9" t="n">
        <v>2690.8</v>
      </c>
      <c r="S2263" s="9" t="n">
        <v>2363.85</v>
      </c>
      <c r="T2263" s="9" t="n">
        <v>2651.49</v>
      </c>
      <c r="U2263" s="10">
        <f>SUM(I2263:T2263)</f>
        <v/>
      </c>
    </row>
    <row r="2264">
      <c r="A2264" s="2" t="inlineStr">
        <is>
          <t>SN-3000-3600-3630-3630PU0295</t>
        </is>
      </c>
      <c r="B2264" s="2" t="inlineStr">
        <is>
          <t>3630PU0295</t>
        </is>
      </c>
      <c r="C2264" s="2" t="inlineStr">
        <is>
          <t>Bomba repulpeo relaves</t>
        </is>
      </c>
      <c r="D2264" s="2" t="n">
        <v>755</v>
      </c>
      <c r="E2264" s="2" t="inlineStr">
        <is>
          <t>CC-3000</t>
        </is>
      </c>
      <c r="F2264" s="2" t="inlineStr">
        <is>
          <t>P01</t>
        </is>
      </c>
      <c r="G2264" s="2" t="n">
        <v>610000</v>
      </c>
      <c r="H2264" s="2" t="inlineStr">
        <is>
          <t>Mano obra interna</t>
        </is>
      </c>
      <c r="I2264" s="9" t="n">
        <v>523.24</v>
      </c>
      <c r="J2264" s="9" t="n">
        <v>505.06</v>
      </c>
      <c r="K2264" s="9" t="n">
        <v>513.01</v>
      </c>
      <c r="L2264" s="9" t="n">
        <v>511.32</v>
      </c>
      <c r="M2264" s="9" t="n">
        <v>525.54</v>
      </c>
      <c r="N2264" s="9" t="n">
        <v>467.44</v>
      </c>
      <c r="O2264" s="9" t="n">
        <v>537.05</v>
      </c>
      <c r="P2264" s="9" t="n">
        <v>538.4299999999999</v>
      </c>
      <c r="Q2264" s="9" t="n">
        <v>483.04</v>
      </c>
      <c r="R2264" s="9" t="n">
        <v>570.29</v>
      </c>
      <c r="S2264" s="9" t="n">
        <v>499.38</v>
      </c>
      <c r="T2264" s="9" t="n">
        <v>516.3</v>
      </c>
      <c r="U2264" s="10">
        <f>SUM(I2264:T2264)</f>
        <v/>
      </c>
    </row>
    <row r="2265">
      <c r="A2265" s="2" t="inlineStr">
        <is>
          <t>SN-3000-3600-3630-3630PU0295</t>
        </is>
      </c>
      <c r="B2265" s="2" t="inlineStr">
        <is>
          <t>3630PU0295</t>
        </is>
      </c>
      <c r="C2265" s="2" t="inlineStr">
        <is>
          <t>Bomba repulpeo relaves</t>
        </is>
      </c>
      <c r="D2265" s="2" t="n">
        <v>755</v>
      </c>
      <c r="E2265" s="2" t="inlineStr">
        <is>
          <t>CC-3000</t>
        </is>
      </c>
      <c r="F2265" s="2" t="inlineStr">
        <is>
          <t>P01</t>
        </is>
      </c>
      <c r="G2265" s="2" t="n">
        <v>620000</v>
      </c>
      <c r="H2265" s="2" t="inlineStr">
        <is>
          <t>Materiales</t>
        </is>
      </c>
      <c r="I2265" s="9" t="n">
        <v>657.72</v>
      </c>
      <c r="J2265" s="9" t="n">
        <v>621.02</v>
      </c>
      <c r="K2265" s="9" t="n">
        <v>665.21</v>
      </c>
      <c r="L2265" s="9" t="n">
        <v>694.73</v>
      </c>
      <c r="M2265" s="9" t="n">
        <v>627.3200000000001</v>
      </c>
      <c r="N2265" s="9" t="n">
        <v>679.92</v>
      </c>
      <c r="O2265" s="9" t="n">
        <v>658.3</v>
      </c>
      <c r="P2265" s="9" t="n">
        <v>704.35</v>
      </c>
      <c r="Q2265" s="9" t="n">
        <v>596.4299999999999</v>
      </c>
      <c r="R2265" s="9" t="n">
        <v>698.33</v>
      </c>
      <c r="S2265" s="9" t="n">
        <v>600.61</v>
      </c>
      <c r="T2265" s="9" t="n">
        <v>651.16</v>
      </c>
      <c r="U2265" s="10">
        <f>SUM(I2265:T2265)</f>
        <v/>
      </c>
    </row>
    <row r="2266">
      <c r="A2266" s="2" t="inlineStr">
        <is>
          <t>SN-3000-3600-3630-3630PU0295</t>
        </is>
      </c>
      <c r="B2266" s="2" t="inlineStr">
        <is>
          <t>3630PU0295</t>
        </is>
      </c>
      <c r="C2266" s="2" t="inlineStr">
        <is>
          <t>Bomba repulpeo relaves</t>
        </is>
      </c>
      <c r="D2266" s="2" t="n">
        <v>755</v>
      </c>
      <c r="E2266" s="2" t="inlineStr">
        <is>
          <t>CC-3000</t>
        </is>
      </c>
      <c r="F2266" s="2" t="inlineStr">
        <is>
          <t>P01</t>
        </is>
      </c>
      <c r="G2266" s="2" t="n">
        <v>630000</v>
      </c>
      <c r="H2266" s="2" t="inlineStr">
        <is>
          <t>Servicios externos</t>
        </is>
      </c>
      <c r="I2266" s="9" t="n">
        <v>628.3</v>
      </c>
      <c r="J2266" s="9" t="n">
        <v>555.71</v>
      </c>
      <c r="K2266" s="9" t="n">
        <v>605.89</v>
      </c>
      <c r="L2266" s="9" t="n">
        <v>580.33</v>
      </c>
      <c r="M2266" s="9" t="n">
        <v>527.29</v>
      </c>
      <c r="N2266" s="9" t="n">
        <v>549.53</v>
      </c>
      <c r="O2266" s="9" t="n">
        <v>534.8</v>
      </c>
      <c r="P2266" s="9" t="n">
        <v>609.27</v>
      </c>
      <c r="Q2266" s="9" t="n">
        <v>556.4</v>
      </c>
      <c r="R2266" s="9" t="n">
        <v>607.49</v>
      </c>
      <c r="S2266" s="9" t="n">
        <v>568.59</v>
      </c>
      <c r="T2266" s="9" t="n">
        <v>546.8</v>
      </c>
      <c r="U2266" s="10">
        <f>SUM(I2266:T2266)</f>
        <v/>
      </c>
    </row>
    <row r="2267">
      <c r="A2267" s="2" t="inlineStr">
        <is>
          <t>SN-3000-3600-3630-3630PU0476</t>
        </is>
      </c>
      <c r="B2267" s="2" t="inlineStr">
        <is>
          <t>3630PU0476</t>
        </is>
      </c>
      <c r="C2267" s="2" t="inlineStr">
        <is>
          <t>Bomba impulsión filtrado</t>
        </is>
      </c>
      <c r="D2267" s="2" t="n">
        <v>756</v>
      </c>
      <c r="E2267" s="2" t="inlineStr">
        <is>
          <t>CC-3000</t>
        </is>
      </c>
      <c r="F2267" s="2" t="inlineStr">
        <is>
          <t>P01</t>
        </is>
      </c>
      <c r="G2267" s="2" t="n">
        <v>610000</v>
      </c>
      <c r="H2267" s="2" t="inlineStr">
        <is>
          <t>Mano obra interna</t>
        </is>
      </c>
      <c r="I2267" s="9" t="n">
        <v>651.65</v>
      </c>
      <c r="J2267" s="9" t="n">
        <v>628.58</v>
      </c>
      <c r="K2267" s="9" t="n">
        <v>604.59</v>
      </c>
      <c r="L2267" s="9" t="n">
        <v>596.9299999999999</v>
      </c>
      <c r="M2267" s="9" t="n">
        <v>602.77</v>
      </c>
      <c r="N2267" s="9" t="n">
        <v>623.76</v>
      </c>
      <c r="O2267" s="9" t="n">
        <v>648.13</v>
      </c>
      <c r="P2267" s="9" t="n">
        <v>592.92</v>
      </c>
      <c r="Q2267" s="9" t="n">
        <v>590.34</v>
      </c>
      <c r="R2267" s="9" t="n">
        <v>698.73</v>
      </c>
      <c r="S2267" s="9" t="n">
        <v>565.13</v>
      </c>
      <c r="T2267" s="9" t="n">
        <v>648.5599999999999</v>
      </c>
      <c r="U2267" s="10">
        <f>SUM(I2267:T2267)</f>
        <v/>
      </c>
    </row>
    <row r="2268">
      <c r="A2268" s="2" t="inlineStr">
        <is>
          <t>SN-3000-3600-3630-3630PU0476</t>
        </is>
      </c>
      <c r="B2268" s="2" t="inlineStr">
        <is>
          <t>3630PU0476</t>
        </is>
      </c>
      <c r="C2268" s="2" t="inlineStr">
        <is>
          <t>Bomba impulsión filtrado</t>
        </is>
      </c>
      <c r="D2268" s="2" t="n">
        <v>756</v>
      </c>
      <c r="E2268" s="2" t="inlineStr">
        <is>
          <t>CC-3000</t>
        </is>
      </c>
      <c r="F2268" s="2" t="inlineStr">
        <is>
          <t>P01</t>
        </is>
      </c>
      <c r="G2268" s="2" t="n">
        <v>620000</v>
      </c>
      <c r="H2268" s="2" t="inlineStr">
        <is>
          <t>Materiales</t>
        </is>
      </c>
      <c r="I2268" s="9" t="n">
        <v>530.5700000000001</v>
      </c>
      <c r="J2268" s="9" t="n">
        <v>499.73</v>
      </c>
      <c r="K2268" s="9" t="n">
        <v>550.59</v>
      </c>
      <c r="L2268" s="9" t="n">
        <v>574.78</v>
      </c>
      <c r="M2268" s="9" t="n">
        <v>529.95</v>
      </c>
      <c r="N2268" s="9" t="n">
        <v>478.97</v>
      </c>
      <c r="O2268" s="9" t="n">
        <v>512.16</v>
      </c>
      <c r="P2268" s="9" t="n">
        <v>538.0599999999999</v>
      </c>
      <c r="Q2268" s="9" t="n">
        <v>502.86</v>
      </c>
      <c r="R2268" s="9" t="n">
        <v>581.98</v>
      </c>
      <c r="S2268" s="9" t="n">
        <v>481.15</v>
      </c>
      <c r="T2268" s="9" t="n">
        <v>562.98</v>
      </c>
      <c r="U2268" s="10">
        <f>SUM(I2268:T2268)</f>
        <v/>
      </c>
    </row>
    <row r="2269">
      <c r="A2269" s="2" t="inlineStr">
        <is>
          <t>SN-3000-3600-3630-3630PU0476</t>
        </is>
      </c>
      <c r="B2269" s="2" t="inlineStr">
        <is>
          <t>3630PU0476</t>
        </is>
      </c>
      <c r="C2269" s="2" t="inlineStr">
        <is>
          <t>Bomba impulsión filtrado</t>
        </is>
      </c>
      <c r="D2269" s="2" t="n">
        <v>756</v>
      </c>
      <c r="E2269" s="2" t="inlineStr">
        <is>
          <t>CC-3000</t>
        </is>
      </c>
      <c r="F2269" s="2" t="inlineStr">
        <is>
          <t>P01</t>
        </is>
      </c>
      <c r="G2269" s="2" t="n">
        <v>630000</v>
      </c>
      <c r="H2269" s="2" t="inlineStr">
        <is>
          <t>Servicios externos</t>
        </is>
      </c>
      <c r="I2269" s="9" t="n">
        <v>638.67</v>
      </c>
      <c r="J2269" s="9" t="n">
        <v>636.65</v>
      </c>
      <c r="K2269" s="9" t="n">
        <v>687.02</v>
      </c>
      <c r="L2269" s="9" t="n">
        <v>652.91</v>
      </c>
      <c r="M2269" s="9" t="n">
        <v>635.35</v>
      </c>
      <c r="N2269" s="9" t="n">
        <v>618.29</v>
      </c>
      <c r="O2269" s="9" t="n">
        <v>600.91</v>
      </c>
      <c r="P2269" s="9" t="n">
        <v>632.36</v>
      </c>
      <c r="Q2269" s="9" t="n">
        <v>613.23</v>
      </c>
      <c r="R2269" s="9" t="n">
        <v>651.59</v>
      </c>
      <c r="S2269" s="9" t="n">
        <v>643.05</v>
      </c>
      <c r="T2269" s="9" t="n">
        <v>646.0599999999999</v>
      </c>
      <c r="U2269" s="10">
        <f>SUM(I2269:T2269)</f>
        <v/>
      </c>
    </row>
    <row r="2270">
      <c r="A2270" s="2" t="inlineStr">
        <is>
          <t>SN-3000-3600-3630-3630PU0477</t>
        </is>
      </c>
      <c r="B2270" s="2" t="inlineStr">
        <is>
          <t>3630PU0477</t>
        </is>
      </c>
      <c r="C2270" s="2" t="inlineStr">
        <is>
          <t>Bomba impulsión filtrado</t>
        </is>
      </c>
      <c r="D2270" s="2" t="n">
        <v>757</v>
      </c>
      <c r="E2270" s="2" t="inlineStr">
        <is>
          <t>CC-3000</t>
        </is>
      </c>
      <c r="F2270" s="2" t="inlineStr">
        <is>
          <t>P01</t>
        </is>
      </c>
      <c r="G2270" s="2" t="n">
        <v>610000</v>
      </c>
      <c r="H2270" s="2" t="inlineStr">
        <is>
          <t>Mano obra interna</t>
        </is>
      </c>
      <c r="I2270" s="9" t="n">
        <v>1519.21</v>
      </c>
      <c r="J2270" s="9" t="n">
        <v>1414.75</v>
      </c>
      <c r="K2270" s="9" t="n">
        <v>1587.03</v>
      </c>
      <c r="L2270" s="9" t="n">
        <v>1487.37</v>
      </c>
      <c r="M2270" s="9" t="n">
        <v>1537.04</v>
      </c>
      <c r="N2270" s="9" t="n">
        <v>1397.49</v>
      </c>
      <c r="O2270" s="9" t="n">
        <v>1497.54</v>
      </c>
      <c r="P2270" s="9" t="n">
        <v>1574.47</v>
      </c>
      <c r="Q2270" s="9" t="n">
        <v>1281.8</v>
      </c>
      <c r="R2270" s="9" t="n">
        <v>1633.49</v>
      </c>
      <c r="S2270" s="9" t="n">
        <v>1331.18</v>
      </c>
      <c r="T2270" s="9" t="n">
        <v>1561.39</v>
      </c>
      <c r="U2270" s="10">
        <f>SUM(I2270:T2270)</f>
        <v/>
      </c>
    </row>
    <row r="2271">
      <c r="A2271" s="2" t="inlineStr">
        <is>
          <t>SN-3000-3600-3630-3630PU0477</t>
        </is>
      </c>
      <c r="B2271" s="2" t="inlineStr">
        <is>
          <t>3630PU0477</t>
        </is>
      </c>
      <c r="C2271" s="2" t="inlineStr">
        <is>
          <t>Bomba impulsión filtrado</t>
        </is>
      </c>
      <c r="D2271" s="2" t="n">
        <v>757</v>
      </c>
      <c r="E2271" s="2" t="inlineStr">
        <is>
          <t>CC-3000</t>
        </is>
      </c>
      <c r="F2271" s="2" t="inlineStr">
        <is>
          <t>P01</t>
        </is>
      </c>
      <c r="G2271" s="2" t="n">
        <v>620000</v>
      </c>
      <c r="H2271" s="2" t="inlineStr">
        <is>
          <t>Materiales</t>
        </is>
      </c>
      <c r="I2271" s="9" t="n">
        <v>1666.51</v>
      </c>
      <c r="J2271" s="9" t="n">
        <v>1590.4</v>
      </c>
      <c r="K2271" s="9" t="n">
        <v>1466.75</v>
      </c>
      <c r="L2271" s="9" t="n">
        <v>1468.68</v>
      </c>
      <c r="M2271" s="9" t="n">
        <v>1534.19</v>
      </c>
      <c r="N2271" s="9" t="n">
        <v>1462.79</v>
      </c>
      <c r="O2271" s="9" t="n">
        <v>1445.29</v>
      </c>
      <c r="P2271" s="9" t="n">
        <v>1433.99</v>
      </c>
      <c r="Q2271" s="9" t="n">
        <v>1434.62</v>
      </c>
      <c r="R2271" s="9" t="n">
        <v>1526.44</v>
      </c>
      <c r="S2271" s="9" t="n">
        <v>1565.12</v>
      </c>
      <c r="T2271" s="9" t="n">
        <v>1624.25</v>
      </c>
      <c r="U2271" s="10">
        <f>SUM(I2271:T2271)</f>
        <v/>
      </c>
    </row>
    <row r="2272">
      <c r="A2272" s="2" t="inlineStr">
        <is>
          <t>SN-3000-3600-3630-3630PU0477</t>
        </is>
      </c>
      <c r="B2272" s="2" t="inlineStr">
        <is>
          <t>3630PU0477</t>
        </is>
      </c>
      <c r="C2272" s="2" t="inlineStr">
        <is>
          <t>Bomba impulsión filtrado</t>
        </is>
      </c>
      <c r="D2272" s="2" t="n">
        <v>757</v>
      </c>
      <c r="E2272" s="2" t="inlineStr">
        <is>
          <t>CC-3000</t>
        </is>
      </c>
      <c r="F2272" s="2" t="inlineStr">
        <is>
          <t>P01</t>
        </is>
      </c>
      <c r="G2272" s="2" t="n">
        <v>630000</v>
      </c>
      <c r="H2272" s="2" t="inlineStr">
        <is>
          <t>Servicios externos</t>
        </is>
      </c>
      <c r="I2272" s="9" t="n">
        <v>1530.13</v>
      </c>
      <c r="J2272" s="9" t="n">
        <v>1484.29</v>
      </c>
      <c r="K2272" s="9" t="n">
        <v>1689.47</v>
      </c>
      <c r="L2272" s="9" t="n">
        <v>1791.87</v>
      </c>
      <c r="M2272" s="9" t="n">
        <v>1567.33</v>
      </c>
      <c r="N2272" s="9" t="n">
        <v>1514.64</v>
      </c>
      <c r="O2272" s="9" t="n">
        <v>1530.32</v>
      </c>
      <c r="P2272" s="9" t="n">
        <v>1668.77</v>
      </c>
      <c r="Q2272" s="9" t="n">
        <v>1547.89</v>
      </c>
      <c r="R2272" s="9" t="n">
        <v>1640.35</v>
      </c>
      <c r="S2272" s="9" t="n">
        <v>1564.61</v>
      </c>
      <c r="T2272" s="9" t="n">
        <v>1692.9</v>
      </c>
      <c r="U2272" s="10">
        <f>SUM(I2272:T2272)</f>
        <v/>
      </c>
    </row>
    <row r="2273">
      <c r="A2273" s="2" t="inlineStr">
        <is>
          <t>SN-3000-3600-3630-3630PU0478</t>
        </is>
      </c>
      <c r="B2273" s="2" t="inlineStr">
        <is>
          <t>3630PU0478</t>
        </is>
      </c>
      <c r="C2273" s="2" t="inlineStr">
        <is>
          <t>Bomba impulsión filtrado</t>
        </is>
      </c>
      <c r="D2273" s="2" t="n">
        <v>758</v>
      </c>
      <c r="E2273" s="2" t="inlineStr">
        <is>
          <t>CC-3000</t>
        </is>
      </c>
      <c r="F2273" s="2" t="inlineStr">
        <is>
          <t>P01</t>
        </is>
      </c>
      <c r="G2273" s="2" t="n">
        <v>610000</v>
      </c>
      <c r="H2273" s="2" t="inlineStr">
        <is>
          <t>Mano obra interna</t>
        </is>
      </c>
      <c r="I2273" s="9" t="n">
        <v>990.1</v>
      </c>
      <c r="J2273" s="9" t="n">
        <v>976.3</v>
      </c>
      <c r="K2273" s="9" t="n">
        <v>1002.36</v>
      </c>
      <c r="L2273" s="9" t="n">
        <v>982.28</v>
      </c>
      <c r="M2273" s="9" t="n">
        <v>986.63</v>
      </c>
      <c r="N2273" s="9" t="n">
        <v>959.9299999999999</v>
      </c>
      <c r="O2273" s="9" t="n">
        <v>927.21</v>
      </c>
      <c r="P2273" s="9" t="n">
        <v>893.5700000000001</v>
      </c>
      <c r="Q2273" s="9" t="n">
        <v>923.01</v>
      </c>
      <c r="R2273" s="9" t="n">
        <v>970.96</v>
      </c>
      <c r="S2273" s="9" t="n">
        <v>976.12</v>
      </c>
      <c r="T2273" s="9" t="n">
        <v>884.47</v>
      </c>
      <c r="U2273" s="10">
        <f>SUM(I2273:T2273)</f>
        <v/>
      </c>
    </row>
    <row r="2274">
      <c r="A2274" s="2" t="inlineStr">
        <is>
          <t>SN-3000-3600-3630-3630PU0478</t>
        </is>
      </c>
      <c r="B2274" s="2" t="inlineStr">
        <is>
          <t>3630PU0478</t>
        </is>
      </c>
      <c r="C2274" s="2" t="inlineStr">
        <is>
          <t>Bomba impulsión filtrado</t>
        </is>
      </c>
      <c r="D2274" s="2" t="n">
        <v>758</v>
      </c>
      <c r="E2274" s="2" t="inlineStr">
        <is>
          <t>CC-3000</t>
        </is>
      </c>
      <c r="F2274" s="2" t="inlineStr">
        <is>
          <t>P01</t>
        </is>
      </c>
      <c r="G2274" s="2" t="n">
        <v>620000</v>
      </c>
      <c r="H2274" s="2" t="inlineStr">
        <is>
          <t>Materiales</t>
        </is>
      </c>
      <c r="I2274" s="9" t="n">
        <v>1070.84</v>
      </c>
      <c r="J2274" s="9" t="n">
        <v>1063.33</v>
      </c>
      <c r="K2274" s="9" t="n">
        <v>1049.62</v>
      </c>
      <c r="L2274" s="9" t="n">
        <v>1140.18</v>
      </c>
      <c r="M2274" s="9" t="n">
        <v>978.91</v>
      </c>
      <c r="N2274" s="9" t="n">
        <v>951.5</v>
      </c>
      <c r="O2274" s="9" t="n">
        <v>960.4299999999999</v>
      </c>
      <c r="P2274" s="9" t="n">
        <v>1106.28</v>
      </c>
      <c r="Q2274" s="9" t="n">
        <v>955.96</v>
      </c>
      <c r="R2274" s="9" t="n">
        <v>1146.53</v>
      </c>
      <c r="S2274" s="9" t="n">
        <v>1031.22</v>
      </c>
      <c r="T2274" s="9" t="n">
        <v>1112.47</v>
      </c>
      <c r="U2274" s="10">
        <f>SUM(I2274:T2274)</f>
        <v/>
      </c>
    </row>
    <row r="2275">
      <c r="A2275" s="2" t="inlineStr">
        <is>
          <t>SN-3000-3600-3630-3630PU0478</t>
        </is>
      </c>
      <c r="B2275" s="2" t="inlineStr">
        <is>
          <t>3630PU0478</t>
        </is>
      </c>
      <c r="C2275" s="2" t="inlineStr">
        <is>
          <t>Bomba impulsión filtrado</t>
        </is>
      </c>
      <c r="D2275" s="2" t="n">
        <v>758</v>
      </c>
      <c r="E2275" s="2" t="inlineStr">
        <is>
          <t>CC-3000</t>
        </is>
      </c>
      <c r="F2275" s="2" t="inlineStr">
        <is>
          <t>P01</t>
        </is>
      </c>
      <c r="G2275" s="2" t="n">
        <v>630000</v>
      </c>
      <c r="H2275" s="2" t="inlineStr">
        <is>
          <t>Servicios externos</t>
        </is>
      </c>
      <c r="I2275" s="9" t="n">
        <v>1006.38</v>
      </c>
      <c r="J2275" s="9" t="n">
        <v>993.71</v>
      </c>
      <c r="K2275" s="9" t="n">
        <v>1047.46</v>
      </c>
      <c r="L2275" s="9" t="n">
        <v>947.52</v>
      </c>
      <c r="M2275" s="9" t="n">
        <v>905.71</v>
      </c>
      <c r="N2275" s="9" t="n">
        <v>869.77</v>
      </c>
      <c r="O2275" s="9" t="n">
        <v>956.9</v>
      </c>
      <c r="P2275" s="9" t="n">
        <v>975.1</v>
      </c>
      <c r="Q2275" s="9" t="n">
        <v>925.48</v>
      </c>
      <c r="R2275" s="9" t="n">
        <v>1129.84</v>
      </c>
      <c r="S2275" s="9" t="n">
        <v>919.38</v>
      </c>
      <c r="T2275" s="9" t="n">
        <v>1031.98</v>
      </c>
      <c r="U2275" s="10">
        <f>SUM(I2275:T2275)</f>
        <v/>
      </c>
    </row>
    <row r="2276">
      <c r="A2276" s="2" t="inlineStr">
        <is>
          <t>SN-3000-3600-3630-3630PU0480</t>
        </is>
      </c>
      <c r="B2276" s="2" t="inlineStr">
        <is>
          <t>3630PU0480</t>
        </is>
      </c>
      <c r="C2276" s="2" t="inlineStr">
        <is>
          <t>Bomba filtrado relaves</t>
        </is>
      </c>
      <c r="D2276" s="2" t="n">
        <v>759</v>
      </c>
      <c r="E2276" s="2" t="inlineStr">
        <is>
          <t>CC-3000</t>
        </is>
      </c>
      <c r="F2276" s="2" t="inlineStr">
        <is>
          <t>P01</t>
        </is>
      </c>
      <c r="G2276" s="2" t="n">
        <v>610000</v>
      </c>
      <c r="H2276" s="2" t="inlineStr">
        <is>
          <t>Mano obra interna</t>
        </is>
      </c>
      <c r="I2276" s="9" t="n">
        <v>2651.38</v>
      </c>
      <c r="J2276" s="9" t="n">
        <v>2727.24</v>
      </c>
      <c r="K2276" s="9" t="n">
        <v>3014.72</v>
      </c>
      <c r="L2276" s="9" t="n">
        <v>2611.91</v>
      </c>
      <c r="M2276" s="9" t="n">
        <v>2694.02</v>
      </c>
      <c r="N2276" s="9" t="n">
        <v>2413.06</v>
      </c>
      <c r="O2276" s="9" t="n">
        <v>2642.43</v>
      </c>
      <c r="P2276" s="9" t="n">
        <v>2769.41</v>
      </c>
      <c r="Q2276" s="9" t="n">
        <v>2669.18</v>
      </c>
      <c r="R2276" s="9" t="n">
        <v>3040.31</v>
      </c>
      <c r="S2276" s="9" t="n">
        <v>2616.53</v>
      </c>
      <c r="T2276" s="9" t="n">
        <v>2940.05</v>
      </c>
      <c r="U2276" s="10">
        <f>SUM(I2276:T2276)</f>
        <v/>
      </c>
    </row>
    <row r="2277">
      <c r="A2277" s="2" t="inlineStr">
        <is>
          <t>SN-3000-3600-3630-3630PU0480</t>
        </is>
      </c>
      <c r="B2277" s="2" t="inlineStr">
        <is>
          <t>3630PU0480</t>
        </is>
      </c>
      <c r="C2277" s="2" t="inlineStr">
        <is>
          <t>Bomba filtrado relaves</t>
        </is>
      </c>
      <c r="D2277" s="2" t="n">
        <v>759</v>
      </c>
      <c r="E2277" s="2" t="inlineStr">
        <is>
          <t>CC-3000</t>
        </is>
      </c>
      <c r="F2277" s="2" t="inlineStr">
        <is>
          <t>P01</t>
        </is>
      </c>
      <c r="G2277" s="2" t="n">
        <v>620000</v>
      </c>
      <c r="H2277" s="2" t="inlineStr">
        <is>
          <t>Materiales</t>
        </is>
      </c>
      <c r="I2277" s="9" t="n">
        <v>2592.28</v>
      </c>
      <c r="J2277" s="9" t="n">
        <v>2393.24</v>
      </c>
      <c r="K2277" s="9" t="n">
        <v>2677.96</v>
      </c>
      <c r="L2277" s="9" t="n">
        <v>2612.66</v>
      </c>
      <c r="M2277" s="9" t="n">
        <v>2570.07</v>
      </c>
      <c r="N2277" s="9" t="n">
        <v>2226.32</v>
      </c>
      <c r="O2277" s="9" t="n">
        <v>2506.97</v>
      </c>
      <c r="P2277" s="9" t="n">
        <v>2531.39</v>
      </c>
      <c r="Q2277" s="9" t="n">
        <v>2359.61</v>
      </c>
      <c r="R2277" s="9" t="n">
        <v>2633.24</v>
      </c>
      <c r="S2277" s="9" t="n">
        <v>2177.52</v>
      </c>
      <c r="T2277" s="9" t="n">
        <v>2381.89</v>
      </c>
      <c r="U2277" s="10">
        <f>SUM(I2277:T2277)</f>
        <v/>
      </c>
    </row>
    <row r="2278">
      <c r="A2278" s="2" t="inlineStr">
        <is>
          <t>SN-3000-3600-3630-3630PU0480</t>
        </is>
      </c>
      <c r="B2278" s="2" t="inlineStr">
        <is>
          <t>3630PU0480</t>
        </is>
      </c>
      <c r="C2278" s="2" t="inlineStr">
        <is>
          <t>Bomba filtrado relaves</t>
        </is>
      </c>
      <c r="D2278" s="2" t="n">
        <v>759</v>
      </c>
      <c r="E2278" s="2" t="inlineStr">
        <is>
          <t>CC-3000</t>
        </is>
      </c>
      <c r="F2278" s="2" t="inlineStr">
        <is>
          <t>P01</t>
        </is>
      </c>
      <c r="G2278" s="2" t="n">
        <v>630000</v>
      </c>
      <c r="H2278" s="2" t="inlineStr">
        <is>
          <t>Servicios externos</t>
        </is>
      </c>
      <c r="I2278" s="9" t="n">
        <v>2671.08</v>
      </c>
      <c r="J2278" s="9" t="n">
        <v>2572.56</v>
      </c>
      <c r="K2278" s="9" t="n">
        <v>2393.76</v>
      </c>
      <c r="L2278" s="9" t="n">
        <v>2713.83</v>
      </c>
      <c r="M2278" s="9" t="n">
        <v>2326.84</v>
      </c>
      <c r="N2278" s="9" t="n">
        <v>2335.74</v>
      </c>
      <c r="O2278" s="9" t="n">
        <v>2365.19</v>
      </c>
      <c r="P2278" s="9" t="n">
        <v>2617.86</v>
      </c>
      <c r="Q2278" s="9" t="n">
        <v>2397.8</v>
      </c>
      <c r="R2278" s="9" t="n">
        <v>2608.67</v>
      </c>
      <c r="S2278" s="9" t="n">
        <v>2467.69</v>
      </c>
      <c r="T2278" s="9" t="n">
        <v>2386.84</v>
      </c>
      <c r="U2278" s="10">
        <f>SUM(I2278:T2278)</f>
        <v/>
      </c>
    </row>
    <row r="2279">
      <c r="A2279" s="2" t="inlineStr">
        <is>
          <t>SN-3000-3600-3630-3630PU0481</t>
        </is>
      </c>
      <c r="B2279" s="2" t="inlineStr">
        <is>
          <t>3630PU0481</t>
        </is>
      </c>
      <c r="C2279" s="2" t="inlineStr">
        <is>
          <t>Bomba filtrado relaves</t>
        </is>
      </c>
      <c r="D2279" s="2" t="n">
        <v>760</v>
      </c>
      <c r="E2279" s="2" t="inlineStr">
        <is>
          <t>CC-3000</t>
        </is>
      </c>
      <c r="F2279" s="2" t="inlineStr">
        <is>
          <t>P01</t>
        </is>
      </c>
      <c r="G2279" s="2" t="n">
        <v>610000</v>
      </c>
      <c r="H2279" s="2" t="inlineStr">
        <is>
          <t>Mano obra interna</t>
        </is>
      </c>
      <c r="I2279" s="9" t="n">
        <v>2250.99</v>
      </c>
      <c r="J2279" s="9" t="n">
        <v>2122.31</v>
      </c>
      <c r="K2279" s="9" t="n">
        <v>2460.14</v>
      </c>
      <c r="L2279" s="9" t="n">
        <v>2364.62</v>
      </c>
      <c r="M2279" s="9" t="n">
        <v>2147.61</v>
      </c>
      <c r="N2279" s="9" t="n">
        <v>2061.71</v>
      </c>
      <c r="O2279" s="9" t="n">
        <v>2076.71</v>
      </c>
      <c r="P2279" s="9" t="n">
        <v>2192.4</v>
      </c>
      <c r="Q2279" s="9" t="n">
        <v>2102.75</v>
      </c>
      <c r="R2279" s="9" t="n">
        <v>2339.38</v>
      </c>
      <c r="S2279" s="9" t="n">
        <v>2247.26</v>
      </c>
      <c r="T2279" s="9" t="n">
        <v>2250.42</v>
      </c>
      <c r="U2279" s="10">
        <f>SUM(I2279:T2279)</f>
        <v/>
      </c>
    </row>
    <row r="2280">
      <c r="A2280" s="2" t="inlineStr">
        <is>
          <t>SN-3000-3600-3630-3630PU0481</t>
        </is>
      </c>
      <c r="B2280" s="2" t="inlineStr">
        <is>
          <t>3630PU0481</t>
        </is>
      </c>
      <c r="C2280" s="2" t="inlineStr">
        <is>
          <t>Bomba filtrado relaves</t>
        </is>
      </c>
      <c r="D2280" s="2" t="n">
        <v>760</v>
      </c>
      <c r="E2280" s="2" t="inlineStr">
        <is>
          <t>CC-3000</t>
        </is>
      </c>
      <c r="F2280" s="2" t="inlineStr">
        <is>
          <t>P01</t>
        </is>
      </c>
      <c r="G2280" s="2" t="n">
        <v>620000</v>
      </c>
      <c r="H2280" s="2" t="inlineStr">
        <is>
          <t>Materiales</t>
        </is>
      </c>
      <c r="I2280" s="9" t="n">
        <v>2303.15</v>
      </c>
      <c r="J2280" s="9" t="n">
        <v>1997.32</v>
      </c>
      <c r="K2280" s="9" t="n">
        <v>2139.33</v>
      </c>
      <c r="L2280" s="9" t="n">
        <v>2113.92</v>
      </c>
      <c r="M2280" s="9" t="n">
        <v>1999.84</v>
      </c>
      <c r="N2280" s="9" t="n">
        <v>1924.31</v>
      </c>
      <c r="O2280" s="9" t="n">
        <v>2042.3</v>
      </c>
      <c r="P2280" s="9" t="n">
        <v>2229.21</v>
      </c>
      <c r="Q2280" s="9" t="n">
        <v>2046.17</v>
      </c>
      <c r="R2280" s="9" t="n">
        <v>2339.19</v>
      </c>
      <c r="S2280" s="9" t="n">
        <v>2026.7</v>
      </c>
      <c r="T2280" s="9" t="n">
        <v>2141.98</v>
      </c>
      <c r="U2280" s="10">
        <f>SUM(I2280:T2280)</f>
        <v/>
      </c>
    </row>
    <row r="2281">
      <c r="A2281" s="2" t="inlineStr">
        <is>
          <t>SN-3000-3600-3630-3630PU0481</t>
        </is>
      </c>
      <c r="B2281" s="2" t="inlineStr">
        <is>
          <t>3630PU0481</t>
        </is>
      </c>
      <c r="C2281" s="2" t="inlineStr">
        <is>
          <t>Bomba filtrado relaves</t>
        </is>
      </c>
      <c r="D2281" s="2" t="n">
        <v>760</v>
      </c>
      <c r="E2281" s="2" t="inlineStr">
        <is>
          <t>CC-3000</t>
        </is>
      </c>
      <c r="F2281" s="2" t="inlineStr">
        <is>
          <t>P01</t>
        </is>
      </c>
      <c r="G2281" s="2" t="n">
        <v>630000</v>
      </c>
      <c r="H2281" s="2" t="inlineStr">
        <is>
          <t>Servicios externos</t>
        </is>
      </c>
      <c r="I2281" s="9" t="n">
        <v>2064.69</v>
      </c>
      <c r="J2281" s="9" t="n">
        <v>2079.7</v>
      </c>
      <c r="K2281" s="9" t="n">
        <v>2237.44</v>
      </c>
      <c r="L2281" s="9" t="n">
        <v>2061.08</v>
      </c>
      <c r="M2281" s="9" t="n">
        <v>2006.39</v>
      </c>
      <c r="N2281" s="9" t="n">
        <v>1996.33</v>
      </c>
      <c r="O2281" s="9" t="n">
        <v>2125.16</v>
      </c>
      <c r="P2281" s="9" t="n">
        <v>2131.71</v>
      </c>
      <c r="Q2281" s="9" t="n">
        <v>1896.81</v>
      </c>
      <c r="R2281" s="9" t="n">
        <v>2237.89</v>
      </c>
      <c r="S2281" s="9" t="n">
        <v>2020.91</v>
      </c>
      <c r="T2281" s="9" t="n">
        <v>2050.21</v>
      </c>
      <c r="U2281" s="10">
        <f>SUM(I2281:T2281)</f>
        <v/>
      </c>
    </row>
    <row r="2282">
      <c r="A2282" s="2" t="inlineStr">
        <is>
          <t>SN-3000-3600-3630-3630PU0482</t>
        </is>
      </c>
      <c r="B2282" s="2" t="inlineStr">
        <is>
          <t>3630PU0482</t>
        </is>
      </c>
      <c r="C2282" s="2" t="inlineStr">
        <is>
          <t>Bomba impulsión filtrado</t>
        </is>
      </c>
      <c r="D2282" s="2" t="n">
        <v>761</v>
      </c>
      <c r="E2282" s="2" t="inlineStr">
        <is>
          <t>CC-3000</t>
        </is>
      </c>
      <c r="F2282" s="2" t="inlineStr">
        <is>
          <t>P01</t>
        </is>
      </c>
      <c r="G2282" s="2" t="n">
        <v>610000</v>
      </c>
      <c r="H2282" s="2" t="inlineStr">
        <is>
          <t>Mano obra interna</t>
        </is>
      </c>
      <c r="I2282" s="9" t="n">
        <v>730.5700000000001</v>
      </c>
      <c r="J2282" s="9" t="n">
        <v>781.23</v>
      </c>
      <c r="K2282" s="9" t="n">
        <v>778.1</v>
      </c>
      <c r="L2282" s="9" t="n">
        <v>763.41</v>
      </c>
      <c r="M2282" s="9" t="n">
        <v>714.86</v>
      </c>
      <c r="N2282" s="9" t="n">
        <v>702.35</v>
      </c>
      <c r="O2282" s="9" t="n">
        <v>735.71</v>
      </c>
      <c r="P2282" s="9" t="n">
        <v>827.26</v>
      </c>
      <c r="Q2282" s="9" t="n">
        <v>753.51</v>
      </c>
      <c r="R2282" s="9" t="n">
        <v>764.23</v>
      </c>
      <c r="S2282" s="9" t="n">
        <v>757.61</v>
      </c>
      <c r="T2282" s="9" t="n">
        <v>749.2</v>
      </c>
      <c r="U2282" s="10">
        <f>SUM(I2282:T2282)</f>
        <v/>
      </c>
    </row>
    <row r="2283">
      <c r="A2283" s="2" t="inlineStr">
        <is>
          <t>SN-3000-3600-3630-3630PU0482</t>
        </is>
      </c>
      <c r="B2283" s="2" t="inlineStr">
        <is>
          <t>3630PU0482</t>
        </is>
      </c>
      <c r="C2283" s="2" t="inlineStr">
        <is>
          <t>Bomba impulsión filtrado</t>
        </is>
      </c>
      <c r="D2283" s="2" t="n">
        <v>761</v>
      </c>
      <c r="E2283" s="2" t="inlineStr">
        <is>
          <t>CC-3000</t>
        </is>
      </c>
      <c r="F2283" s="2" t="inlineStr">
        <is>
          <t>P01</t>
        </is>
      </c>
      <c r="G2283" s="2" t="n">
        <v>620000</v>
      </c>
      <c r="H2283" s="2" t="inlineStr">
        <is>
          <t>Materiales</t>
        </is>
      </c>
      <c r="I2283" s="9" t="n">
        <v>708.42</v>
      </c>
      <c r="J2283" s="9" t="n">
        <v>622.6799999999999</v>
      </c>
      <c r="K2283" s="9" t="n">
        <v>686.87</v>
      </c>
      <c r="L2283" s="9" t="n">
        <v>701.1900000000001</v>
      </c>
      <c r="M2283" s="9" t="n">
        <v>670.7</v>
      </c>
      <c r="N2283" s="9" t="n">
        <v>691.4299999999999</v>
      </c>
      <c r="O2283" s="9" t="n">
        <v>702.89</v>
      </c>
      <c r="P2283" s="9" t="n">
        <v>700.8</v>
      </c>
      <c r="Q2283" s="9" t="n">
        <v>610.96</v>
      </c>
      <c r="R2283" s="9" t="n">
        <v>667.55</v>
      </c>
      <c r="S2283" s="9" t="n">
        <v>674.79</v>
      </c>
      <c r="T2283" s="9" t="n">
        <v>736.35</v>
      </c>
      <c r="U2283" s="10">
        <f>SUM(I2283:T2283)</f>
        <v/>
      </c>
    </row>
    <row r="2284">
      <c r="A2284" s="2" t="inlineStr">
        <is>
          <t>SN-3000-3600-3630-3630PU0482</t>
        </is>
      </c>
      <c r="B2284" s="2" t="inlineStr">
        <is>
          <t>3630PU0482</t>
        </is>
      </c>
      <c r="C2284" s="2" t="inlineStr">
        <is>
          <t>Bomba impulsión filtrado</t>
        </is>
      </c>
      <c r="D2284" s="2" t="n">
        <v>761</v>
      </c>
      <c r="E2284" s="2" t="inlineStr">
        <is>
          <t>CC-3000</t>
        </is>
      </c>
      <c r="F2284" s="2" t="inlineStr">
        <is>
          <t>P01</t>
        </is>
      </c>
      <c r="G2284" s="2" t="n">
        <v>630000</v>
      </c>
      <c r="H2284" s="2" t="inlineStr">
        <is>
          <t>Servicios externos</t>
        </is>
      </c>
      <c r="I2284" s="9" t="n">
        <v>826.78</v>
      </c>
      <c r="J2284" s="9" t="n">
        <v>697.71</v>
      </c>
      <c r="K2284" s="9" t="n">
        <v>750.0599999999999</v>
      </c>
      <c r="L2284" s="9" t="n">
        <v>727.62</v>
      </c>
      <c r="M2284" s="9" t="n">
        <v>740.79</v>
      </c>
      <c r="N2284" s="9" t="n">
        <v>752.65</v>
      </c>
      <c r="O2284" s="9" t="n">
        <v>732.6900000000001</v>
      </c>
      <c r="P2284" s="9" t="n">
        <v>799.77</v>
      </c>
      <c r="Q2284" s="9" t="n">
        <v>704.59</v>
      </c>
      <c r="R2284" s="9" t="n">
        <v>805.97</v>
      </c>
      <c r="S2284" s="9" t="n">
        <v>760.9299999999999</v>
      </c>
      <c r="T2284" s="9" t="n">
        <v>714.04</v>
      </c>
      <c r="U2284" s="10">
        <f>SUM(I2284:T2284)</f>
        <v/>
      </c>
    </row>
    <row r="2285">
      <c r="A2285" s="2" t="inlineStr">
        <is>
          <t>SN-3000-3600-3630-3630RD0035</t>
        </is>
      </c>
      <c r="B2285" s="2" t="inlineStr">
        <is>
          <t>3630RD0035</t>
        </is>
      </c>
      <c r="C2285" s="2" t="inlineStr">
        <is>
          <t>Puerta plegable vertical</t>
        </is>
      </c>
      <c r="D2285" s="2" t="n">
        <v>762</v>
      </c>
      <c r="E2285" s="2" t="inlineStr">
        <is>
          <t>CC-3000</t>
        </is>
      </c>
      <c r="F2285" s="2" t="inlineStr">
        <is>
          <t>P01</t>
        </is>
      </c>
      <c r="G2285" s="2" t="n">
        <v>610000</v>
      </c>
      <c r="H2285" s="2" t="inlineStr">
        <is>
          <t>Mano obra interna</t>
        </is>
      </c>
      <c r="I2285" s="9" t="n">
        <v>2860.83</v>
      </c>
      <c r="J2285" s="9" t="n">
        <v>2777.41</v>
      </c>
      <c r="K2285" s="9" t="n">
        <v>3063.06</v>
      </c>
      <c r="L2285" s="9" t="n">
        <v>3179.13</v>
      </c>
      <c r="M2285" s="9" t="n">
        <v>2928.66</v>
      </c>
      <c r="N2285" s="9" t="n">
        <v>2860.8</v>
      </c>
      <c r="O2285" s="9" t="n">
        <v>3053.33</v>
      </c>
      <c r="P2285" s="9" t="n">
        <v>2807.97</v>
      </c>
      <c r="Q2285" s="9" t="n">
        <v>2863.03</v>
      </c>
      <c r="R2285" s="9" t="n">
        <v>3110.44</v>
      </c>
      <c r="S2285" s="9" t="n">
        <v>2682.45</v>
      </c>
      <c r="T2285" s="9" t="n">
        <v>2894.87</v>
      </c>
      <c r="U2285" s="10">
        <f>SUM(I2285:T2285)</f>
        <v/>
      </c>
    </row>
    <row r="2286">
      <c r="A2286" s="2" t="inlineStr">
        <is>
          <t>SN-3000-3600-3630-3630RD0035</t>
        </is>
      </c>
      <c r="B2286" s="2" t="inlineStr">
        <is>
          <t>3630RD0035</t>
        </is>
      </c>
      <c r="C2286" s="2" t="inlineStr">
        <is>
          <t>Puerta plegable vertical</t>
        </is>
      </c>
      <c r="D2286" s="2" t="n">
        <v>762</v>
      </c>
      <c r="E2286" s="2" t="inlineStr">
        <is>
          <t>CC-3000</t>
        </is>
      </c>
      <c r="F2286" s="2" t="inlineStr">
        <is>
          <t>P01</t>
        </is>
      </c>
      <c r="G2286" s="2" t="n">
        <v>620000</v>
      </c>
      <c r="H2286" s="2" t="inlineStr">
        <is>
          <t>Materiales</t>
        </is>
      </c>
      <c r="I2286" s="9" t="n">
        <v>2390.82</v>
      </c>
      <c r="J2286" s="9" t="n">
        <v>2327.31</v>
      </c>
      <c r="K2286" s="9" t="n">
        <v>2396.79</v>
      </c>
      <c r="L2286" s="9" t="n">
        <v>2569.38</v>
      </c>
      <c r="M2286" s="9" t="n">
        <v>2453.95</v>
      </c>
      <c r="N2286" s="9" t="n">
        <v>2396.3</v>
      </c>
      <c r="O2286" s="9" t="n">
        <v>2388.13</v>
      </c>
      <c r="P2286" s="9" t="n">
        <v>2552.02</v>
      </c>
      <c r="Q2286" s="9" t="n">
        <v>2143.97</v>
      </c>
      <c r="R2286" s="9" t="n">
        <v>2670.33</v>
      </c>
      <c r="S2286" s="9" t="n">
        <v>2284.93</v>
      </c>
      <c r="T2286" s="9" t="n">
        <v>2495.59</v>
      </c>
      <c r="U2286" s="10">
        <f>SUM(I2286:T2286)</f>
        <v/>
      </c>
    </row>
    <row r="2287">
      <c r="A2287" s="2" t="inlineStr">
        <is>
          <t>SN-3000-3600-3630-3630RD0035</t>
        </is>
      </c>
      <c r="B2287" s="2" t="inlineStr">
        <is>
          <t>3630RD0035</t>
        </is>
      </c>
      <c r="C2287" s="2" t="inlineStr">
        <is>
          <t>Puerta plegable vertical</t>
        </is>
      </c>
      <c r="D2287" s="2" t="n">
        <v>762</v>
      </c>
      <c r="E2287" s="2" t="inlineStr">
        <is>
          <t>CC-3000</t>
        </is>
      </c>
      <c r="F2287" s="2" t="inlineStr">
        <is>
          <t>P01</t>
        </is>
      </c>
      <c r="G2287" s="2" t="n">
        <v>630000</v>
      </c>
      <c r="H2287" s="2" t="inlineStr">
        <is>
          <t>Servicios externos</t>
        </is>
      </c>
      <c r="I2287" s="9" t="n">
        <v>2580.77</v>
      </c>
      <c r="J2287" s="9" t="n">
        <v>2528.14</v>
      </c>
      <c r="K2287" s="9" t="n">
        <v>2588.95</v>
      </c>
      <c r="L2287" s="9" t="n">
        <v>2340.87</v>
      </c>
      <c r="M2287" s="9" t="n">
        <v>2304.67</v>
      </c>
      <c r="N2287" s="9" t="n">
        <v>2464.62</v>
      </c>
      <c r="O2287" s="9" t="n">
        <v>2392.59</v>
      </c>
      <c r="P2287" s="9" t="n">
        <v>2584.37</v>
      </c>
      <c r="Q2287" s="9" t="n">
        <v>2210.09</v>
      </c>
      <c r="R2287" s="9" t="n">
        <v>2793.55</v>
      </c>
      <c r="S2287" s="9" t="n">
        <v>2497.93</v>
      </c>
      <c r="T2287" s="9" t="n">
        <v>2514.61</v>
      </c>
      <c r="U2287" s="10">
        <f>SUM(I2287:T2287)</f>
        <v/>
      </c>
    </row>
    <row r="2288">
      <c r="A2288" s="2" t="inlineStr">
        <is>
          <t>SN-3000-3600-3630-3630RD0036</t>
        </is>
      </c>
      <c r="B2288" s="2" t="inlineStr">
        <is>
          <t>3630RD0036</t>
        </is>
      </c>
      <c r="C2288" s="2" t="inlineStr">
        <is>
          <t>Puerta plegable vertical</t>
        </is>
      </c>
      <c r="D2288" s="2" t="n">
        <v>763</v>
      </c>
      <c r="E2288" s="2" t="inlineStr">
        <is>
          <t>CC-3000</t>
        </is>
      </c>
      <c r="F2288" s="2" t="inlineStr">
        <is>
          <t>P01</t>
        </is>
      </c>
      <c r="G2288" s="2" t="n">
        <v>610000</v>
      </c>
      <c r="H2288" s="2" t="inlineStr">
        <is>
          <t>Mano obra interna</t>
        </is>
      </c>
      <c r="I2288" s="9" t="n">
        <v>623.64</v>
      </c>
      <c r="J2288" s="9" t="n">
        <v>651.64</v>
      </c>
      <c r="K2288" s="9" t="n">
        <v>679.91</v>
      </c>
      <c r="L2288" s="9" t="n">
        <v>602.76</v>
      </c>
      <c r="M2288" s="9" t="n">
        <v>604.48</v>
      </c>
      <c r="N2288" s="9" t="n">
        <v>625.4</v>
      </c>
      <c r="O2288" s="9" t="n">
        <v>628.83</v>
      </c>
      <c r="P2288" s="9" t="n">
        <v>654.8200000000001</v>
      </c>
      <c r="Q2288" s="9" t="n">
        <v>608.09</v>
      </c>
      <c r="R2288" s="9" t="n">
        <v>713.14</v>
      </c>
      <c r="S2288" s="9" t="n">
        <v>564.17</v>
      </c>
      <c r="T2288" s="9" t="n">
        <v>594.26</v>
      </c>
      <c r="U2288" s="10">
        <f>SUM(I2288:T2288)</f>
        <v/>
      </c>
    </row>
    <row r="2289">
      <c r="A2289" s="2" t="inlineStr">
        <is>
          <t>SN-3000-3600-3630-3630RD0036</t>
        </is>
      </c>
      <c r="B2289" s="2" t="inlineStr">
        <is>
          <t>3630RD0036</t>
        </is>
      </c>
      <c r="C2289" s="2" t="inlineStr">
        <is>
          <t>Puerta plegable vertical</t>
        </is>
      </c>
      <c r="D2289" s="2" t="n">
        <v>763</v>
      </c>
      <c r="E2289" s="2" t="inlineStr">
        <is>
          <t>CC-3000</t>
        </is>
      </c>
      <c r="F2289" s="2" t="inlineStr">
        <is>
          <t>P01</t>
        </is>
      </c>
      <c r="G2289" s="2" t="n">
        <v>620000</v>
      </c>
      <c r="H2289" s="2" t="inlineStr">
        <is>
          <t>Materiales</t>
        </is>
      </c>
      <c r="I2289" s="9" t="n">
        <v>682.48</v>
      </c>
      <c r="J2289" s="9" t="n">
        <v>613.1</v>
      </c>
      <c r="K2289" s="9" t="n">
        <v>599.84</v>
      </c>
      <c r="L2289" s="9" t="n">
        <v>620.55</v>
      </c>
      <c r="M2289" s="9" t="n">
        <v>603.84</v>
      </c>
      <c r="N2289" s="9" t="n">
        <v>627.15</v>
      </c>
      <c r="O2289" s="9" t="n">
        <v>648.86</v>
      </c>
      <c r="P2289" s="9" t="n">
        <v>643.47</v>
      </c>
      <c r="Q2289" s="9" t="n">
        <v>537.3</v>
      </c>
      <c r="R2289" s="9" t="n">
        <v>718.3200000000001</v>
      </c>
      <c r="S2289" s="9" t="n">
        <v>577.52</v>
      </c>
      <c r="T2289" s="9" t="n">
        <v>647.39</v>
      </c>
      <c r="U2289" s="10">
        <f>SUM(I2289:T2289)</f>
        <v/>
      </c>
    </row>
    <row r="2290">
      <c r="A2290" s="2" t="inlineStr">
        <is>
          <t>SN-3000-3600-3630-3630RD0036</t>
        </is>
      </c>
      <c r="B2290" s="2" t="inlineStr">
        <is>
          <t>3630RD0036</t>
        </is>
      </c>
      <c r="C2290" s="2" t="inlineStr">
        <is>
          <t>Puerta plegable vertical</t>
        </is>
      </c>
      <c r="D2290" s="2" t="n">
        <v>763</v>
      </c>
      <c r="E2290" s="2" t="inlineStr">
        <is>
          <t>CC-3000</t>
        </is>
      </c>
      <c r="F2290" s="2" t="inlineStr">
        <is>
          <t>P01</t>
        </is>
      </c>
      <c r="G2290" s="2" t="n">
        <v>630000</v>
      </c>
      <c r="H2290" s="2" t="inlineStr">
        <is>
          <t>Servicios externos</t>
        </is>
      </c>
      <c r="I2290" s="9" t="n">
        <v>606.1900000000001</v>
      </c>
      <c r="J2290" s="9" t="n">
        <v>577.61</v>
      </c>
      <c r="K2290" s="9" t="n">
        <v>663.49</v>
      </c>
      <c r="L2290" s="9" t="n">
        <v>663.92</v>
      </c>
      <c r="M2290" s="9" t="n">
        <v>584.54</v>
      </c>
      <c r="N2290" s="9" t="n">
        <v>588.0700000000001</v>
      </c>
      <c r="O2290" s="9" t="n">
        <v>672.52</v>
      </c>
      <c r="P2290" s="9" t="n">
        <v>595.38</v>
      </c>
      <c r="Q2290" s="9" t="n">
        <v>565.5700000000001</v>
      </c>
      <c r="R2290" s="9" t="n">
        <v>678.03</v>
      </c>
      <c r="S2290" s="9" t="n">
        <v>649.84</v>
      </c>
      <c r="T2290" s="9" t="n">
        <v>620.54</v>
      </c>
      <c r="U2290" s="10">
        <f>SUM(I2290:T2290)</f>
        <v/>
      </c>
    </row>
    <row r="2291">
      <c r="A2291" s="2" t="inlineStr">
        <is>
          <t>SN-3000-3600-3630-3630SA0011</t>
        </is>
      </c>
      <c r="B2291" s="2" t="inlineStr">
        <is>
          <t>3630SA0011</t>
        </is>
      </c>
      <c r="C2291" s="2" t="inlineStr">
        <is>
          <t>Muestreador primario relaves</t>
        </is>
      </c>
      <c r="D2291" s="2" t="n">
        <v>764</v>
      </c>
      <c r="E2291" s="2" t="inlineStr">
        <is>
          <t>CC-3000</t>
        </is>
      </c>
      <c r="F2291" s="2" t="inlineStr">
        <is>
          <t>P01</t>
        </is>
      </c>
      <c r="G2291" s="2" t="n">
        <v>610000</v>
      </c>
      <c r="H2291" s="2" t="inlineStr">
        <is>
          <t>Mano obra interna</t>
        </is>
      </c>
      <c r="I2291" s="9" t="n">
        <v>1094.45</v>
      </c>
      <c r="J2291" s="9" t="n">
        <v>1061.26</v>
      </c>
      <c r="K2291" s="9" t="n">
        <v>1063.79</v>
      </c>
      <c r="L2291" s="9" t="n">
        <v>1154.06</v>
      </c>
      <c r="M2291" s="9" t="n">
        <v>1041.59</v>
      </c>
      <c r="N2291" s="9" t="n">
        <v>1070.94</v>
      </c>
      <c r="O2291" s="9" t="n">
        <v>1049.38</v>
      </c>
      <c r="P2291" s="9" t="n">
        <v>1077.03</v>
      </c>
      <c r="Q2291" s="9" t="n">
        <v>1079.96</v>
      </c>
      <c r="R2291" s="9" t="n">
        <v>1228.84</v>
      </c>
      <c r="S2291" s="9" t="n">
        <v>1003.75</v>
      </c>
      <c r="T2291" s="9" t="n">
        <v>1133.01</v>
      </c>
      <c r="U2291" s="10">
        <f>SUM(I2291:T2291)</f>
        <v/>
      </c>
    </row>
    <row r="2292">
      <c r="A2292" s="2" t="inlineStr">
        <is>
          <t>SN-3000-3600-3630-3630SA0011</t>
        </is>
      </c>
      <c r="B2292" s="2" t="inlineStr">
        <is>
          <t>3630SA0011</t>
        </is>
      </c>
      <c r="C2292" s="2" t="inlineStr">
        <is>
          <t>Muestreador primario relaves</t>
        </is>
      </c>
      <c r="D2292" s="2" t="n">
        <v>764</v>
      </c>
      <c r="E2292" s="2" t="inlineStr">
        <is>
          <t>CC-3000</t>
        </is>
      </c>
      <c r="F2292" s="2" t="inlineStr">
        <is>
          <t>P01</t>
        </is>
      </c>
      <c r="G2292" s="2" t="n">
        <v>620000</v>
      </c>
      <c r="H2292" s="2" t="inlineStr">
        <is>
          <t>Materiales</t>
        </is>
      </c>
      <c r="I2292" s="9" t="n">
        <v>926.54</v>
      </c>
      <c r="J2292" s="9" t="n">
        <v>951.3</v>
      </c>
      <c r="K2292" s="9" t="n">
        <v>963.6</v>
      </c>
      <c r="L2292" s="9" t="n">
        <v>987.4299999999999</v>
      </c>
      <c r="M2292" s="9" t="n">
        <v>1003.81</v>
      </c>
      <c r="N2292" s="9" t="n">
        <v>877.8</v>
      </c>
      <c r="O2292" s="9" t="n">
        <v>913.12</v>
      </c>
      <c r="P2292" s="9" t="n">
        <v>934.6900000000001</v>
      </c>
      <c r="Q2292" s="9" t="n">
        <v>969.53</v>
      </c>
      <c r="R2292" s="9" t="n">
        <v>1088.94</v>
      </c>
      <c r="S2292" s="9" t="n">
        <v>867.9299999999999</v>
      </c>
      <c r="T2292" s="9" t="n">
        <v>970.05</v>
      </c>
      <c r="U2292" s="10">
        <f>SUM(I2292:T2292)</f>
        <v/>
      </c>
    </row>
    <row r="2293">
      <c r="A2293" s="2" t="inlineStr">
        <is>
          <t>SN-3000-3600-3630-3630SA0011</t>
        </is>
      </c>
      <c r="B2293" s="2" t="inlineStr">
        <is>
          <t>3630SA0011</t>
        </is>
      </c>
      <c r="C2293" s="2" t="inlineStr">
        <is>
          <t>Muestreador primario relaves</t>
        </is>
      </c>
      <c r="D2293" s="2" t="n">
        <v>764</v>
      </c>
      <c r="E2293" s="2" t="inlineStr">
        <is>
          <t>CC-3000</t>
        </is>
      </c>
      <c r="F2293" s="2" t="inlineStr">
        <is>
          <t>P01</t>
        </is>
      </c>
      <c r="G2293" s="2" t="n">
        <v>630000</v>
      </c>
      <c r="H2293" s="2" t="inlineStr">
        <is>
          <t>Servicios externos</t>
        </is>
      </c>
      <c r="I2293" s="9" t="n">
        <v>876.5</v>
      </c>
      <c r="J2293" s="9" t="n">
        <v>821.9299999999999</v>
      </c>
      <c r="K2293" s="9" t="n">
        <v>931.02</v>
      </c>
      <c r="L2293" s="9" t="n">
        <v>819.95</v>
      </c>
      <c r="M2293" s="9" t="n">
        <v>843.03</v>
      </c>
      <c r="N2293" s="9" t="n">
        <v>828.86</v>
      </c>
      <c r="O2293" s="9" t="n">
        <v>884.1900000000001</v>
      </c>
      <c r="P2293" s="9" t="n">
        <v>826.91</v>
      </c>
      <c r="Q2293" s="9" t="n">
        <v>805.35</v>
      </c>
      <c r="R2293" s="9" t="n">
        <v>877.39</v>
      </c>
      <c r="S2293" s="9" t="n">
        <v>804.8099999999999</v>
      </c>
      <c r="T2293" s="9" t="n">
        <v>906.47</v>
      </c>
      <c r="U2293" s="10">
        <f>SUM(I2293:T2293)</f>
        <v/>
      </c>
    </row>
    <row r="2294">
      <c r="A2294" s="2" t="inlineStr">
        <is>
          <t>SN-3000-3600-3630-3630SY0013</t>
        </is>
      </c>
      <c r="B2294" s="2" t="inlineStr">
        <is>
          <t>3630SY0013</t>
        </is>
      </c>
      <c r="C2294" s="2" t="inlineStr">
        <is>
          <t>Ducha y lava ojos emergencia</t>
        </is>
      </c>
      <c r="D2294" s="2" t="n">
        <v>765</v>
      </c>
      <c r="E2294" s="2" t="inlineStr">
        <is>
          <t>CC-3000</t>
        </is>
      </c>
      <c r="F2294" s="2" t="inlineStr">
        <is>
          <t>P01</t>
        </is>
      </c>
      <c r="G2294" s="2" t="n">
        <v>610000</v>
      </c>
      <c r="H2294" s="2" t="inlineStr">
        <is>
          <t>Mano obra interna</t>
        </is>
      </c>
      <c r="I2294" s="9" t="n">
        <v>1546.26</v>
      </c>
      <c r="J2294" s="9" t="n">
        <v>1412.31</v>
      </c>
      <c r="K2294" s="9" t="n">
        <v>1587.07</v>
      </c>
      <c r="L2294" s="9" t="n">
        <v>1382.24</v>
      </c>
      <c r="M2294" s="9" t="n">
        <v>1356.25</v>
      </c>
      <c r="N2294" s="9" t="n">
        <v>1435.28</v>
      </c>
      <c r="O2294" s="9" t="n">
        <v>1415.21</v>
      </c>
      <c r="P2294" s="9" t="n">
        <v>1567.97</v>
      </c>
      <c r="Q2294" s="9" t="n">
        <v>1348.35</v>
      </c>
      <c r="R2294" s="9" t="n">
        <v>1560.38</v>
      </c>
      <c r="S2294" s="9" t="n">
        <v>1457.08</v>
      </c>
      <c r="T2294" s="9" t="n">
        <v>1548.76</v>
      </c>
      <c r="U2294" s="10">
        <f>SUM(I2294:T2294)</f>
        <v/>
      </c>
    </row>
    <row r="2295">
      <c r="A2295" s="2" t="inlineStr">
        <is>
          <t>SN-3000-3600-3630-3630SY0013</t>
        </is>
      </c>
      <c r="B2295" s="2" t="inlineStr">
        <is>
          <t>3630SY0013</t>
        </is>
      </c>
      <c r="C2295" s="2" t="inlineStr">
        <is>
          <t>Ducha y lava ojos emergencia</t>
        </is>
      </c>
      <c r="D2295" s="2" t="n">
        <v>765</v>
      </c>
      <c r="E2295" s="2" t="inlineStr">
        <is>
          <t>CC-3000</t>
        </is>
      </c>
      <c r="F2295" s="2" t="inlineStr">
        <is>
          <t>P01</t>
        </is>
      </c>
      <c r="G2295" s="2" t="n">
        <v>620000</v>
      </c>
      <c r="H2295" s="2" t="inlineStr">
        <is>
          <t>Materiales</t>
        </is>
      </c>
      <c r="I2295" s="9" t="n">
        <v>1211.45</v>
      </c>
      <c r="J2295" s="9" t="n">
        <v>1278.35</v>
      </c>
      <c r="K2295" s="9" t="n">
        <v>1246.1</v>
      </c>
      <c r="L2295" s="9" t="n">
        <v>1204.97</v>
      </c>
      <c r="M2295" s="9" t="n">
        <v>1256.68</v>
      </c>
      <c r="N2295" s="9" t="n">
        <v>1111.08</v>
      </c>
      <c r="O2295" s="9" t="n">
        <v>1338.02</v>
      </c>
      <c r="P2295" s="9" t="n">
        <v>1269.02</v>
      </c>
      <c r="Q2295" s="9" t="n">
        <v>1247.66</v>
      </c>
      <c r="R2295" s="9" t="n">
        <v>1306.58</v>
      </c>
      <c r="S2295" s="9" t="n">
        <v>1294.67</v>
      </c>
      <c r="T2295" s="9" t="n">
        <v>1190.52</v>
      </c>
      <c r="U2295" s="10">
        <f>SUM(I2295:T2295)</f>
        <v/>
      </c>
    </row>
    <row r="2296">
      <c r="A2296" s="2" t="inlineStr">
        <is>
          <t>SN-3000-3600-3630-3630SY0013</t>
        </is>
      </c>
      <c r="B2296" s="2" t="inlineStr">
        <is>
          <t>3630SY0013</t>
        </is>
      </c>
      <c r="C2296" s="2" t="inlineStr">
        <is>
          <t>Ducha y lava ojos emergencia</t>
        </is>
      </c>
      <c r="D2296" s="2" t="n">
        <v>765</v>
      </c>
      <c r="E2296" s="2" t="inlineStr">
        <is>
          <t>CC-3000</t>
        </is>
      </c>
      <c r="F2296" s="2" t="inlineStr">
        <is>
          <t>P01</t>
        </is>
      </c>
      <c r="G2296" s="2" t="n">
        <v>630000</v>
      </c>
      <c r="H2296" s="2" t="inlineStr">
        <is>
          <t>Servicios externos</t>
        </is>
      </c>
      <c r="I2296" s="9" t="n">
        <v>1034.54</v>
      </c>
      <c r="J2296" s="9" t="n">
        <v>1072.61</v>
      </c>
      <c r="K2296" s="9" t="n">
        <v>1054.52</v>
      </c>
      <c r="L2296" s="9" t="n">
        <v>1121.58</v>
      </c>
      <c r="M2296" s="9" t="n">
        <v>1054.01</v>
      </c>
      <c r="N2296" s="9" t="n">
        <v>1019.6</v>
      </c>
      <c r="O2296" s="9" t="n">
        <v>1119.53</v>
      </c>
      <c r="P2296" s="9" t="n">
        <v>1035.44</v>
      </c>
      <c r="Q2296" s="9" t="n">
        <v>1063.03</v>
      </c>
      <c r="R2296" s="9" t="n">
        <v>1196.65</v>
      </c>
      <c r="S2296" s="9" t="n">
        <v>1130.67</v>
      </c>
      <c r="T2296" s="9" t="n">
        <v>1087.48</v>
      </c>
      <c r="U2296" s="10">
        <f>SUM(I2296:T2296)</f>
        <v/>
      </c>
    </row>
    <row r="2297">
      <c r="A2297" s="2" t="inlineStr">
        <is>
          <t>SN-3000-3600-3630-3630TA0037</t>
        </is>
      </c>
      <c r="B2297" s="2" t="inlineStr">
        <is>
          <t>3630TA0037</t>
        </is>
      </c>
      <c r="C2297" s="2" t="inlineStr">
        <is>
          <t>Estanque filtrado</t>
        </is>
      </c>
      <c r="D2297" s="2" t="n">
        <v>766</v>
      </c>
      <c r="E2297" s="2" t="inlineStr">
        <is>
          <t>CC-3000</t>
        </is>
      </c>
      <c r="F2297" s="2" t="inlineStr">
        <is>
          <t>P01</t>
        </is>
      </c>
      <c r="G2297" s="2" t="n">
        <v>610000</v>
      </c>
      <c r="H2297" s="2" t="inlineStr">
        <is>
          <t>Mano obra interna</t>
        </is>
      </c>
      <c r="I2297" s="9" t="n">
        <v>2250.61</v>
      </c>
      <c r="J2297" s="9" t="n">
        <v>2307.74</v>
      </c>
      <c r="K2297" s="9" t="n">
        <v>2077.11</v>
      </c>
      <c r="L2297" s="9" t="n">
        <v>2307.45</v>
      </c>
      <c r="M2297" s="9" t="n">
        <v>2264.91</v>
      </c>
      <c r="N2297" s="9" t="n">
        <v>1933.65</v>
      </c>
      <c r="O2297" s="9" t="n">
        <v>2206.75</v>
      </c>
      <c r="P2297" s="9" t="n">
        <v>2281.76</v>
      </c>
      <c r="Q2297" s="9" t="n">
        <v>2047.47</v>
      </c>
      <c r="R2297" s="9" t="n">
        <v>2185.12</v>
      </c>
      <c r="S2297" s="9" t="n">
        <v>2173.93</v>
      </c>
      <c r="T2297" s="9" t="n">
        <v>2055.16</v>
      </c>
      <c r="U2297" s="10">
        <f>SUM(I2297:T2297)</f>
        <v/>
      </c>
    </row>
    <row r="2298">
      <c r="A2298" s="2" t="inlineStr">
        <is>
          <t>SN-3000-3600-3630-3630TA0037</t>
        </is>
      </c>
      <c r="B2298" s="2" t="inlineStr">
        <is>
          <t>3630TA0037</t>
        </is>
      </c>
      <c r="C2298" s="2" t="inlineStr">
        <is>
          <t>Estanque filtrado</t>
        </is>
      </c>
      <c r="D2298" s="2" t="n">
        <v>766</v>
      </c>
      <c r="E2298" s="2" t="inlineStr">
        <is>
          <t>CC-3000</t>
        </is>
      </c>
      <c r="F2298" s="2" t="inlineStr">
        <is>
          <t>P01</t>
        </is>
      </c>
      <c r="G2298" s="2" t="n">
        <v>620000</v>
      </c>
      <c r="H2298" s="2" t="inlineStr">
        <is>
          <t>Materiales</t>
        </is>
      </c>
      <c r="I2298" s="9" t="n">
        <v>1940.2</v>
      </c>
      <c r="J2298" s="9" t="n">
        <v>1902.29</v>
      </c>
      <c r="K2298" s="9" t="n">
        <v>2039.26</v>
      </c>
      <c r="L2298" s="9" t="n">
        <v>2140.42</v>
      </c>
      <c r="M2298" s="9" t="n">
        <v>2183.96</v>
      </c>
      <c r="N2298" s="9" t="n">
        <v>1840.54</v>
      </c>
      <c r="O2298" s="9" t="n">
        <v>1934.15</v>
      </c>
      <c r="P2298" s="9" t="n">
        <v>2005.98</v>
      </c>
      <c r="Q2298" s="9" t="n">
        <v>2011.44</v>
      </c>
      <c r="R2298" s="9" t="n">
        <v>2199.72</v>
      </c>
      <c r="S2298" s="9" t="n">
        <v>1928.36</v>
      </c>
      <c r="T2298" s="9" t="n">
        <v>2101.32</v>
      </c>
      <c r="U2298" s="10">
        <f>SUM(I2298:T2298)</f>
        <v/>
      </c>
    </row>
    <row r="2299">
      <c r="A2299" s="2" t="inlineStr">
        <is>
          <t>SN-3000-3600-3630-3630TA0037</t>
        </is>
      </c>
      <c r="B2299" s="2" t="inlineStr">
        <is>
          <t>3630TA0037</t>
        </is>
      </c>
      <c r="C2299" s="2" t="inlineStr">
        <is>
          <t>Estanque filtrado</t>
        </is>
      </c>
      <c r="D2299" s="2" t="n">
        <v>766</v>
      </c>
      <c r="E2299" s="2" t="inlineStr">
        <is>
          <t>CC-3000</t>
        </is>
      </c>
      <c r="F2299" s="2" t="inlineStr">
        <is>
          <t>P01</t>
        </is>
      </c>
      <c r="G2299" s="2" t="n">
        <v>630000</v>
      </c>
      <c r="H2299" s="2" t="inlineStr">
        <is>
          <t>Servicios externos</t>
        </is>
      </c>
      <c r="I2299" s="9" t="n">
        <v>1702.87</v>
      </c>
      <c r="J2299" s="9" t="n">
        <v>1624.53</v>
      </c>
      <c r="K2299" s="9" t="n">
        <v>1833.62</v>
      </c>
      <c r="L2299" s="9" t="n">
        <v>1849.85</v>
      </c>
      <c r="M2299" s="9" t="n">
        <v>1747.03</v>
      </c>
      <c r="N2299" s="9" t="n">
        <v>1604.65</v>
      </c>
      <c r="O2299" s="9" t="n">
        <v>1696.84</v>
      </c>
      <c r="P2299" s="9" t="n">
        <v>1592.04</v>
      </c>
      <c r="Q2299" s="9" t="n">
        <v>1640.06</v>
      </c>
      <c r="R2299" s="9" t="n">
        <v>1856.04</v>
      </c>
      <c r="S2299" s="9" t="n">
        <v>1746.42</v>
      </c>
      <c r="T2299" s="9" t="n">
        <v>1637.67</v>
      </c>
      <c r="U2299" s="10">
        <f>SUM(I2299:T2299)</f>
        <v/>
      </c>
    </row>
    <row r="2300">
      <c r="A2300" s="2" t="inlineStr">
        <is>
          <t>SN-3000-3600-3630-3630TK0027</t>
        </is>
      </c>
      <c r="B2300" s="2" t="inlineStr">
        <is>
          <t>3630TK0027</t>
        </is>
      </c>
      <c r="C2300" s="2" t="inlineStr">
        <is>
          <t>Estanque agua lavado tela</t>
        </is>
      </c>
      <c r="D2300" s="2" t="n">
        <v>767</v>
      </c>
      <c r="E2300" s="2" t="inlineStr">
        <is>
          <t>CC-3000</t>
        </is>
      </c>
      <c r="F2300" s="2" t="inlineStr">
        <is>
          <t>P01</t>
        </is>
      </c>
      <c r="G2300" s="2" t="n">
        <v>610000</v>
      </c>
      <c r="H2300" s="2" t="inlineStr">
        <is>
          <t>Mano obra interna</t>
        </is>
      </c>
      <c r="I2300" s="9" t="n">
        <v>2730.25</v>
      </c>
      <c r="J2300" s="9" t="n">
        <v>2462.56</v>
      </c>
      <c r="K2300" s="9" t="n">
        <v>2751.71</v>
      </c>
      <c r="L2300" s="9" t="n">
        <v>2835.29</v>
      </c>
      <c r="M2300" s="9" t="n">
        <v>2743</v>
      </c>
      <c r="N2300" s="9" t="n">
        <v>2570.9</v>
      </c>
      <c r="O2300" s="9" t="n">
        <v>2411</v>
      </c>
      <c r="P2300" s="9" t="n">
        <v>2750.42</v>
      </c>
      <c r="Q2300" s="9" t="n">
        <v>2479.23</v>
      </c>
      <c r="R2300" s="9" t="n">
        <v>2716.51</v>
      </c>
      <c r="S2300" s="9" t="n">
        <v>2388.94</v>
      </c>
      <c r="T2300" s="9" t="n">
        <v>2474.43</v>
      </c>
      <c r="U2300" s="10">
        <f>SUM(I2300:T2300)</f>
        <v/>
      </c>
    </row>
    <row r="2301">
      <c r="A2301" s="2" t="inlineStr">
        <is>
          <t>SN-3000-3600-3630-3630TK0027</t>
        </is>
      </c>
      <c r="B2301" s="2" t="inlineStr">
        <is>
          <t>3630TK0027</t>
        </is>
      </c>
      <c r="C2301" s="2" t="inlineStr">
        <is>
          <t>Estanque agua lavado tela</t>
        </is>
      </c>
      <c r="D2301" s="2" t="n">
        <v>767</v>
      </c>
      <c r="E2301" s="2" t="inlineStr">
        <is>
          <t>CC-3000</t>
        </is>
      </c>
      <c r="F2301" s="2" t="inlineStr">
        <is>
          <t>P01</t>
        </is>
      </c>
      <c r="G2301" s="2" t="n">
        <v>620000</v>
      </c>
      <c r="H2301" s="2" t="inlineStr">
        <is>
          <t>Materiales</t>
        </is>
      </c>
      <c r="I2301" s="9" t="n">
        <v>2227.84</v>
      </c>
      <c r="J2301" s="9" t="n">
        <v>1978.04</v>
      </c>
      <c r="K2301" s="9" t="n">
        <v>1998.76</v>
      </c>
      <c r="L2301" s="9" t="n">
        <v>2108.09</v>
      </c>
      <c r="M2301" s="9" t="n">
        <v>2069.62</v>
      </c>
      <c r="N2301" s="9" t="n">
        <v>1898.85</v>
      </c>
      <c r="O2301" s="9" t="n">
        <v>1944.98</v>
      </c>
      <c r="P2301" s="9" t="n">
        <v>1991.29</v>
      </c>
      <c r="Q2301" s="9" t="n">
        <v>2008.07</v>
      </c>
      <c r="R2301" s="9" t="n">
        <v>2110.39</v>
      </c>
      <c r="S2301" s="9" t="n">
        <v>2047.99</v>
      </c>
      <c r="T2301" s="9" t="n">
        <v>2007.82</v>
      </c>
      <c r="U2301" s="10">
        <f>SUM(I2301:T2301)</f>
        <v/>
      </c>
    </row>
    <row r="2302">
      <c r="A2302" s="2" t="inlineStr">
        <is>
          <t>SN-3000-3600-3630-3630TK0027</t>
        </is>
      </c>
      <c r="B2302" s="2" t="inlineStr">
        <is>
          <t>3630TK0027</t>
        </is>
      </c>
      <c r="C2302" s="2" t="inlineStr">
        <is>
          <t>Estanque agua lavado tela</t>
        </is>
      </c>
      <c r="D2302" s="2" t="n">
        <v>767</v>
      </c>
      <c r="E2302" s="2" t="inlineStr">
        <is>
          <t>CC-3000</t>
        </is>
      </c>
      <c r="F2302" s="2" t="inlineStr">
        <is>
          <t>P01</t>
        </is>
      </c>
      <c r="G2302" s="2" t="n">
        <v>630000</v>
      </c>
      <c r="H2302" s="2" t="inlineStr">
        <is>
          <t>Servicios externos</t>
        </is>
      </c>
      <c r="I2302" s="9" t="n">
        <v>2150.52</v>
      </c>
      <c r="J2302" s="9" t="n">
        <v>1976.01</v>
      </c>
      <c r="K2302" s="9" t="n">
        <v>2095.48</v>
      </c>
      <c r="L2302" s="9" t="n">
        <v>2137.59</v>
      </c>
      <c r="M2302" s="9" t="n">
        <v>2063.3</v>
      </c>
      <c r="N2302" s="9" t="n">
        <v>2130.84</v>
      </c>
      <c r="O2302" s="9" t="n">
        <v>1998.36</v>
      </c>
      <c r="P2302" s="9" t="n">
        <v>2265.19</v>
      </c>
      <c r="Q2302" s="9" t="n">
        <v>2096.07</v>
      </c>
      <c r="R2302" s="9" t="n">
        <v>2409.73</v>
      </c>
      <c r="S2302" s="9" t="n">
        <v>2011.55</v>
      </c>
      <c r="T2302" s="9" t="n">
        <v>2287.47</v>
      </c>
      <c r="U2302" s="10">
        <f>SUM(I2302:T2302)</f>
        <v/>
      </c>
    </row>
    <row r="2303">
      <c r="A2303" s="2" t="inlineStr">
        <is>
          <t>SN-3000-3600-3630-3630XM0069</t>
        </is>
      </c>
      <c r="B2303" s="2" t="inlineStr">
        <is>
          <t>3630XM0069</t>
        </is>
      </c>
      <c r="C2303" s="2" t="inlineStr">
        <is>
          <t>Celosía filtración</t>
        </is>
      </c>
      <c r="D2303" s="2" t="n">
        <v>768</v>
      </c>
      <c r="E2303" s="2" t="inlineStr">
        <is>
          <t>CC-3000</t>
        </is>
      </c>
      <c r="F2303" s="2" t="inlineStr">
        <is>
          <t>P01</t>
        </is>
      </c>
      <c r="G2303" s="2" t="n">
        <v>610000</v>
      </c>
      <c r="H2303" s="2" t="inlineStr">
        <is>
          <t>Mano obra interna</t>
        </is>
      </c>
      <c r="I2303" s="9" t="n">
        <v>1840.63</v>
      </c>
      <c r="J2303" s="9" t="n">
        <v>1751.73</v>
      </c>
      <c r="K2303" s="9" t="n">
        <v>2118.13</v>
      </c>
      <c r="L2303" s="9" t="n">
        <v>1900.39</v>
      </c>
      <c r="M2303" s="9" t="n">
        <v>2025.34</v>
      </c>
      <c r="N2303" s="9" t="n">
        <v>1767.33</v>
      </c>
      <c r="O2303" s="9" t="n">
        <v>2044.35</v>
      </c>
      <c r="P2303" s="9" t="n">
        <v>2040.78</v>
      </c>
      <c r="Q2303" s="9" t="n">
        <v>1906.78</v>
      </c>
      <c r="R2303" s="9" t="n">
        <v>2067.5</v>
      </c>
      <c r="S2303" s="9" t="n">
        <v>1965.8</v>
      </c>
      <c r="T2303" s="9" t="n">
        <v>2087.22</v>
      </c>
      <c r="U2303" s="10">
        <f>SUM(I2303:T2303)</f>
        <v/>
      </c>
    </row>
    <row r="2304">
      <c r="A2304" s="2" t="inlineStr">
        <is>
          <t>SN-3000-3600-3630-3630XM0069</t>
        </is>
      </c>
      <c r="B2304" s="2" t="inlineStr">
        <is>
          <t>3630XM0069</t>
        </is>
      </c>
      <c r="C2304" s="2" t="inlineStr">
        <is>
          <t>Celosía filtración</t>
        </is>
      </c>
      <c r="D2304" s="2" t="n">
        <v>768</v>
      </c>
      <c r="E2304" s="2" t="inlineStr">
        <is>
          <t>CC-3000</t>
        </is>
      </c>
      <c r="F2304" s="2" t="inlineStr">
        <is>
          <t>P01</t>
        </is>
      </c>
      <c r="G2304" s="2" t="n">
        <v>620000</v>
      </c>
      <c r="H2304" s="2" t="inlineStr">
        <is>
          <t>Materiales</t>
        </is>
      </c>
      <c r="I2304" s="9" t="n">
        <v>2024.35</v>
      </c>
      <c r="J2304" s="9" t="n">
        <v>2048.08</v>
      </c>
      <c r="K2304" s="9" t="n">
        <v>2006.46</v>
      </c>
      <c r="L2304" s="9" t="n">
        <v>2136.77</v>
      </c>
      <c r="M2304" s="9" t="n">
        <v>1852.76</v>
      </c>
      <c r="N2304" s="9" t="n">
        <v>1928.05</v>
      </c>
      <c r="O2304" s="9" t="n">
        <v>1888.54</v>
      </c>
      <c r="P2304" s="9" t="n">
        <v>1941.21</v>
      </c>
      <c r="Q2304" s="9" t="n">
        <v>1797.99</v>
      </c>
      <c r="R2304" s="9" t="n">
        <v>2284.16</v>
      </c>
      <c r="S2304" s="9" t="n">
        <v>1849.56</v>
      </c>
      <c r="T2304" s="9" t="n">
        <v>2139.55</v>
      </c>
      <c r="U2304" s="10">
        <f>SUM(I2304:T2304)</f>
        <v/>
      </c>
    </row>
    <row r="2305">
      <c r="A2305" s="2" t="inlineStr">
        <is>
          <t>SN-3000-3600-3630-3630XM0069</t>
        </is>
      </c>
      <c r="B2305" s="2" t="inlineStr">
        <is>
          <t>3630XM0069</t>
        </is>
      </c>
      <c r="C2305" s="2" t="inlineStr">
        <is>
          <t>Celosía filtración</t>
        </is>
      </c>
      <c r="D2305" s="2" t="n">
        <v>768</v>
      </c>
      <c r="E2305" s="2" t="inlineStr">
        <is>
          <t>CC-3000</t>
        </is>
      </c>
      <c r="F2305" s="2" t="inlineStr">
        <is>
          <t>P01</t>
        </is>
      </c>
      <c r="G2305" s="2" t="n">
        <v>630000</v>
      </c>
      <c r="H2305" s="2" t="inlineStr">
        <is>
          <t>Servicios externos</t>
        </is>
      </c>
      <c r="I2305" s="9" t="n">
        <v>2324.68</v>
      </c>
      <c r="J2305" s="9" t="n">
        <v>2147.6</v>
      </c>
      <c r="K2305" s="9" t="n">
        <v>2247.01</v>
      </c>
      <c r="L2305" s="9" t="n">
        <v>2314.76</v>
      </c>
      <c r="M2305" s="9" t="n">
        <v>2076.91</v>
      </c>
      <c r="N2305" s="9" t="n">
        <v>2188.48</v>
      </c>
      <c r="O2305" s="9" t="n">
        <v>2443.72</v>
      </c>
      <c r="P2305" s="9" t="n">
        <v>2150.18</v>
      </c>
      <c r="Q2305" s="9" t="n">
        <v>2145.06</v>
      </c>
      <c r="R2305" s="9" t="n">
        <v>2637.72</v>
      </c>
      <c r="S2305" s="9" t="n">
        <v>2332.06</v>
      </c>
      <c r="T2305" s="9" t="n">
        <v>2441.01</v>
      </c>
      <c r="U2305" s="10">
        <f>SUM(I2305:T2305)</f>
        <v/>
      </c>
    </row>
    <row r="2306">
      <c r="A2306" s="2" t="inlineStr">
        <is>
          <t>SN-3000-3600-3630-3630XM0070</t>
        </is>
      </c>
      <c r="B2306" s="2" t="inlineStr">
        <is>
          <t>3630XM0070</t>
        </is>
      </c>
      <c r="C2306" s="2" t="inlineStr">
        <is>
          <t>Celosía filtración</t>
        </is>
      </c>
      <c r="D2306" s="2" t="n">
        <v>769</v>
      </c>
      <c r="E2306" s="2" t="inlineStr">
        <is>
          <t>CC-3000</t>
        </is>
      </c>
      <c r="F2306" s="2" t="inlineStr">
        <is>
          <t>P01</t>
        </is>
      </c>
      <c r="G2306" s="2" t="n">
        <v>610000</v>
      </c>
      <c r="H2306" s="2" t="inlineStr">
        <is>
          <t>Mano obra interna</t>
        </is>
      </c>
      <c r="I2306" s="9" t="n">
        <v>1084.92</v>
      </c>
      <c r="J2306" s="9" t="n">
        <v>1147.15</v>
      </c>
      <c r="K2306" s="9" t="n">
        <v>1210.82</v>
      </c>
      <c r="L2306" s="9" t="n">
        <v>1119.68</v>
      </c>
      <c r="M2306" s="9" t="n">
        <v>1059.68</v>
      </c>
      <c r="N2306" s="9" t="n">
        <v>1033.72</v>
      </c>
      <c r="O2306" s="9" t="n">
        <v>1067.67</v>
      </c>
      <c r="P2306" s="9" t="n">
        <v>1045.04</v>
      </c>
      <c r="Q2306" s="9" t="n">
        <v>1039.83</v>
      </c>
      <c r="R2306" s="9" t="n">
        <v>1194.08</v>
      </c>
      <c r="S2306" s="9" t="n">
        <v>1054.9</v>
      </c>
      <c r="T2306" s="9" t="n">
        <v>1040.6</v>
      </c>
      <c r="U2306" s="10">
        <f>SUM(I2306:T2306)</f>
        <v/>
      </c>
    </row>
    <row r="2307">
      <c r="A2307" s="2" t="inlineStr">
        <is>
          <t>SN-3000-3600-3630-3630XM0070</t>
        </is>
      </c>
      <c r="B2307" s="2" t="inlineStr">
        <is>
          <t>3630XM0070</t>
        </is>
      </c>
      <c r="C2307" s="2" t="inlineStr">
        <is>
          <t>Celosía filtración</t>
        </is>
      </c>
      <c r="D2307" s="2" t="n">
        <v>769</v>
      </c>
      <c r="E2307" s="2" t="inlineStr">
        <is>
          <t>CC-3000</t>
        </is>
      </c>
      <c r="F2307" s="2" t="inlineStr">
        <is>
          <t>P01</t>
        </is>
      </c>
      <c r="G2307" s="2" t="n">
        <v>620000</v>
      </c>
      <c r="H2307" s="2" t="inlineStr">
        <is>
          <t>Materiales</t>
        </is>
      </c>
      <c r="I2307" s="9" t="n">
        <v>1029.67</v>
      </c>
      <c r="J2307" s="9" t="n">
        <v>983.25</v>
      </c>
      <c r="K2307" s="9" t="n">
        <v>1119.26</v>
      </c>
      <c r="L2307" s="9" t="n">
        <v>1069.8</v>
      </c>
      <c r="M2307" s="9" t="n">
        <v>978.8099999999999</v>
      </c>
      <c r="N2307" s="9" t="n">
        <v>993.73</v>
      </c>
      <c r="O2307" s="9" t="n">
        <v>1110.75</v>
      </c>
      <c r="P2307" s="9" t="n">
        <v>1082.79</v>
      </c>
      <c r="Q2307" s="9" t="n">
        <v>968.6900000000001</v>
      </c>
      <c r="R2307" s="9" t="n">
        <v>1090.84</v>
      </c>
      <c r="S2307" s="9" t="n">
        <v>1051.72</v>
      </c>
      <c r="T2307" s="9" t="n">
        <v>1146.74</v>
      </c>
      <c r="U2307" s="10">
        <f>SUM(I2307:T2307)</f>
        <v/>
      </c>
    </row>
    <row r="2308">
      <c r="A2308" s="2" t="inlineStr">
        <is>
          <t>SN-3000-3600-3630-3630XM0070</t>
        </is>
      </c>
      <c r="B2308" s="2" t="inlineStr">
        <is>
          <t>3630XM0070</t>
        </is>
      </c>
      <c r="C2308" s="2" t="inlineStr">
        <is>
          <t>Celosía filtración</t>
        </is>
      </c>
      <c r="D2308" s="2" t="n">
        <v>769</v>
      </c>
      <c r="E2308" s="2" t="inlineStr">
        <is>
          <t>CC-3000</t>
        </is>
      </c>
      <c r="F2308" s="2" t="inlineStr">
        <is>
          <t>P01</t>
        </is>
      </c>
      <c r="G2308" s="2" t="n">
        <v>630000</v>
      </c>
      <c r="H2308" s="2" t="inlineStr">
        <is>
          <t>Servicios externos</t>
        </is>
      </c>
      <c r="I2308" s="9" t="n">
        <v>1050.61</v>
      </c>
      <c r="J2308" s="9" t="n">
        <v>968.5700000000001</v>
      </c>
      <c r="K2308" s="9" t="n">
        <v>1046.36</v>
      </c>
      <c r="L2308" s="9" t="n">
        <v>1065.2</v>
      </c>
      <c r="M2308" s="9" t="n">
        <v>1012.34</v>
      </c>
      <c r="N2308" s="9" t="n">
        <v>998.48</v>
      </c>
      <c r="O2308" s="9" t="n">
        <v>969.73</v>
      </c>
      <c r="P2308" s="9" t="n">
        <v>1042.69</v>
      </c>
      <c r="Q2308" s="9" t="n">
        <v>930.08</v>
      </c>
      <c r="R2308" s="9" t="n">
        <v>1119.53</v>
      </c>
      <c r="S2308" s="9" t="n">
        <v>878.86</v>
      </c>
      <c r="T2308" s="9" t="n">
        <v>1019.76</v>
      </c>
      <c r="U2308" s="10">
        <f>SUM(I2308:T2308)</f>
        <v/>
      </c>
    </row>
    <row r="2309">
      <c r="A2309" s="2" t="inlineStr">
        <is>
          <t>SN-3000-3600-3630-3630XM0071</t>
        </is>
      </c>
      <c r="B2309" s="2" t="inlineStr">
        <is>
          <t>3630XM0071</t>
        </is>
      </c>
      <c r="C2309" s="2" t="inlineStr">
        <is>
          <t>Celosía filtración</t>
        </is>
      </c>
      <c r="D2309" s="2" t="n">
        <v>770</v>
      </c>
      <c r="E2309" s="2" t="inlineStr">
        <is>
          <t>CC-3000</t>
        </is>
      </c>
      <c r="F2309" s="2" t="inlineStr">
        <is>
          <t>P01</t>
        </is>
      </c>
      <c r="G2309" s="2" t="n">
        <v>610000</v>
      </c>
      <c r="H2309" s="2" t="inlineStr">
        <is>
          <t>Mano obra interna</t>
        </is>
      </c>
      <c r="I2309" s="9" t="n">
        <v>894.9299999999999</v>
      </c>
      <c r="J2309" s="9" t="n">
        <v>934.45</v>
      </c>
      <c r="K2309" s="9" t="n">
        <v>1003.74</v>
      </c>
      <c r="L2309" s="9" t="n">
        <v>913.1900000000001</v>
      </c>
      <c r="M2309" s="9" t="n">
        <v>901.4299999999999</v>
      </c>
      <c r="N2309" s="9" t="n">
        <v>894.0700000000001</v>
      </c>
      <c r="O2309" s="9" t="n">
        <v>928.13</v>
      </c>
      <c r="P2309" s="9" t="n">
        <v>856.04</v>
      </c>
      <c r="Q2309" s="9" t="n">
        <v>805.66</v>
      </c>
      <c r="R2309" s="9" t="n">
        <v>933.65</v>
      </c>
      <c r="S2309" s="9" t="n">
        <v>861.28</v>
      </c>
      <c r="T2309" s="9" t="n">
        <v>900.4400000000001</v>
      </c>
      <c r="U2309" s="10">
        <f>SUM(I2309:T2309)</f>
        <v/>
      </c>
    </row>
    <row r="2310">
      <c r="A2310" s="2" t="inlineStr">
        <is>
          <t>SN-3000-3600-3630-3630XM0071</t>
        </is>
      </c>
      <c r="B2310" s="2" t="inlineStr">
        <is>
          <t>3630XM0071</t>
        </is>
      </c>
      <c r="C2310" s="2" t="inlineStr">
        <is>
          <t>Celosía filtración</t>
        </is>
      </c>
      <c r="D2310" s="2" t="n">
        <v>770</v>
      </c>
      <c r="E2310" s="2" t="inlineStr">
        <is>
          <t>CC-3000</t>
        </is>
      </c>
      <c r="F2310" s="2" t="inlineStr">
        <is>
          <t>P01</t>
        </is>
      </c>
      <c r="G2310" s="2" t="n">
        <v>620000</v>
      </c>
      <c r="H2310" s="2" t="inlineStr">
        <is>
          <t>Materiales</t>
        </is>
      </c>
      <c r="I2310" s="9" t="n">
        <v>869.37</v>
      </c>
      <c r="J2310" s="9" t="n">
        <v>864.09</v>
      </c>
      <c r="K2310" s="9" t="n">
        <v>808.6900000000001</v>
      </c>
      <c r="L2310" s="9" t="n">
        <v>858.34</v>
      </c>
      <c r="M2310" s="9" t="n">
        <v>809.62</v>
      </c>
      <c r="N2310" s="9" t="n">
        <v>849.9</v>
      </c>
      <c r="O2310" s="9" t="n">
        <v>870.2</v>
      </c>
      <c r="P2310" s="9" t="n">
        <v>890.89</v>
      </c>
      <c r="Q2310" s="9" t="n">
        <v>726.76</v>
      </c>
      <c r="R2310" s="9" t="n">
        <v>939.92</v>
      </c>
      <c r="S2310" s="9" t="n">
        <v>820.15</v>
      </c>
      <c r="T2310" s="9" t="n">
        <v>898.74</v>
      </c>
      <c r="U2310" s="10">
        <f>SUM(I2310:T2310)</f>
        <v/>
      </c>
    </row>
    <row r="2311">
      <c r="A2311" s="2" t="inlineStr">
        <is>
          <t>SN-3000-3600-3630-3630XM0071</t>
        </is>
      </c>
      <c r="B2311" s="2" t="inlineStr">
        <is>
          <t>3630XM0071</t>
        </is>
      </c>
      <c r="C2311" s="2" t="inlineStr">
        <is>
          <t>Celosía filtración</t>
        </is>
      </c>
      <c r="D2311" s="2" t="n">
        <v>770</v>
      </c>
      <c r="E2311" s="2" t="inlineStr">
        <is>
          <t>CC-3000</t>
        </is>
      </c>
      <c r="F2311" s="2" t="inlineStr">
        <is>
          <t>P01</t>
        </is>
      </c>
      <c r="G2311" s="2" t="n">
        <v>630000</v>
      </c>
      <c r="H2311" s="2" t="inlineStr">
        <is>
          <t>Servicios externos</t>
        </is>
      </c>
      <c r="I2311" s="9" t="n">
        <v>810.03</v>
      </c>
      <c r="J2311" s="9" t="n">
        <v>720.79</v>
      </c>
      <c r="K2311" s="9" t="n">
        <v>835.3</v>
      </c>
      <c r="L2311" s="9" t="n">
        <v>776.55</v>
      </c>
      <c r="M2311" s="9" t="n">
        <v>720.3</v>
      </c>
      <c r="N2311" s="9" t="n">
        <v>701.49</v>
      </c>
      <c r="O2311" s="9" t="n">
        <v>846.49</v>
      </c>
      <c r="P2311" s="9" t="n">
        <v>768.4299999999999</v>
      </c>
      <c r="Q2311" s="9" t="n">
        <v>777.14</v>
      </c>
      <c r="R2311" s="9" t="n">
        <v>912.79</v>
      </c>
      <c r="S2311" s="9" t="n">
        <v>817.37</v>
      </c>
      <c r="T2311" s="9" t="n">
        <v>848.99</v>
      </c>
      <c r="U2311" s="10">
        <f>SUM(I2311:T2311)</f>
        <v/>
      </c>
    </row>
    <row r="2312">
      <c r="A2312" s="2" t="inlineStr">
        <is>
          <t>SN-3000-3600-3630-3630XM0121</t>
        </is>
      </c>
      <c r="B2312" s="2" t="inlineStr">
        <is>
          <t>3630XM0121</t>
        </is>
      </c>
      <c r="C2312" s="2" t="inlineStr">
        <is>
          <t>Celosia regulable manual</t>
        </is>
      </c>
      <c r="D2312" s="2" t="n">
        <v>771</v>
      </c>
      <c r="E2312" s="2" t="inlineStr">
        <is>
          <t>CC-3000</t>
        </is>
      </c>
      <c r="F2312" s="2" t="inlineStr">
        <is>
          <t>P01</t>
        </is>
      </c>
      <c r="G2312" s="2" t="n">
        <v>610000</v>
      </c>
      <c r="H2312" s="2" t="inlineStr">
        <is>
          <t>Mano obra interna</t>
        </is>
      </c>
      <c r="I2312" s="9" t="n">
        <v>242.58</v>
      </c>
      <c r="J2312" s="9" t="n">
        <v>228.69</v>
      </c>
      <c r="K2312" s="9" t="n">
        <v>259.36</v>
      </c>
      <c r="L2312" s="9" t="n">
        <v>250.87</v>
      </c>
      <c r="M2312" s="9" t="n">
        <v>227.76</v>
      </c>
      <c r="N2312" s="9" t="n">
        <v>241.8</v>
      </c>
      <c r="O2312" s="9" t="n">
        <v>248.51</v>
      </c>
      <c r="P2312" s="9" t="n">
        <v>260.02</v>
      </c>
      <c r="Q2312" s="9" t="n">
        <v>232.92</v>
      </c>
      <c r="R2312" s="9" t="n">
        <v>268.35</v>
      </c>
      <c r="S2312" s="9" t="n">
        <v>235.81</v>
      </c>
      <c r="T2312" s="9" t="n">
        <v>248.09</v>
      </c>
      <c r="U2312" s="10">
        <f>SUM(I2312:T2312)</f>
        <v/>
      </c>
    </row>
    <row r="2313">
      <c r="A2313" s="2" t="inlineStr">
        <is>
          <t>SN-3000-3600-3630-3630XM0121</t>
        </is>
      </c>
      <c r="B2313" s="2" t="inlineStr">
        <is>
          <t>3630XM0121</t>
        </is>
      </c>
      <c r="C2313" s="2" t="inlineStr">
        <is>
          <t>Celosia regulable manual</t>
        </is>
      </c>
      <c r="D2313" s="2" t="n">
        <v>771</v>
      </c>
      <c r="E2313" s="2" t="inlineStr">
        <is>
          <t>CC-3000</t>
        </is>
      </c>
      <c r="F2313" s="2" t="inlineStr">
        <is>
          <t>P01</t>
        </is>
      </c>
      <c r="G2313" s="2" t="n">
        <v>620000</v>
      </c>
      <c r="H2313" s="2" t="inlineStr">
        <is>
          <t>Materiales</t>
        </is>
      </c>
      <c r="I2313" s="9" t="n">
        <v>236.54</v>
      </c>
      <c r="J2313" s="9" t="n">
        <v>240.13</v>
      </c>
      <c r="K2313" s="9" t="n">
        <v>260.04</v>
      </c>
      <c r="L2313" s="9" t="n">
        <v>248.66</v>
      </c>
      <c r="M2313" s="9" t="n">
        <v>234.95</v>
      </c>
      <c r="N2313" s="9" t="n">
        <v>227.13</v>
      </c>
      <c r="O2313" s="9" t="n">
        <v>235.56</v>
      </c>
      <c r="P2313" s="9" t="n">
        <v>239.61</v>
      </c>
      <c r="Q2313" s="9" t="n">
        <v>242.55</v>
      </c>
      <c r="R2313" s="9" t="n">
        <v>265.45</v>
      </c>
      <c r="S2313" s="9" t="n">
        <v>228.19</v>
      </c>
      <c r="T2313" s="9" t="n">
        <v>244.98</v>
      </c>
      <c r="U2313" s="10">
        <f>SUM(I2313:T2313)</f>
        <v/>
      </c>
    </row>
    <row r="2314">
      <c r="A2314" s="2" t="inlineStr">
        <is>
          <t>SN-3000-3600-3630-3630XM0121</t>
        </is>
      </c>
      <c r="B2314" s="2" t="inlineStr">
        <is>
          <t>3630XM0121</t>
        </is>
      </c>
      <c r="C2314" s="2" t="inlineStr">
        <is>
          <t>Celosia regulable manual</t>
        </is>
      </c>
      <c r="D2314" s="2" t="n">
        <v>771</v>
      </c>
      <c r="E2314" s="2" t="inlineStr">
        <is>
          <t>CC-3000</t>
        </is>
      </c>
      <c r="F2314" s="2" t="inlineStr">
        <is>
          <t>P01</t>
        </is>
      </c>
      <c r="G2314" s="2" t="n">
        <v>630000</v>
      </c>
      <c r="H2314" s="2" t="inlineStr">
        <is>
          <t>Servicios externos</t>
        </is>
      </c>
      <c r="I2314" s="9" t="n">
        <v>204.04</v>
      </c>
      <c r="J2314" s="9" t="n">
        <v>182.17</v>
      </c>
      <c r="K2314" s="9" t="n">
        <v>208.56</v>
      </c>
      <c r="L2314" s="9" t="n">
        <v>187.19</v>
      </c>
      <c r="M2314" s="9" t="n">
        <v>195.79</v>
      </c>
      <c r="N2314" s="9" t="n">
        <v>172.49</v>
      </c>
      <c r="O2314" s="9" t="n">
        <v>175.08</v>
      </c>
      <c r="P2314" s="9" t="n">
        <v>173.54</v>
      </c>
      <c r="Q2314" s="9" t="n">
        <v>177.72</v>
      </c>
      <c r="R2314" s="9" t="n">
        <v>196.35</v>
      </c>
      <c r="S2314" s="9" t="n">
        <v>180.1</v>
      </c>
      <c r="T2314" s="9" t="n">
        <v>200.23</v>
      </c>
      <c r="U2314" s="10">
        <f>SUM(I2314:T2314)</f>
        <v/>
      </c>
    </row>
    <row r="2315">
      <c r="A2315" s="2" t="inlineStr">
        <is>
          <t>SN-3000-3600-3630-3630XM0132</t>
        </is>
      </c>
      <c r="B2315" s="2" t="inlineStr">
        <is>
          <t>3630XM0132</t>
        </is>
      </c>
      <c r="C2315" s="2" t="inlineStr">
        <is>
          <t>Celosia edificio Filtro</t>
        </is>
      </c>
      <c r="D2315" s="2" t="n">
        <v>772</v>
      </c>
      <c r="E2315" s="2" t="inlineStr">
        <is>
          <t>CC-3000</t>
        </is>
      </c>
      <c r="F2315" s="2" t="inlineStr">
        <is>
          <t>P01</t>
        </is>
      </c>
      <c r="G2315" s="2" t="n">
        <v>610000</v>
      </c>
      <c r="H2315" s="2" t="inlineStr">
        <is>
          <t>Mano obra interna</t>
        </is>
      </c>
      <c r="I2315" s="9" t="n">
        <v>792.51</v>
      </c>
      <c r="J2315" s="9" t="n">
        <v>832.3</v>
      </c>
      <c r="K2315" s="9" t="n">
        <v>825.23</v>
      </c>
      <c r="L2315" s="9" t="n">
        <v>861.41</v>
      </c>
      <c r="M2315" s="9" t="n">
        <v>776.64</v>
      </c>
      <c r="N2315" s="9" t="n">
        <v>753.21</v>
      </c>
      <c r="O2315" s="9" t="n">
        <v>758.54</v>
      </c>
      <c r="P2315" s="9" t="n">
        <v>853.55</v>
      </c>
      <c r="Q2315" s="9" t="n">
        <v>792.8099999999999</v>
      </c>
      <c r="R2315" s="9" t="n">
        <v>930.5599999999999</v>
      </c>
      <c r="S2315" s="9" t="n">
        <v>763.17</v>
      </c>
      <c r="T2315" s="9" t="n">
        <v>854.17</v>
      </c>
      <c r="U2315" s="10">
        <f>SUM(I2315:T2315)</f>
        <v/>
      </c>
    </row>
    <row r="2316">
      <c r="A2316" s="2" t="inlineStr">
        <is>
          <t>SN-3000-3600-3630-3630XM0132</t>
        </is>
      </c>
      <c r="B2316" s="2" t="inlineStr">
        <is>
          <t>3630XM0132</t>
        </is>
      </c>
      <c r="C2316" s="2" t="inlineStr">
        <is>
          <t>Celosia edificio Filtro</t>
        </is>
      </c>
      <c r="D2316" s="2" t="n">
        <v>772</v>
      </c>
      <c r="E2316" s="2" t="inlineStr">
        <is>
          <t>CC-3000</t>
        </is>
      </c>
      <c r="F2316" s="2" t="inlineStr">
        <is>
          <t>P01</t>
        </is>
      </c>
      <c r="G2316" s="2" t="n">
        <v>620000</v>
      </c>
      <c r="H2316" s="2" t="inlineStr">
        <is>
          <t>Materiales</t>
        </is>
      </c>
      <c r="I2316" s="9" t="n">
        <v>849.8200000000001</v>
      </c>
      <c r="J2316" s="9" t="n">
        <v>869.5</v>
      </c>
      <c r="K2316" s="9" t="n">
        <v>820.47</v>
      </c>
      <c r="L2316" s="9" t="n">
        <v>818.73</v>
      </c>
      <c r="M2316" s="9" t="n">
        <v>805.3200000000001</v>
      </c>
      <c r="N2316" s="9" t="n">
        <v>838.72</v>
      </c>
      <c r="O2316" s="9" t="n">
        <v>821.88</v>
      </c>
      <c r="P2316" s="9" t="n">
        <v>818.95</v>
      </c>
      <c r="Q2316" s="9" t="n">
        <v>842.9299999999999</v>
      </c>
      <c r="R2316" s="9" t="n">
        <v>887.55</v>
      </c>
      <c r="S2316" s="9" t="n">
        <v>779.05</v>
      </c>
      <c r="T2316" s="9" t="n">
        <v>867.8200000000001</v>
      </c>
      <c r="U2316" s="10">
        <f>SUM(I2316:T2316)</f>
        <v/>
      </c>
    </row>
    <row r="2317">
      <c r="A2317" s="2" t="inlineStr">
        <is>
          <t>SN-3000-3600-3630-3630XM0132</t>
        </is>
      </c>
      <c r="B2317" s="2" t="inlineStr">
        <is>
          <t>3630XM0132</t>
        </is>
      </c>
      <c r="C2317" s="2" t="inlineStr">
        <is>
          <t>Celosia edificio Filtro</t>
        </is>
      </c>
      <c r="D2317" s="2" t="n">
        <v>772</v>
      </c>
      <c r="E2317" s="2" t="inlineStr">
        <is>
          <t>CC-3000</t>
        </is>
      </c>
      <c r="F2317" s="2" t="inlineStr">
        <is>
          <t>P01</t>
        </is>
      </c>
      <c r="G2317" s="2" t="n">
        <v>630000</v>
      </c>
      <c r="H2317" s="2" t="inlineStr">
        <is>
          <t>Servicios externos</t>
        </is>
      </c>
      <c r="I2317" s="9" t="n">
        <v>894.3099999999999</v>
      </c>
      <c r="J2317" s="9" t="n">
        <v>944.21</v>
      </c>
      <c r="K2317" s="9" t="n">
        <v>898.51</v>
      </c>
      <c r="L2317" s="9" t="n">
        <v>965.63</v>
      </c>
      <c r="M2317" s="9" t="n">
        <v>894.9</v>
      </c>
      <c r="N2317" s="9" t="n">
        <v>871.67</v>
      </c>
      <c r="O2317" s="9" t="n">
        <v>936.3</v>
      </c>
      <c r="P2317" s="9" t="n">
        <v>1004.38</v>
      </c>
      <c r="Q2317" s="9" t="n">
        <v>905.3200000000001</v>
      </c>
      <c r="R2317" s="9" t="n">
        <v>1085.54</v>
      </c>
      <c r="S2317" s="9" t="n">
        <v>934.1</v>
      </c>
      <c r="T2317" s="9" t="n">
        <v>879.51</v>
      </c>
      <c r="U2317" s="10">
        <f>SUM(I2317:T2317)</f>
        <v/>
      </c>
    </row>
    <row r="2318">
      <c r="A2318" s="2" t="inlineStr">
        <is>
          <t>SN-3000-3600-3630-3630XM0133</t>
        </is>
      </c>
      <c r="B2318" s="2" t="inlineStr">
        <is>
          <t>3630XM0133</t>
        </is>
      </c>
      <c r="C2318" s="2" t="inlineStr">
        <is>
          <t>Compuerta</t>
        </is>
      </c>
      <c r="D2318" s="2" t="n">
        <v>773</v>
      </c>
      <c r="E2318" s="2" t="inlineStr">
        <is>
          <t>CC-3000</t>
        </is>
      </c>
      <c r="F2318" s="2" t="inlineStr">
        <is>
          <t>P01</t>
        </is>
      </c>
      <c r="G2318" s="2" t="n">
        <v>610000</v>
      </c>
      <c r="H2318" s="2" t="inlineStr">
        <is>
          <t>Mano obra interna</t>
        </is>
      </c>
      <c r="I2318" s="9" t="n">
        <v>1046.21</v>
      </c>
      <c r="J2318" s="9" t="n">
        <v>969.55</v>
      </c>
      <c r="K2318" s="9" t="n">
        <v>1069.33</v>
      </c>
      <c r="L2318" s="9" t="n">
        <v>929.4400000000001</v>
      </c>
      <c r="M2318" s="9" t="n">
        <v>921.4400000000001</v>
      </c>
      <c r="N2318" s="9" t="n">
        <v>899.83</v>
      </c>
      <c r="O2318" s="9" t="n">
        <v>936.09</v>
      </c>
      <c r="P2318" s="9" t="n">
        <v>923.49</v>
      </c>
      <c r="Q2318" s="9" t="n">
        <v>887.74</v>
      </c>
      <c r="R2318" s="9" t="n">
        <v>1061.47</v>
      </c>
      <c r="S2318" s="9" t="n">
        <v>903.5</v>
      </c>
      <c r="T2318" s="9" t="n">
        <v>910.98</v>
      </c>
      <c r="U2318" s="10">
        <f>SUM(I2318:T2318)</f>
        <v/>
      </c>
    </row>
    <row r="2319">
      <c r="A2319" s="2" t="inlineStr">
        <is>
          <t>SN-3000-3600-3630-3630XM0133</t>
        </is>
      </c>
      <c r="B2319" s="2" t="inlineStr">
        <is>
          <t>3630XM0133</t>
        </is>
      </c>
      <c r="C2319" s="2" t="inlineStr">
        <is>
          <t>Compuerta</t>
        </is>
      </c>
      <c r="D2319" s="2" t="n">
        <v>773</v>
      </c>
      <c r="E2319" s="2" t="inlineStr">
        <is>
          <t>CC-3000</t>
        </is>
      </c>
      <c r="F2319" s="2" t="inlineStr">
        <is>
          <t>P01</t>
        </is>
      </c>
      <c r="G2319" s="2" t="n">
        <v>620000</v>
      </c>
      <c r="H2319" s="2" t="inlineStr">
        <is>
          <t>Materiales</t>
        </is>
      </c>
      <c r="I2319" s="9" t="n">
        <v>1064.05</v>
      </c>
      <c r="J2319" s="9" t="n">
        <v>1042.66</v>
      </c>
      <c r="K2319" s="9" t="n">
        <v>1074.68</v>
      </c>
      <c r="L2319" s="9" t="n">
        <v>1139.31</v>
      </c>
      <c r="M2319" s="9" t="n">
        <v>1048.11</v>
      </c>
      <c r="N2319" s="9" t="n">
        <v>1071.05</v>
      </c>
      <c r="O2319" s="9" t="n">
        <v>1051.46</v>
      </c>
      <c r="P2319" s="9" t="n">
        <v>1013.63</v>
      </c>
      <c r="Q2319" s="9" t="n">
        <v>954.09</v>
      </c>
      <c r="R2319" s="9" t="n">
        <v>1135.5</v>
      </c>
      <c r="S2319" s="9" t="n">
        <v>1020.57</v>
      </c>
      <c r="T2319" s="9" t="n">
        <v>1096.7</v>
      </c>
      <c r="U2319" s="10">
        <f>SUM(I2319:T2319)</f>
        <v/>
      </c>
    </row>
    <row r="2320">
      <c r="A2320" s="2" t="inlineStr">
        <is>
          <t>SN-3000-3600-3630-3630XM0133</t>
        </is>
      </c>
      <c r="B2320" s="2" t="inlineStr">
        <is>
          <t>3630XM0133</t>
        </is>
      </c>
      <c r="C2320" s="2" t="inlineStr">
        <is>
          <t>Compuerta</t>
        </is>
      </c>
      <c r="D2320" s="2" t="n">
        <v>773</v>
      </c>
      <c r="E2320" s="2" t="inlineStr">
        <is>
          <t>CC-3000</t>
        </is>
      </c>
      <c r="F2320" s="2" t="inlineStr">
        <is>
          <t>P01</t>
        </is>
      </c>
      <c r="G2320" s="2" t="n">
        <v>630000</v>
      </c>
      <c r="H2320" s="2" t="inlineStr">
        <is>
          <t>Servicios externos</t>
        </is>
      </c>
      <c r="I2320" s="9" t="n">
        <v>956.5</v>
      </c>
      <c r="J2320" s="9" t="n">
        <v>940.02</v>
      </c>
      <c r="K2320" s="9" t="n">
        <v>969.29</v>
      </c>
      <c r="L2320" s="9" t="n">
        <v>931.17</v>
      </c>
      <c r="M2320" s="9" t="n">
        <v>975.4299999999999</v>
      </c>
      <c r="N2320" s="9" t="n">
        <v>860.3</v>
      </c>
      <c r="O2320" s="9" t="n">
        <v>856.62</v>
      </c>
      <c r="P2320" s="9" t="n">
        <v>960.03</v>
      </c>
      <c r="Q2320" s="9" t="n">
        <v>811.42</v>
      </c>
      <c r="R2320" s="9" t="n">
        <v>1019.03</v>
      </c>
      <c r="S2320" s="9" t="n">
        <v>839.13</v>
      </c>
      <c r="T2320" s="9" t="n">
        <v>855.63</v>
      </c>
      <c r="U2320" s="10">
        <f>SUM(I2320:T2320)</f>
        <v/>
      </c>
    </row>
    <row r="2321">
      <c r="A2321" s="2" t="inlineStr">
        <is>
          <t>SN-3000-3600-3630-3630XM0134</t>
        </is>
      </c>
      <c r="B2321" s="2" t="inlineStr">
        <is>
          <t>3630XM0134</t>
        </is>
      </c>
      <c r="C2321" s="2" t="inlineStr">
        <is>
          <t>Celosía aire calefacción</t>
        </is>
      </c>
      <c r="D2321" s="2" t="n">
        <v>774</v>
      </c>
      <c r="E2321" s="2" t="inlineStr">
        <is>
          <t>CC-3000</t>
        </is>
      </c>
      <c r="F2321" s="2" t="inlineStr">
        <is>
          <t>P01</t>
        </is>
      </c>
      <c r="G2321" s="2" t="n">
        <v>610000</v>
      </c>
      <c r="H2321" s="2" t="inlineStr">
        <is>
          <t>Mano obra interna</t>
        </is>
      </c>
      <c r="I2321" s="9" t="n">
        <v>1562.62</v>
      </c>
      <c r="J2321" s="9" t="n">
        <v>1441.01</v>
      </c>
      <c r="K2321" s="9" t="n">
        <v>1532.93</v>
      </c>
      <c r="L2321" s="9" t="n">
        <v>1663.43</v>
      </c>
      <c r="M2321" s="9" t="n">
        <v>1612.02</v>
      </c>
      <c r="N2321" s="9" t="n">
        <v>1568.68</v>
      </c>
      <c r="O2321" s="9" t="n">
        <v>1647.42</v>
      </c>
      <c r="P2321" s="9" t="n">
        <v>1540.41</v>
      </c>
      <c r="Q2321" s="9" t="n">
        <v>1538.99</v>
      </c>
      <c r="R2321" s="9" t="n">
        <v>1690.89</v>
      </c>
      <c r="S2321" s="9" t="n">
        <v>1504.47</v>
      </c>
      <c r="T2321" s="9" t="n">
        <v>1640.03</v>
      </c>
      <c r="U2321" s="10">
        <f>SUM(I2321:T2321)</f>
        <v/>
      </c>
    </row>
    <row r="2322">
      <c r="A2322" s="2" t="inlineStr">
        <is>
          <t>SN-3000-3600-3630-3630XM0134</t>
        </is>
      </c>
      <c r="B2322" s="2" t="inlineStr">
        <is>
          <t>3630XM0134</t>
        </is>
      </c>
      <c r="C2322" s="2" t="inlineStr">
        <is>
          <t>Celosía aire calefacción</t>
        </is>
      </c>
      <c r="D2322" s="2" t="n">
        <v>774</v>
      </c>
      <c r="E2322" s="2" t="inlineStr">
        <is>
          <t>CC-3000</t>
        </is>
      </c>
      <c r="F2322" s="2" t="inlineStr">
        <is>
          <t>P01</t>
        </is>
      </c>
      <c r="G2322" s="2" t="n">
        <v>620000</v>
      </c>
      <c r="H2322" s="2" t="inlineStr">
        <is>
          <t>Materiales</t>
        </is>
      </c>
      <c r="I2322" s="9" t="n">
        <v>1680.73</v>
      </c>
      <c r="J2322" s="9" t="n">
        <v>1532.21</v>
      </c>
      <c r="K2322" s="9" t="n">
        <v>1526.52</v>
      </c>
      <c r="L2322" s="9" t="n">
        <v>1510.26</v>
      </c>
      <c r="M2322" s="9" t="n">
        <v>1473.76</v>
      </c>
      <c r="N2322" s="9" t="n">
        <v>1598.41</v>
      </c>
      <c r="O2322" s="9" t="n">
        <v>1697.9</v>
      </c>
      <c r="P2322" s="9" t="n">
        <v>1536.37</v>
      </c>
      <c r="Q2322" s="9" t="n">
        <v>1416.05</v>
      </c>
      <c r="R2322" s="9" t="n">
        <v>1620.58</v>
      </c>
      <c r="S2322" s="9" t="n">
        <v>1602.2</v>
      </c>
      <c r="T2322" s="9" t="n">
        <v>1522.59</v>
      </c>
      <c r="U2322" s="10">
        <f>SUM(I2322:T2322)</f>
        <v/>
      </c>
    </row>
    <row r="2323">
      <c r="A2323" s="2" t="inlineStr">
        <is>
          <t>SN-3000-3600-3630-3630XM0134</t>
        </is>
      </c>
      <c r="B2323" s="2" t="inlineStr">
        <is>
          <t>3630XM0134</t>
        </is>
      </c>
      <c r="C2323" s="2" t="inlineStr">
        <is>
          <t>Celosía aire calefacción</t>
        </is>
      </c>
      <c r="D2323" s="2" t="n">
        <v>774</v>
      </c>
      <c r="E2323" s="2" t="inlineStr">
        <is>
          <t>CC-3000</t>
        </is>
      </c>
      <c r="F2323" s="2" t="inlineStr">
        <is>
          <t>P01</t>
        </is>
      </c>
      <c r="G2323" s="2" t="n">
        <v>630000</v>
      </c>
      <c r="H2323" s="2" t="inlineStr">
        <is>
          <t>Servicios externos</t>
        </is>
      </c>
      <c r="I2323" s="9" t="n">
        <v>1943.1</v>
      </c>
      <c r="J2323" s="9" t="n">
        <v>1941.72</v>
      </c>
      <c r="K2323" s="9" t="n">
        <v>1928.96</v>
      </c>
      <c r="L2323" s="9" t="n">
        <v>1952.45</v>
      </c>
      <c r="M2323" s="9" t="n">
        <v>1869.67</v>
      </c>
      <c r="N2323" s="9" t="n">
        <v>1866.26</v>
      </c>
      <c r="O2323" s="9" t="n">
        <v>1954.28</v>
      </c>
      <c r="P2323" s="9" t="n">
        <v>1879.01</v>
      </c>
      <c r="Q2323" s="9" t="n">
        <v>1762.23</v>
      </c>
      <c r="R2323" s="9" t="n">
        <v>2134.11</v>
      </c>
      <c r="S2323" s="9" t="n">
        <v>1918.01</v>
      </c>
      <c r="T2323" s="9" t="n">
        <v>1930.75</v>
      </c>
      <c r="U2323" s="10">
        <f>SUM(I2323:T2323)</f>
        <v/>
      </c>
    </row>
    <row r="2324">
      <c r="A2324" s="2" t="inlineStr">
        <is>
          <t>SN-3000-3600-36ER-3600AC0001</t>
        </is>
      </c>
      <c r="B2324" s="2" t="inlineStr">
        <is>
          <t>3600AC0001</t>
        </is>
      </c>
      <c r="C2324" s="2" t="inlineStr">
        <is>
          <t>Unidad aire acondicionado</t>
        </is>
      </c>
      <c r="D2324" s="2" t="n">
        <v>775</v>
      </c>
      <c r="E2324" s="2" t="inlineStr">
        <is>
          <t>CC-3000</t>
        </is>
      </c>
      <c r="F2324" s="2" t="inlineStr">
        <is>
          <t>P01</t>
        </is>
      </c>
      <c r="G2324" s="2" t="n">
        <v>610000</v>
      </c>
      <c r="H2324" s="2" t="inlineStr">
        <is>
          <t>Mano obra interna</t>
        </is>
      </c>
      <c r="I2324" s="9" t="n">
        <v>1163.4</v>
      </c>
      <c r="J2324" s="9" t="n">
        <v>1266.85</v>
      </c>
      <c r="K2324" s="9" t="n">
        <v>1171.74</v>
      </c>
      <c r="L2324" s="9" t="n">
        <v>1186.47</v>
      </c>
      <c r="M2324" s="9" t="n">
        <v>1152.15</v>
      </c>
      <c r="N2324" s="9" t="n">
        <v>1181.85</v>
      </c>
      <c r="O2324" s="9" t="n">
        <v>1232.12</v>
      </c>
      <c r="P2324" s="9" t="n">
        <v>1174.77</v>
      </c>
      <c r="Q2324" s="9" t="n">
        <v>1079.56</v>
      </c>
      <c r="R2324" s="9" t="n">
        <v>1367.59</v>
      </c>
      <c r="S2324" s="9" t="n">
        <v>1259.85</v>
      </c>
      <c r="T2324" s="9" t="n">
        <v>1146.37</v>
      </c>
      <c r="U2324" s="10">
        <f>SUM(I2324:T2324)</f>
        <v/>
      </c>
    </row>
    <row r="2325">
      <c r="A2325" s="2" t="inlineStr">
        <is>
          <t>SN-3000-3600-36ER-3600AC0001</t>
        </is>
      </c>
      <c r="B2325" s="2" t="inlineStr">
        <is>
          <t>3600AC0001</t>
        </is>
      </c>
      <c r="C2325" s="2" t="inlineStr">
        <is>
          <t>Unidad aire acondicionado</t>
        </is>
      </c>
      <c r="D2325" s="2" t="n">
        <v>775</v>
      </c>
      <c r="E2325" s="2" t="inlineStr">
        <is>
          <t>CC-3000</t>
        </is>
      </c>
      <c r="F2325" s="2" t="inlineStr">
        <is>
          <t>P01</t>
        </is>
      </c>
      <c r="G2325" s="2" t="n">
        <v>620000</v>
      </c>
      <c r="H2325" s="2" t="inlineStr">
        <is>
          <t>Materiales</t>
        </is>
      </c>
      <c r="I2325" s="9" t="n">
        <v>1236.48</v>
      </c>
      <c r="J2325" s="9" t="n">
        <v>1223.17</v>
      </c>
      <c r="K2325" s="9" t="n">
        <v>1278.69</v>
      </c>
      <c r="L2325" s="9" t="n">
        <v>1252.94</v>
      </c>
      <c r="M2325" s="9" t="n">
        <v>1244.69</v>
      </c>
      <c r="N2325" s="9" t="n">
        <v>1081.06</v>
      </c>
      <c r="O2325" s="9" t="n">
        <v>1110.38</v>
      </c>
      <c r="P2325" s="9" t="n">
        <v>1205.25</v>
      </c>
      <c r="Q2325" s="9" t="n">
        <v>1159.28</v>
      </c>
      <c r="R2325" s="9" t="n">
        <v>1293.94</v>
      </c>
      <c r="S2325" s="9" t="n">
        <v>1231.4</v>
      </c>
      <c r="T2325" s="9" t="n">
        <v>1258.71</v>
      </c>
      <c r="U2325" s="10">
        <f>SUM(I2325:T2325)</f>
        <v/>
      </c>
    </row>
    <row r="2326">
      <c r="A2326" s="2" t="inlineStr">
        <is>
          <t>SN-3000-3600-36ER-3600AC0001</t>
        </is>
      </c>
      <c r="B2326" s="2" t="inlineStr">
        <is>
          <t>3600AC0001</t>
        </is>
      </c>
      <c r="C2326" s="2" t="inlineStr">
        <is>
          <t>Unidad aire acondicionado</t>
        </is>
      </c>
      <c r="D2326" s="2" t="n">
        <v>775</v>
      </c>
      <c r="E2326" s="2" t="inlineStr">
        <is>
          <t>CC-3000</t>
        </is>
      </c>
      <c r="F2326" s="2" t="inlineStr">
        <is>
          <t>P01</t>
        </is>
      </c>
      <c r="G2326" s="2" t="n">
        <v>630000</v>
      </c>
      <c r="H2326" s="2" t="inlineStr">
        <is>
          <t>Servicios externos</t>
        </is>
      </c>
      <c r="I2326" s="9" t="n">
        <v>1394.53</v>
      </c>
      <c r="J2326" s="9" t="n">
        <v>1356.36</v>
      </c>
      <c r="K2326" s="9" t="n">
        <v>1585.03</v>
      </c>
      <c r="L2326" s="9" t="n">
        <v>1429.33</v>
      </c>
      <c r="M2326" s="9" t="n">
        <v>1344.61</v>
      </c>
      <c r="N2326" s="9" t="n">
        <v>1497.22</v>
      </c>
      <c r="O2326" s="9" t="n">
        <v>1562.03</v>
      </c>
      <c r="P2326" s="9" t="n">
        <v>1402.21</v>
      </c>
      <c r="Q2326" s="9" t="n">
        <v>1429.2</v>
      </c>
      <c r="R2326" s="9" t="n">
        <v>1470.08</v>
      </c>
      <c r="S2326" s="9" t="n">
        <v>1373.59</v>
      </c>
      <c r="T2326" s="9" t="n">
        <v>1520.77</v>
      </c>
      <c r="U2326" s="10">
        <f>SUM(I2326:T2326)</f>
        <v/>
      </c>
    </row>
    <row r="2327">
      <c r="A2327" s="2" t="inlineStr">
        <is>
          <t>SN-3000-3600-36ER-3600AC0002</t>
        </is>
      </c>
      <c r="B2327" s="2" t="inlineStr">
        <is>
          <t>3600AC0002</t>
        </is>
      </c>
      <c r="C2327" s="2" t="inlineStr">
        <is>
          <t>Unidad aire acondicionado</t>
        </is>
      </c>
      <c r="D2327" s="2" t="n">
        <v>776</v>
      </c>
      <c r="E2327" s="2" t="inlineStr">
        <is>
          <t>CC-3000</t>
        </is>
      </c>
      <c r="F2327" s="2" t="inlineStr">
        <is>
          <t>P01</t>
        </is>
      </c>
      <c r="G2327" s="2" t="n">
        <v>610000</v>
      </c>
      <c r="H2327" s="2" t="inlineStr">
        <is>
          <t>Mano obra interna</t>
        </is>
      </c>
      <c r="I2327" s="9" t="n">
        <v>2867.73</v>
      </c>
      <c r="J2327" s="9" t="n">
        <v>2918.31</v>
      </c>
      <c r="K2327" s="9" t="n">
        <v>3000.66</v>
      </c>
      <c r="L2327" s="9" t="n">
        <v>3363.73</v>
      </c>
      <c r="M2327" s="9" t="n">
        <v>3098.93</v>
      </c>
      <c r="N2327" s="9" t="n">
        <v>2870.05</v>
      </c>
      <c r="O2327" s="9" t="n">
        <v>2842.28</v>
      </c>
      <c r="P2327" s="9" t="n">
        <v>3093.74</v>
      </c>
      <c r="Q2327" s="9" t="n">
        <v>2901.58</v>
      </c>
      <c r="R2327" s="9" t="n">
        <v>3453.37</v>
      </c>
      <c r="S2327" s="9" t="n">
        <v>2850.78</v>
      </c>
      <c r="T2327" s="9" t="n">
        <v>3331.45</v>
      </c>
      <c r="U2327" s="10">
        <f>SUM(I2327:T2327)</f>
        <v/>
      </c>
    </row>
    <row r="2328">
      <c r="A2328" s="2" t="inlineStr">
        <is>
          <t>SN-3000-3600-36ER-3600AC0002</t>
        </is>
      </c>
      <c r="B2328" s="2" t="inlineStr">
        <is>
          <t>3600AC0002</t>
        </is>
      </c>
      <c r="C2328" s="2" t="inlineStr">
        <is>
          <t>Unidad aire acondicionado</t>
        </is>
      </c>
      <c r="D2328" s="2" t="n">
        <v>776</v>
      </c>
      <c r="E2328" s="2" t="inlineStr">
        <is>
          <t>CC-3000</t>
        </is>
      </c>
      <c r="F2328" s="2" t="inlineStr">
        <is>
          <t>P01</t>
        </is>
      </c>
      <c r="G2328" s="2" t="n">
        <v>620000</v>
      </c>
      <c r="H2328" s="2" t="inlineStr">
        <is>
          <t>Materiales</t>
        </is>
      </c>
      <c r="I2328" s="9" t="n">
        <v>2662.42</v>
      </c>
      <c r="J2328" s="9" t="n">
        <v>2590.87</v>
      </c>
      <c r="K2328" s="9" t="n">
        <v>2790.11</v>
      </c>
      <c r="L2328" s="9" t="n">
        <v>2948.05</v>
      </c>
      <c r="M2328" s="9" t="n">
        <v>2768.59</v>
      </c>
      <c r="N2328" s="9" t="n">
        <v>2609.44</v>
      </c>
      <c r="O2328" s="9" t="n">
        <v>2551.78</v>
      </c>
      <c r="P2328" s="9" t="n">
        <v>2542.92</v>
      </c>
      <c r="Q2328" s="9" t="n">
        <v>2510.6</v>
      </c>
      <c r="R2328" s="9" t="n">
        <v>3013.92</v>
      </c>
      <c r="S2328" s="9" t="n">
        <v>2714.8</v>
      </c>
      <c r="T2328" s="9" t="n">
        <v>2616.12</v>
      </c>
      <c r="U2328" s="10">
        <f>SUM(I2328:T2328)</f>
        <v/>
      </c>
    </row>
    <row r="2329">
      <c r="A2329" s="2" t="inlineStr">
        <is>
          <t>SN-3000-3600-36ER-3600AC0002</t>
        </is>
      </c>
      <c r="B2329" s="2" t="inlineStr">
        <is>
          <t>3600AC0002</t>
        </is>
      </c>
      <c r="C2329" s="2" t="inlineStr">
        <is>
          <t>Unidad aire acondicionado</t>
        </is>
      </c>
      <c r="D2329" s="2" t="n">
        <v>776</v>
      </c>
      <c r="E2329" s="2" t="inlineStr">
        <is>
          <t>CC-3000</t>
        </is>
      </c>
      <c r="F2329" s="2" t="inlineStr">
        <is>
          <t>P01</t>
        </is>
      </c>
      <c r="G2329" s="2" t="n">
        <v>630000</v>
      </c>
      <c r="H2329" s="2" t="inlineStr">
        <is>
          <t>Servicios externos</t>
        </is>
      </c>
      <c r="I2329" s="9" t="n">
        <v>2413.07</v>
      </c>
      <c r="J2329" s="9" t="n">
        <v>2530.55</v>
      </c>
      <c r="K2329" s="9" t="n">
        <v>2502.56</v>
      </c>
      <c r="L2329" s="9" t="n">
        <v>2390.56</v>
      </c>
      <c r="M2329" s="9" t="n">
        <v>2316.15</v>
      </c>
      <c r="N2329" s="9" t="n">
        <v>2166.98</v>
      </c>
      <c r="O2329" s="9" t="n">
        <v>2399.09</v>
      </c>
      <c r="P2329" s="9" t="n">
        <v>2518.71</v>
      </c>
      <c r="Q2329" s="9" t="n">
        <v>2409.92</v>
      </c>
      <c r="R2329" s="9" t="n">
        <v>2597.85</v>
      </c>
      <c r="S2329" s="9" t="n">
        <v>2207.27</v>
      </c>
      <c r="T2329" s="9" t="n">
        <v>2515.62</v>
      </c>
      <c r="U2329" s="10">
        <f>SUM(I2329:T2329)</f>
        <v/>
      </c>
    </row>
    <row r="2330">
      <c r="A2330" s="2" t="inlineStr">
        <is>
          <t>SN-3000-3600-36ER-3600CC0001</t>
        </is>
      </c>
      <c r="B2330" s="2" t="inlineStr">
        <is>
          <t>3600CC0001</t>
        </is>
      </c>
      <c r="C2330" s="2" t="inlineStr">
        <is>
          <t>Tablero de comunicación</t>
        </is>
      </c>
      <c r="D2330" s="2" t="n">
        <v>777</v>
      </c>
      <c r="E2330" s="2" t="inlineStr">
        <is>
          <t>CC-3000</t>
        </is>
      </c>
      <c r="F2330" s="2" t="inlineStr">
        <is>
          <t>P01</t>
        </is>
      </c>
      <c r="G2330" s="2" t="n">
        <v>610000</v>
      </c>
      <c r="H2330" s="2" t="inlineStr">
        <is>
          <t>Mano obra interna</t>
        </is>
      </c>
      <c r="I2330" s="9" t="n">
        <v>2021.36</v>
      </c>
      <c r="J2330" s="9" t="n">
        <v>2210.85</v>
      </c>
      <c r="K2330" s="9" t="n">
        <v>2308.57</v>
      </c>
      <c r="L2330" s="9" t="n">
        <v>2163.07</v>
      </c>
      <c r="M2330" s="9" t="n">
        <v>2124.1</v>
      </c>
      <c r="N2330" s="9" t="n">
        <v>2101.76</v>
      </c>
      <c r="O2330" s="9" t="n">
        <v>2186.86</v>
      </c>
      <c r="P2330" s="9" t="n">
        <v>1959.85</v>
      </c>
      <c r="Q2330" s="9" t="n">
        <v>1859.27</v>
      </c>
      <c r="R2330" s="9" t="n">
        <v>2168.71</v>
      </c>
      <c r="S2330" s="9" t="n">
        <v>2142.05</v>
      </c>
      <c r="T2330" s="9" t="n">
        <v>2136.63</v>
      </c>
      <c r="U2330" s="10">
        <f>SUM(I2330:T2330)</f>
        <v/>
      </c>
    </row>
    <row r="2331">
      <c r="A2331" s="2" t="inlineStr">
        <is>
          <t>SN-3000-3600-36ER-3600CC0001</t>
        </is>
      </c>
      <c r="B2331" s="2" t="inlineStr">
        <is>
          <t>3600CC0001</t>
        </is>
      </c>
      <c r="C2331" s="2" t="inlineStr">
        <is>
          <t>Tablero de comunicación</t>
        </is>
      </c>
      <c r="D2331" s="2" t="n">
        <v>777</v>
      </c>
      <c r="E2331" s="2" t="inlineStr">
        <is>
          <t>CC-3000</t>
        </is>
      </c>
      <c r="F2331" s="2" t="inlineStr">
        <is>
          <t>P01</t>
        </is>
      </c>
      <c r="G2331" s="2" t="n">
        <v>620000</v>
      </c>
      <c r="H2331" s="2" t="inlineStr">
        <is>
          <t>Materiales</t>
        </is>
      </c>
      <c r="I2331" s="9" t="n">
        <v>2039.14</v>
      </c>
      <c r="J2331" s="9" t="n">
        <v>1837.05</v>
      </c>
      <c r="K2331" s="9" t="n">
        <v>2053.19</v>
      </c>
      <c r="L2331" s="9" t="n">
        <v>1938.13</v>
      </c>
      <c r="M2331" s="9" t="n">
        <v>1856.97</v>
      </c>
      <c r="N2331" s="9" t="n">
        <v>1781.02</v>
      </c>
      <c r="O2331" s="9" t="n">
        <v>2057.31</v>
      </c>
      <c r="P2331" s="9" t="n">
        <v>1995.79</v>
      </c>
      <c r="Q2331" s="9" t="n">
        <v>1644.92</v>
      </c>
      <c r="R2331" s="9" t="n">
        <v>2215.16</v>
      </c>
      <c r="S2331" s="9" t="n">
        <v>1934.53</v>
      </c>
      <c r="T2331" s="9" t="n">
        <v>1833.38</v>
      </c>
      <c r="U2331" s="10">
        <f>SUM(I2331:T2331)</f>
        <v/>
      </c>
    </row>
    <row r="2332">
      <c r="A2332" s="2" t="inlineStr">
        <is>
          <t>SN-3000-3600-36ER-3600CC0001</t>
        </is>
      </c>
      <c r="B2332" s="2" t="inlineStr">
        <is>
          <t>3600CC0001</t>
        </is>
      </c>
      <c r="C2332" s="2" t="inlineStr">
        <is>
          <t>Tablero de comunicación</t>
        </is>
      </c>
      <c r="D2332" s="2" t="n">
        <v>777</v>
      </c>
      <c r="E2332" s="2" t="inlineStr">
        <is>
          <t>CC-3000</t>
        </is>
      </c>
      <c r="F2332" s="2" t="inlineStr">
        <is>
          <t>P01</t>
        </is>
      </c>
      <c r="G2332" s="2" t="n">
        <v>630000</v>
      </c>
      <c r="H2332" s="2" t="inlineStr">
        <is>
          <t>Servicios externos</t>
        </is>
      </c>
      <c r="I2332" s="9" t="n">
        <v>1668.47</v>
      </c>
      <c r="J2332" s="9" t="n">
        <v>1693.61</v>
      </c>
      <c r="K2332" s="9" t="n">
        <v>1771.94</v>
      </c>
      <c r="L2332" s="9" t="n">
        <v>1661.51</v>
      </c>
      <c r="M2332" s="9" t="n">
        <v>1654.2</v>
      </c>
      <c r="N2332" s="9" t="n">
        <v>1537.76</v>
      </c>
      <c r="O2332" s="9" t="n">
        <v>1565.61</v>
      </c>
      <c r="P2332" s="9" t="n">
        <v>1689.46</v>
      </c>
      <c r="Q2332" s="9" t="n">
        <v>1531.17</v>
      </c>
      <c r="R2332" s="9" t="n">
        <v>1830.86</v>
      </c>
      <c r="S2332" s="9" t="n">
        <v>1748.91</v>
      </c>
      <c r="T2332" s="9" t="n">
        <v>1613.54</v>
      </c>
      <c r="U2332" s="10">
        <f>SUM(I2332:T2332)</f>
        <v/>
      </c>
    </row>
    <row r="2333">
      <c r="A2333" s="2" t="inlineStr">
        <is>
          <t>SN-3000-3600-36ER-3600CC0002</t>
        </is>
      </c>
      <c r="B2333" s="2" t="inlineStr">
        <is>
          <t>3600CC0002</t>
        </is>
      </c>
      <c r="C2333" s="2" t="inlineStr">
        <is>
          <t>Tablero de comunicación</t>
        </is>
      </c>
      <c r="D2333" s="2" t="n">
        <v>778</v>
      </c>
      <c r="E2333" s="2" t="inlineStr">
        <is>
          <t>CC-3000</t>
        </is>
      </c>
      <c r="F2333" s="2" t="inlineStr">
        <is>
          <t>P01</t>
        </is>
      </c>
      <c r="G2333" s="2" t="n">
        <v>610000</v>
      </c>
      <c r="H2333" s="2" t="inlineStr">
        <is>
          <t>Mano obra interna</t>
        </is>
      </c>
      <c r="I2333" s="9" t="n">
        <v>2258.33</v>
      </c>
      <c r="J2333" s="9" t="n">
        <v>2322.98</v>
      </c>
      <c r="K2333" s="9" t="n">
        <v>2528.99</v>
      </c>
      <c r="L2333" s="9" t="n">
        <v>2456.5</v>
      </c>
      <c r="M2333" s="9" t="n">
        <v>2346.39</v>
      </c>
      <c r="N2333" s="9" t="n">
        <v>2215.6</v>
      </c>
      <c r="O2333" s="9" t="n">
        <v>2301.75</v>
      </c>
      <c r="P2333" s="9" t="n">
        <v>2324.15</v>
      </c>
      <c r="Q2333" s="9" t="n">
        <v>2248.29</v>
      </c>
      <c r="R2333" s="9" t="n">
        <v>2422.92</v>
      </c>
      <c r="S2333" s="9" t="n">
        <v>2396.81</v>
      </c>
      <c r="T2333" s="9" t="n">
        <v>2437.08</v>
      </c>
      <c r="U2333" s="10">
        <f>SUM(I2333:T2333)</f>
        <v/>
      </c>
    </row>
    <row r="2334">
      <c r="A2334" s="2" t="inlineStr">
        <is>
          <t>SN-3000-3600-36ER-3600CC0002</t>
        </is>
      </c>
      <c r="B2334" s="2" t="inlineStr">
        <is>
          <t>3600CC0002</t>
        </is>
      </c>
      <c r="C2334" s="2" t="inlineStr">
        <is>
          <t>Tablero de comunicación</t>
        </is>
      </c>
      <c r="D2334" s="2" t="n">
        <v>778</v>
      </c>
      <c r="E2334" s="2" t="inlineStr">
        <is>
          <t>CC-3000</t>
        </is>
      </c>
      <c r="F2334" s="2" t="inlineStr">
        <is>
          <t>P01</t>
        </is>
      </c>
      <c r="G2334" s="2" t="n">
        <v>620000</v>
      </c>
      <c r="H2334" s="2" t="inlineStr">
        <is>
          <t>Materiales</t>
        </is>
      </c>
      <c r="I2334" s="9" t="n">
        <v>2534.49</v>
      </c>
      <c r="J2334" s="9" t="n">
        <v>2625.7</v>
      </c>
      <c r="K2334" s="9" t="n">
        <v>2364.35</v>
      </c>
      <c r="L2334" s="9" t="n">
        <v>2415.03</v>
      </c>
      <c r="M2334" s="9" t="n">
        <v>2436.31</v>
      </c>
      <c r="N2334" s="9" t="n">
        <v>2425.79</v>
      </c>
      <c r="O2334" s="9" t="n">
        <v>2369.05</v>
      </c>
      <c r="P2334" s="9" t="n">
        <v>2651.63</v>
      </c>
      <c r="Q2334" s="9" t="n">
        <v>2363.4</v>
      </c>
      <c r="R2334" s="9" t="n">
        <v>2838.61</v>
      </c>
      <c r="S2334" s="9" t="n">
        <v>2337.38</v>
      </c>
      <c r="T2334" s="9" t="n">
        <v>2651.72</v>
      </c>
      <c r="U2334" s="10">
        <f>SUM(I2334:T2334)</f>
        <v/>
      </c>
    </row>
    <row r="2335">
      <c r="A2335" s="2" t="inlineStr">
        <is>
          <t>SN-3000-3600-36ER-3600CC0002</t>
        </is>
      </c>
      <c r="B2335" s="2" t="inlineStr">
        <is>
          <t>3600CC0002</t>
        </is>
      </c>
      <c r="C2335" s="2" t="inlineStr">
        <is>
          <t>Tablero de comunicación</t>
        </is>
      </c>
      <c r="D2335" s="2" t="n">
        <v>778</v>
      </c>
      <c r="E2335" s="2" t="inlineStr">
        <is>
          <t>CC-3000</t>
        </is>
      </c>
      <c r="F2335" s="2" t="inlineStr">
        <is>
          <t>P01</t>
        </is>
      </c>
      <c r="G2335" s="2" t="n">
        <v>630000</v>
      </c>
      <c r="H2335" s="2" t="inlineStr">
        <is>
          <t>Servicios externos</t>
        </is>
      </c>
      <c r="I2335" s="9" t="n">
        <v>2506.78</v>
      </c>
      <c r="J2335" s="9" t="n">
        <v>2683.87</v>
      </c>
      <c r="K2335" s="9" t="n">
        <v>2465.54</v>
      </c>
      <c r="L2335" s="9" t="n">
        <v>2798.27</v>
      </c>
      <c r="M2335" s="9" t="n">
        <v>2513.5</v>
      </c>
      <c r="N2335" s="9" t="n">
        <v>2637.08</v>
      </c>
      <c r="O2335" s="9" t="n">
        <v>2574.1</v>
      </c>
      <c r="P2335" s="9" t="n">
        <v>2660.08</v>
      </c>
      <c r="Q2335" s="9" t="n">
        <v>2192.3</v>
      </c>
      <c r="R2335" s="9" t="n">
        <v>2755.78</v>
      </c>
      <c r="S2335" s="9" t="n">
        <v>2569.12</v>
      </c>
      <c r="T2335" s="9" t="n">
        <v>2712.11</v>
      </c>
      <c r="U2335" s="10">
        <f>SUM(I2335:T2335)</f>
        <v/>
      </c>
    </row>
    <row r="2336">
      <c r="A2336" s="2" t="inlineStr">
        <is>
          <t>SN-3000-3600-36ER-3600CS0001</t>
        </is>
      </c>
      <c r="B2336" s="2" t="inlineStr">
        <is>
          <t>3600CS0001</t>
        </is>
      </c>
      <c r="C2336" s="2" t="inlineStr">
        <is>
          <t>Gabinete control detox cianuro Filtros 1/2/3</t>
        </is>
      </c>
      <c r="D2336" s="2" t="n">
        <v>779</v>
      </c>
      <c r="E2336" s="2" t="inlineStr">
        <is>
          <t>CC-3000</t>
        </is>
      </c>
      <c r="F2336" s="2" t="inlineStr">
        <is>
          <t>P01</t>
        </is>
      </c>
      <c r="G2336" s="2" t="n">
        <v>610000</v>
      </c>
      <c r="H2336" s="2" t="inlineStr">
        <is>
          <t>Mano obra interna</t>
        </is>
      </c>
      <c r="I2336" s="9" t="n">
        <v>2454.71</v>
      </c>
      <c r="J2336" s="9" t="n">
        <v>2368.21</v>
      </c>
      <c r="K2336" s="9" t="n">
        <v>2353.87</v>
      </c>
      <c r="L2336" s="9" t="n">
        <v>2467.18</v>
      </c>
      <c r="M2336" s="9" t="n">
        <v>2529.43</v>
      </c>
      <c r="N2336" s="9" t="n">
        <v>2254.67</v>
      </c>
      <c r="O2336" s="9" t="n">
        <v>2410.97</v>
      </c>
      <c r="P2336" s="9" t="n">
        <v>2613.89</v>
      </c>
      <c r="Q2336" s="9" t="n">
        <v>2097.85</v>
      </c>
      <c r="R2336" s="9" t="n">
        <v>2665.69</v>
      </c>
      <c r="S2336" s="9" t="n">
        <v>2450.22</v>
      </c>
      <c r="T2336" s="9" t="n">
        <v>2575.53</v>
      </c>
      <c r="U2336" s="10">
        <f>SUM(I2336:T2336)</f>
        <v/>
      </c>
    </row>
    <row r="2337">
      <c r="A2337" s="2" t="inlineStr">
        <is>
          <t>SN-3000-3600-36ER-3600CS0001</t>
        </is>
      </c>
      <c r="B2337" s="2" t="inlineStr">
        <is>
          <t>3600CS0001</t>
        </is>
      </c>
      <c r="C2337" s="2" t="inlineStr">
        <is>
          <t>Gabinete control detox cianuro Filtros 1/2/3</t>
        </is>
      </c>
      <c r="D2337" s="2" t="n">
        <v>779</v>
      </c>
      <c r="E2337" s="2" t="inlineStr">
        <is>
          <t>CC-3000</t>
        </is>
      </c>
      <c r="F2337" s="2" t="inlineStr">
        <is>
          <t>P01</t>
        </is>
      </c>
      <c r="G2337" s="2" t="n">
        <v>620000</v>
      </c>
      <c r="H2337" s="2" t="inlineStr">
        <is>
          <t>Materiales</t>
        </is>
      </c>
      <c r="I2337" s="9" t="n">
        <v>2933.86</v>
      </c>
      <c r="J2337" s="9" t="n">
        <v>2538.74</v>
      </c>
      <c r="K2337" s="9" t="n">
        <v>2876.85</v>
      </c>
      <c r="L2337" s="9" t="n">
        <v>2962.94</v>
      </c>
      <c r="M2337" s="9" t="n">
        <v>2566.51</v>
      </c>
      <c r="N2337" s="9" t="n">
        <v>2444.61</v>
      </c>
      <c r="O2337" s="9" t="n">
        <v>2914.37</v>
      </c>
      <c r="P2337" s="9" t="n">
        <v>2865.53</v>
      </c>
      <c r="Q2337" s="9" t="n">
        <v>2545.49</v>
      </c>
      <c r="R2337" s="9" t="n">
        <v>3201.73</v>
      </c>
      <c r="S2337" s="9" t="n">
        <v>2799.42</v>
      </c>
      <c r="T2337" s="9" t="n">
        <v>3025.34</v>
      </c>
      <c r="U2337" s="10">
        <f>SUM(I2337:T2337)</f>
        <v/>
      </c>
    </row>
    <row r="2338">
      <c r="A2338" s="2" t="inlineStr">
        <is>
          <t>SN-3000-3600-36ER-3600CS0001</t>
        </is>
      </c>
      <c r="B2338" s="2" t="inlineStr">
        <is>
          <t>3600CS0001</t>
        </is>
      </c>
      <c r="C2338" s="2" t="inlineStr">
        <is>
          <t>Gabinete control detox cianuro Filtros 1/2/3</t>
        </is>
      </c>
      <c r="D2338" s="2" t="n">
        <v>779</v>
      </c>
      <c r="E2338" s="2" t="inlineStr">
        <is>
          <t>CC-3000</t>
        </is>
      </c>
      <c r="F2338" s="2" t="inlineStr">
        <is>
          <t>P01</t>
        </is>
      </c>
      <c r="G2338" s="2" t="n">
        <v>630000</v>
      </c>
      <c r="H2338" s="2" t="inlineStr">
        <is>
          <t>Servicios externos</t>
        </is>
      </c>
      <c r="I2338" s="9" t="n">
        <v>2993.28</v>
      </c>
      <c r="J2338" s="9" t="n">
        <v>3014.47</v>
      </c>
      <c r="K2338" s="9" t="n">
        <v>3116.15</v>
      </c>
      <c r="L2338" s="9" t="n">
        <v>3155.58</v>
      </c>
      <c r="M2338" s="9" t="n">
        <v>3044.51</v>
      </c>
      <c r="N2338" s="9" t="n">
        <v>2655.75</v>
      </c>
      <c r="O2338" s="9" t="n">
        <v>2816.94</v>
      </c>
      <c r="P2338" s="9" t="n">
        <v>2828.61</v>
      </c>
      <c r="Q2338" s="9" t="n">
        <v>2877.18</v>
      </c>
      <c r="R2338" s="9" t="n">
        <v>3329.3</v>
      </c>
      <c r="S2338" s="9" t="n">
        <v>2844.91</v>
      </c>
      <c r="T2338" s="9" t="n">
        <v>3023.23</v>
      </c>
      <c r="U2338" s="10">
        <f>SUM(I2338:T2338)</f>
        <v/>
      </c>
    </row>
    <row r="2339">
      <c r="A2339" s="2" t="inlineStr">
        <is>
          <t>SN-3000-3600-36ER-3600DP0001</t>
        </is>
      </c>
      <c r="B2339" s="2" t="inlineStr">
        <is>
          <t>3600DP0001</t>
        </is>
      </c>
      <c r="C2339" s="2" t="inlineStr">
        <is>
          <t>Tablero distribución potencia</t>
        </is>
      </c>
      <c r="D2339" s="2" t="n">
        <v>780</v>
      </c>
      <c r="E2339" s="2" t="inlineStr">
        <is>
          <t>CC-3000</t>
        </is>
      </c>
      <c r="F2339" s="2" t="inlineStr">
        <is>
          <t>P01</t>
        </is>
      </c>
      <c r="G2339" s="2" t="n">
        <v>610000</v>
      </c>
      <c r="H2339" s="2" t="inlineStr">
        <is>
          <t>Mano obra interna</t>
        </is>
      </c>
      <c r="I2339" s="9" t="n">
        <v>1978.74</v>
      </c>
      <c r="J2339" s="9" t="n">
        <v>1826.36</v>
      </c>
      <c r="K2339" s="9" t="n">
        <v>2055.74</v>
      </c>
      <c r="L2339" s="9" t="n">
        <v>2177.5</v>
      </c>
      <c r="M2339" s="9" t="n">
        <v>2069.49</v>
      </c>
      <c r="N2339" s="9" t="n">
        <v>1869.7</v>
      </c>
      <c r="O2339" s="9" t="n">
        <v>1859.95</v>
      </c>
      <c r="P2339" s="9" t="n">
        <v>2040.51</v>
      </c>
      <c r="Q2339" s="9" t="n">
        <v>1959.68</v>
      </c>
      <c r="R2339" s="9" t="n">
        <v>2211.84</v>
      </c>
      <c r="S2339" s="9" t="n">
        <v>1911.25</v>
      </c>
      <c r="T2339" s="9" t="n">
        <v>1905.72</v>
      </c>
      <c r="U2339" s="10">
        <f>SUM(I2339:T2339)</f>
        <v/>
      </c>
    </row>
    <row r="2340">
      <c r="A2340" s="2" t="inlineStr">
        <is>
          <t>SN-3000-3600-36ER-3600DP0001</t>
        </is>
      </c>
      <c r="B2340" s="2" t="inlineStr">
        <is>
          <t>3600DP0001</t>
        </is>
      </c>
      <c r="C2340" s="2" t="inlineStr">
        <is>
          <t>Tablero distribución potencia</t>
        </is>
      </c>
      <c r="D2340" s="2" t="n">
        <v>780</v>
      </c>
      <c r="E2340" s="2" t="inlineStr">
        <is>
          <t>CC-3000</t>
        </is>
      </c>
      <c r="F2340" s="2" t="inlineStr">
        <is>
          <t>P01</t>
        </is>
      </c>
      <c r="G2340" s="2" t="n">
        <v>620000</v>
      </c>
      <c r="H2340" s="2" t="inlineStr">
        <is>
          <t>Materiales</t>
        </is>
      </c>
      <c r="I2340" s="9" t="n">
        <v>1949.4</v>
      </c>
      <c r="J2340" s="9" t="n">
        <v>1864.55</v>
      </c>
      <c r="K2340" s="9" t="n">
        <v>2146.56</v>
      </c>
      <c r="L2340" s="9" t="n">
        <v>2180.11</v>
      </c>
      <c r="M2340" s="9" t="n">
        <v>2010.33</v>
      </c>
      <c r="N2340" s="9" t="n">
        <v>1931.39</v>
      </c>
      <c r="O2340" s="9" t="n">
        <v>1924.24</v>
      </c>
      <c r="P2340" s="9" t="n">
        <v>1827.25</v>
      </c>
      <c r="Q2340" s="9" t="n">
        <v>1752.77</v>
      </c>
      <c r="R2340" s="9" t="n">
        <v>2164.77</v>
      </c>
      <c r="S2340" s="9" t="n">
        <v>1810.37</v>
      </c>
      <c r="T2340" s="9" t="n">
        <v>2133.44</v>
      </c>
      <c r="U2340" s="10">
        <f>SUM(I2340:T2340)</f>
        <v/>
      </c>
    </row>
    <row r="2341">
      <c r="A2341" s="2" t="inlineStr">
        <is>
          <t>SN-3000-3600-36ER-3600DP0001</t>
        </is>
      </c>
      <c r="B2341" s="2" t="inlineStr">
        <is>
          <t>3600DP0001</t>
        </is>
      </c>
      <c r="C2341" s="2" t="inlineStr">
        <is>
          <t>Tablero distribución potencia</t>
        </is>
      </c>
      <c r="D2341" s="2" t="n">
        <v>780</v>
      </c>
      <c r="E2341" s="2" t="inlineStr">
        <is>
          <t>CC-3000</t>
        </is>
      </c>
      <c r="F2341" s="2" t="inlineStr">
        <is>
          <t>P01</t>
        </is>
      </c>
      <c r="G2341" s="2" t="n">
        <v>630000</v>
      </c>
      <c r="H2341" s="2" t="inlineStr">
        <is>
          <t>Servicios externos</t>
        </is>
      </c>
      <c r="I2341" s="9" t="n">
        <v>1614.62</v>
      </c>
      <c r="J2341" s="9" t="n">
        <v>1555.2</v>
      </c>
      <c r="K2341" s="9" t="n">
        <v>1652.99</v>
      </c>
      <c r="L2341" s="9" t="n">
        <v>1566.35</v>
      </c>
      <c r="M2341" s="9" t="n">
        <v>1653</v>
      </c>
      <c r="N2341" s="9" t="n">
        <v>1493.41</v>
      </c>
      <c r="O2341" s="9" t="n">
        <v>1627.29</v>
      </c>
      <c r="P2341" s="9" t="n">
        <v>1609.15</v>
      </c>
      <c r="Q2341" s="9" t="n">
        <v>1377.27</v>
      </c>
      <c r="R2341" s="9" t="n">
        <v>1733.04</v>
      </c>
      <c r="S2341" s="9" t="n">
        <v>1538.12</v>
      </c>
      <c r="T2341" s="9" t="n">
        <v>1701.49</v>
      </c>
      <c r="U2341" s="10">
        <f>SUM(I2341:T2341)</f>
        <v/>
      </c>
    </row>
    <row r="2342">
      <c r="A2342" s="2" t="inlineStr">
        <is>
          <t>SN-3000-3600-36ER-3600DP0010</t>
        </is>
      </c>
      <c r="B2342" s="2" t="inlineStr">
        <is>
          <t>3600DP0010</t>
        </is>
      </c>
      <c r="C2342" s="2" t="inlineStr">
        <is>
          <t>Tablero distribución potencia SS/AA</t>
        </is>
      </c>
      <c r="D2342" s="2" t="n">
        <v>781</v>
      </c>
      <c r="E2342" s="2" t="inlineStr">
        <is>
          <t>CC-3000</t>
        </is>
      </c>
      <c r="F2342" s="2" t="inlineStr">
        <is>
          <t>P01</t>
        </is>
      </c>
      <c r="G2342" s="2" t="n">
        <v>610000</v>
      </c>
      <c r="H2342" s="2" t="inlineStr">
        <is>
          <t>Mano obra interna</t>
        </is>
      </c>
      <c r="I2342" s="9" t="n">
        <v>2209.94</v>
      </c>
      <c r="J2342" s="9" t="n">
        <v>2107.01</v>
      </c>
      <c r="K2342" s="9" t="n">
        <v>2287.67</v>
      </c>
      <c r="L2342" s="9" t="n">
        <v>2525.86</v>
      </c>
      <c r="M2342" s="9" t="n">
        <v>2095.45</v>
      </c>
      <c r="N2342" s="9" t="n">
        <v>2252.77</v>
      </c>
      <c r="O2342" s="9" t="n">
        <v>2333.73</v>
      </c>
      <c r="P2342" s="9" t="n">
        <v>2344.88</v>
      </c>
      <c r="Q2342" s="9" t="n">
        <v>2038.17</v>
      </c>
      <c r="R2342" s="9" t="n">
        <v>2364.56</v>
      </c>
      <c r="S2342" s="9" t="n">
        <v>2195.01</v>
      </c>
      <c r="T2342" s="9" t="n">
        <v>2176.44</v>
      </c>
      <c r="U2342" s="10">
        <f>SUM(I2342:T2342)</f>
        <v/>
      </c>
    </row>
    <row r="2343">
      <c r="A2343" s="2" t="inlineStr">
        <is>
          <t>SN-3000-3600-36ER-3600DP0010</t>
        </is>
      </c>
      <c r="B2343" s="2" t="inlineStr">
        <is>
          <t>3600DP0010</t>
        </is>
      </c>
      <c r="C2343" s="2" t="inlineStr">
        <is>
          <t>Tablero distribución potencia SS/AA</t>
        </is>
      </c>
      <c r="D2343" s="2" t="n">
        <v>781</v>
      </c>
      <c r="E2343" s="2" t="inlineStr">
        <is>
          <t>CC-3000</t>
        </is>
      </c>
      <c r="F2343" s="2" t="inlineStr">
        <is>
          <t>P01</t>
        </is>
      </c>
      <c r="G2343" s="2" t="n">
        <v>620000</v>
      </c>
      <c r="H2343" s="2" t="inlineStr">
        <is>
          <t>Materiales</t>
        </is>
      </c>
      <c r="I2343" s="9" t="n">
        <v>1664.81</v>
      </c>
      <c r="J2343" s="9" t="n">
        <v>1739.44</v>
      </c>
      <c r="K2343" s="9" t="n">
        <v>1771.57</v>
      </c>
      <c r="L2343" s="9" t="n">
        <v>1725.37</v>
      </c>
      <c r="M2343" s="9" t="n">
        <v>1676.83</v>
      </c>
      <c r="N2343" s="9" t="n">
        <v>1590.93</v>
      </c>
      <c r="O2343" s="9" t="n">
        <v>1721.86</v>
      </c>
      <c r="P2343" s="9" t="n">
        <v>1661.61</v>
      </c>
      <c r="Q2343" s="9" t="n">
        <v>1676.62</v>
      </c>
      <c r="R2343" s="9" t="n">
        <v>1769.43</v>
      </c>
      <c r="S2343" s="9" t="n">
        <v>1811.25</v>
      </c>
      <c r="T2343" s="9" t="n">
        <v>1655.45</v>
      </c>
      <c r="U2343" s="10">
        <f>SUM(I2343:T2343)</f>
        <v/>
      </c>
    </row>
    <row r="2344">
      <c r="A2344" s="2" t="inlineStr">
        <is>
          <t>SN-3000-3600-36ER-3600DP0010</t>
        </is>
      </c>
      <c r="B2344" s="2" t="inlineStr">
        <is>
          <t>3600DP0010</t>
        </is>
      </c>
      <c r="C2344" s="2" t="inlineStr">
        <is>
          <t>Tablero distribución potencia SS/AA</t>
        </is>
      </c>
      <c r="D2344" s="2" t="n">
        <v>781</v>
      </c>
      <c r="E2344" s="2" t="inlineStr">
        <is>
          <t>CC-3000</t>
        </is>
      </c>
      <c r="F2344" s="2" t="inlineStr">
        <is>
          <t>P01</t>
        </is>
      </c>
      <c r="G2344" s="2" t="n">
        <v>630000</v>
      </c>
      <c r="H2344" s="2" t="inlineStr">
        <is>
          <t>Servicios externos</t>
        </is>
      </c>
      <c r="I2344" s="9" t="n">
        <v>2422.28</v>
      </c>
      <c r="J2344" s="9" t="n">
        <v>2282.72</v>
      </c>
      <c r="K2344" s="9" t="n">
        <v>2477.27</v>
      </c>
      <c r="L2344" s="9" t="n">
        <v>2169.44</v>
      </c>
      <c r="M2344" s="9" t="n">
        <v>2113.93</v>
      </c>
      <c r="N2344" s="9" t="n">
        <v>2068.31</v>
      </c>
      <c r="O2344" s="9" t="n">
        <v>2161.69</v>
      </c>
      <c r="P2344" s="9" t="n">
        <v>2182.88</v>
      </c>
      <c r="Q2344" s="9" t="n">
        <v>2122.35</v>
      </c>
      <c r="R2344" s="9" t="n">
        <v>2245.96</v>
      </c>
      <c r="S2344" s="9" t="n">
        <v>2139.67</v>
      </c>
      <c r="T2344" s="9" t="n">
        <v>2193.36</v>
      </c>
      <c r="U2344" s="10">
        <f>SUM(I2344:T2344)</f>
        <v/>
      </c>
    </row>
    <row r="2345">
      <c r="A2345" s="2" t="inlineStr">
        <is>
          <t>SN-3000-3600-36ER-3600DX0001</t>
        </is>
      </c>
      <c r="B2345" s="2" t="inlineStr">
        <is>
          <t>3600DX0001</t>
        </is>
      </c>
      <c r="C2345" s="2" t="inlineStr">
        <is>
          <t>Transformador distribución potencia</t>
        </is>
      </c>
      <c r="D2345" s="2" t="n">
        <v>782</v>
      </c>
      <c r="E2345" s="2" t="inlineStr">
        <is>
          <t>CC-3000</t>
        </is>
      </c>
      <c r="F2345" s="2" t="inlineStr">
        <is>
          <t>P01</t>
        </is>
      </c>
      <c r="G2345" s="2" t="n">
        <v>610000</v>
      </c>
      <c r="H2345" s="2" t="inlineStr">
        <is>
          <t>Mano obra interna</t>
        </is>
      </c>
      <c r="I2345" s="9" t="n">
        <v>310.08</v>
      </c>
      <c r="J2345" s="9" t="n">
        <v>278.38</v>
      </c>
      <c r="K2345" s="9" t="n">
        <v>287.33</v>
      </c>
      <c r="L2345" s="9" t="n">
        <v>282.01</v>
      </c>
      <c r="M2345" s="9" t="n">
        <v>291.67</v>
      </c>
      <c r="N2345" s="9" t="n">
        <v>251.03</v>
      </c>
      <c r="O2345" s="9" t="n">
        <v>302.74</v>
      </c>
      <c r="P2345" s="9" t="n">
        <v>277.96</v>
      </c>
      <c r="Q2345" s="9" t="n">
        <v>254.56</v>
      </c>
      <c r="R2345" s="9" t="n">
        <v>327.03</v>
      </c>
      <c r="S2345" s="9" t="n">
        <v>291.9</v>
      </c>
      <c r="T2345" s="9" t="n">
        <v>292.55</v>
      </c>
      <c r="U2345" s="10">
        <f>SUM(I2345:T2345)</f>
        <v/>
      </c>
    </row>
    <row r="2346">
      <c r="A2346" s="2" t="inlineStr">
        <is>
          <t>SN-3000-3600-36ER-3600DX0001</t>
        </is>
      </c>
      <c r="B2346" s="2" t="inlineStr">
        <is>
          <t>3600DX0001</t>
        </is>
      </c>
      <c r="C2346" s="2" t="inlineStr">
        <is>
          <t>Transformador distribución potencia</t>
        </is>
      </c>
      <c r="D2346" s="2" t="n">
        <v>782</v>
      </c>
      <c r="E2346" s="2" t="inlineStr">
        <is>
          <t>CC-3000</t>
        </is>
      </c>
      <c r="F2346" s="2" t="inlineStr">
        <is>
          <t>P01</t>
        </is>
      </c>
      <c r="G2346" s="2" t="n">
        <v>620000</v>
      </c>
      <c r="H2346" s="2" t="inlineStr">
        <is>
          <t>Materiales</t>
        </is>
      </c>
      <c r="I2346" s="9" t="n">
        <v>245.94</v>
      </c>
      <c r="J2346" s="9" t="n">
        <v>222.2</v>
      </c>
      <c r="K2346" s="9" t="n">
        <v>234.77</v>
      </c>
      <c r="L2346" s="9" t="n">
        <v>223.89</v>
      </c>
      <c r="M2346" s="9" t="n">
        <v>230.17</v>
      </c>
      <c r="N2346" s="9" t="n">
        <v>230.2</v>
      </c>
      <c r="O2346" s="9" t="n">
        <v>223.39</v>
      </c>
      <c r="P2346" s="9" t="n">
        <v>247.79</v>
      </c>
      <c r="Q2346" s="9" t="n">
        <v>205.16</v>
      </c>
      <c r="R2346" s="9" t="n">
        <v>232.54</v>
      </c>
      <c r="S2346" s="9" t="n">
        <v>229.49</v>
      </c>
      <c r="T2346" s="9" t="n">
        <v>248.29</v>
      </c>
      <c r="U2346" s="10">
        <f>SUM(I2346:T2346)</f>
        <v/>
      </c>
    </row>
    <row r="2347">
      <c r="A2347" s="2" t="inlineStr">
        <is>
          <t>SN-3000-3600-36ER-3600DX0001</t>
        </is>
      </c>
      <c r="B2347" s="2" t="inlineStr">
        <is>
          <t>3600DX0001</t>
        </is>
      </c>
      <c r="C2347" s="2" t="inlineStr">
        <is>
          <t>Transformador distribución potencia</t>
        </is>
      </c>
      <c r="D2347" s="2" t="n">
        <v>782</v>
      </c>
      <c r="E2347" s="2" t="inlineStr">
        <is>
          <t>CC-3000</t>
        </is>
      </c>
      <c r="F2347" s="2" t="inlineStr">
        <is>
          <t>P01</t>
        </is>
      </c>
      <c r="G2347" s="2" t="n">
        <v>630000</v>
      </c>
      <c r="H2347" s="2" t="inlineStr">
        <is>
          <t>Servicios externos</t>
        </is>
      </c>
      <c r="I2347" s="9" t="n">
        <v>324.96</v>
      </c>
      <c r="J2347" s="9" t="n">
        <v>286.2</v>
      </c>
      <c r="K2347" s="9" t="n">
        <v>339</v>
      </c>
      <c r="L2347" s="9" t="n">
        <v>332.94</v>
      </c>
      <c r="M2347" s="9" t="n">
        <v>285.84</v>
      </c>
      <c r="N2347" s="9" t="n">
        <v>294.61</v>
      </c>
      <c r="O2347" s="9" t="n">
        <v>308.13</v>
      </c>
      <c r="P2347" s="9" t="n">
        <v>302.24</v>
      </c>
      <c r="Q2347" s="9" t="n">
        <v>306.19</v>
      </c>
      <c r="R2347" s="9" t="n">
        <v>306.02</v>
      </c>
      <c r="S2347" s="9" t="n">
        <v>301.54</v>
      </c>
      <c r="T2347" s="9" t="n">
        <v>295.2</v>
      </c>
      <c r="U2347" s="10">
        <f>SUM(I2347:T2347)</f>
        <v/>
      </c>
    </row>
    <row r="2348">
      <c r="A2348" s="2" t="inlineStr">
        <is>
          <t>SN-3000-3600-36ER-3600FD0001</t>
        </is>
      </c>
      <c r="B2348" s="2" t="inlineStr">
        <is>
          <t>3600FD0001</t>
        </is>
      </c>
      <c r="C2348" s="2" t="inlineStr">
        <is>
          <t>Sistema detección fuego y humo 1 piso</t>
        </is>
      </c>
      <c r="D2348" s="2" t="n">
        <v>783</v>
      </c>
      <c r="E2348" s="2" t="inlineStr">
        <is>
          <t>CC-3000</t>
        </is>
      </c>
      <c r="F2348" s="2" t="inlineStr">
        <is>
          <t>P01</t>
        </is>
      </c>
      <c r="G2348" s="2" t="n">
        <v>610000</v>
      </c>
      <c r="H2348" s="2" t="inlineStr">
        <is>
          <t>Mano obra interna</t>
        </is>
      </c>
      <c r="I2348" s="9" t="n">
        <v>2244.5</v>
      </c>
      <c r="J2348" s="9" t="n">
        <v>1988.62</v>
      </c>
      <c r="K2348" s="9" t="n">
        <v>2134.02</v>
      </c>
      <c r="L2348" s="9" t="n">
        <v>2306</v>
      </c>
      <c r="M2348" s="9" t="n">
        <v>2169.84</v>
      </c>
      <c r="N2348" s="9" t="n">
        <v>2035.43</v>
      </c>
      <c r="O2348" s="9" t="n">
        <v>2011.78</v>
      </c>
      <c r="P2348" s="9" t="n">
        <v>2077.77</v>
      </c>
      <c r="Q2348" s="9" t="n">
        <v>2044.91</v>
      </c>
      <c r="R2348" s="9" t="n">
        <v>2385.92</v>
      </c>
      <c r="S2348" s="9" t="n">
        <v>1954.02</v>
      </c>
      <c r="T2348" s="9" t="n">
        <v>2191.1</v>
      </c>
      <c r="U2348" s="10">
        <f>SUM(I2348:T2348)</f>
        <v/>
      </c>
    </row>
    <row r="2349">
      <c r="A2349" s="2" t="inlineStr">
        <is>
          <t>SN-3000-3600-36ER-3600FD0001</t>
        </is>
      </c>
      <c r="B2349" s="2" t="inlineStr">
        <is>
          <t>3600FD0001</t>
        </is>
      </c>
      <c r="C2349" s="2" t="inlineStr">
        <is>
          <t>Sistema detección fuego y humo 1 piso</t>
        </is>
      </c>
      <c r="D2349" s="2" t="n">
        <v>783</v>
      </c>
      <c r="E2349" s="2" t="inlineStr">
        <is>
          <t>CC-3000</t>
        </is>
      </c>
      <c r="F2349" s="2" t="inlineStr">
        <is>
          <t>P01</t>
        </is>
      </c>
      <c r="G2349" s="2" t="n">
        <v>620000</v>
      </c>
      <c r="H2349" s="2" t="inlineStr">
        <is>
          <t>Materiales</t>
        </is>
      </c>
      <c r="I2349" s="9" t="n">
        <v>1711.45</v>
      </c>
      <c r="J2349" s="9" t="n">
        <v>1801.39</v>
      </c>
      <c r="K2349" s="9" t="n">
        <v>1789.81</v>
      </c>
      <c r="L2349" s="9" t="n">
        <v>1729.99</v>
      </c>
      <c r="M2349" s="9" t="n">
        <v>1862.23</v>
      </c>
      <c r="N2349" s="9" t="n">
        <v>1734.66</v>
      </c>
      <c r="O2349" s="9" t="n">
        <v>1901.85</v>
      </c>
      <c r="P2349" s="9" t="n">
        <v>1861.17</v>
      </c>
      <c r="Q2349" s="9" t="n">
        <v>1751.62</v>
      </c>
      <c r="R2349" s="9" t="n">
        <v>1896.97</v>
      </c>
      <c r="S2349" s="9" t="n">
        <v>1690.44</v>
      </c>
      <c r="T2349" s="9" t="n">
        <v>1871.63</v>
      </c>
      <c r="U2349" s="10">
        <f>SUM(I2349:T2349)</f>
        <v/>
      </c>
    </row>
    <row r="2350">
      <c r="A2350" s="2" t="inlineStr">
        <is>
          <t>SN-3000-3600-36ER-3600FD0001</t>
        </is>
      </c>
      <c r="B2350" s="2" t="inlineStr">
        <is>
          <t>3600FD0001</t>
        </is>
      </c>
      <c r="C2350" s="2" t="inlineStr">
        <is>
          <t>Sistema detección fuego y humo 1 piso</t>
        </is>
      </c>
      <c r="D2350" s="2" t="n">
        <v>783</v>
      </c>
      <c r="E2350" s="2" t="inlineStr">
        <is>
          <t>CC-3000</t>
        </is>
      </c>
      <c r="F2350" s="2" t="inlineStr">
        <is>
          <t>P01</t>
        </is>
      </c>
      <c r="G2350" s="2" t="n">
        <v>630000</v>
      </c>
      <c r="H2350" s="2" t="inlineStr">
        <is>
          <t>Servicios externos</t>
        </is>
      </c>
      <c r="I2350" s="9" t="n">
        <v>2023.43</v>
      </c>
      <c r="J2350" s="9" t="n">
        <v>1865.13</v>
      </c>
      <c r="K2350" s="9" t="n">
        <v>1861.56</v>
      </c>
      <c r="L2350" s="9" t="n">
        <v>1967.11</v>
      </c>
      <c r="M2350" s="9" t="n">
        <v>2000.34</v>
      </c>
      <c r="N2350" s="9" t="n">
        <v>1683.37</v>
      </c>
      <c r="O2350" s="9" t="n">
        <v>1769.75</v>
      </c>
      <c r="P2350" s="9" t="n">
        <v>1989.21</v>
      </c>
      <c r="Q2350" s="9" t="n">
        <v>1646.74</v>
      </c>
      <c r="R2350" s="9" t="n">
        <v>1884.9</v>
      </c>
      <c r="S2350" s="9" t="n">
        <v>1782.18</v>
      </c>
      <c r="T2350" s="9" t="n">
        <v>1904.7</v>
      </c>
      <c r="U2350" s="10">
        <f>SUM(I2350:T2350)</f>
        <v/>
      </c>
    </row>
    <row r="2351">
      <c r="A2351" s="2" t="inlineStr">
        <is>
          <t>SN-3000-3600-36ER-3600FD0002</t>
        </is>
      </c>
      <c r="B2351" s="2" t="inlineStr">
        <is>
          <t>3600FD0002</t>
        </is>
      </c>
      <c r="C2351" s="2" t="inlineStr">
        <is>
          <t>Sistema detección fuego y humo 2 piso</t>
        </is>
      </c>
      <c r="D2351" s="2" t="n">
        <v>784</v>
      </c>
      <c r="E2351" s="2" t="inlineStr">
        <is>
          <t>CC-3000</t>
        </is>
      </c>
      <c r="F2351" s="2" t="inlineStr">
        <is>
          <t>P01</t>
        </is>
      </c>
      <c r="G2351" s="2" t="n">
        <v>610000</v>
      </c>
      <c r="H2351" s="2" t="inlineStr">
        <is>
          <t>Mano obra interna</t>
        </is>
      </c>
      <c r="I2351" s="9" t="n">
        <v>2102.1</v>
      </c>
      <c r="J2351" s="9" t="n">
        <v>2159.54</v>
      </c>
      <c r="K2351" s="9" t="n">
        <v>2213.06</v>
      </c>
      <c r="L2351" s="9" t="n">
        <v>2264.84</v>
      </c>
      <c r="M2351" s="9" t="n">
        <v>2027.83</v>
      </c>
      <c r="N2351" s="9" t="n">
        <v>1835.63</v>
      </c>
      <c r="O2351" s="9" t="n">
        <v>2207.68</v>
      </c>
      <c r="P2351" s="9" t="n">
        <v>1892.17</v>
      </c>
      <c r="Q2351" s="9" t="n">
        <v>1999.18</v>
      </c>
      <c r="R2351" s="9" t="n">
        <v>2051.73</v>
      </c>
      <c r="S2351" s="9" t="n">
        <v>2074.3</v>
      </c>
      <c r="T2351" s="9" t="n">
        <v>2233.57</v>
      </c>
      <c r="U2351" s="10">
        <f>SUM(I2351:T2351)</f>
        <v/>
      </c>
    </row>
    <row r="2352">
      <c r="A2352" s="2" t="inlineStr">
        <is>
          <t>SN-3000-3600-36ER-3600FD0002</t>
        </is>
      </c>
      <c r="B2352" s="2" t="inlineStr">
        <is>
          <t>3600FD0002</t>
        </is>
      </c>
      <c r="C2352" s="2" t="inlineStr">
        <is>
          <t>Sistema detección fuego y humo 2 piso</t>
        </is>
      </c>
      <c r="D2352" s="2" t="n">
        <v>784</v>
      </c>
      <c r="E2352" s="2" t="inlineStr">
        <is>
          <t>CC-3000</t>
        </is>
      </c>
      <c r="F2352" s="2" t="inlineStr">
        <is>
          <t>P01</t>
        </is>
      </c>
      <c r="G2352" s="2" t="n">
        <v>620000</v>
      </c>
      <c r="H2352" s="2" t="inlineStr">
        <is>
          <t>Materiales</t>
        </is>
      </c>
      <c r="I2352" s="9" t="n">
        <v>1899.39</v>
      </c>
      <c r="J2352" s="9" t="n">
        <v>1827.94</v>
      </c>
      <c r="K2352" s="9" t="n">
        <v>1999.81</v>
      </c>
      <c r="L2352" s="9" t="n">
        <v>1879.37</v>
      </c>
      <c r="M2352" s="9" t="n">
        <v>1974.12</v>
      </c>
      <c r="N2352" s="9" t="n">
        <v>1816.68</v>
      </c>
      <c r="O2352" s="9" t="n">
        <v>1886.97</v>
      </c>
      <c r="P2352" s="9" t="n">
        <v>1927.58</v>
      </c>
      <c r="Q2352" s="9" t="n">
        <v>1819.19</v>
      </c>
      <c r="R2352" s="9" t="n">
        <v>1973.35</v>
      </c>
      <c r="S2352" s="9" t="n">
        <v>1941.52</v>
      </c>
      <c r="T2352" s="9" t="n">
        <v>2090.56</v>
      </c>
      <c r="U2352" s="10">
        <f>SUM(I2352:T2352)</f>
        <v/>
      </c>
    </row>
    <row r="2353">
      <c r="A2353" s="2" t="inlineStr">
        <is>
          <t>SN-3000-3600-36ER-3600FD0002</t>
        </is>
      </c>
      <c r="B2353" s="2" t="inlineStr">
        <is>
          <t>3600FD0002</t>
        </is>
      </c>
      <c r="C2353" s="2" t="inlineStr">
        <is>
          <t>Sistema detección fuego y humo 2 piso</t>
        </is>
      </c>
      <c r="D2353" s="2" t="n">
        <v>784</v>
      </c>
      <c r="E2353" s="2" t="inlineStr">
        <is>
          <t>CC-3000</t>
        </is>
      </c>
      <c r="F2353" s="2" t="inlineStr">
        <is>
          <t>P01</t>
        </is>
      </c>
      <c r="G2353" s="2" t="n">
        <v>630000</v>
      </c>
      <c r="H2353" s="2" t="inlineStr">
        <is>
          <t>Servicios externos</t>
        </is>
      </c>
      <c r="I2353" s="9" t="n">
        <v>1809.97</v>
      </c>
      <c r="J2353" s="9" t="n">
        <v>1916.98</v>
      </c>
      <c r="K2353" s="9" t="n">
        <v>1830.09</v>
      </c>
      <c r="L2353" s="9" t="n">
        <v>1769.59</v>
      </c>
      <c r="M2353" s="9" t="n">
        <v>1884.52</v>
      </c>
      <c r="N2353" s="9" t="n">
        <v>1712.09</v>
      </c>
      <c r="O2353" s="9" t="n">
        <v>1771.25</v>
      </c>
      <c r="P2353" s="9" t="n">
        <v>2011.05</v>
      </c>
      <c r="Q2353" s="9" t="n">
        <v>1681.48</v>
      </c>
      <c r="R2353" s="9" t="n">
        <v>2145.19</v>
      </c>
      <c r="S2353" s="9" t="n">
        <v>1715.76</v>
      </c>
      <c r="T2353" s="9" t="n">
        <v>1993.09</v>
      </c>
      <c r="U2353" s="10">
        <f>SUM(I2353:T2353)</f>
        <v/>
      </c>
    </row>
    <row r="2354">
      <c r="A2354" s="2" t="inlineStr">
        <is>
          <t>SN-3000-3600-36ER-3600FS0001</t>
        </is>
      </c>
      <c r="B2354" s="2" t="inlineStr">
        <is>
          <t>3600FS0001</t>
        </is>
      </c>
      <c r="C2354" s="2" t="inlineStr">
        <is>
          <t>Sistema supresión fuego 1 piso</t>
        </is>
      </c>
      <c r="D2354" s="2" t="n">
        <v>785</v>
      </c>
      <c r="E2354" s="2" t="inlineStr">
        <is>
          <t>CC-3000</t>
        </is>
      </c>
      <c r="F2354" s="2" t="inlineStr">
        <is>
          <t>P01</t>
        </is>
      </c>
      <c r="G2354" s="2" t="n">
        <v>610000</v>
      </c>
      <c r="H2354" s="2" t="inlineStr">
        <is>
          <t>Mano obra interna</t>
        </is>
      </c>
      <c r="I2354" s="9" t="n">
        <v>1453.01</v>
      </c>
      <c r="J2354" s="9" t="n">
        <v>1559.32</v>
      </c>
      <c r="K2354" s="9" t="n">
        <v>1673.32</v>
      </c>
      <c r="L2354" s="9" t="n">
        <v>1475.79</v>
      </c>
      <c r="M2354" s="9" t="n">
        <v>1564.98</v>
      </c>
      <c r="N2354" s="9" t="n">
        <v>1446.37</v>
      </c>
      <c r="O2354" s="9" t="n">
        <v>1588.96</v>
      </c>
      <c r="P2354" s="9" t="n">
        <v>1577.31</v>
      </c>
      <c r="Q2354" s="9" t="n">
        <v>1313.14</v>
      </c>
      <c r="R2354" s="9" t="n">
        <v>1561.34</v>
      </c>
      <c r="S2354" s="9" t="n">
        <v>1470.66</v>
      </c>
      <c r="T2354" s="9" t="n">
        <v>1656.37</v>
      </c>
      <c r="U2354" s="10">
        <f>SUM(I2354:T2354)</f>
        <v/>
      </c>
    </row>
    <row r="2355">
      <c r="A2355" s="2" t="inlineStr">
        <is>
          <t>SN-3000-3600-36ER-3600FS0001</t>
        </is>
      </c>
      <c r="B2355" s="2" t="inlineStr">
        <is>
          <t>3600FS0001</t>
        </is>
      </c>
      <c r="C2355" s="2" t="inlineStr">
        <is>
          <t>Sistema supresión fuego 1 piso</t>
        </is>
      </c>
      <c r="D2355" s="2" t="n">
        <v>785</v>
      </c>
      <c r="E2355" s="2" t="inlineStr">
        <is>
          <t>CC-3000</t>
        </is>
      </c>
      <c r="F2355" s="2" t="inlineStr">
        <is>
          <t>P01</t>
        </is>
      </c>
      <c r="G2355" s="2" t="n">
        <v>620000</v>
      </c>
      <c r="H2355" s="2" t="inlineStr">
        <is>
          <t>Materiales</t>
        </is>
      </c>
      <c r="I2355" s="9" t="n">
        <v>1461.78</v>
      </c>
      <c r="J2355" s="9" t="n">
        <v>1273.89</v>
      </c>
      <c r="K2355" s="9" t="n">
        <v>1496.29</v>
      </c>
      <c r="L2355" s="9" t="n">
        <v>1457.58</v>
      </c>
      <c r="M2355" s="9" t="n">
        <v>1436.34</v>
      </c>
      <c r="N2355" s="9" t="n">
        <v>1428.21</v>
      </c>
      <c r="O2355" s="9" t="n">
        <v>1324.25</v>
      </c>
      <c r="P2355" s="9" t="n">
        <v>1348.47</v>
      </c>
      <c r="Q2355" s="9" t="n">
        <v>1409.62</v>
      </c>
      <c r="R2355" s="9" t="n">
        <v>1429.82</v>
      </c>
      <c r="S2355" s="9" t="n">
        <v>1406.14</v>
      </c>
      <c r="T2355" s="9" t="n">
        <v>1475.11</v>
      </c>
      <c r="U2355" s="10">
        <f>SUM(I2355:T2355)</f>
        <v/>
      </c>
    </row>
    <row r="2356">
      <c r="A2356" s="2" t="inlineStr">
        <is>
          <t>SN-3000-3600-36ER-3600FS0001</t>
        </is>
      </c>
      <c r="B2356" s="2" t="inlineStr">
        <is>
          <t>3600FS0001</t>
        </is>
      </c>
      <c r="C2356" s="2" t="inlineStr">
        <is>
          <t>Sistema supresión fuego 1 piso</t>
        </is>
      </c>
      <c r="D2356" s="2" t="n">
        <v>785</v>
      </c>
      <c r="E2356" s="2" t="inlineStr">
        <is>
          <t>CC-3000</t>
        </is>
      </c>
      <c r="F2356" s="2" t="inlineStr">
        <is>
          <t>P01</t>
        </is>
      </c>
      <c r="G2356" s="2" t="n">
        <v>630000</v>
      </c>
      <c r="H2356" s="2" t="inlineStr">
        <is>
          <t>Servicios externos</t>
        </is>
      </c>
      <c r="I2356" s="9" t="n">
        <v>1525.8</v>
      </c>
      <c r="J2356" s="9" t="n">
        <v>1468.98</v>
      </c>
      <c r="K2356" s="9" t="n">
        <v>1655.15</v>
      </c>
      <c r="L2356" s="9" t="n">
        <v>1517.07</v>
      </c>
      <c r="M2356" s="9" t="n">
        <v>1586.61</v>
      </c>
      <c r="N2356" s="9" t="n">
        <v>1492.35</v>
      </c>
      <c r="O2356" s="9" t="n">
        <v>1535.14</v>
      </c>
      <c r="P2356" s="9" t="n">
        <v>1511.71</v>
      </c>
      <c r="Q2356" s="9" t="n">
        <v>1558.95</v>
      </c>
      <c r="R2356" s="9" t="n">
        <v>1687.54</v>
      </c>
      <c r="S2356" s="9" t="n">
        <v>1527.71</v>
      </c>
      <c r="T2356" s="9" t="n">
        <v>1700</v>
      </c>
      <c r="U2356" s="10">
        <f>SUM(I2356:T2356)</f>
        <v/>
      </c>
    </row>
    <row r="2357">
      <c r="A2357" s="2" t="inlineStr">
        <is>
          <t>SN-3000-3600-36ER-3600FS0002</t>
        </is>
      </c>
      <c r="B2357" s="2" t="inlineStr">
        <is>
          <t>3600FS0002</t>
        </is>
      </c>
      <c r="C2357" s="2" t="inlineStr">
        <is>
          <t>Sistema supresión fuego 2 piso</t>
        </is>
      </c>
      <c r="D2357" s="2" t="n">
        <v>786</v>
      </c>
      <c r="E2357" s="2" t="inlineStr">
        <is>
          <t>CC-3000</t>
        </is>
      </c>
      <c r="F2357" s="2" t="inlineStr">
        <is>
          <t>P01</t>
        </is>
      </c>
      <c r="G2357" s="2" t="n">
        <v>610000</v>
      </c>
      <c r="H2357" s="2" t="inlineStr">
        <is>
          <t>Mano obra interna</t>
        </is>
      </c>
      <c r="I2357" s="9" t="n">
        <v>379.82</v>
      </c>
      <c r="J2357" s="9" t="n">
        <v>319.92</v>
      </c>
      <c r="K2357" s="9" t="n">
        <v>377.48</v>
      </c>
      <c r="L2357" s="9" t="n">
        <v>344.98</v>
      </c>
      <c r="M2357" s="9" t="n">
        <v>360.13</v>
      </c>
      <c r="N2357" s="9" t="n">
        <v>350.3</v>
      </c>
      <c r="O2357" s="9" t="n">
        <v>334.15</v>
      </c>
      <c r="P2357" s="9" t="n">
        <v>341.36</v>
      </c>
      <c r="Q2357" s="9" t="n">
        <v>334.38</v>
      </c>
      <c r="R2357" s="9" t="n">
        <v>349.88</v>
      </c>
      <c r="S2357" s="9" t="n">
        <v>349.32</v>
      </c>
      <c r="T2357" s="9" t="n">
        <v>329.89</v>
      </c>
      <c r="U2357" s="10">
        <f>SUM(I2357:T2357)</f>
        <v/>
      </c>
    </row>
    <row r="2358">
      <c r="A2358" s="2" t="inlineStr">
        <is>
          <t>SN-3000-3600-36ER-3600FS0002</t>
        </is>
      </c>
      <c r="B2358" s="2" t="inlineStr">
        <is>
          <t>3600FS0002</t>
        </is>
      </c>
      <c r="C2358" s="2" t="inlineStr">
        <is>
          <t>Sistema supresión fuego 2 piso</t>
        </is>
      </c>
      <c r="D2358" s="2" t="n">
        <v>786</v>
      </c>
      <c r="E2358" s="2" t="inlineStr">
        <is>
          <t>CC-3000</t>
        </is>
      </c>
      <c r="F2358" s="2" t="inlineStr">
        <is>
          <t>P01</t>
        </is>
      </c>
      <c r="G2358" s="2" t="n">
        <v>620000</v>
      </c>
      <c r="H2358" s="2" t="inlineStr">
        <is>
          <t>Materiales</t>
        </is>
      </c>
      <c r="I2358" s="9" t="n">
        <v>362.69</v>
      </c>
      <c r="J2358" s="9" t="n">
        <v>367.28</v>
      </c>
      <c r="K2358" s="9" t="n">
        <v>356.84</v>
      </c>
      <c r="L2358" s="9" t="n">
        <v>362.7</v>
      </c>
      <c r="M2358" s="9" t="n">
        <v>359.05</v>
      </c>
      <c r="N2358" s="9" t="n">
        <v>351.55</v>
      </c>
      <c r="O2358" s="9" t="n">
        <v>339.15</v>
      </c>
      <c r="P2358" s="9" t="n">
        <v>391.09</v>
      </c>
      <c r="Q2358" s="9" t="n">
        <v>315.98</v>
      </c>
      <c r="R2358" s="9" t="n">
        <v>414.76</v>
      </c>
      <c r="S2358" s="9" t="n">
        <v>355.02</v>
      </c>
      <c r="T2358" s="9" t="n">
        <v>375.36</v>
      </c>
      <c r="U2358" s="10">
        <f>SUM(I2358:T2358)</f>
        <v/>
      </c>
    </row>
    <row r="2359">
      <c r="A2359" s="2" t="inlineStr">
        <is>
          <t>SN-3000-3600-36ER-3600FS0002</t>
        </is>
      </c>
      <c r="B2359" s="2" t="inlineStr">
        <is>
          <t>3600FS0002</t>
        </is>
      </c>
      <c r="C2359" s="2" t="inlineStr">
        <is>
          <t>Sistema supresión fuego 2 piso</t>
        </is>
      </c>
      <c r="D2359" s="2" t="n">
        <v>786</v>
      </c>
      <c r="E2359" s="2" t="inlineStr">
        <is>
          <t>CC-3000</t>
        </is>
      </c>
      <c r="F2359" s="2" t="inlineStr">
        <is>
          <t>P01</t>
        </is>
      </c>
      <c r="G2359" s="2" t="n">
        <v>630000</v>
      </c>
      <c r="H2359" s="2" t="inlineStr">
        <is>
          <t>Servicios externos</t>
        </is>
      </c>
      <c r="I2359" s="9" t="n">
        <v>316.79</v>
      </c>
      <c r="J2359" s="9" t="n">
        <v>302.25</v>
      </c>
      <c r="K2359" s="9" t="n">
        <v>297.83</v>
      </c>
      <c r="L2359" s="9" t="n">
        <v>298.74</v>
      </c>
      <c r="M2359" s="9" t="n">
        <v>281</v>
      </c>
      <c r="N2359" s="9" t="n">
        <v>271.44</v>
      </c>
      <c r="O2359" s="9" t="n">
        <v>281.47</v>
      </c>
      <c r="P2359" s="9" t="n">
        <v>291.22</v>
      </c>
      <c r="Q2359" s="9" t="n">
        <v>292.16</v>
      </c>
      <c r="R2359" s="9" t="n">
        <v>319.33</v>
      </c>
      <c r="S2359" s="9" t="n">
        <v>287.91</v>
      </c>
      <c r="T2359" s="9" t="n">
        <v>291.38</v>
      </c>
      <c r="U2359" s="10">
        <f>SUM(I2359:T2359)</f>
        <v/>
      </c>
    </row>
    <row r="2360">
      <c r="A2360" s="2" t="inlineStr">
        <is>
          <t>SN-3000-3600-36ER-3600JP0001</t>
        </is>
      </c>
      <c r="B2360" s="2" t="inlineStr">
        <is>
          <t>3600JP0001</t>
        </is>
      </c>
      <c r="C2360" s="2" t="inlineStr">
        <is>
          <t>Tablero distribución instrumentación</t>
        </is>
      </c>
      <c r="D2360" s="2" t="n">
        <v>787</v>
      </c>
      <c r="E2360" s="2" t="inlineStr">
        <is>
          <t>CC-3000</t>
        </is>
      </c>
      <c r="F2360" s="2" t="inlineStr">
        <is>
          <t>P01</t>
        </is>
      </c>
      <c r="G2360" s="2" t="n">
        <v>610000</v>
      </c>
      <c r="H2360" s="2" t="inlineStr">
        <is>
          <t>Mano obra interna</t>
        </is>
      </c>
      <c r="I2360" s="9" t="n">
        <v>1311.77</v>
      </c>
      <c r="J2360" s="9" t="n">
        <v>1334.95</v>
      </c>
      <c r="K2360" s="9" t="n">
        <v>1412.54</v>
      </c>
      <c r="L2360" s="9" t="n">
        <v>1365.6</v>
      </c>
      <c r="M2360" s="9" t="n">
        <v>1257.9</v>
      </c>
      <c r="N2360" s="9" t="n">
        <v>1262.11</v>
      </c>
      <c r="O2360" s="9" t="n">
        <v>1266.53</v>
      </c>
      <c r="P2360" s="9" t="n">
        <v>1402.22</v>
      </c>
      <c r="Q2360" s="9" t="n">
        <v>1279.46</v>
      </c>
      <c r="R2360" s="9" t="n">
        <v>1420.08</v>
      </c>
      <c r="S2360" s="9" t="n">
        <v>1371.23</v>
      </c>
      <c r="T2360" s="9" t="n">
        <v>1347.87</v>
      </c>
      <c r="U2360" s="10">
        <f>SUM(I2360:T2360)</f>
        <v/>
      </c>
    </row>
    <row r="2361">
      <c r="A2361" s="2" t="inlineStr">
        <is>
          <t>SN-3000-3600-36ER-3600JP0001</t>
        </is>
      </c>
      <c r="B2361" s="2" t="inlineStr">
        <is>
          <t>3600JP0001</t>
        </is>
      </c>
      <c r="C2361" s="2" t="inlineStr">
        <is>
          <t>Tablero distribución instrumentación</t>
        </is>
      </c>
      <c r="D2361" s="2" t="n">
        <v>787</v>
      </c>
      <c r="E2361" s="2" t="inlineStr">
        <is>
          <t>CC-3000</t>
        </is>
      </c>
      <c r="F2361" s="2" t="inlineStr">
        <is>
          <t>P01</t>
        </is>
      </c>
      <c r="G2361" s="2" t="n">
        <v>620000</v>
      </c>
      <c r="H2361" s="2" t="inlineStr">
        <is>
          <t>Materiales</t>
        </is>
      </c>
      <c r="I2361" s="9" t="n">
        <v>1129.99</v>
      </c>
      <c r="J2361" s="9" t="n">
        <v>1173.76</v>
      </c>
      <c r="K2361" s="9" t="n">
        <v>1291.38</v>
      </c>
      <c r="L2361" s="9" t="n">
        <v>1280.58</v>
      </c>
      <c r="M2361" s="9" t="n">
        <v>1190.87</v>
      </c>
      <c r="N2361" s="9" t="n">
        <v>1112.23</v>
      </c>
      <c r="O2361" s="9" t="n">
        <v>1212.53</v>
      </c>
      <c r="P2361" s="9" t="n">
        <v>1232.24</v>
      </c>
      <c r="Q2361" s="9" t="n">
        <v>1086.13</v>
      </c>
      <c r="R2361" s="9" t="n">
        <v>1271.49</v>
      </c>
      <c r="S2361" s="9" t="n">
        <v>1178.83</v>
      </c>
      <c r="T2361" s="9" t="n">
        <v>1273.47</v>
      </c>
      <c r="U2361" s="10">
        <f>SUM(I2361:T2361)</f>
        <v/>
      </c>
    </row>
    <row r="2362">
      <c r="A2362" s="2" t="inlineStr">
        <is>
          <t>SN-3000-3600-36ER-3600JP0001</t>
        </is>
      </c>
      <c r="B2362" s="2" t="inlineStr">
        <is>
          <t>3600JP0001</t>
        </is>
      </c>
      <c r="C2362" s="2" t="inlineStr">
        <is>
          <t>Tablero distribución instrumentación</t>
        </is>
      </c>
      <c r="D2362" s="2" t="n">
        <v>787</v>
      </c>
      <c r="E2362" s="2" t="inlineStr">
        <is>
          <t>CC-3000</t>
        </is>
      </c>
      <c r="F2362" s="2" t="inlineStr">
        <is>
          <t>P01</t>
        </is>
      </c>
      <c r="G2362" s="2" t="n">
        <v>630000</v>
      </c>
      <c r="H2362" s="2" t="inlineStr">
        <is>
          <t>Servicios externos</t>
        </is>
      </c>
      <c r="I2362" s="9" t="n">
        <v>1293.26</v>
      </c>
      <c r="J2362" s="9" t="n">
        <v>1269.71</v>
      </c>
      <c r="K2362" s="9" t="n">
        <v>1494.95</v>
      </c>
      <c r="L2362" s="9" t="n">
        <v>1476.79</v>
      </c>
      <c r="M2362" s="9" t="n">
        <v>1333.33</v>
      </c>
      <c r="N2362" s="9" t="n">
        <v>1329.1</v>
      </c>
      <c r="O2362" s="9" t="n">
        <v>1461.4</v>
      </c>
      <c r="P2362" s="9" t="n">
        <v>1460.9</v>
      </c>
      <c r="Q2362" s="9" t="n">
        <v>1334.69</v>
      </c>
      <c r="R2362" s="9" t="n">
        <v>1410.51</v>
      </c>
      <c r="S2362" s="9" t="n">
        <v>1376.79</v>
      </c>
      <c r="T2362" s="9" t="n">
        <v>1303.19</v>
      </c>
      <c r="U2362" s="10">
        <f>SUM(I2362:T2362)</f>
        <v/>
      </c>
    </row>
    <row r="2363">
      <c r="A2363" s="2" t="inlineStr">
        <is>
          <t>SN-3000-3600-36ER-3600JX0001</t>
        </is>
      </c>
      <c r="B2363" s="2" t="inlineStr">
        <is>
          <t>3600JX0001</t>
        </is>
      </c>
      <c r="C2363" s="2" t="inlineStr">
        <is>
          <t>Transformador distribución instrumentos</t>
        </is>
      </c>
      <c r="D2363" s="2" t="n">
        <v>788</v>
      </c>
      <c r="E2363" s="2" t="inlineStr">
        <is>
          <t>CC-3000</t>
        </is>
      </c>
      <c r="F2363" s="2" t="inlineStr">
        <is>
          <t>P01</t>
        </is>
      </c>
      <c r="G2363" s="2" t="n">
        <v>610000</v>
      </c>
      <c r="H2363" s="2" t="inlineStr">
        <is>
          <t>Mano obra interna</t>
        </is>
      </c>
      <c r="I2363" s="9" t="n">
        <v>1252.25</v>
      </c>
      <c r="J2363" s="9" t="n">
        <v>1313.21</v>
      </c>
      <c r="K2363" s="9" t="n">
        <v>1364.41</v>
      </c>
      <c r="L2363" s="9" t="n">
        <v>1387.14</v>
      </c>
      <c r="M2363" s="9" t="n">
        <v>1296.81</v>
      </c>
      <c r="N2363" s="9" t="n">
        <v>1154.98</v>
      </c>
      <c r="O2363" s="9" t="n">
        <v>1343.05</v>
      </c>
      <c r="P2363" s="9" t="n">
        <v>1274.39</v>
      </c>
      <c r="Q2363" s="9" t="n">
        <v>1175.02</v>
      </c>
      <c r="R2363" s="9" t="n">
        <v>1511.82</v>
      </c>
      <c r="S2363" s="9" t="n">
        <v>1276.33</v>
      </c>
      <c r="T2363" s="9" t="n">
        <v>1363.4</v>
      </c>
      <c r="U2363" s="10">
        <f>SUM(I2363:T2363)</f>
        <v/>
      </c>
    </row>
    <row r="2364">
      <c r="A2364" s="2" t="inlineStr">
        <is>
          <t>SN-3000-3600-36ER-3600JX0001</t>
        </is>
      </c>
      <c r="B2364" s="2" t="inlineStr">
        <is>
          <t>3600JX0001</t>
        </is>
      </c>
      <c r="C2364" s="2" t="inlineStr">
        <is>
          <t>Transformador distribución instrumentos</t>
        </is>
      </c>
      <c r="D2364" s="2" t="n">
        <v>788</v>
      </c>
      <c r="E2364" s="2" t="inlineStr">
        <is>
          <t>CC-3000</t>
        </is>
      </c>
      <c r="F2364" s="2" t="inlineStr">
        <is>
          <t>P01</t>
        </is>
      </c>
      <c r="G2364" s="2" t="n">
        <v>620000</v>
      </c>
      <c r="H2364" s="2" t="inlineStr">
        <is>
          <t>Materiales</t>
        </is>
      </c>
      <c r="I2364" s="9" t="n">
        <v>1198.31</v>
      </c>
      <c r="J2364" s="9" t="n">
        <v>1152.89</v>
      </c>
      <c r="K2364" s="9" t="n">
        <v>1190.03</v>
      </c>
      <c r="L2364" s="9" t="n">
        <v>1241.63</v>
      </c>
      <c r="M2364" s="9" t="n">
        <v>1106.43</v>
      </c>
      <c r="N2364" s="9" t="n">
        <v>1111.29</v>
      </c>
      <c r="O2364" s="9" t="n">
        <v>1179.38</v>
      </c>
      <c r="P2364" s="9" t="n">
        <v>1102.09</v>
      </c>
      <c r="Q2364" s="9" t="n">
        <v>1040.28</v>
      </c>
      <c r="R2364" s="9" t="n">
        <v>1304.57</v>
      </c>
      <c r="S2364" s="9" t="n">
        <v>1007.78</v>
      </c>
      <c r="T2364" s="9" t="n">
        <v>1111.85</v>
      </c>
      <c r="U2364" s="10">
        <f>SUM(I2364:T2364)</f>
        <v/>
      </c>
    </row>
    <row r="2365">
      <c r="A2365" s="2" t="inlineStr">
        <is>
          <t>SN-3000-3600-36ER-3600JX0001</t>
        </is>
      </c>
      <c r="B2365" s="2" t="inlineStr">
        <is>
          <t>3600JX0001</t>
        </is>
      </c>
      <c r="C2365" s="2" t="inlineStr">
        <is>
          <t>Transformador distribución instrumentos</t>
        </is>
      </c>
      <c r="D2365" s="2" t="n">
        <v>788</v>
      </c>
      <c r="E2365" s="2" t="inlineStr">
        <is>
          <t>CC-3000</t>
        </is>
      </c>
      <c r="F2365" s="2" t="inlineStr">
        <is>
          <t>P01</t>
        </is>
      </c>
      <c r="G2365" s="2" t="n">
        <v>630000</v>
      </c>
      <c r="H2365" s="2" t="inlineStr">
        <is>
          <t>Servicios externos</t>
        </is>
      </c>
      <c r="I2365" s="9" t="n">
        <v>1067.1</v>
      </c>
      <c r="J2365" s="9" t="n">
        <v>1190.15</v>
      </c>
      <c r="K2365" s="9" t="n">
        <v>1131.78</v>
      </c>
      <c r="L2365" s="9" t="n">
        <v>1115.95</v>
      </c>
      <c r="M2365" s="9" t="n">
        <v>1181.78</v>
      </c>
      <c r="N2365" s="9" t="n">
        <v>1047.43</v>
      </c>
      <c r="O2365" s="9" t="n">
        <v>1165.09</v>
      </c>
      <c r="P2365" s="9" t="n">
        <v>1193.45</v>
      </c>
      <c r="Q2365" s="9" t="n">
        <v>1106.88</v>
      </c>
      <c r="R2365" s="9" t="n">
        <v>1280.26</v>
      </c>
      <c r="S2365" s="9" t="n">
        <v>1027.26</v>
      </c>
      <c r="T2365" s="9" t="n">
        <v>1075.28</v>
      </c>
      <c r="U2365" s="10">
        <f>SUM(I2365:T2365)</f>
        <v/>
      </c>
    </row>
    <row r="2366">
      <c r="A2366" s="2" t="inlineStr">
        <is>
          <t>SN-3000-3600-36ER-3600LP0001</t>
        </is>
      </c>
      <c r="B2366" s="2" t="inlineStr">
        <is>
          <t>3600LP0001</t>
        </is>
      </c>
      <c r="C2366" s="2" t="inlineStr">
        <is>
          <t>Tablero distribución alumbrado</t>
        </is>
      </c>
      <c r="D2366" s="2" t="n">
        <v>789</v>
      </c>
      <c r="E2366" s="2" t="inlineStr">
        <is>
          <t>CC-3000</t>
        </is>
      </c>
      <c r="F2366" s="2" t="inlineStr">
        <is>
          <t>P01</t>
        </is>
      </c>
      <c r="G2366" s="2" t="n">
        <v>610000</v>
      </c>
      <c r="H2366" s="2" t="inlineStr">
        <is>
          <t>Mano obra interna</t>
        </is>
      </c>
      <c r="I2366" s="9" t="n">
        <v>1834.93</v>
      </c>
      <c r="J2366" s="9" t="n">
        <v>1912.36</v>
      </c>
      <c r="K2366" s="9" t="n">
        <v>1969.34</v>
      </c>
      <c r="L2366" s="9" t="n">
        <v>2002.53</v>
      </c>
      <c r="M2366" s="9" t="n">
        <v>1859.68</v>
      </c>
      <c r="N2366" s="9" t="n">
        <v>1852.09</v>
      </c>
      <c r="O2366" s="9" t="n">
        <v>1891.14</v>
      </c>
      <c r="P2366" s="9" t="n">
        <v>1845.56</v>
      </c>
      <c r="Q2366" s="9" t="n">
        <v>1850.61</v>
      </c>
      <c r="R2366" s="9" t="n">
        <v>2152</v>
      </c>
      <c r="S2366" s="9" t="n">
        <v>1978.63</v>
      </c>
      <c r="T2366" s="9" t="n">
        <v>2088.6</v>
      </c>
      <c r="U2366" s="10">
        <f>SUM(I2366:T2366)</f>
        <v/>
      </c>
    </row>
    <row r="2367">
      <c r="A2367" s="2" t="inlineStr">
        <is>
          <t>SN-3000-3600-36ER-3600LP0001</t>
        </is>
      </c>
      <c r="B2367" s="2" t="inlineStr">
        <is>
          <t>3600LP0001</t>
        </is>
      </c>
      <c r="C2367" s="2" t="inlineStr">
        <is>
          <t>Tablero distribución alumbrado</t>
        </is>
      </c>
      <c r="D2367" s="2" t="n">
        <v>789</v>
      </c>
      <c r="E2367" s="2" t="inlineStr">
        <is>
          <t>CC-3000</t>
        </is>
      </c>
      <c r="F2367" s="2" t="inlineStr">
        <is>
          <t>P01</t>
        </is>
      </c>
      <c r="G2367" s="2" t="n">
        <v>620000</v>
      </c>
      <c r="H2367" s="2" t="inlineStr">
        <is>
          <t>Materiales</t>
        </is>
      </c>
      <c r="I2367" s="9" t="n">
        <v>2281.65</v>
      </c>
      <c r="J2367" s="9" t="n">
        <v>1985.52</v>
      </c>
      <c r="K2367" s="9" t="n">
        <v>2098.86</v>
      </c>
      <c r="L2367" s="9" t="n">
        <v>2328.71</v>
      </c>
      <c r="M2367" s="9" t="n">
        <v>2055.76</v>
      </c>
      <c r="N2367" s="9" t="n">
        <v>2026.69</v>
      </c>
      <c r="O2367" s="9" t="n">
        <v>2047.74</v>
      </c>
      <c r="P2367" s="9" t="n">
        <v>2062.58</v>
      </c>
      <c r="Q2367" s="9" t="n">
        <v>2108.98</v>
      </c>
      <c r="R2367" s="9" t="n">
        <v>2250.98</v>
      </c>
      <c r="S2367" s="9" t="n">
        <v>2083.54</v>
      </c>
      <c r="T2367" s="9" t="n">
        <v>2079.45</v>
      </c>
      <c r="U2367" s="10">
        <f>SUM(I2367:T2367)</f>
        <v/>
      </c>
    </row>
    <row r="2368">
      <c r="A2368" s="2" t="inlineStr">
        <is>
          <t>SN-3000-3600-36ER-3600LP0001</t>
        </is>
      </c>
      <c r="B2368" s="2" t="inlineStr">
        <is>
          <t>3600LP0001</t>
        </is>
      </c>
      <c r="C2368" s="2" t="inlineStr">
        <is>
          <t>Tablero distribución alumbrado</t>
        </is>
      </c>
      <c r="D2368" s="2" t="n">
        <v>789</v>
      </c>
      <c r="E2368" s="2" t="inlineStr">
        <is>
          <t>CC-3000</t>
        </is>
      </c>
      <c r="F2368" s="2" t="inlineStr">
        <is>
          <t>P01</t>
        </is>
      </c>
      <c r="G2368" s="2" t="n">
        <v>630000</v>
      </c>
      <c r="H2368" s="2" t="inlineStr">
        <is>
          <t>Servicios externos</t>
        </is>
      </c>
      <c r="I2368" s="9" t="n">
        <v>2242.26</v>
      </c>
      <c r="J2368" s="9" t="n">
        <v>2040.81</v>
      </c>
      <c r="K2368" s="9" t="n">
        <v>2285.73</v>
      </c>
      <c r="L2368" s="9" t="n">
        <v>2075.67</v>
      </c>
      <c r="M2368" s="9" t="n">
        <v>2161.56</v>
      </c>
      <c r="N2368" s="9" t="n">
        <v>2100.53</v>
      </c>
      <c r="O2368" s="9" t="n">
        <v>2279.01</v>
      </c>
      <c r="P2368" s="9" t="n">
        <v>2026.81</v>
      </c>
      <c r="Q2368" s="9" t="n">
        <v>1844.37</v>
      </c>
      <c r="R2368" s="9" t="n">
        <v>2198.63</v>
      </c>
      <c r="S2368" s="9" t="n">
        <v>1927.62</v>
      </c>
      <c r="T2368" s="9" t="n">
        <v>2036.89</v>
      </c>
      <c r="U2368" s="10">
        <f>SUM(I2368:T2368)</f>
        <v/>
      </c>
    </row>
    <row r="2369">
      <c r="A2369" s="2" t="inlineStr">
        <is>
          <t>SN-3000-3600-36ER-3600LX0001</t>
        </is>
      </c>
      <c r="B2369" s="2" t="inlineStr">
        <is>
          <t>3600LX0001</t>
        </is>
      </c>
      <c r="C2369" s="2" t="inlineStr">
        <is>
          <t>Transformador distribución alumbrado</t>
        </is>
      </c>
      <c r="D2369" s="2" t="n">
        <v>790</v>
      </c>
      <c r="E2369" s="2" t="inlineStr">
        <is>
          <t>CC-3000</t>
        </is>
      </c>
      <c r="F2369" s="2" t="inlineStr">
        <is>
          <t>P01</t>
        </is>
      </c>
      <c r="G2369" s="2" t="n">
        <v>610000</v>
      </c>
      <c r="H2369" s="2" t="inlineStr">
        <is>
          <t>Mano obra interna</t>
        </is>
      </c>
      <c r="I2369" s="9" t="n">
        <v>1129.38</v>
      </c>
      <c r="J2369" s="9" t="n">
        <v>1176.13</v>
      </c>
      <c r="K2369" s="9" t="n">
        <v>1100.89</v>
      </c>
      <c r="L2369" s="9" t="n">
        <v>1233.02</v>
      </c>
      <c r="M2369" s="9" t="n">
        <v>1165.24</v>
      </c>
      <c r="N2369" s="9" t="n">
        <v>1137.93</v>
      </c>
      <c r="O2369" s="9" t="n">
        <v>1199.37</v>
      </c>
      <c r="P2369" s="9" t="n">
        <v>1166.33</v>
      </c>
      <c r="Q2369" s="9" t="n">
        <v>1092.46</v>
      </c>
      <c r="R2369" s="9" t="n">
        <v>1197.69</v>
      </c>
      <c r="S2369" s="9" t="n">
        <v>1087.75</v>
      </c>
      <c r="T2369" s="9" t="n">
        <v>1217.18</v>
      </c>
      <c r="U2369" s="10">
        <f>SUM(I2369:T2369)</f>
        <v/>
      </c>
    </row>
    <row r="2370">
      <c r="A2370" s="2" t="inlineStr">
        <is>
          <t>SN-3000-3600-36ER-3600LX0001</t>
        </is>
      </c>
      <c r="B2370" s="2" t="inlineStr">
        <is>
          <t>3600LX0001</t>
        </is>
      </c>
      <c r="C2370" s="2" t="inlineStr">
        <is>
          <t>Transformador distribución alumbrado</t>
        </is>
      </c>
      <c r="D2370" s="2" t="n">
        <v>790</v>
      </c>
      <c r="E2370" s="2" t="inlineStr">
        <is>
          <t>CC-3000</t>
        </is>
      </c>
      <c r="F2370" s="2" t="inlineStr">
        <is>
          <t>P01</t>
        </is>
      </c>
      <c r="G2370" s="2" t="n">
        <v>620000</v>
      </c>
      <c r="H2370" s="2" t="inlineStr">
        <is>
          <t>Materiales</t>
        </is>
      </c>
      <c r="I2370" s="9" t="n">
        <v>1091.14</v>
      </c>
      <c r="J2370" s="9" t="n">
        <v>1183.68</v>
      </c>
      <c r="K2370" s="9" t="n">
        <v>1203.81</v>
      </c>
      <c r="L2370" s="9" t="n">
        <v>1238.21</v>
      </c>
      <c r="M2370" s="9" t="n">
        <v>1063.94</v>
      </c>
      <c r="N2370" s="9" t="n">
        <v>1124.11</v>
      </c>
      <c r="O2370" s="9" t="n">
        <v>1107.33</v>
      </c>
      <c r="P2370" s="9" t="n">
        <v>1226.89</v>
      </c>
      <c r="Q2370" s="9" t="n">
        <v>1006.65</v>
      </c>
      <c r="R2370" s="9" t="n">
        <v>1312.12</v>
      </c>
      <c r="S2370" s="9" t="n">
        <v>1043.05</v>
      </c>
      <c r="T2370" s="9" t="n">
        <v>1081.57</v>
      </c>
      <c r="U2370" s="10">
        <f>SUM(I2370:T2370)</f>
        <v/>
      </c>
    </row>
    <row r="2371">
      <c r="A2371" s="2" t="inlineStr">
        <is>
          <t>SN-3000-3600-36ER-3600LX0001</t>
        </is>
      </c>
      <c r="B2371" s="2" t="inlineStr">
        <is>
          <t>3600LX0001</t>
        </is>
      </c>
      <c r="C2371" s="2" t="inlineStr">
        <is>
          <t>Transformador distribución alumbrado</t>
        </is>
      </c>
      <c r="D2371" s="2" t="n">
        <v>790</v>
      </c>
      <c r="E2371" s="2" t="inlineStr">
        <is>
          <t>CC-3000</t>
        </is>
      </c>
      <c r="F2371" s="2" t="inlineStr">
        <is>
          <t>P01</t>
        </is>
      </c>
      <c r="G2371" s="2" t="n">
        <v>630000</v>
      </c>
      <c r="H2371" s="2" t="inlineStr">
        <is>
          <t>Servicios externos</t>
        </is>
      </c>
      <c r="I2371" s="9" t="n">
        <v>1078.57</v>
      </c>
      <c r="J2371" s="9" t="n">
        <v>1090.75</v>
      </c>
      <c r="K2371" s="9" t="n">
        <v>1053.9</v>
      </c>
      <c r="L2371" s="9" t="n">
        <v>1098.35</v>
      </c>
      <c r="M2371" s="9" t="n">
        <v>1023.48</v>
      </c>
      <c r="N2371" s="9" t="n">
        <v>1096.85</v>
      </c>
      <c r="O2371" s="9" t="n">
        <v>1006.96</v>
      </c>
      <c r="P2371" s="9" t="n">
        <v>1059.73</v>
      </c>
      <c r="Q2371" s="9" t="n">
        <v>1031.75</v>
      </c>
      <c r="R2371" s="9" t="n">
        <v>1248.05</v>
      </c>
      <c r="S2371" s="9" t="n">
        <v>1112.75</v>
      </c>
      <c r="T2371" s="9" t="n">
        <v>1171.32</v>
      </c>
      <c r="U2371" s="10">
        <f>SUM(I2371:T2371)</f>
        <v/>
      </c>
    </row>
    <row r="2372">
      <c r="A2372" s="2" t="inlineStr">
        <is>
          <t>SN-3000-3600-36ER-3600MC0013</t>
        </is>
      </c>
      <c r="B2372" s="2" t="inlineStr">
        <is>
          <t>3600MC0013</t>
        </is>
      </c>
      <c r="C2372" s="2" t="inlineStr">
        <is>
          <t>Centro control motores 400V/1200A/65kA</t>
        </is>
      </c>
      <c r="D2372" s="2" t="n">
        <v>791</v>
      </c>
      <c r="E2372" s="2" t="inlineStr">
        <is>
          <t>CC-3000</t>
        </is>
      </c>
      <c r="F2372" s="2" t="inlineStr">
        <is>
          <t>P01</t>
        </is>
      </c>
      <c r="G2372" s="2" t="n">
        <v>610000</v>
      </c>
      <c r="H2372" s="2" t="inlineStr">
        <is>
          <t>Mano obra interna</t>
        </is>
      </c>
      <c r="I2372" s="9" t="n">
        <v>1091.43</v>
      </c>
      <c r="J2372" s="9" t="n">
        <v>1043.21</v>
      </c>
      <c r="K2372" s="9" t="n">
        <v>1113.27</v>
      </c>
      <c r="L2372" s="9" t="n">
        <v>1004.95</v>
      </c>
      <c r="M2372" s="9" t="n">
        <v>1069.46</v>
      </c>
      <c r="N2372" s="9" t="n">
        <v>954.2</v>
      </c>
      <c r="O2372" s="9" t="n">
        <v>1036.06</v>
      </c>
      <c r="P2372" s="9" t="n">
        <v>1000.79</v>
      </c>
      <c r="Q2372" s="9" t="n">
        <v>932.84</v>
      </c>
      <c r="R2372" s="9" t="n">
        <v>1101.51</v>
      </c>
      <c r="S2372" s="9" t="n">
        <v>958.84</v>
      </c>
      <c r="T2372" s="9" t="n">
        <v>1077.09</v>
      </c>
      <c r="U2372" s="10">
        <f>SUM(I2372:T2372)</f>
        <v/>
      </c>
    </row>
    <row r="2373">
      <c r="A2373" s="2" t="inlineStr">
        <is>
          <t>SN-3000-3600-36ER-3600MC0013</t>
        </is>
      </c>
      <c r="B2373" s="2" t="inlineStr">
        <is>
          <t>3600MC0013</t>
        </is>
      </c>
      <c r="C2373" s="2" t="inlineStr">
        <is>
          <t>Centro control motores 400V/1200A/65kA</t>
        </is>
      </c>
      <c r="D2373" s="2" t="n">
        <v>791</v>
      </c>
      <c r="E2373" s="2" t="inlineStr">
        <is>
          <t>CC-3000</t>
        </is>
      </c>
      <c r="F2373" s="2" t="inlineStr">
        <is>
          <t>P01</t>
        </is>
      </c>
      <c r="G2373" s="2" t="n">
        <v>620000</v>
      </c>
      <c r="H2373" s="2" t="inlineStr">
        <is>
          <t>Materiales</t>
        </is>
      </c>
      <c r="I2373" s="9" t="n">
        <v>1271.96</v>
      </c>
      <c r="J2373" s="9" t="n">
        <v>1139.71</v>
      </c>
      <c r="K2373" s="9" t="n">
        <v>1341.27</v>
      </c>
      <c r="L2373" s="9" t="n">
        <v>1267.61</v>
      </c>
      <c r="M2373" s="9" t="n">
        <v>1138.79</v>
      </c>
      <c r="N2373" s="9" t="n">
        <v>1202.49</v>
      </c>
      <c r="O2373" s="9" t="n">
        <v>1146.66</v>
      </c>
      <c r="P2373" s="9" t="n">
        <v>1123.96</v>
      </c>
      <c r="Q2373" s="9" t="n">
        <v>1130.65</v>
      </c>
      <c r="R2373" s="9" t="n">
        <v>1315.28</v>
      </c>
      <c r="S2373" s="9" t="n">
        <v>1112.4</v>
      </c>
      <c r="T2373" s="9" t="n">
        <v>1197.46</v>
      </c>
      <c r="U2373" s="10">
        <f>SUM(I2373:T2373)</f>
        <v/>
      </c>
    </row>
    <row r="2374">
      <c r="A2374" s="2" t="inlineStr">
        <is>
          <t>SN-3000-3600-36ER-3600MC0013</t>
        </is>
      </c>
      <c r="B2374" s="2" t="inlineStr">
        <is>
          <t>3600MC0013</t>
        </is>
      </c>
      <c r="C2374" s="2" t="inlineStr">
        <is>
          <t>Centro control motores 400V/1200A/65kA</t>
        </is>
      </c>
      <c r="D2374" s="2" t="n">
        <v>791</v>
      </c>
      <c r="E2374" s="2" t="inlineStr">
        <is>
          <t>CC-3000</t>
        </is>
      </c>
      <c r="F2374" s="2" t="inlineStr">
        <is>
          <t>P01</t>
        </is>
      </c>
      <c r="G2374" s="2" t="n">
        <v>630000</v>
      </c>
      <c r="H2374" s="2" t="inlineStr">
        <is>
          <t>Servicios externos</t>
        </is>
      </c>
      <c r="I2374" s="9" t="n">
        <v>1280.17</v>
      </c>
      <c r="J2374" s="9" t="n">
        <v>1208.55</v>
      </c>
      <c r="K2374" s="9" t="n">
        <v>1445.39</v>
      </c>
      <c r="L2374" s="9" t="n">
        <v>1285.35</v>
      </c>
      <c r="M2374" s="9" t="n">
        <v>1322.34</v>
      </c>
      <c r="N2374" s="9" t="n">
        <v>1188.32</v>
      </c>
      <c r="O2374" s="9" t="n">
        <v>1309.71</v>
      </c>
      <c r="P2374" s="9" t="n">
        <v>1274.12</v>
      </c>
      <c r="Q2374" s="9" t="n">
        <v>1298.22</v>
      </c>
      <c r="R2374" s="9" t="n">
        <v>1385.5</v>
      </c>
      <c r="S2374" s="9" t="n">
        <v>1274.16</v>
      </c>
      <c r="T2374" s="9" t="n">
        <v>1411.78</v>
      </c>
      <c r="U2374" s="10">
        <f>SUM(I2374:T2374)</f>
        <v/>
      </c>
    </row>
    <row r="2375">
      <c r="A2375" s="2" t="inlineStr">
        <is>
          <t>SN-3000-3600-36ER-3600MC0014</t>
        </is>
      </c>
      <c r="B2375" s="2" t="inlineStr">
        <is>
          <t>3600MC0014</t>
        </is>
      </c>
      <c r="C2375" s="2" t="inlineStr">
        <is>
          <t xml:space="preserve">Centro control motores 400 V/65kA </t>
        </is>
      </c>
      <c r="D2375" s="2" t="n">
        <v>792</v>
      </c>
      <c r="E2375" s="2" t="inlineStr">
        <is>
          <t>CC-3000</t>
        </is>
      </c>
      <c r="F2375" s="2" t="inlineStr">
        <is>
          <t>P01</t>
        </is>
      </c>
      <c r="G2375" s="2" t="n">
        <v>610000</v>
      </c>
      <c r="H2375" s="2" t="inlineStr">
        <is>
          <t>Mano obra interna</t>
        </is>
      </c>
      <c r="I2375" s="9" t="n">
        <v>2658.11</v>
      </c>
      <c r="J2375" s="9" t="n">
        <v>2885.48</v>
      </c>
      <c r="K2375" s="9" t="n">
        <v>2814.96</v>
      </c>
      <c r="L2375" s="9" t="n">
        <v>2885.51</v>
      </c>
      <c r="M2375" s="9" t="n">
        <v>2697.29</v>
      </c>
      <c r="N2375" s="9" t="n">
        <v>2616.83</v>
      </c>
      <c r="O2375" s="9" t="n">
        <v>2630.47</v>
      </c>
      <c r="P2375" s="9" t="n">
        <v>2811.36</v>
      </c>
      <c r="Q2375" s="9" t="n">
        <v>2608.19</v>
      </c>
      <c r="R2375" s="9" t="n">
        <v>2850.12</v>
      </c>
      <c r="S2375" s="9" t="n">
        <v>2710.24</v>
      </c>
      <c r="T2375" s="9" t="n">
        <v>3036.01</v>
      </c>
      <c r="U2375" s="10">
        <f>SUM(I2375:T2375)</f>
        <v/>
      </c>
    </row>
    <row r="2376">
      <c r="A2376" s="2" t="inlineStr">
        <is>
          <t>SN-3000-3600-36ER-3600MC0014</t>
        </is>
      </c>
      <c r="B2376" s="2" t="inlineStr">
        <is>
          <t>3600MC0014</t>
        </is>
      </c>
      <c r="C2376" s="2" t="inlineStr">
        <is>
          <t xml:space="preserve">Centro control motores 400 V/65kA </t>
        </is>
      </c>
      <c r="D2376" s="2" t="n">
        <v>792</v>
      </c>
      <c r="E2376" s="2" t="inlineStr">
        <is>
          <t>CC-3000</t>
        </is>
      </c>
      <c r="F2376" s="2" t="inlineStr">
        <is>
          <t>P01</t>
        </is>
      </c>
      <c r="G2376" s="2" t="n">
        <v>620000</v>
      </c>
      <c r="H2376" s="2" t="inlineStr">
        <is>
          <t>Materiales</t>
        </is>
      </c>
      <c r="I2376" s="9" t="n">
        <v>2534.79</v>
      </c>
      <c r="J2376" s="9" t="n">
        <v>2616.19</v>
      </c>
      <c r="K2376" s="9" t="n">
        <v>2600.37</v>
      </c>
      <c r="L2376" s="9" t="n">
        <v>2396.87</v>
      </c>
      <c r="M2376" s="9" t="n">
        <v>2483.58</v>
      </c>
      <c r="N2376" s="9" t="n">
        <v>2259.64</v>
      </c>
      <c r="O2376" s="9" t="n">
        <v>2598.38</v>
      </c>
      <c r="P2376" s="9" t="n">
        <v>2674.77</v>
      </c>
      <c r="Q2376" s="9" t="n">
        <v>2266.82</v>
      </c>
      <c r="R2376" s="9" t="n">
        <v>2657.96</v>
      </c>
      <c r="S2376" s="9" t="n">
        <v>2380.78</v>
      </c>
      <c r="T2376" s="9" t="n">
        <v>2440.76</v>
      </c>
      <c r="U2376" s="10">
        <f>SUM(I2376:T2376)</f>
        <v/>
      </c>
    </row>
    <row r="2377">
      <c r="A2377" s="2" t="inlineStr">
        <is>
          <t>SN-3000-3600-36ER-3600MC0014</t>
        </is>
      </c>
      <c r="B2377" s="2" t="inlineStr">
        <is>
          <t>3600MC0014</t>
        </is>
      </c>
      <c r="C2377" s="2" t="inlineStr">
        <is>
          <t xml:space="preserve">Centro control motores 400 V/65kA </t>
        </is>
      </c>
      <c r="D2377" s="2" t="n">
        <v>792</v>
      </c>
      <c r="E2377" s="2" t="inlineStr">
        <is>
          <t>CC-3000</t>
        </is>
      </c>
      <c r="F2377" s="2" t="inlineStr">
        <is>
          <t>P01</t>
        </is>
      </c>
      <c r="G2377" s="2" t="n">
        <v>630000</v>
      </c>
      <c r="H2377" s="2" t="inlineStr">
        <is>
          <t>Servicios externos</t>
        </is>
      </c>
      <c r="I2377" s="9" t="n">
        <v>2639.39</v>
      </c>
      <c r="J2377" s="9" t="n">
        <v>2324.94</v>
      </c>
      <c r="K2377" s="9" t="n">
        <v>2759.91</v>
      </c>
      <c r="L2377" s="9" t="n">
        <v>2463.79</v>
      </c>
      <c r="M2377" s="9" t="n">
        <v>2703.98</v>
      </c>
      <c r="N2377" s="9" t="n">
        <v>2378.33</v>
      </c>
      <c r="O2377" s="9" t="n">
        <v>2586.15</v>
      </c>
      <c r="P2377" s="9" t="n">
        <v>2364.51</v>
      </c>
      <c r="Q2377" s="9" t="n">
        <v>2303.57</v>
      </c>
      <c r="R2377" s="9" t="n">
        <v>2869.11</v>
      </c>
      <c r="S2377" s="9" t="n">
        <v>2447.69</v>
      </c>
      <c r="T2377" s="9" t="n">
        <v>2742.1</v>
      </c>
      <c r="U2377" s="10">
        <f>SUM(I2377:T2377)</f>
        <v/>
      </c>
    </row>
    <row r="2378">
      <c r="A2378" s="2" t="inlineStr">
        <is>
          <t>SN-3000-3600-36ER-3600SC0001</t>
        </is>
      </c>
      <c r="B2378" s="2" t="inlineStr">
        <is>
          <t>3600SC0001</t>
        </is>
      </c>
      <c r="C2378" s="2" t="inlineStr">
        <is>
          <t>Panel sistema Scada</t>
        </is>
      </c>
      <c r="D2378" s="2" t="n">
        <v>793</v>
      </c>
      <c r="E2378" s="2" t="inlineStr">
        <is>
          <t>CC-3000</t>
        </is>
      </c>
      <c r="F2378" s="2" t="inlineStr">
        <is>
          <t>P01</t>
        </is>
      </c>
      <c r="G2378" s="2" t="n">
        <v>610000</v>
      </c>
      <c r="H2378" s="2" t="inlineStr">
        <is>
          <t>Mano obra interna</t>
        </is>
      </c>
      <c r="I2378" s="9" t="n">
        <v>2379.35</v>
      </c>
      <c r="J2378" s="9" t="n">
        <v>2314.04</v>
      </c>
      <c r="K2378" s="9" t="n">
        <v>2233.61</v>
      </c>
      <c r="L2378" s="9" t="n">
        <v>2252.52</v>
      </c>
      <c r="M2378" s="9" t="n">
        <v>2274.31</v>
      </c>
      <c r="N2378" s="9" t="n">
        <v>1992.46</v>
      </c>
      <c r="O2378" s="9" t="n">
        <v>2308.45</v>
      </c>
      <c r="P2378" s="9" t="n">
        <v>2211.62</v>
      </c>
      <c r="Q2378" s="9" t="n">
        <v>2103.68</v>
      </c>
      <c r="R2378" s="9" t="n">
        <v>2194.13</v>
      </c>
      <c r="S2378" s="9" t="n">
        <v>2201.47</v>
      </c>
      <c r="T2378" s="9" t="n">
        <v>2146.57</v>
      </c>
      <c r="U2378" s="10">
        <f>SUM(I2378:T2378)</f>
        <v/>
      </c>
    </row>
    <row r="2379">
      <c r="A2379" s="2" t="inlineStr">
        <is>
          <t>SN-3000-3600-36ER-3600SC0001</t>
        </is>
      </c>
      <c r="B2379" s="2" t="inlineStr">
        <is>
          <t>3600SC0001</t>
        </is>
      </c>
      <c r="C2379" s="2" t="inlineStr">
        <is>
          <t>Panel sistema Scada</t>
        </is>
      </c>
      <c r="D2379" s="2" t="n">
        <v>793</v>
      </c>
      <c r="E2379" s="2" t="inlineStr">
        <is>
          <t>CC-3000</t>
        </is>
      </c>
      <c r="F2379" s="2" t="inlineStr">
        <is>
          <t>P01</t>
        </is>
      </c>
      <c r="G2379" s="2" t="n">
        <v>620000</v>
      </c>
      <c r="H2379" s="2" t="inlineStr">
        <is>
          <t>Materiales</t>
        </is>
      </c>
      <c r="I2379" s="9" t="n">
        <v>2317.91</v>
      </c>
      <c r="J2379" s="9" t="n">
        <v>2152.4</v>
      </c>
      <c r="K2379" s="9" t="n">
        <v>2508.44</v>
      </c>
      <c r="L2379" s="9" t="n">
        <v>2415.51</v>
      </c>
      <c r="M2379" s="9" t="n">
        <v>2418.17</v>
      </c>
      <c r="N2379" s="9" t="n">
        <v>2120.65</v>
      </c>
      <c r="O2379" s="9" t="n">
        <v>2322.44</v>
      </c>
      <c r="P2379" s="9" t="n">
        <v>2306.01</v>
      </c>
      <c r="Q2379" s="9" t="n">
        <v>2173.87</v>
      </c>
      <c r="R2379" s="9" t="n">
        <v>2264.45</v>
      </c>
      <c r="S2379" s="9" t="n">
        <v>2121.7</v>
      </c>
      <c r="T2379" s="9" t="n">
        <v>2451.62</v>
      </c>
      <c r="U2379" s="10">
        <f>SUM(I2379:T2379)</f>
        <v/>
      </c>
    </row>
    <row r="2380">
      <c r="A2380" s="2" t="inlineStr">
        <is>
          <t>SN-3000-3600-36ER-3600SC0001</t>
        </is>
      </c>
      <c r="B2380" s="2" t="inlineStr">
        <is>
          <t>3600SC0001</t>
        </is>
      </c>
      <c r="C2380" s="2" t="inlineStr">
        <is>
          <t>Panel sistema Scada</t>
        </is>
      </c>
      <c r="D2380" s="2" t="n">
        <v>793</v>
      </c>
      <c r="E2380" s="2" t="inlineStr">
        <is>
          <t>CC-3000</t>
        </is>
      </c>
      <c r="F2380" s="2" t="inlineStr">
        <is>
          <t>P01</t>
        </is>
      </c>
      <c r="G2380" s="2" t="n">
        <v>630000</v>
      </c>
      <c r="H2380" s="2" t="inlineStr">
        <is>
          <t>Servicios externos</t>
        </is>
      </c>
      <c r="I2380" s="9" t="n">
        <v>2202.96</v>
      </c>
      <c r="J2380" s="9" t="n">
        <v>1888.68</v>
      </c>
      <c r="K2380" s="9" t="n">
        <v>2238.46</v>
      </c>
      <c r="L2380" s="9" t="n">
        <v>2119.09</v>
      </c>
      <c r="M2380" s="9" t="n">
        <v>2077.02</v>
      </c>
      <c r="N2380" s="9" t="n">
        <v>1889.84</v>
      </c>
      <c r="O2380" s="9" t="n">
        <v>2141.7</v>
      </c>
      <c r="P2380" s="9" t="n">
        <v>2022.96</v>
      </c>
      <c r="Q2380" s="9" t="n">
        <v>1925.08</v>
      </c>
      <c r="R2380" s="9" t="n">
        <v>2026.95</v>
      </c>
      <c r="S2380" s="9" t="n">
        <v>1986.65</v>
      </c>
      <c r="T2380" s="9" t="n">
        <v>2163.4</v>
      </c>
      <c r="U2380" s="10">
        <f>SUM(I2380:T2380)</f>
        <v/>
      </c>
    </row>
    <row r="2381">
      <c r="A2381" s="2" t="inlineStr">
        <is>
          <t>SN-3000-3600-36ER-3600SG0011</t>
        </is>
      </c>
      <c r="B2381" s="2" t="inlineStr">
        <is>
          <t>3600SG0011</t>
        </is>
      </c>
      <c r="C2381" s="2" t="inlineStr">
        <is>
          <t>Switch gear 400 V, 3200 A, 65 kA</t>
        </is>
      </c>
      <c r="D2381" s="2" t="n">
        <v>794</v>
      </c>
      <c r="E2381" s="2" t="inlineStr">
        <is>
          <t>CC-3000</t>
        </is>
      </c>
      <c r="F2381" s="2" t="inlineStr">
        <is>
          <t>P01</t>
        </is>
      </c>
      <c r="G2381" s="2" t="n">
        <v>610000</v>
      </c>
      <c r="H2381" s="2" t="inlineStr">
        <is>
          <t>Mano obra interna</t>
        </is>
      </c>
      <c r="I2381" s="9" t="n">
        <v>1828.5</v>
      </c>
      <c r="J2381" s="9" t="n">
        <v>1570.36</v>
      </c>
      <c r="K2381" s="9" t="n">
        <v>1901.52</v>
      </c>
      <c r="L2381" s="9" t="n">
        <v>1899.84</v>
      </c>
      <c r="M2381" s="9" t="n">
        <v>1667.84</v>
      </c>
      <c r="N2381" s="9" t="n">
        <v>1546.01</v>
      </c>
      <c r="O2381" s="9" t="n">
        <v>1770.11</v>
      </c>
      <c r="P2381" s="9" t="n">
        <v>1594.53</v>
      </c>
      <c r="Q2381" s="9" t="n">
        <v>1601.76</v>
      </c>
      <c r="R2381" s="9" t="n">
        <v>1792.91</v>
      </c>
      <c r="S2381" s="9" t="n">
        <v>1663.3</v>
      </c>
      <c r="T2381" s="9" t="n">
        <v>1616.18</v>
      </c>
      <c r="U2381" s="10">
        <f>SUM(I2381:T2381)</f>
        <v/>
      </c>
    </row>
    <row r="2382">
      <c r="A2382" s="2" t="inlineStr">
        <is>
          <t>SN-3000-3600-36ER-3600SG0011</t>
        </is>
      </c>
      <c r="B2382" s="2" t="inlineStr">
        <is>
          <t>3600SG0011</t>
        </is>
      </c>
      <c r="C2382" s="2" t="inlineStr">
        <is>
          <t>Switch gear 400 V, 3200 A, 65 kA</t>
        </is>
      </c>
      <c r="D2382" s="2" t="n">
        <v>794</v>
      </c>
      <c r="E2382" s="2" t="inlineStr">
        <is>
          <t>CC-3000</t>
        </is>
      </c>
      <c r="F2382" s="2" t="inlineStr">
        <is>
          <t>P01</t>
        </is>
      </c>
      <c r="G2382" s="2" t="n">
        <v>620000</v>
      </c>
      <c r="H2382" s="2" t="inlineStr">
        <is>
          <t>Materiales</t>
        </is>
      </c>
      <c r="I2382" s="9" t="n">
        <v>1501.44</v>
      </c>
      <c r="J2382" s="9" t="n">
        <v>1600.03</v>
      </c>
      <c r="K2382" s="9" t="n">
        <v>1660.5</v>
      </c>
      <c r="L2382" s="9" t="n">
        <v>1559.82</v>
      </c>
      <c r="M2382" s="9" t="n">
        <v>1614.77</v>
      </c>
      <c r="N2382" s="9" t="n">
        <v>1617.9</v>
      </c>
      <c r="O2382" s="9" t="n">
        <v>1538.14</v>
      </c>
      <c r="P2382" s="9" t="n">
        <v>1677.67</v>
      </c>
      <c r="Q2382" s="9" t="n">
        <v>1522.63</v>
      </c>
      <c r="R2382" s="9" t="n">
        <v>1591.03</v>
      </c>
      <c r="S2382" s="9" t="n">
        <v>1512.5</v>
      </c>
      <c r="T2382" s="9" t="n">
        <v>1619.92</v>
      </c>
      <c r="U2382" s="10">
        <f>SUM(I2382:T2382)</f>
        <v/>
      </c>
    </row>
    <row r="2383">
      <c r="A2383" s="2" t="inlineStr">
        <is>
          <t>SN-3000-3600-36ER-3600SG0011</t>
        </is>
      </c>
      <c r="B2383" s="2" t="inlineStr">
        <is>
          <t>3600SG0011</t>
        </is>
      </c>
      <c r="C2383" s="2" t="inlineStr">
        <is>
          <t>Switch gear 400 V, 3200 A, 65 kA</t>
        </is>
      </c>
      <c r="D2383" s="2" t="n">
        <v>794</v>
      </c>
      <c r="E2383" s="2" t="inlineStr">
        <is>
          <t>CC-3000</t>
        </is>
      </c>
      <c r="F2383" s="2" t="inlineStr">
        <is>
          <t>P01</t>
        </is>
      </c>
      <c r="G2383" s="2" t="n">
        <v>630000</v>
      </c>
      <c r="H2383" s="2" t="inlineStr">
        <is>
          <t>Servicios externos</t>
        </is>
      </c>
      <c r="I2383" s="9" t="n">
        <v>1934.12</v>
      </c>
      <c r="J2383" s="9" t="n">
        <v>2080.93</v>
      </c>
      <c r="K2383" s="9" t="n">
        <v>2083.24</v>
      </c>
      <c r="L2383" s="9" t="n">
        <v>1963.87</v>
      </c>
      <c r="M2383" s="9" t="n">
        <v>1815.98</v>
      </c>
      <c r="N2383" s="9" t="n">
        <v>1779.66</v>
      </c>
      <c r="O2383" s="9" t="n">
        <v>1958.42</v>
      </c>
      <c r="P2383" s="9" t="n">
        <v>1958.3</v>
      </c>
      <c r="Q2383" s="9" t="n">
        <v>1904.06</v>
      </c>
      <c r="R2383" s="9" t="n">
        <v>2191.8</v>
      </c>
      <c r="S2383" s="9" t="n">
        <v>1808.03</v>
      </c>
      <c r="T2383" s="9" t="n">
        <v>2020.79</v>
      </c>
      <c r="U2383" s="10">
        <f>SUM(I2383:T2383)</f>
        <v/>
      </c>
    </row>
    <row r="2384">
      <c r="A2384" s="2" t="inlineStr">
        <is>
          <t>SN-3000-3600-36ER-3600TU0001</t>
        </is>
      </c>
      <c r="B2384" s="2" t="inlineStr">
        <is>
          <t>3600TU0001</t>
        </is>
      </c>
      <c r="C2384" s="2" t="inlineStr">
        <is>
          <t>Tablero distribución UPS</t>
        </is>
      </c>
      <c r="D2384" s="2" t="n">
        <v>795</v>
      </c>
      <c r="E2384" s="2" t="inlineStr">
        <is>
          <t>CC-3000</t>
        </is>
      </c>
      <c r="F2384" s="2" t="inlineStr">
        <is>
          <t>P01</t>
        </is>
      </c>
      <c r="G2384" s="2" t="n">
        <v>610000</v>
      </c>
      <c r="H2384" s="2" t="inlineStr">
        <is>
          <t>Mano obra interna</t>
        </is>
      </c>
      <c r="I2384" s="9" t="n">
        <v>665.03</v>
      </c>
      <c r="J2384" s="9" t="n">
        <v>679.73</v>
      </c>
      <c r="K2384" s="9" t="n">
        <v>672.17</v>
      </c>
      <c r="L2384" s="9" t="n">
        <v>713.14</v>
      </c>
      <c r="M2384" s="9" t="n">
        <v>705.28</v>
      </c>
      <c r="N2384" s="9" t="n">
        <v>643.97</v>
      </c>
      <c r="O2384" s="9" t="n">
        <v>624.87</v>
      </c>
      <c r="P2384" s="9" t="n">
        <v>648.97</v>
      </c>
      <c r="Q2384" s="9" t="n">
        <v>568.05</v>
      </c>
      <c r="R2384" s="9" t="n">
        <v>725.87</v>
      </c>
      <c r="S2384" s="9" t="n">
        <v>674.03</v>
      </c>
      <c r="T2384" s="9" t="n">
        <v>686</v>
      </c>
      <c r="U2384" s="10">
        <f>SUM(I2384:T2384)</f>
        <v/>
      </c>
    </row>
    <row r="2385">
      <c r="A2385" s="2" t="inlineStr">
        <is>
          <t>SN-3000-3600-36ER-3600TU0001</t>
        </is>
      </c>
      <c r="B2385" s="2" t="inlineStr">
        <is>
          <t>3600TU0001</t>
        </is>
      </c>
      <c r="C2385" s="2" t="inlineStr">
        <is>
          <t>Tablero distribución UPS</t>
        </is>
      </c>
      <c r="D2385" s="2" t="n">
        <v>795</v>
      </c>
      <c r="E2385" s="2" t="inlineStr">
        <is>
          <t>CC-3000</t>
        </is>
      </c>
      <c r="F2385" s="2" t="inlineStr">
        <is>
          <t>P01</t>
        </is>
      </c>
      <c r="G2385" s="2" t="n">
        <v>620000</v>
      </c>
      <c r="H2385" s="2" t="inlineStr">
        <is>
          <t>Materiales</t>
        </is>
      </c>
      <c r="I2385" s="9" t="n">
        <v>858.27</v>
      </c>
      <c r="J2385" s="9" t="n">
        <v>834.48</v>
      </c>
      <c r="K2385" s="9" t="n">
        <v>796.74</v>
      </c>
      <c r="L2385" s="9" t="n">
        <v>868.64</v>
      </c>
      <c r="M2385" s="9" t="n">
        <v>813.53</v>
      </c>
      <c r="N2385" s="9" t="n">
        <v>741.2</v>
      </c>
      <c r="O2385" s="9" t="n">
        <v>865.1900000000001</v>
      </c>
      <c r="P2385" s="9" t="n">
        <v>859.39</v>
      </c>
      <c r="Q2385" s="9" t="n">
        <v>755.6900000000001</v>
      </c>
      <c r="R2385" s="9" t="n">
        <v>912.6799999999999</v>
      </c>
      <c r="S2385" s="9" t="n">
        <v>746.99</v>
      </c>
      <c r="T2385" s="9" t="n">
        <v>803.23</v>
      </c>
      <c r="U2385" s="10">
        <f>SUM(I2385:T2385)</f>
        <v/>
      </c>
    </row>
    <row r="2386">
      <c r="A2386" s="2" t="inlineStr">
        <is>
          <t>SN-3000-3600-36ER-3600TU0001</t>
        </is>
      </c>
      <c r="B2386" s="2" t="inlineStr">
        <is>
          <t>3600TU0001</t>
        </is>
      </c>
      <c r="C2386" s="2" t="inlineStr">
        <is>
          <t>Tablero distribución UPS</t>
        </is>
      </c>
      <c r="D2386" s="2" t="n">
        <v>795</v>
      </c>
      <c r="E2386" s="2" t="inlineStr">
        <is>
          <t>CC-3000</t>
        </is>
      </c>
      <c r="F2386" s="2" t="inlineStr">
        <is>
          <t>P01</t>
        </is>
      </c>
      <c r="G2386" s="2" t="n">
        <v>630000</v>
      </c>
      <c r="H2386" s="2" t="inlineStr">
        <is>
          <t>Servicios externos</t>
        </is>
      </c>
      <c r="I2386" s="9" t="n">
        <v>720.9400000000001</v>
      </c>
      <c r="J2386" s="9" t="n">
        <v>692.85</v>
      </c>
      <c r="K2386" s="9" t="n">
        <v>692.85</v>
      </c>
      <c r="L2386" s="9" t="n">
        <v>739.36</v>
      </c>
      <c r="M2386" s="9" t="n">
        <v>654.0599999999999</v>
      </c>
      <c r="N2386" s="9" t="n">
        <v>625.8200000000001</v>
      </c>
      <c r="O2386" s="9" t="n">
        <v>691.3</v>
      </c>
      <c r="P2386" s="9" t="n">
        <v>693.27</v>
      </c>
      <c r="Q2386" s="9" t="n">
        <v>636.39</v>
      </c>
      <c r="R2386" s="9" t="n">
        <v>729.76</v>
      </c>
      <c r="S2386" s="9" t="n">
        <v>663.89</v>
      </c>
      <c r="T2386" s="9" t="n">
        <v>675.92</v>
      </c>
      <c r="U2386" s="10">
        <f>SUM(I2386:T2386)</f>
        <v/>
      </c>
    </row>
    <row r="2387">
      <c r="A2387" s="2" t="inlineStr">
        <is>
          <t>SN-3000-3600-36ER-3600UP0001</t>
        </is>
      </c>
      <c r="B2387" s="2" t="inlineStr">
        <is>
          <t>3600UP0001</t>
        </is>
      </c>
      <c r="C2387" s="2" t="inlineStr">
        <is>
          <t>UPS</t>
        </is>
      </c>
      <c r="D2387" s="2" t="n">
        <v>796</v>
      </c>
      <c r="E2387" s="2" t="inlineStr">
        <is>
          <t>CC-3000</t>
        </is>
      </c>
      <c r="F2387" s="2" t="inlineStr">
        <is>
          <t>P01</t>
        </is>
      </c>
      <c r="G2387" s="2" t="n">
        <v>610000</v>
      </c>
      <c r="H2387" s="2" t="inlineStr">
        <is>
          <t>Mano obra interna</t>
        </is>
      </c>
      <c r="I2387" s="9" t="n">
        <v>1103.96</v>
      </c>
      <c r="J2387" s="9" t="n">
        <v>956.1900000000001</v>
      </c>
      <c r="K2387" s="9" t="n">
        <v>1078.73</v>
      </c>
      <c r="L2387" s="9" t="n">
        <v>978.5599999999999</v>
      </c>
      <c r="M2387" s="9" t="n">
        <v>981.67</v>
      </c>
      <c r="N2387" s="9" t="n">
        <v>943.27</v>
      </c>
      <c r="O2387" s="9" t="n">
        <v>1087.18</v>
      </c>
      <c r="P2387" s="9" t="n">
        <v>1003.22</v>
      </c>
      <c r="Q2387" s="9" t="n">
        <v>974.28</v>
      </c>
      <c r="R2387" s="9" t="n">
        <v>1113.28</v>
      </c>
      <c r="S2387" s="9" t="n">
        <v>926.76</v>
      </c>
      <c r="T2387" s="9" t="n">
        <v>1103.24</v>
      </c>
      <c r="U2387" s="10">
        <f>SUM(I2387:T2387)</f>
        <v/>
      </c>
    </row>
    <row r="2388">
      <c r="A2388" s="2" t="inlineStr">
        <is>
          <t>SN-3000-3600-36ER-3600UP0001</t>
        </is>
      </c>
      <c r="B2388" s="2" t="inlineStr">
        <is>
          <t>3600UP0001</t>
        </is>
      </c>
      <c r="C2388" s="2" t="inlineStr">
        <is>
          <t>UPS</t>
        </is>
      </c>
      <c r="D2388" s="2" t="n">
        <v>796</v>
      </c>
      <c r="E2388" s="2" t="inlineStr">
        <is>
          <t>CC-3000</t>
        </is>
      </c>
      <c r="F2388" s="2" t="inlineStr">
        <is>
          <t>P01</t>
        </is>
      </c>
      <c r="G2388" s="2" t="n">
        <v>620000</v>
      </c>
      <c r="H2388" s="2" t="inlineStr">
        <is>
          <t>Materiales</t>
        </is>
      </c>
      <c r="I2388" s="9" t="n">
        <v>935.99</v>
      </c>
      <c r="J2388" s="9" t="n">
        <v>942.83</v>
      </c>
      <c r="K2388" s="9" t="n">
        <v>993.37</v>
      </c>
      <c r="L2388" s="9" t="n">
        <v>944.85</v>
      </c>
      <c r="M2388" s="9" t="n">
        <v>997.46</v>
      </c>
      <c r="N2388" s="9" t="n">
        <v>922.28</v>
      </c>
      <c r="O2388" s="9" t="n">
        <v>1009.79</v>
      </c>
      <c r="P2388" s="9" t="n">
        <v>910.1799999999999</v>
      </c>
      <c r="Q2388" s="9" t="n">
        <v>991.55</v>
      </c>
      <c r="R2388" s="9" t="n">
        <v>1010.24</v>
      </c>
      <c r="S2388" s="9" t="n">
        <v>981.73</v>
      </c>
      <c r="T2388" s="9" t="n">
        <v>1038.24</v>
      </c>
      <c r="U2388" s="10">
        <f>SUM(I2388:T2388)</f>
        <v/>
      </c>
    </row>
    <row r="2389">
      <c r="A2389" s="2" t="inlineStr">
        <is>
          <t>SN-3000-3600-36ER-3600UP0001</t>
        </is>
      </c>
      <c r="B2389" s="2" t="inlineStr">
        <is>
          <t>3600UP0001</t>
        </is>
      </c>
      <c r="C2389" s="2" t="inlineStr">
        <is>
          <t>UPS</t>
        </is>
      </c>
      <c r="D2389" s="2" t="n">
        <v>796</v>
      </c>
      <c r="E2389" s="2" t="inlineStr">
        <is>
          <t>CC-3000</t>
        </is>
      </c>
      <c r="F2389" s="2" t="inlineStr">
        <is>
          <t>P01</t>
        </is>
      </c>
      <c r="G2389" s="2" t="n">
        <v>630000</v>
      </c>
      <c r="H2389" s="2" t="inlineStr">
        <is>
          <t>Servicios externos</t>
        </is>
      </c>
      <c r="I2389" s="9" t="n">
        <v>908.12</v>
      </c>
      <c r="J2389" s="9" t="n">
        <v>882.21</v>
      </c>
      <c r="K2389" s="9" t="n">
        <v>938.87</v>
      </c>
      <c r="L2389" s="9" t="n">
        <v>917.95</v>
      </c>
      <c r="M2389" s="9" t="n">
        <v>964.8200000000001</v>
      </c>
      <c r="N2389" s="9" t="n">
        <v>895.34</v>
      </c>
      <c r="O2389" s="9" t="n">
        <v>954.67</v>
      </c>
      <c r="P2389" s="9" t="n">
        <v>879.15</v>
      </c>
      <c r="Q2389" s="9" t="n">
        <v>933.97</v>
      </c>
      <c r="R2389" s="9" t="n">
        <v>968.97</v>
      </c>
      <c r="S2389" s="9" t="n">
        <v>897.66</v>
      </c>
      <c r="T2389" s="9" t="n">
        <v>896.65</v>
      </c>
      <c r="U2389" s="10">
        <f>SUM(I2389:T2389)</f>
        <v/>
      </c>
    </row>
    <row r="2390">
      <c r="A2390" s="2" t="inlineStr">
        <is>
          <t>SN-3000-3600-36ER-3600ZM0001</t>
        </is>
      </c>
      <c r="B2390" s="2" t="inlineStr">
        <is>
          <t>3600ZM0001</t>
        </is>
      </c>
      <c r="C2390" s="2" t="inlineStr">
        <is>
          <t>Unidad presurización</t>
        </is>
      </c>
      <c r="D2390" s="2" t="n">
        <v>797</v>
      </c>
      <c r="E2390" s="2" t="inlineStr">
        <is>
          <t>CC-3000</t>
        </is>
      </c>
      <c r="F2390" s="2" t="inlineStr">
        <is>
          <t>P01</t>
        </is>
      </c>
      <c r="G2390" s="2" t="n">
        <v>610000</v>
      </c>
      <c r="H2390" s="2" t="inlineStr">
        <is>
          <t>Mano obra interna</t>
        </is>
      </c>
      <c r="I2390" s="9" t="n">
        <v>424.59</v>
      </c>
      <c r="J2390" s="9" t="n">
        <v>411.33</v>
      </c>
      <c r="K2390" s="9" t="n">
        <v>429.83</v>
      </c>
      <c r="L2390" s="9" t="n">
        <v>417.56</v>
      </c>
      <c r="M2390" s="9" t="n">
        <v>430.01</v>
      </c>
      <c r="N2390" s="9" t="n">
        <v>387.82</v>
      </c>
      <c r="O2390" s="9" t="n">
        <v>402.07</v>
      </c>
      <c r="P2390" s="9" t="n">
        <v>388.51</v>
      </c>
      <c r="Q2390" s="9" t="n">
        <v>352.96</v>
      </c>
      <c r="R2390" s="9" t="n">
        <v>440.31</v>
      </c>
      <c r="S2390" s="9" t="n">
        <v>380.61</v>
      </c>
      <c r="T2390" s="9" t="n">
        <v>412.77</v>
      </c>
      <c r="U2390" s="10">
        <f>SUM(I2390:T2390)</f>
        <v/>
      </c>
    </row>
    <row r="2391">
      <c r="A2391" s="2" t="inlineStr">
        <is>
          <t>SN-3000-3600-36ER-3600ZM0001</t>
        </is>
      </c>
      <c r="B2391" s="2" t="inlineStr">
        <is>
          <t>3600ZM0001</t>
        </is>
      </c>
      <c r="C2391" s="2" t="inlineStr">
        <is>
          <t>Unidad presurización</t>
        </is>
      </c>
      <c r="D2391" s="2" t="n">
        <v>797</v>
      </c>
      <c r="E2391" s="2" t="inlineStr">
        <is>
          <t>CC-3000</t>
        </is>
      </c>
      <c r="F2391" s="2" t="inlineStr">
        <is>
          <t>P01</t>
        </is>
      </c>
      <c r="G2391" s="2" t="n">
        <v>620000</v>
      </c>
      <c r="H2391" s="2" t="inlineStr">
        <is>
          <t>Materiales</t>
        </is>
      </c>
      <c r="I2391" s="9" t="n">
        <v>421.84</v>
      </c>
      <c r="J2391" s="9" t="n">
        <v>416.94</v>
      </c>
      <c r="K2391" s="9" t="n">
        <v>392.92</v>
      </c>
      <c r="L2391" s="9" t="n">
        <v>422.6</v>
      </c>
      <c r="M2391" s="9" t="n">
        <v>411.11</v>
      </c>
      <c r="N2391" s="9" t="n">
        <v>404.54</v>
      </c>
      <c r="O2391" s="9" t="n">
        <v>382.32</v>
      </c>
      <c r="P2391" s="9" t="n">
        <v>407.77</v>
      </c>
      <c r="Q2391" s="9" t="n">
        <v>349.08</v>
      </c>
      <c r="R2391" s="9" t="n">
        <v>431.2</v>
      </c>
      <c r="S2391" s="9" t="n">
        <v>391.93</v>
      </c>
      <c r="T2391" s="9" t="n">
        <v>413.18</v>
      </c>
      <c r="U2391" s="10">
        <f>SUM(I2391:T2391)</f>
        <v/>
      </c>
    </row>
    <row r="2392">
      <c r="A2392" s="2" t="inlineStr">
        <is>
          <t>SN-3000-3600-36ER-3600ZM0001</t>
        </is>
      </c>
      <c r="B2392" s="2" t="inlineStr">
        <is>
          <t>3600ZM0001</t>
        </is>
      </c>
      <c r="C2392" s="2" t="inlineStr">
        <is>
          <t>Unidad presurización</t>
        </is>
      </c>
      <c r="D2392" s="2" t="n">
        <v>797</v>
      </c>
      <c r="E2392" s="2" t="inlineStr">
        <is>
          <t>CC-3000</t>
        </is>
      </c>
      <c r="F2392" s="2" t="inlineStr">
        <is>
          <t>P01</t>
        </is>
      </c>
      <c r="G2392" s="2" t="n">
        <v>630000</v>
      </c>
      <c r="H2392" s="2" t="inlineStr">
        <is>
          <t>Servicios externos</t>
        </is>
      </c>
      <c r="I2392" s="9" t="n">
        <v>439.64</v>
      </c>
      <c r="J2392" s="9" t="n">
        <v>396.64</v>
      </c>
      <c r="K2392" s="9" t="n">
        <v>401.71</v>
      </c>
      <c r="L2392" s="9" t="n">
        <v>419.73</v>
      </c>
      <c r="M2392" s="9" t="n">
        <v>427.15</v>
      </c>
      <c r="N2392" s="9" t="n">
        <v>419.12</v>
      </c>
      <c r="O2392" s="9" t="n">
        <v>424.29</v>
      </c>
      <c r="P2392" s="9" t="n">
        <v>375.35</v>
      </c>
      <c r="Q2392" s="9" t="n">
        <v>357.51</v>
      </c>
      <c r="R2392" s="9" t="n">
        <v>410.07</v>
      </c>
      <c r="S2392" s="9" t="n">
        <v>369.68</v>
      </c>
      <c r="T2392" s="9" t="n">
        <v>406.21</v>
      </c>
      <c r="U2392" s="10">
        <f>SUM(I2392:T2392)</f>
        <v/>
      </c>
    </row>
    <row r="2393">
      <c r="A2393" s="2" t="inlineStr">
        <is>
          <t>SN-3000-3600-36ER-3600ZM0002</t>
        </is>
      </c>
      <c r="B2393" s="2" t="inlineStr">
        <is>
          <t>3600ZM0002</t>
        </is>
      </c>
      <c r="C2393" s="2" t="inlineStr">
        <is>
          <t>Unidad presurización</t>
        </is>
      </c>
      <c r="D2393" s="2" t="n">
        <v>798</v>
      </c>
      <c r="E2393" s="2" t="inlineStr">
        <is>
          <t>CC-3000</t>
        </is>
      </c>
      <c r="F2393" s="2" t="inlineStr">
        <is>
          <t>P01</t>
        </is>
      </c>
      <c r="G2393" s="2" t="n">
        <v>610000</v>
      </c>
      <c r="H2393" s="2" t="inlineStr">
        <is>
          <t>Mano obra interna</t>
        </is>
      </c>
      <c r="I2393" s="9" t="n">
        <v>2305.45</v>
      </c>
      <c r="J2393" s="9" t="n">
        <v>2515.7</v>
      </c>
      <c r="K2393" s="9" t="n">
        <v>2529.19</v>
      </c>
      <c r="L2393" s="9" t="n">
        <v>2576.92</v>
      </c>
      <c r="M2393" s="9" t="n">
        <v>2333.3</v>
      </c>
      <c r="N2393" s="9" t="n">
        <v>2268.35</v>
      </c>
      <c r="O2393" s="9" t="n">
        <v>2337.97</v>
      </c>
      <c r="P2393" s="9" t="n">
        <v>2381.66</v>
      </c>
      <c r="Q2393" s="9" t="n">
        <v>2280.34</v>
      </c>
      <c r="R2393" s="9" t="n">
        <v>2593.03</v>
      </c>
      <c r="S2393" s="9" t="n">
        <v>2456.27</v>
      </c>
      <c r="T2393" s="9" t="n">
        <v>2599.3</v>
      </c>
      <c r="U2393" s="10">
        <f>SUM(I2393:T2393)</f>
        <v/>
      </c>
    </row>
    <row r="2394">
      <c r="A2394" s="2" t="inlineStr">
        <is>
          <t>SN-3000-3600-36ER-3600ZM0002</t>
        </is>
      </c>
      <c r="B2394" s="2" t="inlineStr">
        <is>
          <t>3600ZM0002</t>
        </is>
      </c>
      <c r="C2394" s="2" t="inlineStr">
        <is>
          <t>Unidad presurización</t>
        </is>
      </c>
      <c r="D2394" s="2" t="n">
        <v>798</v>
      </c>
      <c r="E2394" s="2" t="inlineStr">
        <is>
          <t>CC-3000</t>
        </is>
      </c>
      <c r="F2394" s="2" t="inlineStr">
        <is>
          <t>P01</t>
        </is>
      </c>
      <c r="G2394" s="2" t="n">
        <v>620000</v>
      </c>
      <c r="H2394" s="2" t="inlineStr">
        <is>
          <t>Materiales</t>
        </is>
      </c>
      <c r="I2394" s="9" t="n">
        <v>2429.82</v>
      </c>
      <c r="J2394" s="9" t="n">
        <v>2620.25</v>
      </c>
      <c r="K2394" s="9" t="n">
        <v>2658.57</v>
      </c>
      <c r="L2394" s="9" t="n">
        <v>2595.29</v>
      </c>
      <c r="M2394" s="9" t="n">
        <v>2554.45</v>
      </c>
      <c r="N2394" s="9" t="n">
        <v>2213.42</v>
      </c>
      <c r="O2394" s="9" t="n">
        <v>2312.86</v>
      </c>
      <c r="P2394" s="9" t="n">
        <v>2344.03</v>
      </c>
      <c r="Q2394" s="9" t="n">
        <v>2181.54</v>
      </c>
      <c r="R2394" s="9" t="n">
        <v>2644.41</v>
      </c>
      <c r="S2394" s="9" t="n">
        <v>2272.52</v>
      </c>
      <c r="T2394" s="9" t="n">
        <v>2663.48</v>
      </c>
      <c r="U2394" s="10">
        <f>SUM(I2394:T2394)</f>
        <v/>
      </c>
    </row>
    <row r="2395">
      <c r="A2395" s="2" t="inlineStr">
        <is>
          <t>SN-3000-3600-36ER-3600ZM0002</t>
        </is>
      </c>
      <c r="B2395" s="2" t="inlineStr">
        <is>
          <t>3600ZM0002</t>
        </is>
      </c>
      <c r="C2395" s="2" t="inlineStr">
        <is>
          <t>Unidad presurización</t>
        </is>
      </c>
      <c r="D2395" s="2" t="n">
        <v>798</v>
      </c>
      <c r="E2395" s="2" t="inlineStr">
        <is>
          <t>CC-3000</t>
        </is>
      </c>
      <c r="F2395" s="2" t="inlineStr">
        <is>
          <t>P01</t>
        </is>
      </c>
      <c r="G2395" s="2" t="n">
        <v>630000</v>
      </c>
      <c r="H2395" s="2" t="inlineStr">
        <is>
          <t>Servicios externos</t>
        </is>
      </c>
      <c r="I2395" s="9" t="n">
        <v>2566.95</v>
      </c>
      <c r="J2395" s="9" t="n">
        <v>2355.58</v>
      </c>
      <c r="K2395" s="9" t="n">
        <v>2688.55</v>
      </c>
      <c r="L2395" s="9" t="n">
        <v>2464.23</v>
      </c>
      <c r="M2395" s="9" t="n">
        <v>2641.04</v>
      </c>
      <c r="N2395" s="9" t="n">
        <v>2574.8</v>
      </c>
      <c r="O2395" s="9" t="n">
        <v>2587.92</v>
      </c>
      <c r="P2395" s="9" t="n">
        <v>2422.86</v>
      </c>
      <c r="Q2395" s="9" t="n">
        <v>2500.87</v>
      </c>
      <c r="R2395" s="9" t="n">
        <v>2684.95</v>
      </c>
      <c r="S2395" s="9" t="n">
        <v>2376.3</v>
      </c>
      <c r="T2395" s="9" t="n">
        <v>2594.54</v>
      </c>
      <c r="U2395" s="10">
        <f>SUM(I2395:T2395)</f>
        <v/>
      </c>
    </row>
    <row r="2396">
      <c r="A2396" s="2" t="inlineStr">
        <is>
          <t>SN-3000-3600-36ER-3630VF0005</t>
        </is>
      </c>
      <c r="B2396" s="2" t="inlineStr">
        <is>
          <t>3630VF0005</t>
        </is>
      </c>
      <c r="C2396" s="2" t="inlineStr">
        <is>
          <t>Variador frecuencia 3630CP0005M1VF</t>
        </is>
      </c>
      <c r="D2396" s="2" t="n">
        <v>799</v>
      </c>
      <c r="E2396" s="2" t="inlineStr">
        <is>
          <t>CC-3000</t>
        </is>
      </c>
      <c r="F2396" s="2" t="inlineStr">
        <is>
          <t>P01</t>
        </is>
      </c>
      <c r="G2396" s="2" t="n">
        <v>610000</v>
      </c>
      <c r="H2396" s="2" t="inlineStr">
        <is>
          <t>Mano obra interna</t>
        </is>
      </c>
      <c r="I2396" s="9" t="n">
        <v>181.41</v>
      </c>
      <c r="J2396" s="9" t="n">
        <v>192.62</v>
      </c>
      <c r="K2396" s="9" t="n">
        <v>175.94</v>
      </c>
      <c r="L2396" s="9" t="n">
        <v>175.2</v>
      </c>
      <c r="M2396" s="9" t="n">
        <v>187.54</v>
      </c>
      <c r="N2396" s="9" t="n">
        <v>166.9</v>
      </c>
      <c r="O2396" s="9" t="n">
        <v>178.35</v>
      </c>
      <c r="P2396" s="9" t="n">
        <v>172.85</v>
      </c>
      <c r="Q2396" s="9" t="n">
        <v>166.38</v>
      </c>
      <c r="R2396" s="9" t="n">
        <v>191.11</v>
      </c>
      <c r="S2396" s="9" t="n">
        <v>184.52</v>
      </c>
      <c r="T2396" s="9" t="n">
        <v>192.41</v>
      </c>
      <c r="U2396" s="10">
        <f>SUM(I2396:T2396)</f>
        <v/>
      </c>
    </row>
    <row r="2397">
      <c r="A2397" s="2" t="inlineStr">
        <is>
          <t>SN-3000-3600-36ER-3630VF0005</t>
        </is>
      </c>
      <c r="B2397" s="2" t="inlineStr">
        <is>
          <t>3630VF0005</t>
        </is>
      </c>
      <c r="C2397" s="2" t="inlineStr">
        <is>
          <t>Variador frecuencia 3630CP0005M1VF</t>
        </is>
      </c>
      <c r="D2397" s="2" t="n">
        <v>799</v>
      </c>
      <c r="E2397" s="2" t="inlineStr">
        <is>
          <t>CC-3000</t>
        </is>
      </c>
      <c r="F2397" s="2" t="inlineStr">
        <is>
          <t>P01</t>
        </is>
      </c>
      <c r="G2397" s="2" t="n">
        <v>620000</v>
      </c>
      <c r="H2397" s="2" t="inlineStr">
        <is>
          <t>Materiales</t>
        </is>
      </c>
      <c r="I2397" s="9" t="n">
        <v>184.14</v>
      </c>
      <c r="J2397" s="9" t="n">
        <v>176.84</v>
      </c>
      <c r="K2397" s="9" t="n">
        <v>185.22</v>
      </c>
      <c r="L2397" s="9" t="n">
        <v>188.87</v>
      </c>
      <c r="M2397" s="9" t="n">
        <v>166.71</v>
      </c>
      <c r="N2397" s="9" t="n">
        <v>161.15</v>
      </c>
      <c r="O2397" s="9" t="n">
        <v>180.93</v>
      </c>
      <c r="P2397" s="9" t="n">
        <v>166.45</v>
      </c>
      <c r="Q2397" s="9" t="n">
        <v>172.78</v>
      </c>
      <c r="R2397" s="9" t="n">
        <v>188.83</v>
      </c>
      <c r="S2397" s="9" t="n">
        <v>163.18</v>
      </c>
      <c r="T2397" s="9" t="n">
        <v>184.52</v>
      </c>
      <c r="U2397" s="10">
        <f>SUM(I2397:T2397)</f>
        <v/>
      </c>
    </row>
    <row r="2398">
      <c r="A2398" s="2" t="inlineStr">
        <is>
          <t>SN-3000-3600-36ER-3630VF0005</t>
        </is>
      </c>
      <c r="B2398" s="2" t="inlineStr">
        <is>
          <t>3630VF0005</t>
        </is>
      </c>
      <c r="C2398" s="2" t="inlineStr">
        <is>
          <t>Variador frecuencia 3630CP0005M1VF</t>
        </is>
      </c>
      <c r="D2398" s="2" t="n">
        <v>799</v>
      </c>
      <c r="E2398" s="2" t="inlineStr">
        <is>
          <t>CC-3000</t>
        </is>
      </c>
      <c r="F2398" s="2" t="inlineStr">
        <is>
          <t>P01</t>
        </is>
      </c>
      <c r="G2398" s="2" t="n">
        <v>630000</v>
      </c>
      <c r="H2398" s="2" t="inlineStr">
        <is>
          <t>Servicios externos</t>
        </is>
      </c>
      <c r="I2398" s="9" t="n">
        <v>160.63</v>
      </c>
      <c r="J2398" s="9" t="n">
        <v>155.42</v>
      </c>
      <c r="K2398" s="9" t="n">
        <v>155.16</v>
      </c>
      <c r="L2398" s="9" t="n">
        <v>140.46</v>
      </c>
      <c r="M2398" s="9" t="n">
        <v>139.48</v>
      </c>
      <c r="N2398" s="9" t="n">
        <v>140.4</v>
      </c>
      <c r="O2398" s="9" t="n">
        <v>154.79</v>
      </c>
      <c r="P2398" s="9" t="n">
        <v>139</v>
      </c>
      <c r="Q2398" s="9" t="n">
        <v>127.73</v>
      </c>
      <c r="R2398" s="9" t="n">
        <v>147.22</v>
      </c>
      <c r="S2398" s="9" t="n">
        <v>141.97</v>
      </c>
      <c r="T2398" s="9" t="n">
        <v>157.81</v>
      </c>
      <c r="U2398" s="10">
        <f>SUM(I2398:T2398)</f>
        <v/>
      </c>
    </row>
    <row r="2399">
      <c r="A2399" s="2" t="inlineStr">
        <is>
          <t>SN-3000-3600-36ER-3630VF0006</t>
        </is>
      </c>
      <c r="B2399" s="2" t="inlineStr">
        <is>
          <t>3630VF0006</t>
        </is>
      </c>
      <c r="C2399" s="2" t="inlineStr">
        <is>
          <t>Variador frecuencia 3630CP0006M1VF</t>
        </is>
      </c>
      <c r="D2399" s="2" t="n">
        <v>800</v>
      </c>
      <c r="E2399" s="2" t="inlineStr">
        <is>
          <t>CC-3000</t>
        </is>
      </c>
      <c r="F2399" s="2" t="inlineStr">
        <is>
          <t>P01</t>
        </is>
      </c>
      <c r="G2399" s="2" t="n">
        <v>610000</v>
      </c>
      <c r="H2399" s="2" t="inlineStr">
        <is>
          <t>Mano obra interna</t>
        </is>
      </c>
      <c r="I2399" s="9" t="n">
        <v>265.23</v>
      </c>
      <c r="J2399" s="9" t="n">
        <v>276.52</v>
      </c>
      <c r="K2399" s="9" t="n">
        <v>295.62</v>
      </c>
      <c r="L2399" s="9" t="n">
        <v>292.05</v>
      </c>
      <c r="M2399" s="9" t="n">
        <v>281.83</v>
      </c>
      <c r="N2399" s="9" t="n">
        <v>244.96</v>
      </c>
      <c r="O2399" s="9" t="n">
        <v>267.99</v>
      </c>
      <c r="P2399" s="9" t="n">
        <v>293.26</v>
      </c>
      <c r="Q2399" s="9" t="n">
        <v>273.36</v>
      </c>
      <c r="R2399" s="9" t="n">
        <v>298.52</v>
      </c>
      <c r="S2399" s="9" t="n">
        <v>272.48</v>
      </c>
      <c r="T2399" s="9" t="n">
        <v>296.35</v>
      </c>
      <c r="U2399" s="10">
        <f>SUM(I2399:T2399)</f>
        <v/>
      </c>
    </row>
    <row r="2400">
      <c r="A2400" s="2" t="inlineStr">
        <is>
          <t>SN-3000-3600-36ER-3630VF0006</t>
        </is>
      </c>
      <c r="B2400" s="2" t="inlineStr">
        <is>
          <t>3630VF0006</t>
        </is>
      </c>
      <c r="C2400" s="2" t="inlineStr">
        <is>
          <t>Variador frecuencia 3630CP0006M1VF</t>
        </is>
      </c>
      <c r="D2400" s="2" t="n">
        <v>800</v>
      </c>
      <c r="E2400" s="2" t="inlineStr">
        <is>
          <t>CC-3000</t>
        </is>
      </c>
      <c r="F2400" s="2" t="inlineStr">
        <is>
          <t>P01</t>
        </is>
      </c>
      <c r="G2400" s="2" t="n">
        <v>620000</v>
      </c>
      <c r="H2400" s="2" t="inlineStr">
        <is>
          <t>Materiales</t>
        </is>
      </c>
      <c r="I2400" s="9" t="n">
        <v>296.69</v>
      </c>
      <c r="J2400" s="9" t="n">
        <v>312.1</v>
      </c>
      <c r="K2400" s="9" t="n">
        <v>341.76</v>
      </c>
      <c r="L2400" s="9" t="n">
        <v>325.32</v>
      </c>
      <c r="M2400" s="9" t="n">
        <v>320.19</v>
      </c>
      <c r="N2400" s="9" t="n">
        <v>291.36</v>
      </c>
      <c r="O2400" s="9" t="n">
        <v>288.77</v>
      </c>
      <c r="P2400" s="9" t="n">
        <v>292</v>
      </c>
      <c r="Q2400" s="9" t="n">
        <v>309.42</v>
      </c>
      <c r="R2400" s="9" t="n">
        <v>332.4</v>
      </c>
      <c r="S2400" s="9" t="n">
        <v>275.39</v>
      </c>
      <c r="T2400" s="9" t="n">
        <v>335.96</v>
      </c>
      <c r="U2400" s="10">
        <f>SUM(I2400:T2400)</f>
        <v/>
      </c>
    </row>
    <row r="2401">
      <c r="A2401" s="2" t="inlineStr">
        <is>
          <t>SN-3000-3600-36ER-3630VF0006</t>
        </is>
      </c>
      <c r="B2401" s="2" t="inlineStr">
        <is>
          <t>3630VF0006</t>
        </is>
      </c>
      <c r="C2401" s="2" t="inlineStr">
        <is>
          <t>Variador frecuencia 3630CP0006M1VF</t>
        </is>
      </c>
      <c r="D2401" s="2" t="n">
        <v>800</v>
      </c>
      <c r="E2401" s="2" t="inlineStr">
        <is>
          <t>CC-3000</t>
        </is>
      </c>
      <c r="F2401" s="2" t="inlineStr">
        <is>
          <t>P01</t>
        </is>
      </c>
      <c r="G2401" s="2" t="n">
        <v>630000</v>
      </c>
      <c r="H2401" s="2" t="inlineStr">
        <is>
          <t>Servicios externos</t>
        </is>
      </c>
      <c r="I2401" s="9" t="n">
        <v>336.86</v>
      </c>
      <c r="J2401" s="9" t="n">
        <v>310.78</v>
      </c>
      <c r="K2401" s="9" t="n">
        <v>302.45</v>
      </c>
      <c r="L2401" s="9" t="n">
        <v>325.95</v>
      </c>
      <c r="M2401" s="9" t="n">
        <v>334.56</v>
      </c>
      <c r="N2401" s="9" t="n">
        <v>277.09</v>
      </c>
      <c r="O2401" s="9" t="n">
        <v>330.41</v>
      </c>
      <c r="P2401" s="9" t="n">
        <v>299.66</v>
      </c>
      <c r="Q2401" s="9" t="n">
        <v>286.54</v>
      </c>
      <c r="R2401" s="9" t="n">
        <v>330.81</v>
      </c>
      <c r="S2401" s="9" t="n">
        <v>322.47</v>
      </c>
      <c r="T2401" s="9" t="n">
        <v>318.01</v>
      </c>
      <c r="U2401" s="10">
        <f>SUM(I2401:T2401)</f>
        <v/>
      </c>
    </row>
    <row r="2402">
      <c r="A2402" s="2" t="inlineStr">
        <is>
          <t>SN-3000-3600-36ER-3630VF0007</t>
        </is>
      </c>
      <c r="B2402" s="2" t="inlineStr">
        <is>
          <t>3630VF0007</t>
        </is>
      </c>
      <c r="C2402" s="2" t="inlineStr">
        <is>
          <t>Variador frecuencia 3630CP0007M1VF</t>
        </is>
      </c>
      <c r="D2402" s="2" t="n">
        <v>801</v>
      </c>
      <c r="E2402" s="2" t="inlineStr">
        <is>
          <t>CC-3000</t>
        </is>
      </c>
      <c r="F2402" s="2" t="inlineStr">
        <is>
          <t>P01</t>
        </is>
      </c>
      <c r="G2402" s="2" t="n">
        <v>610000</v>
      </c>
      <c r="H2402" s="2" t="inlineStr">
        <is>
          <t>Mano obra interna</t>
        </is>
      </c>
      <c r="I2402" s="9" t="n">
        <v>1861.6</v>
      </c>
      <c r="J2402" s="9" t="n">
        <v>1585.67</v>
      </c>
      <c r="K2402" s="9" t="n">
        <v>1671.75</v>
      </c>
      <c r="L2402" s="9" t="n">
        <v>1637.82</v>
      </c>
      <c r="M2402" s="9" t="n">
        <v>1768.99</v>
      </c>
      <c r="N2402" s="9" t="n">
        <v>1665.86</v>
      </c>
      <c r="O2402" s="9" t="n">
        <v>1840.52</v>
      </c>
      <c r="P2402" s="9" t="n">
        <v>1733.59</v>
      </c>
      <c r="Q2402" s="9" t="n">
        <v>1543.44</v>
      </c>
      <c r="R2402" s="9" t="n">
        <v>1962.75</v>
      </c>
      <c r="S2402" s="9" t="n">
        <v>1624.59</v>
      </c>
      <c r="T2402" s="9" t="n">
        <v>1883.82</v>
      </c>
      <c r="U2402" s="10">
        <f>SUM(I2402:T2402)</f>
        <v/>
      </c>
    </row>
    <row r="2403">
      <c r="A2403" s="2" t="inlineStr">
        <is>
          <t>SN-3000-3600-36ER-3630VF0007</t>
        </is>
      </c>
      <c r="B2403" s="2" t="inlineStr">
        <is>
          <t>3630VF0007</t>
        </is>
      </c>
      <c r="C2403" s="2" t="inlineStr">
        <is>
          <t>Variador frecuencia 3630CP0007M1VF</t>
        </is>
      </c>
      <c r="D2403" s="2" t="n">
        <v>801</v>
      </c>
      <c r="E2403" s="2" t="inlineStr">
        <is>
          <t>CC-3000</t>
        </is>
      </c>
      <c r="F2403" s="2" t="inlineStr">
        <is>
          <t>P01</t>
        </is>
      </c>
      <c r="G2403" s="2" t="n">
        <v>620000</v>
      </c>
      <c r="H2403" s="2" t="inlineStr">
        <is>
          <t>Materiales</t>
        </is>
      </c>
      <c r="I2403" s="9" t="n">
        <v>1583.74</v>
      </c>
      <c r="J2403" s="9" t="n">
        <v>1611.98</v>
      </c>
      <c r="K2403" s="9" t="n">
        <v>1568.79</v>
      </c>
      <c r="L2403" s="9" t="n">
        <v>1550.42</v>
      </c>
      <c r="M2403" s="9" t="n">
        <v>1620.53</v>
      </c>
      <c r="N2403" s="9" t="n">
        <v>1495.12</v>
      </c>
      <c r="O2403" s="9" t="n">
        <v>1510.56</v>
      </c>
      <c r="P2403" s="9" t="n">
        <v>1583.86</v>
      </c>
      <c r="Q2403" s="9" t="n">
        <v>1519.73</v>
      </c>
      <c r="R2403" s="9" t="n">
        <v>1737.12</v>
      </c>
      <c r="S2403" s="9" t="n">
        <v>1493.67</v>
      </c>
      <c r="T2403" s="9" t="n">
        <v>1684.04</v>
      </c>
      <c r="U2403" s="10">
        <f>SUM(I2403:T2403)</f>
        <v/>
      </c>
    </row>
    <row r="2404">
      <c r="A2404" s="2" t="inlineStr">
        <is>
          <t>SN-3000-3600-36ER-3630VF0007</t>
        </is>
      </c>
      <c r="B2404" s="2" t="inlineStr">
        <is>
          <t>3630VF0007</t>
        </is>
      </c>
      <c r="C2404" s="2" t="inlineStr">
        <is>
          <t>Variador frecuencia 3630CP0007M1VF</t>
        </is>
      </c>
      <c r="D2404" s="2" t="n">
        <v>801</v>
      </c>
      <c r="E2404" s="2" t="inlineStr">
        <is>
          <t>CC-3000</t>
        </is>
      </c>
      <c r="F2404" s="2" t="inlineStr">
        <is>
          <t>P01</t>
        </is>
      </c>
      <c r="G2404" s="2" t="n">
        <v>630000</v>
      </c>
      <c r="H2404" s="2" t="inlineStr">
        <is>
          <t>Servicios externos</t>
        </is>
      </c>
      <c r="I2404" s="9" t="n">
        <v>1915.37</v>
      </c>
      <c r="J2404" s="9" t="n">
        <v>1766.81</v>
      </c>
      <c r="K2404" s="9" t="n">
        <v>1773.57</v>
      </c>
      <c r="L2404" s="9" t="n">
        <v>1865.08</v>
      </c>
      <c r="M2404" s="9" t="n">
        <v>1918.95</v>
      </c>
      <c r="N2404" s="9" t="n">
        <v>1736.09</v>
      </c>
      <c r="O2404" s="9" t="n">
        <v>1736.92</v>
      </c>
      <c r="P2404" s="9" t="n">
        <v>1704.9</v>
      </c>
      <c r="Q2404" s="9" t="n">
        <v>1819.52</v>
      </c>
      <c r="R2404" s="9" t="n">
        <v>2044.65</v>
      </c>
      <c r="S2404" s="9" t="n">
        <v>1713.85</v>
      </c>
      <c r="T2404" s="9" t="n">
        <v>1791.45</v>
      </c>
      <c r="U2404" s="10">
        <f>SUM(I2404:T2404)</f>
        <v/>
      </c>
    </row>
    <row r="2405">
      <c r="A2405" s="2" t="inlineStr">
        <is>
          <t>SN-3000-3600-36ER-3630VF0240</t>
        </is>
      </c>
      <c r="B2405" s="2" t="inlineStr">
        <is>
          <t>3630VF0240</t>
        </is>
      </c>
      <c r="C2405" s="2" t="inlineStr">
        <is>
          <t>Variador frecuencia 3630PU0240M1VF</t>
        </is>
      </c>
      <c r="D2405" s="2" t="n">
        <v>802</v>
      </c>
      <c r="E2405" s="2" t="inlineStr">
        <is>
          <t>CC-3000</t>
        </is>
      </c>
      <c r="F2405" s="2" t="inlineStr">
        <is>
          <t>P01</t>
        </is>
      </c>
      <c r="G2405" s="2" t="n">
        <v>610000</v>
      </c>
      <c r="H2405" s="2" t="inlineStr">
        <is>
          <t>Mano obra interna</t>
        </is>
      </c>
      <c r="I2405" s="9" t="n">
        <v>1936.2</v>
      </c>
      <c r="J2405" s="9" t="n">
        <v>1980.59</v>
      </c>
      <c r="K2405" s="9" t="n">
        <v>2133.59</v>
      </c>
      <c r="L2405" s="9" t="n">
        <v>2010.03</v>
      </c>
      <c r="M2405" s="9" t="n">
        <v>1833.45</v>
      </c>
      <c r="N2405" s="9" t="n">
        <v>1828.69</v>
      </c>
      <c r="O2405" s="9" t="n">
        <v>2129.36</v>
      </c>
      <c r="P2405" s="9" t="n">
        <v>2005.73</v>
      </c>
      <c r="Q2405" s="9" t="n">
        <v>1955.55</v>
      </c>
      <c r="R2405" s="9" t="n">
        <v>2175.88</v>
      </c>
      <c r="S2405" s="9" t="n">
        <v>2073.37</v>
      </c>
      <c r="T2405" s="9" t="n">
        <v>2162.38</v>
      </c>
      <c r="U2405" s="10">
        <f>SUM(I2405:T2405)</f>
        <v/>
      </c>
    </row>
    <row r="2406">
      <c r="A2406" s="2" t="inlineStr">
        <is>
          <t>SN-3000-3600-36ER-3630VF0240</t>
        </is>
      </c>
      <c r="B2406" s="2" t="inlineStr">
        <is>
          <t>3630VF0240</t>
        </is>
      </c>
      <c r="C2406" s="2" t="inlineStr">
        <is>
          <t>Variador frecuencia 3630PU0240M1VF</t>
        </is>
      </c>
      <c r="D2406" s="2" t="n">
        <v>802</v>
      </c>
      <c r="E2406" s="2" t="inlineStr">
        <is>
          <t>CC-3000</t>
        </is>
      </c>
      <c r="F2406" s="2" t="inlineStr">
        <is>
          <t>P01</t>
        </is>
      </c>
      <c r="G2406" s="2" t="n">
        <v>620000</v>
      </c>
      <c r="H2406" s="2" t="inlineStr">
        <is>
          <t>Materiales</t>
        </is>
      </c>
      <c r="I2406" s="9" t="n">
        <v>1718.4</v>
      </c>
      <c r="J2406" s="9" t="n">
        <v>1735.24</v>
      </c>
      <c r="K2406" s="9" t="n">
        <v>1838.63</v>
      </c>
      <c r="L2406" s="9" t="n">
        <v>1771.48</v>
      </c>
      <c r="M2406" s="9" t="n">
        <v>1804.26</v>
      </c>
      <c r="N2406" s="9" t="n">
        <v>1573.57</v>
      </c>
      <c r="O2406" s="9" t="n">
        <v>1688.55</v>
      </c>
      <c r="P2406" s="9" t="n">
        <v>1784.09</v>
      </c>
      <c r="Q2406" s="9" t="n">
        <v>1548.47</v>
      </c>
      <c r="R2406" s="9" t="n">
        <v>1851.69</v>
      </c>
      <c r="S2406" s="9" t="n">
        <v>1802.88</v>
      </c>
      <c r="T2406" s="9" t="n">
        <v>1794.9</v>
      </c>
      <c r="U2406" s="10">
        <f>SUM(I2406:T2406)</f>
        <v/>
      </c>
    </row>
    <row r="2407">
      <c r="A2407" s="2" t="inlineStr">
        <is>
          <t>SN-3000-3600-36ER-3630VF0240</t>
        </is>
      </c>
      <c r="B2407" s="2" t="inlineStr">
        <is>
          <t>3630VF0240</t>
        </is>
      </c>
      <c r="C2407" s="2" t="inlineStr">
        <is>
          <t>Variador frecuencia 3630PU0240M1VF</t>
        </is>
      </c>
      <c r="D2407" s="2" t="n">
        <v>802</v>
      </c>
      <c r="E2407" s="2" t="inlineStr">
        <is>
          <t>CC-3000</t>
        </is>
      </c>
      <c r="F2407" s="2" t="inlineStr">
        <is>
          <t>P01</t>
        </is>
      </c>
      <c r="G2407" s="2" t="n">
        <v>630000</v>
      </c>
      <c r="H2407" s="2" t="inlineStr">
        <is>
          <t>Servicios externos</t>
        </is>
      </c>
      <c r="I2407" s="9" t="n">
        <v>2112.13</v>
      </c>
      <c r="J2407" s="9" t="n">
        <v>2038.37</v>
      </c>
      <c r="K2407" s="9" t="n">
        <v>2091.4</v>
      </c>
      <c r="L2407" s="9" t="n">
        <v>1925.04</v>
      </c>
      <c r="M2407" s="9" t="n">
        <v>1983.46</v>
      </c>
      <c r="N2407" s="9" t="n">
        <v>1834.53</v>
      </c>
      <c r="O2407" s="9" t="n">
        <v>2158.27</v>
      </c>
      <c r="P2407" s="9" t="n">
        <v>1921.96</v>
      </c>
      <c r="Q2407" s="9" t="n">
        <v>1779.65</v>
      </c>
      <c r="R2407" s="9" t="n">
        <v>2197.28</v>
      </c>
      <c r="S2407" s="9" t="n">
        <v>1937.47</v>
      </c>
      <c r="T2407" s="9" t="n">
        <v>1872.28</v>
      </c>
      <c r="U2407" s="10">
        <f>SUM(I2407:T2407)</f>
        <v/>
      </c>
    </row>
    <row r="2408">
      <c r="A2408" s="2" t="inlineStr">
        <is>
          <t>SN-3000-3600-36ER-3630VF0242</t>
        </is>
      </c>
      <c r="B2408" s="2" t="inlineStr">
        <is>
          <t>3630VF0242</t>
        </is>
      </c>
      <c r="C2408" s="2" t="inlineStr">
        <is>
          <t>Variador frecuencia 3630PU0242M1VF</t>
        </is>
      </c>
      <c r="D2408" s="2" t="n">
        <v>803</v>
      </c>
      <c r="E2408" s="2" t="inlineStr">
        <is>
          <t>CC-3000</t>
        </is>
      </c>
      <c r="F2408" s="2" t="inlineStr">
        <is>
          <t>P01</t>
        </is>
      </c>
      <c r="G2408" s="2" t="n">
        <v>610000</v>
      </c>
      <c r="H2408" s="2" t="inlineStr">
        <is>
          <t>Mano obra interna</t>
        </is>
      </c>
      <c r="I2408" s="9" t="n">
        <v>2186.86</v>
      </c>
      <c r="J2408" s="9" t="n">
        <v>2004.51</v>
      </c>
      <c r="K2408" s="9" t="n">
        <v>1985.99</v>
      </c>
      <c r="L2408" s="9" t="n">
        <v>2074.04</v>
      </c>
      <c r="M2408" s="9" t="n">
        <v>1939.78</v>
      </c>
      <c r="N2408" s="9" t="n">
        <v>1864.72</v>
      </c>
      <c r="O2408" s="9" t="n">
        <v>2191.09</v>
      </c>
      <c r="P2408" s="9" t="n">
        <v>1994.11</v>
      </c>
      <c r="Q2408" s="9" t="n">
        <v>1761.74</v>
      </c>
      <c r="R2408" s="9" t="n">
        <v>2366.3</v>
      </c>
      <c r="S2408" s="9" t="n">
        <v>2068.67</v>
      </c>
      <c r="T2408" s="9" t="n">
        <v>1989.58</v>
      </c>
      <c r="U2408" s="10">
        <f>SUM(I2408:T2408)</f>
        <v/>
      </c>
    </row>
    <row r="2409">
      <c r="A2409" s="2" t="inlineStr">
        <is>
          <t>SN-3000-3600-36ER-3630VF0242</t>
        </is>
      </c>
      <c r="B2409" s="2" t="inlineStr">
        <is>
          <t>3630VF0242</t>
        </is>
      </c>
      <c r="C2409" s="2" t="inlineStr">
        <is>
          <t>Variador frecuencia 3630PU0242M1VF</t>
        </is>
      </c>
      <c r="D2409" s="2" t="n">
        <v>803</v>
      </c>
      <c r="E2409" s="2" t="inlineStr">
        <is>
          <t>CC-3000</t>
        </is>
      </c>
      <c r="F2409" s="2" t="inlineStr">
        <is>
          <t>P01</t>
        </is>
      </c>
      <c r="G2409" s="2" t="n">
        <v>620000</v>
      </c>
      <c r="H2409" s="2" t="inlineStr">
        <is>
          <t>Materiales</t>
        </is>
      </c>
      <c r="I2409" s="9" t="n">
        <v>2342.27</v>
      </c>
      <c r="J2409" s="9" t="n">
        <v>2087.16</v>
      </c>
      <c r="K2409" s="9" t="n">
        <v>2261.48</v>
      </c>
      <c r="L2409" s="9" t="n">
        <v>2228.9</v>
      </c>
      <c r="M2409" s="9" t="n">
        <v>2112.4</v>
      </c>
      <c r="N2409" s="9" t="n">
        <v>2119.73</v>
      </c>
      <c r="O2409" s="9" t="n">
        <v>2160.44</v>
      </c>
      <c r="P2409" s="9" t="n">
        <v>2001.1</v>
      </c>
      <c r="Q2409" s="9" t="n">
        <v>2120.37</v>
      </c>
      <c r="R2409" s="9" t="n">
        <v>2194.05</v>
      </c>
      <c r="S2409" s="9" t="n">
        <v>2087.41</v>
      </c>
      <c r="T2409" s="9" t="n">
        <v>2229.07</v>
      </c>
      <c r="U2409" s="10">
        <f>SUM(I2409:T2409)</f>
        <v/>
      </c>
    </row>
    <row r="2410">
      <c r="A2410" s="2" t="inlineStr">
        <is>
          <t>SN-3000-3600-36ER-3630VF0242</t>
        </is>
      </c>
      <c r="B2410" s="2" t="inlineStr">
        <is>
          <t>3630VF0242</t>
        </is>
      </c>
      <c r="C2410" s="2" t="inlineStr">
        <is>
          <t>Variador frecuencia 3630PU0242M1VF</t>
        </is>
      </c>
      <c r="D2410" s="2" t="n">
        <v>803</v>
      </c>
      <c r="E2410" s="2" t="inlineStr">
        <is>
          <t>CC-3000</t>
        </is>
      </c>
      <c r="F2410" s="2" t="inlineStr">
        <is>
          <t>P01</t>
        </is>
      </c>
      <c r="G2410" s="2" t="n">
        <v>630000</v>
      </c>
      <c r="H2410" s="2" t="inlineStr">
        <is>
          <t>Servicios externos</t>
        </is>
      </c>
      <c r="I2410" s="9" t="n">
        <v>2382.98</v>
      </c>
      <c r="J2410" s="9" t="n">
        <v>2420.15</v>
      </c>
      <c r="K2410" s="9" t="n">
        <v>2298.95</v>
      </c>
      <c r="L2410" s="9" t="n">
        <v>2479.74</v>
      </c>
      <c r="M2410" s="9" t="n">
        <v>2465.99</v>
      </c>
      <c r="N2410" s="9" t="n">
        <v>2405.16</v>
      </c>
      <c r="O2410" s="9" t="n">
        <v>2399.35</v>
      </c>
      <c r="P2410" s="9" t="n">
        <v>2295.51</v>
      </c>
      <c r="Q2410" s="9" t="n">
        <v>2085.69</v>
      </c>
      <c r="R2410" s="9" t="n">
        <v>2490.73</v>
      </c>
      <c r="S2410" s="9" t="n">
        <v>2307.15</v>
      </c>
      <c r="T2410" s="9" t="n">
        <v>2286.51</v>
      </c>
      <c r="U2410" s="10">
        <f>SUM(I2410:T2410)</f>
        <v/>
      </c>
    </row>
    <row r="2411">
      <c r="A2411" s="2" t="inlineStr">
        <is>
          <t>SN-3000-3600-36ER-3630VF0244</t>
        </is>
      </c>
      <c r="B2411" s="2" t="inlineStr">
        <is>
          <t>3630VF0244</t>
        </is>
      </c>
      <c r="C2411" s="2" t="inlineStr">
        <is>
          <t>Variador frecuencia 3630PU0244M1VF</t>
        </is>
      </c>
      <c r="D2411" s="2" t="n">
        <v>804</v>
      </c>
      <c r="E2411" s="2" t="inlineStr">
        <is>
          <t>CC-3000</t>
        </is>
      </c>
      <c r="F2411" s="2" t="inlineStr">
        <is>
          <t>P01</t>
        </is>
      </c>
      <c r="G2411" s="2" t="n">
        <v>610000</v>
      </c>
      <c r="H2411" s="2" t="inlineStr">
        <is>
          <t>Mano obra interna</t>
        </is>
      </c>
      <c r="I2411" s="9" t="n">
        <v>2258.79</v>
      </c>
      <c r="J2411" s="9" t="n">
        <v>1895.85</v>
      </c>
      <c r="K2411" s="9" t="n">
        <v>2167.58</v>
      </c>
      <c r="L2411" s="9" t="n">
        <v>2224.76</v>
      </c>
      <c r="M2411" s="9" t="n">
        <v>1975.07</v>
      </c>
      <c r="N2411" s="9" t="n">
        <v>1996.67</v>
      </c>
      <c r="O2411" s="9" t="n">
        <v>2050.1</v>
      </c>
      <c r="P2411" s="9" t="n">
        <v>1977.98</v>
      </c>
      <c r="Q2411" s="9" t="n">
        <v>1972.21</v>
      </c>
      <c r="R2411" s="9" t="n">
        <v>2420.86</v>
      </c>
      <c r="S2411" s="9" t="n">
        <v>1970.62</v>
      </c>
      <c r="T2411" s="9" t="n">
        <v>2129.05</v>
      </c>
      <c r="U2411" s="10">
        <f>SUM(I2411:T2411)</f>
        <v/>
      </c>
    </row>
    <row r="2412">
      <c r="A2412" s="2" t="inlineStr">
        <is>
          <t>SN-3000-3600-36ER-3630VF0244</t>
        </is>
      </c>
      <c r="B2412" s="2" t="inlineStr">
        <is>
          <t>3630VF0244</t>
        </is>
      </c>
      <c r="C2412" s="2" t="inlineStr">
        <is>
          <t>Variador frecuencia 3630PU0244M1VF</t>
        </is>
      </c>
      <c r="D2412" s="2" t="n">
        <v>804</v>
      </c>
      <c r="E2412" s="2" t="inlineStr">
        <is>
          <t>CC-3000</t>
        </is>
      </c>
      <c r="F2412" s="2" t="inlineStr">
        <is>
          <t>P01</t>
        </is>
      </c>
      <c r="G2412" s="2" t="n">
        <v>620000</v>
      </c>
      <c r="H2412" s="2" t="inlineStr">
        <is>
          <t>Materiales</t>
        </is>
      </c>
      <c r="I2412" s="9" t="n">
        <v>1838.79</v>
      </c>
      <c r="J2412" s="9" t="n">
        <v>1770.67</v>
      </c>
      <c r="K2412" s="9" t="n">
        <v>1662.47</v>
      </c>
      <c r="L2412" s="9" t="n">
        <v>1847.34</v>
      </c>
      <c r="M2412" s="9" t="n">
        <v>1587.47</v>
      </c>
      <c r="N2412" s="9" t="n">
        <v>1519.03</v>
      </c>
      <c r="O2412" s="9" t="n">
        <v>1741.15</v>
      </c>
      <c r="P2412" s="9" t="n">
        <v>1666.53</v>
      </c>
      <c r="Q2412" s="9" t="n">
        <v>1589.14</v>
      </c>
      <c r="R2412" s="9" t="n">
        <v>1876.74</v>
      </c>
      <c r="S2412" s="9" t="n">
        <v>1526.88</v>
      </c>
      <c r="T2412" s="9" t="n">
        <v>1666.9</v>
      </c>
      <c r="U2412" s="10">
        <f>SUM(I2412:T2412)</f>
        <v/>
      </c>
    </row>
    <row r="2413">
      <c r="A2413" s="2" t="inlineStr">
        <is>
          <t>SN-3000-3600-36ER-3630VF0244</t>
        </is>
      </c>
      <c r="B2413" s="2" t="inlineStr">
        <is>
          <t>3630VF0244</t>
        </is>
      </c>
      <c r="C2413" s="2" t="inlineStr">
        <is>
          <t>Variador frecuencia 3630PU0244M1VF</t>
        </is>
      </c>
      <c r="D2413" s="2" t="n">
        <v>804</v>
      </c>
      <c r="E2413" s="2" t="inlineStr">
        <is>
          <t>CC-3000</t>
        </is>
      </c>
      <c r="F2413" s="2" t="inlineStr">
        <is>
          <t>P01</t>
        </is>
      </c>
      <c r="G2413" s="2" t="n">
        <v>630000</v>
      </c>
      <c r="H2413" s="2" t="inlineStr">
        <is>
          <t>Servicios externos</t>
        </is>
      </c>
      <c r="I2413" s="9" t="n">
        <v>1738.46</v>
      </c>
      <c r="J2413" s="9" t="n">
        <v>1616.51</v>
      </c>
      <c r="K2413" s="9" t="n">
        <v>1704.31</v>
      </c>
      <c r="L2413" s="9" t="n">
        <v>1895.31</v>
      </c>
      <c r="M2413" s="9" t="n">
        <v>1865.96</v>
      </c>
      <c r="N2413" s="9" t="n">
        <v>1597.2</v>
      </c>
      <c r="O2413" s="9" t="n">
        <v>1698.82</v>
      </c>
      <c r="P2413" s="9" t="n">
        <v>1810.76</v>
      </c>
      <c r="Q2413" s="9" t="n">
        <v>1766.43</v>
      </c>
      <c r="R2413" s="9" t="n">
        <v>1846.59</v>
      </c>
      <c r="S2413" s="9" t="n">
        <v>1809.86</v>
      </c>
      <c r="T2413" s="9" t="n">
        <v>1797.02</v>
      </c>
      <c r="U2413" s="10">
        <f>SUM(I2413:T2413)</f>
        <v/>
      </c>
    </row>
    <row r="2414">
      <c r="A2414" s="2" t="inlineStr">
        <is>
          <t>SN-3000-3600-36ER-3630VF0246</t>
        </is>
      </c>
      <c r="B2414" s="2" t="inlineStr">
        <is>
          <t>3630VF0246</t>
        </is>
      </c>
      <c r="C2414" s="2" t="inlineStr">
        <is>
          <t>Variador frecuencia 3630PU0246M1VF</t>
        </is>
      </c>
      <c r="D2414" s="2" t="n">
        <v>805</v>
      </c>
      <c r="E2414" s="2" t="inlineStr">
        <is>
          <t>CC-3000</t>
        </is>
      </c>
      <c r="F2414" s="2" t="inlineStr">
        <is>
          <t>P01</t>
        </is>
      </c>
      <c r="G2414" s="2" t="n">
        <v>610000</v>
      </c>
      <c r="H2414" s="2" t="inlineStr">
        <is>
          <t>Mano obra interna</t>
        </is>
      </c>
      <c r="I2414" s="9" t="n">
        <v>2994.52</v>
      </c>
      <c r="J2414" s="9" t="n">
        <v>3299.96</v>
      </c>
      <c r="K2414" s="9" t="n">
        <v>3182.85</v>
      </c>
      <c r="L2414" s="9" t="n">
        <v>3414</v>
      </c>
      <c r="M2414" s="9" t="n">
        <v>3062.05</v>
      </c>
      <c r="N2414" s="9" t="n">
        <v>2992.14</v>
      </c>
      <c r="O2414" s="9" t="n">
        <v>3268.01</v>
      </c>
      <c r="P2414" s="9" t="n">
        <v>3223.18</v>
      </c>
      <c r="Q2414" s="9" t="n">
        <v>2954.83</v>
      </c>
      <c r="R2414" s="9" t="n">
        <v>3314.3</v>
      </c>
      <c r="S2414" s="9" t="n">
        <v>3156.26</v>
      </c>
      <c r="T2414" s="9" t="n">
        <v>3387.58</v>
      </c>
      <c r="U2414" s="10">
        <f>SUM(I2414:T2414)</f>
        <v/>
      </c>
    </row>
    <row r="2415">
      <c r="A2415" s="2" t="inlineStr">
        <is>
          <t>SN-3000-3600-36ER-3630VF0246</t>
        </is>
      </c>
      <c r="B2415" s="2" t="inlineStr">
        <is>
          <t>3630VF0246</t>
        </is>
      </c>
      <c r="C2415" s="2" t="inlineStr">
        <is>
          <t>Variador frecuencia 3630PU0246M1VF</t>
        </is>
      </c>
      <c r="D2415" s="2" t="n">
        <v>805</v>
      </c>
      <c r="E2415" s="2" t="inlineStr">
        <is>
          <t>CC-3000</t>
        </is>
      </c>
      <c r="F2415" s="2" t="inlineStr">
        <is>
          <t>P01</t>
        </is>
      </c>
      <c r="G2415" s="2" t="n">
        <v>620000</v>
      </c>
      <c r="H2415" s="2" t="inlineStr">
        <is>
          <t>Materiales</t>
        </is>
      </c>
      <c r="I2415" s="9" t="n">
        <v>2333.41</v>
      </c>
      <c r="J2415" s="9" t="n">
        <v>2349.94</v>
      </c>
      <c r="K2415" s="9" t="n">
        <v>2382.37</v>
      </c>
      <c r="L2415" s="9" t="n">
        <v>2414.66</v>
      </c>
      <c r="M2415" s="9" t="n">
        <v>2371.77</v>
      </c>
      <c r="N2415" s="9" t="n">
        <v>2241.58</v>
      </c>
      <c r="O2415" s="9" t="n">
        <v>2333.4</v>
      </c>
      <c r="P2415" s="9" t="n">
        <v>2419.88</v>
      </c>
      <c r="Q2415" s="9" t="n">
        <v>2220.37</v>
      </c>
      <c r="R2415" s="9" t="n">
        <v>2553.52</v>
      </c>
      <c r="S2415" s="9" t="n">
        <v>2037.69</v>
      </c>
      <c r="T2415" s="9" t="n">
        <v>2192.03</v>
      </c>
      <c r="U2415" s="10">
        <f>SUM(I2415:T2415)</f>
        <v/>
      </c>
    </row>
    <row r="2416">
      <c r="A2416" s="2" t="inlineStr">
        <is>
          <t>SN-3000-3600-36ER-3630VF0246</t>
        </is>
      </c>
      <c r="B2416" s="2" t="inlineStr">
        <is>
          <t>3630VF0246</t>
        </is>
      </c>
      <c r="C2416" s="2" t="inlineStr">
        <is>
          <t>Variador frecuencia 3630PU0246M1VF</t>
        </is>
      </c>
      <c r="D2416" s="2" t="n">
        <v>805</v>
      </c>
      <c r="E2416" s="2" t="inlineStr">
        <is>
          <t>CC-3000</t>
        </is>
      </c>
      <c r="F2416" s="2" t="inlineStr">
        <is>
          <t>P01</t>
        </is>
      </c>
      <c r="G2416" s="2" t="n">
        <v>630000</v>
      </c>
      <c r="H2416" s="2" t="inlineStr">
        <is>
          <t>Servicios externos</t>
        </is>
      </c>
      <c r="I2416" s="9" t="n">
        <v>2914.36</v>
      </c>
      <c r="J2416" s="9" t="n">
        <v>2634.75</v>
      </c>
      <c r="K2416" s="9" t="n">
        <v>2664.22</v>
      </c>
      <c r="L2416" s="9" t="n">
        <v>2737.8</v>
      </c>
      <c r="M2416" s="9" t="n">
        <v>2852.21</v>
      </c>
      <c r="N2416" s="9" t="n">
        <v>2800.35</v>
      </c>
      <c r="O2416" s="9" t="n">
        <v>2946.05</v>
      </c>
      <c r="P2416" s="9" t="n">
        <v>2706.67</v>
      </c>
      <c r="Q2416" s="9" t="n">
        <v>2518.86</v>
      </c>
      <c r="R2416" s="9" t="n">
        <v>2934.4</v>
      </c>
      <c r="S2416" s="9" t="n">
        <v>2620.88</v>
      </c>
      <c r="T2416" s="9" t="n">
        <v>2877.79</v>
      </c>
      <c r="U2416" s="10">
        <f>SUM(I2416:T2416)</f>
        <v/>
      </c>
    </row>
    <row r="2417">
      <c r="A2417" s="2" t="inlineStr">
        <is>
          <t>SN-3000-3600-36ER-3630VF0247</t>
        </is>
      </c>
      <c r="B2417" s="2" t="inlineStr">
        <is>
          <t>3630VF0247</t>
        </is>
      </c>
      <c r="C2417" s="2" t="inlineStr">
        <is>
          <t>Variador frecuencia 3630PU0247M1VF</t>
        </is>
      </c>
      <c r="D2417" s="2" t="n">
        <v>806</v>
      </c>
      <c r="E2417" s="2" t="inlineStr">
        <is>
          <t>CC-3000</t>
        </is>
      </c>
      <c r="F2417" s="2" t="inlineStr">
        <is>
          <t>P01</t>
        </is>
      </c>
      <c r="G2417" s="2" t="n">
        <v>610000</v>
      </c>
      <c r="H2417" s="2" t="inlineStr">
        <is>
          <t>Mano obra interna</t>
        </is>
      </c>
      <c r="I2417" s="9" t="n">
        <v>803.8200000000001</v>
      </c>
      <c r="J2417" s="9" t="n">
        <v>831.75</v>
      </c>
      <c r="K2417" s="9" t="n">
        <v>841.02</v>
      </c>
      <c r="L2417" s="9" t="n">
        <v>805.95</v>
      </c>
      <c r="M2417" s="9" t="n">
        <v>840.1</v>
      </c>
      <c r="N2417" s="9" t="n">
        <v>777.03</v>
      </c>
      <c r="O2417" s="9" t="n">
        <v>846.8</v>
      </c>
      <c r="P2417" s="9" t="n">
        <v>821.92</v>
      </c>
      <c r="Q2417" s="9" t="n">
        <v>807.08</v>
      </c>
      <c r="R2417" s="9" t="n">
        <v>991.99</v>
      </c>
      <c r="S2417" s="9" t="n">
        <v>831.86</v>
      </c>
      <c r="T2417" s="9" t="n">
        <v>885.87</v>
      </c>
      <c r="U2417" s="10">
        <f>SUM(I2417:T2417)</f>
        <v/>
      </c>
    </row>
    <row r="2418">
      <c r="A2418" s="2" t="inlineStr">
        <is>
          <t>SN-3000-3600-36ER-3630VF0247</t>
        </is>
      </c>
      <c r="B2418" s="2" t="inlineStr">
        <is>
          <t>3630VF0247</t>
        </is>
      </c>
      <c r="C2418" s="2" t="inlineStr">
        <is>
          <t>Variador frecuencia 3630PU0247M1VF</t>
        </is>
      </c>
      <c r="D2418" s="2" t="n">
        <v>806</v>
      </c>
      <c r="E2418" s="2" t="inlineStr">
        <is>
          <t>CC-3000</t>
        </is>
      </c>
      <c r="F2418" s="2" t="inlineStr">
        <is>
          <t>P01</t>
        </is>
      </c>
      <c r="G2418" s="2" t="n">
        <v>620000</v>
      </c>
      <c r="H2418" s="2" t="inlineStr">
        <is>
          <t>Materiales</t>
        </is>
      </c>
      <c r="I2418" s="9" t="n">
        <v>953.65</v>
      </c>
      <c r="J2418" s="9" t="n">
        <v>888.87</v>
      </c>
      <c r="K2418" s="9" t="n">
        <v>949.38</v>
      </c>
      <c r="L2418" s="9" t="n">
        <v>959.26</v>
      </c>
      <c r="M2418" s="9" t="n">
        <v>965.4299999999999</v>
      </c>
      <c r="N2418" s="9" t="n">
        <v>839.26</v>
      </c>
      <c r="O2418" s="9" t="n">
        <v>1007.76</v>
      </c>
      <c r="P2418" s="9" t="n">
        <v>888.0700000000001</v>
      </c>
      <c r="Q2418" s="9" t="n">
        <v>944.39</v>
      </c>
      <c r="R2418" s="9" t="n">
        <v>1102.1</v>
      </c>
      <c r="S2418" s="9" t="n">
        <v>995.3200000000001</v>
      </c>
      <c r="T2418" s="9" t="n">
        <v>1015.47</v>
      </c>
      <c r="U2418" s="10">
        <f>SUM(I2418:T2418)</f>
        <v/>
      </c>
    </row>
    <row r="2419">
      <c r="A2419" s="2" t="inlineStr">
        <is>
          <t>SN-3000-3600-36ER-3630VF0247</t>
        </is>
      </c>
      <c r="B2419" s="2" t="inlineStr">
        <is>
          <t>3630VF0247</t>
        </is>
      </c>
      <c r="C2419" s="2" t="inlineStr">
        <is>
          <t>Variador frecuencia 3630PU0247M1VF</t>
        </is>
      </c>
      <c r="D2419" s="2" t="n">
        <v>806</v>
      </c>
      <c r="E2419" s="2" t="inlineStr">
        <is>
          <t>CC-3000</t>
        </is>
      </c>
      <c r="F2419" s="2" t="inlineStr">
        <is>
          <t>P01</t>
        </is>
      </c>
      <c r="G2419" s="2" t="n">
        <v>630000</v>
      </c>
      <c r="H2419" s="2" t="inlineStr">
        <is>
          <t>Servicios externos</t>
        </is>
      </c>
      <c r="I2419" s="9" t="n">
        <v>801.6799999999999</v>
      </c>
      <c r="J2419" s="9" t="n">
        <v>713.1799999999999</v>
      </c>
      <c r="K2419" s="9" t="n">
        <v>834.12</v>
      </c>
      <c r="L2419" s="9" t="n">
        <v>754.1900000000001</v>
      </c>
      <c r="M2419" s="9" t="n">
        <v>731.52</v>
      </c>
      <c r="N2419" s="9" t="n">
        <v>775.4</v>
      </c>
      <c r="O2419" s="9" t="n">
        <v>701.34</v>
      </c>
      <c r="P2419" s="9" t="n">
        <v>722.47</v>
      </c>
      <c r="Q2419" s="9" t="n">
        <v>698.84</v>
      </c>
      <c r="R2419" s="9" t="n">
        <v>846.1799999999999</v>
      </c>
      <c r="S2419" s="9" t="n">
        <v>753.33</v>
      </c>
      <c r="T2419" s="9" t="n">
        <v>792.4299999999999</v>
      </c>
      <c r="U2419" s="10">
        <f>SUM(I2419:T2419)</f>
        <v/>
      </c>
    </row>
    <row r="2420">
      <c r="A2420" s="2" t="inlineStr">
        <is>
          <t>SN-3000-3600-36ER-3630VF0248</t>
        </is>
      </c>
      <c r="B2420" s="2" t="inlineStr">
        <is>
          <t>3630VF0248</t>
        </is>
      </c>
      <c r="C2420" s="2" t="inlineStr">
        <is>
          <t>Variador frecuencia 3630PU0248M1VF</t>
        </is>
      </c>
      <c r="D2420" s="2" t="n">
        <v>807</v>
      </c>
      <c r="E2420" s="2" t="inlineStr">
        <is>
          <t>CC-3000</t>
        </is>
      </c>
      <c r="F2420" s="2" t="inlineStr">
        <is>
          <t>P01</t>
        </is>
      </c>
      <c r="G2420" s="2" t="n">
        <v>610000</v>
      </c>
      <c r="H2420" s="2" t="inlineStr">
        <is>
          <t>Mano obra interna</t>
        </is>
      </c>
      <c r="I2420" s="9" t="n">
        <v>757.49</v>
      </c>
      <c r="J2420" s="9" t="n">
        <v>780.72</v>
      </c>
      <c r="K2420" s="9" t="n">
        <v>844.3099999999999</v>
      </c>
      <c r="L2420" s="9" t="n">
        <v>824.91</v>
      </c>
      <c r="M2420" s="9" t="n">
        <v>775.28</v>
      </c>
      <c r="N2420" s="9" t="n">
        <v>696.87</v>
      </c>
      <c r="O2420" s="9" t="n">
        <v>734.7</v>
      </c>
      <c r="P2420" s="9" t="n">
        <v>741.2</v>
      </c>
      <c r="Q2420" s="9" t="n">
        <v>716.87</v>
      </c>
      <c r="R2420" s="9" t="n">
        <v>799.75</v>
      </c>
      <c r="S2420" s="9" t="n">
        <v>755.65</v>
      </c>
      <c r="T2420" s="9" t="n">
        <v>760.4299999999999</v>
      </c>
      <c r="U2420" s="10">
        <f>SUM(I2420:T2420)</f>
        <v/>
      </c>
    </row>
    <row r="2421">
      <c r="A2421" s="2" t="inlineStr">
        <is>
          <t>SN-3000-3600-36ER-3630VF0248</t>
        </is>
      </c>
      <c r="B2421" s="2" t="inlineStr">
        <is>
          <t>3630VF0248</t>
        </is>
      </c>
      <c r="C2421" s="2" t="inlineStr">
        <is>
          <t>Variador frecuencia 3630PU0248M1VF</t>
        </is>
      </c>
      <c r="D2421" s="2" t="n">
        <v>807</v>
      </c>
      <c r="E2421" s="2" t="inlineStr">
        <is>
          <t>CC-3000</t>
        </is>
      </c>
      <c r="F2421" s="2" t="inlineStr">
        <is>
          <t>P01</t>
        </is>
      </c>
      <c r="G2421" s="2" t="n">
        <v>620000</v>
      </c>
      <c r="H2421" s="2" t="inlineStr">
        <is>
          <t>Materiales</t>
        </is>
      </c>
      <c r="I2421" s="9" t="n">
        <v>765.0700000000001</v>
      </c>
      <c r="J2421" s="9" t="n">
        <v>684.39</v>
      </c>
      <c r="K2421" s="9" t="n">
        <v>731.11</v>
      </c>
      <c r="L2421" s="9" t="n">
        <v>775.46</v>
      </c>
      <c r="M2421" s="9" t="n">
        <v>704.0599999999999</v>
      </c>
      <c r="N2421" s="9" t="n">
        <v>729.9</v>
      </c>
      <c r="O2421" s="9" t="n">
        <v>667.2</v>
      </c>
      <c r="P2421" s="9" t="n">
        <v>747.84</v>
      </c>
      <c r="Q2421" s="9" t="n">
        <v>658.21</v>
      </c>
      <c r="R2421" s="9" t="n">
        <v>704.62</v>
      </c>
      <c r="S2421" s="9" t="n">
        <v>736.55</v>
      </c>
      <c r="T2421" s="9" t="n">
        <v>771.3200000000001</v>
      </c>
      <c r="U2421" s="10">
        <f>SUM(I2421:T2421)</f>
        <v/>
      </c>
    </row>
    <row r="2422">
      <c r="A2422" s="2" t="inlineStr">
        <is>
          <t>SN-3000-3600-36ER-3630VF0248</t>
        </is>
      </c>
      <c r="B2422" s="2" t="inlineStr">
        <is>
          <t>3630VF0248</t>
        </is>
      </c>
      <c r="C2422" s="2" t="inlineStr">
        <is>
          <t>Variador frecuencia 3630PU0248M1VF</t>
        </is>
      </c>
      <c r="D2422" s="2" t="n">
        <v>807</v>
      </c>
      <c r="E2422" s="2" t="inlineStr">
        <is>
          <t>CC-3000</t>
        </is>
      </c>
      <c r="F2422" s="2" t="inlineStr">
        <is>
          <t>P01</t>
        </is>
      </c>
      <c r="G2422" s="2" t="n">
        <v>630000</v>
      </c>
      <c r="H2422" s="2" t="inlineStr">
        <is>
          <t>Servicios externos</t>
        </is>
      </c>
      <c r="I2422" s="9" t="n">
        <v>715.8200000000001</v>
      </c>
      <c r="J2422" s="9" t="n">
        <v>606.8200000000001</v>
      </c>
      <c r="K2422" s="9" t="n">
        <v>693.8200000000001</v>
      </c>
      <c r="L2422" s="9" t="n">
        <v>635.1799999999999</v>
      </c>
      <c r="M2422" s="9" t="n">
        <v>620.71</v>
      </c>
      <c r="N2422" s="9" t="n">
        <v>652.92</v>
      </c>
      <c r="O2422" s="9" t="n">
        <v>641.16</v>
      </c>
      <c r="P2422" s="9" t="n">
        <v>601.7</v>
      </c>
      <c r="Q2422" s="9" t="n">
        <v>600.16</v>
      </c>
      <c r="R2422" s="9" t="n">
        <v>674.3</v>
      </c>
      <c r="S2422" s="9" t="n">
        <v>651.39</v>
      </c>
      <c r="T2422" s="9" t="n">
        <v>630.97</v>
      </c>
      <c r="U2422" s="10">
        <f>SUM(I2422:T2422)</f>
        <v/>
      </c>
    </row>
    <row r="2423">
      <c r="A2423" s="2" t="inlineStr">
        <is>
          <t>SN-3000-3600-36ER-3630VF0251</t>
        </is>
      </c>
      <c r="B2423" s="2" t="inlineStr">
        <is>
          <t>3630VF0251</t>
        </is>
      </c>
      <c r="C2423" s="2" t="inlineStr">
        <is>
          <t>Variador frecuencia 3630PU0251M1VF</t>
        </is>
      </c>
      <c r="D2423" s="2" t="n">
        <v>808</v>
      </c>
      <c r="E2423" s="2" t="inlineStr">
        <is>
          <t>CC-3000</t>
        </is>
      </c>
      <c r="F2423" s="2" t="inlineStr">
        <is>
          <t>P01</t>
        </is>
      </c>
      <c r="G2423" s="2" t="n">
        <v>610000</v>
      </c>
      <c r="H2423" s="2" t="inlineStr">
        <is>
          <t>Mano obra interna</t>
        </is>
      </c>
      <c r="I2423" s="9" t="n">
        <v>1683.83</v>
      </c>
      <c r="J2423" s="9" t="n">
        <v>1658.47</v>
      </c>
      <c r="K2423" s="9" t="n">
        <v>1710.39</v>
      </c>
      <c r="L2423" s="9" t="n">
        <v>1791.39</v>
      </c>
      <c r="M2423" s="9" t="n">
        <v>1587.37</v>
      </c>
      <c r="N2423" s="9" t="n">
        <v>1632.29</v>
      </c>
      <c r="O2423" s="9" t="n">
        <v>1668.67</v>
      </c>
      <c r="P2423" s="9" t="n">
        <v>1817.24</v>
      </c>
      <c r="Q2423" s="9" t="n">
        <v>1486.01</v>
      </c>
      <c r="R2423" s="9" t="n">
        <v>1945.13</v>
      </c>
      <c r="S2423" s="9" t="n">
        <v>1570.39</v>
      </c>
      <c r="T2423" s="9" t="n">
        <v>1624.28</v>
      </c>
      <c r="U2423" s="10">
        <f>SUM(I2423:T2423)</f>
        <v/>
      </c>
    </row>
    <row r="2424">
      <c r="A2424" s="2" t="inlineStr">
        <is>
          <t>SN-3000-3600-36ER-3630VF0251</t>
        </is>
      </c>
      <c r="B2424" s="2" t="inlineStr">
        <is>
          <t>3630VF0251</t>
        </is>
      </c>
      <c r="C2424" s="2" t="inlineStr">
        <is>
          <t>Variador frecuencia 3630PU0251M1VF</t>
        </is>
      </c>
      <c r="D2424" s="2" t="n">
        <v>808</v>
      </c>
      <c r="E2424" s="2" t="inlineStr">
        <is>
          <t>CC-3000</t>
        </is>
      </c>
      <c r="F2424" s="2" t="inlineStr">
        <is>
          <t>P01</t>
        </is>
      </c>
      <c r="G2424" s="2" t="n">
        <v>620000</v>
      </c>
      <c r="H2424" s="2" t="inlineStr">
        <is>
          <t>Materiales</t>
        </is>
      </c>
      <c r="I2424" s="9" t="n">
        <v>1305.54</v>
      </c>
      <c r="J2424" s="9" t="n">
        <v>1349.54</v>
      </c>
      <c r="K2424" s="9" t="n">
        <v>1518.98</v>
      </c>
      <c r="L2424" s="9" t="n">
        <v>1291.82</v>
      </c>
      <c r="M2424" s="9" t="n">
        <v>1343.17</v>
      </c>
      <c r="N2424" s="9" t="n">
        <v>1281.91</v>
      </c>
      <c r="O2424" s="9" t="n">
        <v>1331.26</v>
      </c>
      <c r="P2424" s="9" t="n">
        <v>1327.97</v>
      </c>
      <c r="Q2424" s="9" t="n">
        <v>1351.65</v>
      </c>
      <c r="R2424" s="9" t="n">
        <v>1359.46</v>
      </c>
      <c r="S2424" s="9" t="n">
        <v>1380.25</v>
      </c>
      <c r="T2424" s="9" t="n">
        <v>1331.2</v>
      </c>
      <c r="U2424" s="10">
        <f>SUM(I2424:T2424)</f>
        <v/>
      </c>
    </row>
    <row r="2425">
      <c r="A2425" s="2" t="inlineStr">
        <is>
          <t>SN-3000-3600-36ER-3630VF0251</t>
        </is>
      </c>
      <c r="B2425" s="2" t="inlineStr">
        <is>
          <t>3630VF0251</t>
        </is>
      </c>
      <c r="C2425" s="2" t="inlineStr">
        <is>
          <t>Variador frecuencia 3630PU0251M1VF</t>
        </is>
      </c>
      <c r="D2425" s="2" t="n">
        <v>808</v>
      </c>
      <c r="E2425" s="2" t="inlineStr">
        <is>
          <t>CC-3000</t>
        </is>
      </c>
      <c r="F2425" s="2" t="inlineStr">
        <is>
          <t>P01</t>
        </is>
      </c>
      <c r="G2425" s="2" t="n">
        <v>630000</v>
      </c>
      <c r="H2425" s="2" t="inlineStr">
        <is>
          <t>Servicios externos</t>
        </is>
      </c>
      <c r="I2425" s="9" t="n">
        <v>1464.74</v>
      </c>
      <c r="J2425" s="9" t="n">
        <v>1386.67</v>
      </c>
      <c r="K2425" s="9" t="n">
        <v>1401.88</v>
      </c>
      <c r="L2425" s="9" t="n">
        <v>1393.77</v>
      </c>
      <c r="M2425" s="9" t="n">
        <v>1391.9</v>
      </c>
      <c r="N2425" s="9" t="n">
        <v>1461.09</v>
      </c>
      <c r="O2425" s="9" t="n">
        <v>1369.05</v>
      </c>
      <c r="P2425" s="9" t="n">
        <v>1508.69</v>
      </c>
      <c r="Q2425" s="9" t="n">
        <v>1307.23</v>
      </c>
      <c r="R2425" s="9" t="n">
        <v>1663.54</v>
      </c>
      <c r="S2425" s="9" t="n">
        <v>1390.84</v>
      </c>
      <c r="T2425" s="9" t="n">
        <v>1397.5</v>
      </c>
      <c r="U2425" s="10">
        <f>SUM(I2425:T2425)</f>
        <v/>
      </c>
    </row>
    <row r="2426">
      <c r="A2426" s="2" t="inlineStr">
        <is>
          <t>SN-3000-3600-36ER-3630VF0252</t>
        </is>
      </c>
      <c r="B2426" s="2" t="inlineStr">
        <is>
          <t>3630VF0252</t>
        </is>
      </c>
      <c r="C2426" s="2" t="inlineStr">
        <is>
          <t>Variador frecuencia 3630PU0252M1VF</t>
        </is>
      </c>
      <c r="D2426" s="2" t="n">
        <v>809</v>
      </c>
      <c r="E2426" s="2" t="inlineStr">
        <is>
          <t>CC-3000</t>
        </is>
      </c>
      <c r="F2426" s="2" t="inlineStr">
        <is>
          <t>P01</t>
        </is>
      </c>
      <c r="G2426" s="2" t="n">
        <v>610000</v>
      </c>
      <c r="H2426" s="2" t="inlineStr">
        <is>
          <t>Mano obra interna</t>
        </is>
      </c>
      <c r="I2426" s="9" t="n">
        <v>1476.65</v>
      </c>
      <c r="J2426" s="9" t="n">
        <v>1518.58</v>
      </c>
      <c r="K2426" s="9" t="n">
        <v>1591.14</v>
      </c>
      <c r="L2426" s="9" t="n">
        <v>1527.33</v>
      </c>
      <c r="M2426" s="9" t="n">
        <v>1618.7</v>
      </c>
      <c r="N2426" s="9" t="n">
        <v>1538.65</v>
      </c>
      <c r="O2426" s="9" t="n">
        <v>1606.65</v>
      </c>
      <c r="P2426" s="9" t="n">
        <v>1639.92</v>
      </c>
      <c r="Q2426" s="9" t="n">
        <v>1410.24</v>
      </c>
      <c r="R2426" s="9" t="n">
        <v>1539.03</v>
      </c>
      <c r="S2426" s="9" t="n">
        <v>1539.43</v>
      </c>
      <c r="T2426" s="9" t="n">
        <v>1518.55</v>
      </c>
      <c r="U2426" s="10">
        <f>SUM(I2426:T2426)</f>
        <v/>
      </c>
    </row>
    <row r="2427">
      <c r="A2427" s="2" t="inlineStr">
        <is>
          <t>SN-3000-3600-36ER-3630VF0252</t>
        </is>
      </c>
      <c r="B2427" s="2" t="inlineStr">
        <is>
          <t>3630VF0252</t>
        </is>
      </c>
      <c r="C2427" s="2" t="inlineStr">
        <is>
          <t>Variador frecuencia 3630PU0252M1VF</t>
        </is>
      </c>
      <c r="D2427" s="2" t="n">
        <v>809</v>
      </c>
      <c r="E2427" s="2" t="inlineStr">
        <is>
          <t>CC-3000</t>
        </is>
      </c>
      <c r="F2427" s="2" t="inlineStr">
        <is>
          <t>P01</t>
        </is>
      </c>
      <c r="G2427" s="2" t="n">
        <v>620000</v>
      </c>
      <c r="H2427" s="2" t="inlineStr">
        <is>
          <t>Materiales</t>
        </is>
      </c>
      <c r="I2427" s="9" t="n">
        <v>1198.19</v>
      </c>
      <c r="J2427" s="9" t="n">
        <v>1238</v>
      </c>
      <c r="K2427" s="9" t="n">
        <v>1150.27</v>
      </c>
      <c r="L2427" s="9" t="n">
        <v>1269.92</v>
      </c>
      <c r="M2427" s="9" t="n">
        <v>1149.46</v>
      </c>
      <c r="N2427" s="9" t="n">
        <v>1059.79</v>
      </c>
      <c r="O2427" s="9" t="n">
        <v>1243.04</v>
      </c>
      <c r="P2427" s="9" t="n">
        <v>1264.36</v>
      </c>
      <c r="Q2427" s="9" t="n">
        <v>1058.94</v>
      </c>
      <c r="R2427" s="9" t="n">
        <v>1229.27</v>
      </c>
      <c r="S2427" s="9" t="n">
        <v>1119.34</v>
      </c>
      <c r="T2427" s="9" t="n">
        <v>1254.38</v>
      </c>
      <c r="U2427" s="10">
        <f>SUM(I2427:T2427)</f>
        <v/>
      </c>
    </row>
    <row r="2428">
      <c r="A2428" s="2" t="inlineStr">
        <is>
          <t>SN-3000-3600-36ER-3630VF0252</t>
        </is>
      </c>
      <c r="B2428" s="2" t="inlineStr">
        <is>
          <t>3630VF0252</t>
        </is>
      </c>
      <c r="C2428" s="2" t="inlineStr">
        <is>
          <t>Variador frecuencia 3630PU0252M1VF</t>
        </is>
      </c>
      <c r="D2428" s="2" t="n">
        <v>809</v>
      </c>
      <c r="E2428" s="2" t="inlineStr">
        <is>
          <t>CC-3000</t>
        </is>
      </c>
      <c r="F2428" s="2" t="inlineStr">
        <is>
          <t>P01</t>
        </is>
      </c>
      <c r="G2428" s="2" t="n">
        <v>630000</v>
      </c>
      <c r="H2428" s="2" t="inlineStr">
        <is>
          <t>Servicios externos</t>
        </is>
      </c>
      <c r="I2428" s="9" t="n">
        <v>1073.77</v>
      </c>
      <c r="J2428" s="9" t="n">
        <v>1119.49</v>
      </c>
      <c r="K2428" s="9" t="n">
        <v>1118.13</v>
      </c>
      <c r="L2428" s="9" t="n">
        <v>1094.17</v>
      </c>
      <c r="M2428" s="9" t="n">
        <v>1153.93</v>
      </c>
      <c r="N2428" s="9" t="n">
        <v>1122.35</v>
      </c>
      <c r="O2428" s="9" t="n">
        <v>1179.86</v>
      </c>
      <c r="P2428" s="9" t="n">
        <v>1059.61</v>
      </c>
      <c r="Q2428" s="9" t="n">
        <v>1091.99</v>
      </c>
      <c r="R2428" s="9" t="n">
        <v>1231.74</v>
      </c>
      <c r="S2428" s="9" t="n">
        <v>1006.36</v>
      </c>
      <c r="T2428" s="9" t="n">
        <v>1136.49</v>
      </c>
      <c r="U2428" s="10">
        <f>SUM(I2428:T2428)</f>
        <v/>
      </c>
    </row>
    <row r="2429">
      <c r="A2429" s="2" t="inlineStr">
        <is>
          <t>SN-3000-3700-3700-3700AL0001</t>
        </is>
      </c>
      <c r="B2429" s="2" t="inlineStr">
        <is>
          <t>3700AL0001</t>
        </is>
      </c>
      <c r="C2429" s="2" t="inlineStr">
        <is>
          <t>Línea agua sell 3700-5476-AA1A-3"-WGS-ET</t>
        </is>
      </c>
      <c r="D2429" s="2" t="n">
        <v>810</v>
      </c>
      <c r="E2429" s="2" t="inlineStr">
        <is>
          <t>CC-3000</t>
        </is>
      </c>
      <c r="F2429" s="2" t="inlineStr">
        <is>
          <t>P01</t>
        </is>
      </c>
      <c r="G2429" s="2" t="n">
        <v>610000</v>
      </c>
      <c r="H2429" s="2" t="inlineStr">
        <is>
          <t>Mano obra interna</t>
        </is>
      </c>
      <c r="I2429" s="9" t="n">
        <v>2316.29</v>
      </c>
      <c r="J2429" s="9" t="n">
        <v>2243.35</v>
      </c>
      <c r="K2429" s="9" t="n">
        <v>2370.13</v>
      </c>
      <c r="L2429" s="9" t="n">
        <v>2126.6</v>
      </c>
      <c r="M2429" s="9" t="n">
        <v>2217.66</v>
      </c>
      <c r="N2429" s="9" t="n">
        <v>1991.45</v>
      </c>
      <c r="O2429" s="9" t="n">
        <v>2353.77</v>
      </c>
      <c r="P2429" s="9" t="n">
        <v>2255.58</v>
      </c>
      <c r="Q2429" s="9" t="n">
        <v>1911.66</v>
      </c>
      <c r="R2429" s="9" t="n">
        <v>2249.41</v>
      </c>
      <c r="S2429" s="9" t="n">
        <v>2181.25</v>
      </c>
      <c r="T2429" s="9" t="n">
        <v>2220.07</v>
      </c>
      <c r="U2429" s="10">
        <f>SUM(I2429:T2429)</f>
        <v/>
      </c>
    </row>
    <row r="2430">
      <c r="A2430" s="2" t="inlineStr">
        <is>
          <t>SN-3000-3700-3700-3700AL0001</t>
        </is>
      </c>
      <c r="B2430" s="2" t="inlineStr">
        <is>
          <t>3700AL0001</t>
        </is>
      </c>
      <c r="C2430" s="2" t="inlineStr">
        <is>
          <t>Línea agua sell 3700-5476-AA1A-3"-WGS-ET</t>
        </is>
      </c>
      <c r="D2430" s="2" t="n">
        <v>810</v>
      </c>
      <c r="E2430" s="2" t="inlineStr">
        <is>
          <t>CC-3000</t>
        </is>
      </c>
      <c r="F2430" s="2" t="inlineStr">
        <is>
          <t>P01</t>
        </is>
      </c>
      <c r="G2430" s="2" t="n">
        <v>620000</v>
      </c>
      <c r="H2430" s="2" t="inlineStr">
        <is>
          <t>Materiales</t>
        </is>
      </c>
      <c r="I2430" s="9" t="n">
        <v>2630.05</v>
      </c>
      <c r="J2430" s="9" t="n">
        <v>2696.01</v>
      </c>
      <c r="K2430" s="9" t="n">
        <v>2612.11</v>
      </c>
      <c r="L2430" s="9" t="n">
        <v>2747.94</v>
      </c>
      <c r="M2430" s="9" t="n">
        <v>2835.93</v>
      </c>
      <c r="N2430" s="9" t="n">
        <v>2605.07</v>
      </c>
      <c r="O2430" s="9" t="n">
        <v>2478.87</v>
      </c>
      <c r="P2430" s="9" t="n">
        <v>2876.64</v>
      </c>
      <c r="Q2430" s="9" t="n">
        <v>2348.98</v>
      </c>
      <c r="R2430" s="9" t="n">
        <v>2979.86</v>
      </c>
      <c r="S2430" s="9" t="n">
        <v>2598.18</v>
      </c>
      <c r="T2430" s="9" t="n">
        <v>2620.49</v>
      </c>
      <c r="U2430" s="10">
        <f>SUM(I2430:T2430)</f>
        <v/>
      </c>
    </row>
    <row r="2431">
      <c r="A2431" s="2" t="inlineStr">
        <is>
          <t>SN-3000-3700-3700-3700AL0001</t>
        </is>
      </c>
      <c r="B2431" s="2" t="inlineStr">
        <is>
          <t>3700AL0001</t>
        </is>
      </c>
      <c r="C2431" s="2" t="inlineStr">
        <is>
          <t>Línea agua sell 3700-5476-AA1A-3"-WGS-ET</t>
        </is>
      </c>
      <c r="D2431" s="2" t="n">
        <v>810</v>
      </c>
      <c r="E2431" s="2" t="inlineStr">
        <is>
          <t>CC-3000</t>
        </is>
      </c>
      <c r="F2431" s="2" t="inlineStr">
        <is>
          <t>P01</t>
        </is>
      </c>
      <c r="G2431" s="2" t="n">
        <v>630000</v>
      </c>
      <c r="H2431" s="2" t="inlineStr">
        <is>
          <t>Servicios externos</t>
        </is>
      </c>
      <c r="I2431" s="9" t="n">
        <v>2175.13</v>
      </c>
      <c r="J2431" s="9" t="n">
        <v>2339.42</v>
      </c>
      <c r="K2431" s="9" t="n">
        <v>2455.93</v>
      </c>
      <c r="L2431" s="9" t="n">
        <v>2283.28</v>
      </c>
      <c r="M2431" s="9" t="n">
        <v>2082.32</v>
      </c>
      <c r="N2431" s="9" t="n">
        <v>2279.89</v>
      </c>
      <c r="O2431" s="9" t="n">
        <v>2242.91</v>
      </c>
      <c r="P2431" s="9" t="n">
        <v>2222.89</v>
      </c>
      <c r="Q2431" s="9" t="n">
        <v>2060.27</v>
      </c>
      <c r="R2431" s="9" t="n">
        <v>2370.42</v>
      </c>
      <c r="S2431" s="9" t="n">
        <v>2183.86</v>
      </c>
      <c r="T2431" s="9" t="n">
        <v>2318.05</v>
      </c>
      <c r="U2431" s="10">
        <f>SUM(I2431:T2431)</f>
        <v/>
      </c>
    </row>
    <row r="2432">
      <c r="A2432" s="2" t="inlineStr">
        <is>
          <t>SN-3000-3700-3700-3700DL0001</t>
        </is>
      </c>
      <c r="B2432" s="2" t="inlineStr">
        <is>
          <t>3700DL0001</t>
        </is>
      </c>
      <c r="C2432" s="2" t="inlineStr">
        <is>
          <t>Línea soluc detox 3700-5461-AA1A-8"-WP-N</t>
        </is>
      </c>
      <c r="D2432" s="2" t="n">
        <v>811</v>
      </c>
      <c r="E2432" s="2" t="inlineStr">
        <is>
          <t>CC-3000</t>
        </is>
      </c>
      <c r="F2432" s="2" t="inlineStr">
        <is>
          <t>P01</t>
        </is>
      </c>
      <c r="G2432" s="2" t="n">
        <v>610000</v>
      </c>
      <c r="H2432" s="2" t="inlineStr">
        <is>
          <t>Mano obra interna</t>
        </is>
      </c>
      <c r="I2432" s="9" t="n">
        <v>2037.97</v>
      </c>
      <c r="J2432" s="9" t="n">
        <v>1794.85</v>
      </c>
      <c r="K2432" s="9" t="n">
        <v>1960.88</v>
      </c>
      <c r="L2432" s="9" t="n">
        <v>1857.19</v>
      </c>
      <c r="M2432" s="9" t="n">
        <v>1933.11</v>
      </c>
      <c r="N2432" s="9" t="n">
        <v>1680.49</v>
      </c>
      <c r="O2432" s="9" t="n">
        <v>1784.52</v>
      </c>
      <c r="P2432" s="9" t="n">
        <v>1966.21</v>
      </c>
      <c r="Q2432" s="9" t="n">
        <v>1658.88</v>
      </c>
      <c r="R2432" s="9" t="n">
        <v>2065.17</v>
      </c>
      <c r="S2432" s="9" t="n">
        <v>1953.99</v>
      </c>
      <c r="T2432" s="9" t="n">
        <v>1912.07</v>
      </c>
      <c r="U2432" s="10">
        <f>SUM(I2432:T2432)</f>
        <v/>
      </c>
    </row>
    <row r="2433">
      <c r="A2433" s="2" t="inlineStr">
        <is>
          <t>SN-3000-3700-3700-3700DL0001</t>
        </is>
      </c>
      <c r="B2433" s="2" t="inlineStr">
        <is>
          <t>3700DL0001</t>
        </is>
      </c>
      <c r="C2433" s="2" t="inlineStr">
        <is>
          <t>Línea soluc detox 3700-5461-AA1A-8"-WP-N</t>
        </is>
      </c>
      <c r="D2433" s="2" t="n">
        <v>811</v>
      </c>
      <c r="E2433" s="2" t="inlineStr">
        <is>
          <t>CC-3000</t>
        </is>
      </c>
      <c r="F2433" s="2" t="inlineStr">
        <is>
          <t>P01</t>
        </is>
      </c>
      <c r="G2433" s="2" t="n">
        <v>620000</v>
      </c>
      <c r="H2433" s="2" t="inlineStr">
        <is>
          <t>Materiales</t>
        </is>
      </c>
      <c r="I2433" s="9" t="n">
        <v>1654.48</v>
      </c>
      <c r="J2433" s="9" t="n">
        <v>1728.35</v>
      </c>
      <c r="K2433" s="9" t="n">
        <v>1680.51</v>
      </c>
      <c r="L2433" s="9" t="n">
        <v>1766.34</v>
      </c>
      <c r="M2433" s="9" t="n">
        <v>1724.59</v>
      </c>
      <c r="N2433" s="9" t="n">
        <v>1595.56</v>
      </c>
      <c r="O2433" s="9" t="n">
        <v>1744.97</v>
      </c>
      <c r="P2433" s="9" t="n">
        <v>1618.47</v>
      </c>
      <c r="Q2433" s="9" t="n">
        <v>1557.25</v>
      </c>
      <c r="R2433" s="9" t="n">
        <v>1853.14</v>
      </c>
      <c r="S2433" s="9" t="n">
        <v>1529.49</v>
      </c>
      <c r="T2433" s="9" t="n">
        <v>1632.01</v>
      </c>
      <c r="U2433" s="10">
        <f>SUM(I2433:T2433)</f>
        <v/>
      </c>
    </row>
    <row r="2434">
      <c r="A2434" s="2" t="inlineStr">
        <is>
          <t>SN-3000-3700-3700-3700DL0001</t>
        </is>
      </c>
      <c r="B2434" s="2" t="inlineStr">
        <is>
          <t>3700DL0001</t>
        </is>
      </c>
      <c r="C2434" s="2" t="inlineStr">
        <is>
          <t>Línea soluc detox 3700-5461-AA1A-8"-WP-N</t>
        </is>
      </c>
      <c r="D2434" s="2" t="n">
        <v>811</v>
      </c>
      <c r="E2434" s="2" t="inlineStr">
        <is>
          <t>CC-3000</t>
        </is>
      </c>
      <c r="F2434" s="2" t="inlineStr">
        <is>
          <t>P01</t>
        </is>
      </c>
      <c r="G2434" s="2" t="n">
        <v>630000</v>
      </c>
      <c r="H2434" s="2" t="inlineStr">
        <is>
          <t>Servicios externos</t>
        </is>
      </c>
      <c r="I2434" s="9" t="n">
        <v>1993.41</v>
      </c>
      <c r="J2434" s="9" t="n">
        <v>1874.49</v>
      </c>
      <c r="K2434" s="9" t="n">
        <v>2058.6</v>
      </c>
      <c r="L2434" s="9" t="n">
        <v>1941.76</v>
      </c>
      <c r="M2434" s="9" t="n">
        <v>2000.68</v>
      </c>
      <c r="N2434" s="9" t="n">
        <v>1890.4</v>
      </c>
      <c r="O2434" s="9" t="n">
        <v>1849.69</v>
      </c>
      <c r="P2434" s="9" t="n">
        <v>1872.01</v>
      </c>
      <c r="Q2434" s="9" t="n">
        <v>1821.23</v>
      </c>
      <c r="R2434" s="9" t="n">
        <v>2184.46</v>
      </c>
      <c r="S2434" s="9" t="n">
        <v>1749.68</v>
      </c>
      <c r="T2434" s="9" t="n">
        <v>1938.17</v>
      </c>
      <c r="U2434" s="10">
        <f>SUM(I2434:T2434)</f>
        <v/>
      </c>
    </row>
    <row r="2435">
      <c r="A2435" s="2" t="inlineStr">
        <is>
          <t>SN-3000-3700-3700-3700IO0001</t>
        </is>
      </c>
      <c r="B2435" s="2" t="inlineStr">
        <is>
          <t>3700IO0001</t>
        </is>
      </c>
      <c r="C2435" s="2" t="inlineStr">
        <is>
          <t xml:space="preserve">Gabinete RIO  </t>
        </is>
      </c>
      <c r="D2435" s="2" t="n">
        <v>812</v>
      </c>
      <c r="E2435" s="2" t="inlineStr">
        <is>
          <t>CC-3000</t>
        </is>
      </c>
      <c r="F2435" s="2" t="inlineStr">
        <is>
          <t>P01</t>
        </is>
      </c>
      <c r="G2435" s="2" t="n">
        <v>610000</v>
      </c>
      <c r="H2435" s="2" t="inlineStr">
        <is>
          <t>Mano obra interna</t>
        </is>
      </c>
      <c r="I2435" s="9" t="n">
        <v>940.9299999999999</v>
      </c>
      <c r="J2435" s="9" t="n">
        <v>968.97</v>
      </c>
      <c r="K2435" s="9" t="n">
        <v>919.0700000000001</v>
      </c>
      <c r="L2435" s="9" t="n">
        <v>1001.87</v>
      </c>
      <c r="M2435" s="9" t="n">
        <v>1006.19</v>
      </c>
      <c r="N2435" s="9" t="n">
        <v>982.0599999999999</v>
      </c>
      <c r="O2435" s="9" t="n">
        <v>912.53</v>
      </c>
      <c r="P2435" s="9" t="n">
        <v>992.74</v>
      </c>
      <c r="Q2435" s="9" t="n">
        <v>950.0700000000001</v>
      </c>
      <c r="R2435" s="9" t="n">
        <v>963</v>
      </c>
      <c r="S2435" s="9" t="n">
        <v>912.2</v>
      </c>
      <c r="T2435" s="9" t="n">
        <v>1034.69</v>
      </c>
      <c r="U2435" s="10">
        <f>SUM(I2435:T2435)</f>
        <v/>
      </c>
    </row>
    <row r="2436">
      <c r="A2436" s="2" t="inlineStr">
        <is>
          <t>SN-3000-3700-3700-3700IO0001</t>
        </is>
      </c>
      <c r="B2436" s="2" t="inlineStr">
        <is>
          <t>3700IO0001</t>
        </is>
      </c>
      <c r="C2436" s="2" t="inlineStr">
        <is>
          <t xml:space="preserve">Gabinete RIO  </t>
        </is>
      </c>
      <c r="D2436" s="2" t="n">
        <v>812</v>
      </c>
      <c r="E2436" s="2" t="inlineStr">
        <is>
          <t>CC-3000</t>
        </is>
      </c>
      <c r="F2436" s="2" t="inlineStr">
        <is>
          <t>P01</t>
        </is>
      </c>
      <c r="G2436" s="2" t="n">
        <v>620000</v>
      </c>
      <c r="H2436" s="2" t="inlineStr">
        <is>
          <t>Materiales</t>
        </is>
      </c>
      <c r="I2436" s="9" t="n">
        <v>1059.83</v>
      </c>
      <c r="J2436" s="9" t="n">
        <v>960.27</v>
      </c>
      <c r="K2436" s="9" t="n">
        <v>937.42</v>
      </c>
      <c r="L2436" s="9" t="n">
        <v>984.26</v>
      </c>
      <c r="M2436" s="9" t="n">
        <v>934.0700000000001</v>
      </c>
      <c r="N2436" s="9" t="n">
        <v>895.8200000000001</v>
      </c>
      <c r="O2436" s="9" t="n">
        <v>977.7</v>
      </c>
      <c r="P2436" s="9" t="n">
        <v>967.54</v>
      </c>
      <c r="Q2436" s="9" t="n">
        <v>901.1</v>
      </c>
      <c r="R2436" s="9" t="n">
        <v>977.96</v>
      </c>
      <c r="S2436" s="9" t="n">
        <v>985.27</v>
      </c>
      <c r="T2436" s="9" t="n">
        <v>982.3</v>
      </c>
      <c r="U2436" s="10">
        <f>SUM(I2436:T2436)</f>
        <v/>
      </c>
    </row>
    <row r="2437">
      <c r="A2437" s="2" t="inlineStr">
        <is>
          <t>SN-3000-3700-3700-3700IO0001</t>
        </is>
      </c>
      <c r="B2437" s="2" t="inlineStr">
        <is>
          <t>3700IO0001</t>
        </is>
      </c>
      <c r="C2437" s="2" t="inlineStr">
        <is>
          <t xml:space="preserve">Gabinete RIO  </t>
        </is>
      </c>
      <c r="D2437" s="2" t="n">
        <v>812</v>
      </c>
      <c r="E2437" s="2" t="inlineStr">
        <is>
          <t>CC-3000</t>
        </is>
      </c>
      <c r="F2437" s="2" t="inlineStr">
        <is>
          <t>P01</t>
        </is>
      </c>
      <c r="G2437" s="2" t="n">
        <v>630000</v>
      </c>
      <c r="H2437" s="2" t="inlineStr">
        <is>
          <t>Servicios externos</t>
        </is>
      </c>
      <c r="I2437" s="9" t="n">
        <v>1256.96</v>
      </c>
      <c r="J2437" s="9" t="n">
        <v>1119.05</v>
      </c>
      <c r="K2437" s="9" t="n">
        <v>1111.78</v>
      </c>
      <c r="L2437" s="9" t="n">
        <v>1275.03</v>
      </c>
      <c r="M2437" s="9" t="n">
        <v>1206.72</v>
      </c>
      <c r="N2437" s="9" t="n">
        <v>1048.76</v>
      </c>
      <c r="O2437" s="9" t="n">
        <v>1208.83</v>
      </c>
      <c r="P2437" s="9" t="n">
        <v>1079.81</v>
      </c>
      <c r="Q2437" s="9" t="n">
        <v>1007.27</v>
      </c>
      <c r="R2437" s="9" t="n">
        <v>1267.52</v>
      </c>
      <c r="S2437" s="9" t="n">
        <v>1059.89</v>
      </c>
      <c r="T2437" s="9" t="n">
        <v>1276.14</v>
      </c>
      <c r="U2437" s="10">
        <f>SUM(I2437:T2437)</f>
        <v/>
      </c>
    </row>
    <row r="2438">
      <c r="A2438" s="2" t="inlineStr">
        <is>
          <t>SN-3000-3700-3700-3700PU0263</t>
        </is>
      </c>
      <c r="B2438" s="2" t="inlineStr">
        <is>
          <t>3700PU0263</t>
        </is>
      </c>
      <c r="C2438" s="2" t="inlineStr">
        <is>
          <t>Bomba solución clarificada</t>
        </is>
      </c>
      <c r="D2438" s="2" t="n">
        <v>813</v>
      </c>
      <c r="E2438" s="2" t="inlineStr">
        <is>
          <t>CC-3000</t>
        </is>
      </c>
      <c r="F2438" s="2" t="inlineStr">
        <is>
          <t>P01</t>
        </is>
      </c>
      <c r="G2438" s="2" t="n">
        <v>610000</v>
      </c>
      <c r="H2438" s="2" t="inlineStr">
        <is>
          <t>Mano obra interna</t>
        </is>
      </c>
      <c r="I2438" s="9" t="n">
        <v>3137.41</v>
      </c>
      <c r="J2438" s="9" t="n">
        <v>2749.61</v>
      </c>
      <c r="K2438" s="9" t="n">
        <v>3009.59</v>
      </c>
      <c r="L2438" s="9" t="n">
        <v>3004.61</v>
      </c>
      <c r="M2438" s="9" t="n">
        <v>2961.27</v>
      </c>
      <c r="N2438" s="9" t="n">
        <v>2717.53</v>
      </c>
      <c r="O2438" s="9" t="n">
        <v>3040</v>
      </c>
      <c r="P2438" s="9" t="n">
        <v>2968.34</v>
      </c>
      <c r="Q2438" s="9" t="n">
        <v>2993.89</v>
      </c>
      <c r="R2438" s="9" t="n">
        <v>3462.69</v>
      </c>
      <c r="S2438" s="9" t="n">
        <v>2935.99</v>
      </c>
      <c r="T2438" s="9" t="n">
        <v>3116.32</v>
      </c>
      <c r="U2438" s="10">
        <f>SUM(I2438:T2438)</f>
        <v/>
      </c>
    </row>
    <row r="2439">
      <c r="A2439" s="2" t="inlineStr">
        <is>
          <t>SN-3000-3700-3700-3700PU0263</t>
        </is>
      </c>
      <c r="B2439" s="2" t="inlineStr">
        <is>
          <t>3700PU0263</t>
        </is>
      </c>
      <c r="C2439" s="2" t="inlineStr">
        <is>
          <t>Bomba solución clarificada</t>
        </is>
      </c>
      <c r="D2439" s="2" t="n">
        <v>813</v>
      </c>
      <c r="E2439" s="2" t="inlineStr">
        <is>
          <t>CC-3000</t>
        </is>
      </c>
      <c r="F2439" s="2" t="inlineStr">
        <is>
          <t>P01</t>
        </is>
      </c>
      <c r="G2439" s="2" t="n">
        <v>620000</v>
      </c>
      <c r="H2439" s="2" t="inlineStr">
        <is>
          <t>Materiales</t>
        </is>
      </c>
      <c r="I2439" s="9" t="n">
        <v>2269.17</v>
      </c>
      <c r="J2439" s="9" t="n">
        <v>2437.44</v>
      </c>
      <c r="K2439" s="9" t="n">
        <v>2475.85</v>
      </c>
      <c r="L2439" s="9" t="n">
        <v>2258.95</v>
      </c>
      <c r="M2439" s="9" t="n">
        <v>2327.59</v>
      </c>
      <c r="N2439" s="9" t="n">
        <v>2378.3</v>
      </c>
      <c r="O2439" s="9" t="n">
        <v>2269.21</v>
      </c>
      <c r="P2439" s="9" t="n">
        <v>2207.23</v>
      </c>
      <c r="Q2439" s="9" t="n">
        <v>2318.15</v>
      </c>
      <c r="R2439" s="9" t="n">
        <v>2492.65</v>
      </c>
      <c r="S2439" s="9" t="n">
        <v>2221.71</v>
      </c>
      <c r="T2439" s="9" t="n">
        <v>2272.55</v>
      </c>
      <c r="U2439" s="10">
        <f>SUM(I2439:T2439)</f>
        <v/>
      </c>
    </row>
    <row r="2440">
      <c r="A2440" s="2" t="inlineStr">
        <is>
          <t>SN-3000-3700-3700-3700PU0263</t>
        </is>
      </c>
      <c r="B2440" s="2" t="inlineStr">
        <is>
          <t>3700PU0263</t>
        </is>
      </c>
      <c r="C2440" s="2" t="inlineStr">
        <is>
          <t>Bomba solución clarificada</t>
        </is>
      </c>
      <c r="D2440" s="2" t="n">
        <v>813</v>
      </c>
      <c r="E2440" s="2" t="inlineStr">
        <is>
          <t>CC-3000</t>
        </is>
      </c>
      <c r="F2440" s="2" t="inlineStr">
        <is>
          <t>P01</t>
        </is>
      </c>
      <c r="G2440" s="2" t="n">
        <v>630000</v>
      </c>
      <c r="H2440" s="2" t="inlineStr">
        <is>
          <t>Servicios externos</t>
        </is>
      </c>
      <c r="I2440" s="9" t="n">
        <v>3227.98</v>
      </c>
      <c r="J2440" s="9" t="n">
        <v>2905.2</v>
      </c>
      <c r="K2440" s="9" t="n">
        <v>2859.03</v>
      </c>
      <c r="L2440" s="9" t="n">
        <v>3036.29</v>
      </c>
      <c r="M2440" s="9" t="n">
        <v>2813.96</v>
      </c>
      <c r="N2440" s="9" t="n">
        <v>2700.98</v>
      </c>
      <c r="O2440" s="9" t="n">
        <v>2946.45</v>
      </c>
      <c r="P2440" s="9" t="n">
        <v>2802.07</v>
      </c>
      <c r="Q2440" s="9" t="n">
        <v>2993.41</v>
      </c>
      <c r="R2440" s="9" t="n">
        <v>2997.43</v>
      </c>
      <c r="S2440" s="9" t="n">
        <v>2854.9</v>
      </c>
      <c r="T2440" s="9" t="n">
        <v>2876.75</v>
      </c>
      <c r="U2440" s="10">
        <f>SUM(I2440:T2440)</f>
        <v/>
      </c>
    </row>
    <row r="2441">
      <c r="A2441" s="2" t="inlineStr">
        <is>
          <t>SN-3000-3700-3700-3700PU0264</t>
        </is>
      </c>
      <c r="B2441" s="2" t="inlineStr">
        <is>
          <t>3700PU0264</t>
        </is>
      </c>
      <c r="C2441" s="2" t="inlineStr">
        <is>
          <t>Bomba solución clarificada</t>
        </is>
      </c>
      <c r="D2441" s="2" t="n">
        <v>814</v>
      </c>
      <c r="E2441" s="2" t="inlineStr">
        <is>
          <t>CC-3000</t>
        </is>
      </c>
      <c r="F2441" s="2" t="inlineStr">
        <is>
          <t>P01</t>
        </is>
      </c>
      <c r="G2441" s="2" t="n">
        <v>610000</v>
      </c>
      <c r="H2441" s="2" t="inlineStr">
        <is>
          <t>Mano obra interna</t>
        </is>
      </c>
      <c r="I2441" s="9" t="n">
        <v>1444.36</v>
      </c>
      <c r="J2441" s="9" t="n">
        <v>1505.33</v>
      </c>
      <c r="K2441" s="9" t="n">
        <v>1633.5</v>
      </c>
      <c r="L2441" s="9" t="n">
        <v>1662.21</v>
      </c>
      <c r="M2441" s="9" t="n">
        <v>1549.11</v>
      </c>
      <c r="N2441" s="9" t="n">
        <v>1357.51</v>
      </c>
      <c r="O2441" s="9" t="n">
        <v>1417.87</v>
      </c>
      <c r="P2441" s="9" t="n">
        <v>1572.15</v>
      </c>
      <c r="Q2441" s="9" t="n">
        <v>1347.92</v>
      </c>
      <c r="R2441" s="9" t="n">
        <v>1622.28</v>
      </c>
      <c r="S2441" s="9" t="n">
        <v>1580.66</v>
      </c>
      <c r="T2441" s="9" t="n">
        <v>1618.44</v>
      </c>
      <c r="U2441" s="10">
        <f>SUM(I2441:T2441)</f>
        <v/>
      </c>
    </row>
    <row r="2442">
      <c r="A2442" s="2" t="inlineStr">
        <is>
          <t>SN-3000-3700-3700-3700PU0264</t>
        </is>
      </c>
      <c r="B2442" s="2" t="inlineStr">
        <is>
          <t>3700PU0264</t>
        </is>
      </c>
      <c r="C2442" s="2" t="inlineStr">
        <is>
          <t>Bomba solución clarificada</t>
        </is>
      </c>
      <c r="D2442" s="2" t="n">
        <v>814</v>
      </c>
      <c r="E2442" s="2" t="inlineStr">
        <is>
          <t>CC-3000</t>
        </is>
      </c>
      <c r="F2442" s="2" t="inlineStr">
        <is>
          <t>P01</t>
        </is>
      </c>
      <c r="G2442" s="2" t="n">
        <v>620000</v>
      </c>
      <c r="H2442" s="2" t="inlineStr">
        <is>
          <t>Materiales</t>
        </is>
      </c>
      <c r="I2442" s="9" t="n">
        <v>1662.34</v>
      </c>
      <c r="J2442" s="9" t="n">
        <v>1545.22</v>
      </c>
      <c r="K2442" s="9" t="n">
        <v>1650.23</v>
      </c>
      <c r="L2442" s="9" t="n">
        <v>1537.96</v>
      </c>
      <c r="M2442" s="9" t="n">
        <v>1645.11</v>
      </c>
      <c r="N2442" s="9" t="n">
        <v>1419.99</v>
      </c>
      <c r="O2442" s="9" t="n">
        <v>1562.4</v>
      </c>
      <c r="P2442" s="9" t="n">
        <v>1484.73</v>
      </c>
      <c r="Q2442" s="9" t="n">
        <v>1344.16</v>
      </c>
      <c r="R2442" s="9" t="n">
        <v>1678.22</v>
      </c>
      <c r="S2442" s="9" t="n">
        <v>1455.39</v>
      </c>
      <c r="T2442" s="9" t="n">
        <v>1583.19</v>
      </c>
      <c r="U2442" s="10">
        <f>SUM(I2442:T2442)</f>
        <v/>
      </c>
    </row>
    <row r="2443">
      <c r="A2443" s="2" t="inlineStr">
        <is>
          <t>SN-3000-3700-3700-3700PU0264</t>
        </is>
      </c>
      <c r="B2443" s="2" t="inlineStr">
        <is>
          <t>3700PU0264</t>
        </is>
      </c>
      <c r="C2443" s="2" t="inlineStr">
        <is>
          <t>Bomba solución clarificada</t>
        </is>
      </c>
      <c r="D2443" s="2" t="n">
        <v>814</v>
      </c>
      <c r="E2443" s="2" t="inlineStr">
        <is>
          <t>CC-3000</t>
        </is>
      </c>
      <c r="F2443" s="2" t="inlineStr">
        <is>
          <t>P01</t>
        </is>
      </c>
      <c r="G2443" s="2" t="n">
        <v>630000</v>
      </c>
      <c r="H2443" s="2" t="inlineStr">
        <is>
          <t>Servicios externos</t>
        </is>
      </c>
      <c r="I2443" s="9" t="n">
        <v>1457.47</v>
      </c>
      <c r="J2443" s="9" t="n">
        <v>1312.47</v>
      </c>
      <c r="K2443" s="9" t="n">
        <v>1448.99</v>
      </c>
      <c r="L2443" s="9" t="n">
        <v>1521.74</v>
      </c>
      <c r="M2443" s="9" t="n">
        <v>1361.95</v>
      </c>
      <c r="N2443" s="9" t="n">
        <v>1343.64</v>
      </c>
      <c r="O2443" s="9" t="n">
        <v>1417.37</v>
      </c>
      <c r="P2443" s="9" t="n">
        <v>1499.31</v>
      </c>
      <c r="Q2443" s="9" t="n">
        <v>1352.96</v>
      </c>
      <c r="R2443" s="9" t="n">
        <v>1431.51</v>
      </c>
      <c r="S2443" s="9" t="n">
        <v>1453.05</v>
      </c>
      <c r="T2443" s="9" t="n">
        <v>1515.65</v>
      </c>
      <c r="U2443" s="10">
        <f>SUM(I2443:T2443)</f>
        <v/>
      </c>
    </row>
    <row r="2444">
      <c r="A2444" s="2" t="inlineStr">
        <is>
          <t>SN-3000-3700-3700-3700PU0271</t>
        </is>
      </c>
      <c r="B2444" s="2" t="inlineStr">
        <is>
          <t>3700PU0271</t>
        </is>
      </c>
      <c r="C2444" s="2" t="inlineStr">
        <is>
          <t>Bomba solución detox</t>
        </is>
      </c>
      <c r="D2444" s="2" t="n">
        <v>815</v>
      </c>
      <c r="E2444" s="2" t="inlineStr">
        <is>
          <t>CC-3000</t>
        </is>
      </c>
      <c r="F2444" s="2" t="inlineStr">
        <is>
          <t>P01</t>
        </is>
      </c>
      <c r="G2444" s="2" t="n">
        <v>610000</v>
      </c>
      <c r="H2444" s="2" t="inlineStr">
        <is>
          <t>Mano obra interna</t>
        </is>
      </c>
      <c r="I2444" s="9" t="n">
        <v>3010.11</v>
      </c>
      <c r="J2444" s="9" t="n">
        <v>3040.17</v>
      </c>
      <c r="K2444" s="9" t="n">
        <v>3048.15</v>
      </c>
      <c r="L2444" s="9" t="n">
        <v>3144.82</v>
      </c>
      <c r="M2444" s="9" t="n">
        <v>3112.52</v>
      </c>
      <c r="N2444" s="9" t="n">
        <v>3011.62</v>
      </c>
      <c r="O2444" s="9" t="n">
        <v>2944.53</v>
      </c>
      <c r="P2444" s="9" t="n">
        <v>3132.86</v>
      </c>
      <c r="Q2444" s="9" t="n">
        <v>2583.83</v>
      </c>
      <c r="R2444" s="9" t="n">
        <v>2993.56</v>
      </c>
      <c r="S2444" s="9" t="n">
        <v>2892.23</v>
      </c>
      <c r="T2444" s="9" t="n">
        <v>3081.86</v>
      </c>
      <c r="U2444" s="10">
        <f>SUM(I2444:T2444)</f>
        <v/>
      </c>
    </row>
    <row r="2445">
      <c r="A2445" s="2" t="inlineStr">
        <is>
          <t>SN-3000-3700-3700-3700PU0271</t>
        </is>
      </c>
      <c r="B2445" s="2" t="inlineStr">
        <is>
          <t>3700PU0271</t>
        </is>
      </c>
      <c r="C2445" s="2" t="inlineStr">
        <is>
          <t>Bomba solución detox</t>
        </is>
      </c>
      <c r="D2445" s="2" t="n">
        <v>815</v>
      </c>
      <c r="E2445" s="2" t="inlineStr">
        <is>
          <t>CC-3000</t>
        </is>
      </c>
      <c r="F2445" s="2" t="inlineStr">
        <is>
          <t>P01</t>
        </is>
      </c>
      <c r="G2445" s="2" t="n">
        <v>620000</v>
      </c>
      <c r="H2445" s="2" t="inlineStr">
        <is>
          <t>Materiales</t>
        </is>
      </c>
      <c r="I2445" s="9" t="n">
        <v>2397.16</v>
      </c>
      <c r="J2445" s="9" t="n">
        <v>2172.22</v>
      </c>
      <c r="K2445" s="9" t="n">
        <v>2473.09</v>
      </c>
      <c r="L2445" s="9" t="n">
        <v>2547.67</v>
      </c>
      <c r="M2445" s="9" t="n">
        <v>2423.06</v>
      </c>
      <c r="N2445" s="9" t="n">
        <v>2211.17</v>
      </c>
      <c r="O2445" s="9" t="n">
        <v>2546.21</v>
      </c>
      <c r="P2445" s="9" t="n">
        <v>2418.39</v>
      </c>
      <c r="Q2445" s="9" t="n">
        <v>2306.41</v>
      </c>
      <c r="R2445" s="9" t="n">
        <v>2612.75</v>
      </c>
      <c r="S2445" s="9" t="n">
        <v>2462.18</v>
      </c>
      <c r="T2445" s="9" t="n">
        <v>2516.81</v>
      </c>
      <c r="U2445" s="10">
        <f>SUM(I2445:T2445)</f>
        <v/>
      </c>
    </row>
    <row r="2446">
      <c r="A2446" s="2" t="inlineStr">
        <is>
          <t>SN-3000-3700-3700-3700PU0271</t>
        </is>
      </c>
      <c r="B2446" s="2" t="inlineStr">
        <is>
          <t>3700PU0271</t>
        </is>
      </c>
      <c r="C2446" s="2" t="inlineStr">
        <is>
          <t>Bomba solución detox</t>
        </is>
      </c>
      <c r="D2446" s="2" t="n">
        <v>815</v>
      </c>
      <c r="E2446" s="2" t="inlineStr">
        <is>
          <t>CC-3000</t>
        </is>
      </c>
      <c r="F2446" s="2" t="inlineStr">
        <is>
          <t>P01</t>
        </is>
      </c>
      <c r="G2446" s="2" t="n">
        <v>630000</v>
      </c>
      <c r="H2446" s="2" t="inlineStr">
        <is>
          <t>Servicios externos</t>
        </is>
      </c>
      <c r="I2446" s="9" t="n">
        <v>2736.03</v>
      </c>
      <c r="J2446" s="9" t="n">
        <v>2775.62</v>
      </c>
      <c r="K2446" s="9" t="n">
        <v>2865.92</v>
      </c>
      <c r="L2446" s="9" t="n">
        <v>2856.78</v>
      </c>
      <c r="M2446" s="9" t="n">
        <v>2642.09</v>
      </c>
      <c r="N2446" s="9" t="n">
        <v>2588.32</v>
      </c>
      <c r="O2446" s="9" t="n">
        <v>2765.19</v>
      </c>
      <c r="P2446" s="9" t="n">
        <v>2884.99</v>
      </c>
      <c r="Q2446" s="9" t="n">
        <v>2656.43</v>
      </c>
      <c r="R2446" s="9" t="n">
        <v>2773.06</v>
      </c>
      <c r="S2446" s="9" t="n">
        <v>2543.1</v>
      </c>
      <c r="T2446" s="9" t="n">
        <v>2568.67</v>
      </c>
      <c r="U2446" s="10">
        <f>SUM(I2446:T2446)</f>
        <v/>
      </c>
    </row>
    <row r="2447">
      <c r="A2447" s="2" t="inlineStr">
        <is>
          <t>SN-3000-3700-3700-3700PU0272</t>
        </is>
      </c>
      <c r="B2447" s="2" t="inlineStr">
        <is>
          <t>3700PU0272</t>
        </is>
      </c>
      <c r="C2447" s="2" t="inlineStr">
        <is>
          <t>Bomba solución detox</t>
        </is>
      </c>
      <c r="D2447" s="2" t="n">
        <v>816</v>
      </c>
      <c r="E2447" s="2" t="inlineStr">
        <is>
          <t>CC-3000</t>
        </is>
      </c>
      <c r="F2447" s="2" t="inlineStr">
        <is>
          <t>P01</t>
        </is>
      </c>
      <c r="G2447" s="2" t="n">
        <v>610000</v>
      </c>
      <c r="H2447" s="2" t="inlineStr">
        <is>
          <t>Mano obra interna</t>
        </is>
      </c>
      <c r="I2447" s="9" t="n">
        <v>1053.29</v>
      </c>
      <c r="J2447" s="9" t="n">
        <v>1113.95</v>
      </c>
      <c r="K2447" s="9" t="n">
        <v>1185.65</v>
      </c>
      <c r="L2447" s="9" t="n">
        <v>1084.07</v>
      </c>
      <c r="M2447" s="9" t="n">
        <v>1079.02</v>
      </c>
      <c r="N2447" s="9" t="n">
        <v>1065.98</v>
      </c>
      <c r="O2447" s="9" t="n">
        <v>1158.13</v>
      </c>
      <c r="P2447" s="9" t="n">
        <v>1149.84</v>
      </c>
      <c r="Q2447" s="9" t="n">
        <v>933.58</v>
      </c>
      <c r="R2447" s="9" t="n">
        <v>1117.13</v>
      </c>
      <c r="S2447" s="9" t="n">
        <v>969.53</v>
      </c>
      <c r="T2447" s="9" t="n">
        <v>1115.83</v>
      </c>
      <c r="U2447" s="10">
        <f>SUM(I2447:T2447)</f>
        <v/>
      </c>
    </row>
    <row r="2448">
      <c r="A2448" s="2" t="inlineStr">
        <is>
          <t>SN-3000-3700-3700-3700PU0272</t>
        </is>
      </c>
      <c r="B2448" s="2" t="inlineStr">
        <is>
          <t>3700PU0272</t>
        </is>
      </c>
      <c r="C2448" s="2" t="inlineStr">
        <is>
          <t>Bomba solución detox</t>
        </is>
      </c>
      <c r="D2448" s="2" t="n">
        <v>816</v>
      </c>
      <c r="E2448" s="2" t="inlineStr">
        <is>
          <t>CC-3000</t>
        </is>
      </c>
      <c r="F2448" s="2" t="inlineStr">
        <is>
          <t>P01</t>
        </is>
      </c>
      <c r="G2448" s="2" t="n">
        <v>620000</v>
      </c>
      <c r="H2448" s="2" t="inlineStr">
        <is>
          <t>Materiales</t>
        </is>
      </c>
      <c r="I2448" s="9" t="n">
        <v>1324.66</v>
      </c>
      <c r="J2448" s="9" t="n">
        <v>1393.04</v>
      </c>
      <c r="K2448" s="9" t="n">
        <v>1370.6</v>
      </c>
      <c r="L2448" s="9" t="n">
        <v>1477.28</v>
      </c>
      <c r="M2448" s="9" t="n">
        <v>1218.92</v>
      </c>
      <c r="N2448" s="9" t="n">
        <v>1199.89</v>
      </c>
      <c r="O2448" s="9" t="n">
        <v>1296.8</v>
      </c>
      <c r="P2448" s="9" t="n">
        <v>1236.12</v>
      </c>
      <c r="Q2448" s="9" t="n">
        <v>1302.43</v>
      </c>
      <c r="R2448" s="9" t="n">
        <v>1340.35</v>
      </c>
      <c r="S2448" s="9" t="n">
        <v>1347.54</v>
      </c>
      <c r="T2448" s="9" t="n">
        <v>1261.29</v>
      </c>
      <c r="U2448" s="10">
        <f>SUM(I2448:T2448)</f>
        <v/>
      </c>
    </row>
    <row r="2449">
      <c r="A2449" s="2" t="inlineStr">
        <is>
          <t>SN-3000-3700-3700-3700PU0272</t>
        </is>
      </c>
      <c r="B2449" s="2" t="inlineStr">
        <is>
          <t>3700PU0272</t>
        </is>
      </c>
      <c r="C2449" s="2" t="inlineStr">
        <is>
          <t>Bomba solución detox</t>
        </is>
      </c>
      <c r="D2449" s="2" t="n">
        <v>816</v>
      </c>
      <c r="E2449" s="2" t="inlineStr">
        <is>
          <t>CC-3000</t>
        </is>
      </c>
      <c r="F2449" s="2" t="inlineStr">
        <is>
          <t>P01</t>
        </is>
      </c>
      <c r="G2449" s="2" t="n">
        <v>630000</v>
      </c>
      <c r="H2449" s="2" t="inlineStr">
        <is>
          <t>Servicios externos</t>
        </is>
      </c>
      <c r="I2449" s="9" t="n">
        <v>1219.22</v>
      </c>
      <c r="J2449" s="9" t="n">
        <v>1195.83</v>
      </c>
      <c r="K2449" s="9" t="n">
        <v>1152.34</v>
      </c>
      <c r="L2449" s="9" t="n">
        <v>1244.48</v>
      </c>
      <c r="M2449" s="9" t="n">
        <v>1143.52</v>
      </c>
      <c r="N2449" s="9" t="n">
        <v>1068.15</v>
      </c>
      <c r="O2449" s="9" t="n">
        <v>1187.89</v>
      </c>
      <c r="P2449" s="9" t="n">
        <v>1094.58</v>
      </c>
      <c r="Q2449" s="9" t="n">
        <v>1014.7</v>
      </c>
      <c r="R2449" s="9" t="n">
        <v>1251.89</v>
      </c>
      <c r="S2449" s="9" t="n">
        <v>1077.1</v>
      </c>
      <c r="T2449" s="9" t="n">
        <v>1082.35</v>
      </c>
      <c r="U2449" s="10">
        <f>SUM(I2449:T2449)</f>
        <v/>
      </c>
    </row>
    <row r="2450">
      <c r="A2450" s="2" t="inlineStr">
        <is>
          <t>SN-3000-3700-3700-3700PU0274</t>
        </is>
      </c>
      <c r="B2450" s="2" t="inlineStr">
        <is>
          <t>3700PU0274</t>
        </is>
      </c>
      <c r="C2450" s="2" t="inlineStr">
        <is>
          <t>Bomba agua de Molienda</t>
        </is>
      </c>
      <c r="D2450" s="2" t="n">
        <v>817</v>
      </c>
      <c r="E2450" s="2" t="inlineStr">
        <is>
          <t>CC-3000</t>
        </is>
      </c>
      <c r="F2450" s="2" t="inlineStr">
        <is>
          <t>P01</t>
        </is>
      </c>
      <c r="G2450" s="2" t="n">
        <v>610000</v>
      </c>
      <c r="H2450" s="2" t="inlineStr">
        <is>
          <t>Mano obra interna</t>
        </is>
      </c>
      <c r="I2450" s="9" t="n">
        <v>333.37</v>
      </c>
      <c r="J2450" s="9" t="n">
        <v>316.11</v>
      </c>
      <c r="K2450" s="9" t="n">
        <v>317.51</v>
      </c>
      <c r="L2450" s="9" t="n">
        <v>339.29</v>
      </c>
      <c r="M2450" s="9" t="n">
        <v>304.55</v>
      </c>
      <c r="N2450" s="9" t="n">
        <v>308.51</v>
      </c>
      <c r="O2450" s="9" t="n">
        <v>332.77</v>
      </c>
      <c r="P2450" s="9" t="n">
        <v>328.95</v>
      </c>
      <c r="Q2450" s="9" t="n">
        <v>291.12</v>
      </c>
      <c r="R2450" s="9" t="n">
        <v>346.39</v>
      </c>
      <c r="S2450" s="9" t="n">
        <v>298.04</v>
      </c>
      <c r="T2450" s="9" t="n">
        <v>324.28</v>
      </c>
      <c r="U2450" s="10">
        <f>SUM(I2450:T2450)</f>
        <v/>
      </c>
    </row>
    <row r="2451">
      <c r="A2451" s="2" t="inlineStr">
        <is>
          <t>SN-3000-3700-3700-3700PU0274</t>
        </is>
      </c>
      <c r="B2451" s="2" t="inlineStr">
        <is>
          <t>3700PU0274</t>
        </is>
      </c>
      <c r="C2451" s="2" t="inlineStr">
        <is>
          <t>Bomba agua de Molienda</t>
        </is>
      </c>
      <c r="D2451" s="2" t="n">
        <v>817</v>
      </c>
      <c r="E2451" s="2" t="inlineStr">
        <is>
          <t>CC-3000</t>
        </is>
      </c>
      <c r="F2451" s="2" t="inlineStr">
        <is>
          <t>P01</t>
        </is>
      </c>
      <c r="G2451" s="2" t="n">
        <v>620000</v>
      </c>
      <c r="H2451" s="2" t="inlineStr">
        <is>
          <t>Materiales</t>
        </is>
      </c>
      <c r="I2451" s="9" t="n">
        <v>342.69</v>
      </c>
      <c r="J2451" s="9" t="n">
        <v>318.57</v>
      </c>
      <c r="K2451" s="9" t="n">
        <v>324.11</v>
      </c>
      <c r="L2451" s="9" t="n">
        <v>351.62</v>
      </c>
      <c r="M2451" s="9" t="n">
        <v>355.3</v>
      </c>
      <c r="N2451" s="9" t="n">
        <v>299.71</v>
      </c>
      <c r="O2451" s="9" t="n">
        <v>322.88</v>
      </c>
      <c r="P2451" s="9" t="n">
        <v>336.82</v>
      </c>
      <c r="Q2451" s="9" t="n">
        <v>324.17</v>
      </c>
      <c r="R2451" s="9" t="n">
        <v>346.59</v>
      </c>
      <c r="S2451" s="9" t="n">
        <v>305.11</v>
      </c>
      <c r="T2451" s="9" t="n">
        <v>345.32</v>
      </c>
      <c r="U2451" s="10">
        <f>SUM(I2451:T2451)</f>
        <v/>
      </c>
    </row>
    <row r="2452">
      <c r="A2452" s="2" t="inlineStr">
        <is>
          <t>SN-3000-3700-3700-3700PU0274</t>
        </is>
      </c>
      <c r="B2452" s="2" t="inlineStr">
        <is>
          <t>3700PU0274</t>
        </is>
      </c>
      <c r="C2452" s="2" t="inlineStr">
        <is>
          <t>Bomba agua de Molienda</t>
        </is>
      </c>
      <c r="D2452" s="2" t="n">
        <v>817</v>
      </c>
      <c r="E2452" s="2" t="inlineStr">
        <is>
          <t>CC-3000</t>
        </is>
      </c>
      <c r="F2452" s="2" t="inlineStr">
        <is>
          <t>P01</t>
        </is>
      </c>
      <c r="G2452" s="2" t="n">
        <v>630000</v>
      </c>
      <c r="H2452" s="2" t="inlineStr">
        <is>
          <t>Servicios externos</t>
        </is>
      </c>
      <c r="I2452" s="9" t="n">
        <v>374.66</v>
      </c>
      <c r="J2452" s="9" t="n">
        <v>381.08</v>
      </c>
      <c r="K2452" s="9" t="n">
        <v>419.75</v>
      </c>
      <c r="L2452" s="9" t="n">
        <v>381.3</v>
      </c>
      <c r="M2452" s="9" t="n">
        <v>375.82</v>
      </c>
      <c r="N2452" s="9" t="n">
        <v>381.23</v>
      </c>
      <c r="O2452" s="9" t="n">
        <v>425.44</v>
      </c>
      <c r="P2452" s="9" t="n">
        <v>382.72</v>
      </c>
      <c r="Q2452" s="9" t="n">
        <v>368.35</v>
      </c>
      <c r="R2452" s="9" t="n">
        <v>420.75</v>
      </c>
      <c r="S2452" s="9" t="n">
        <v>408.24</v>
      </c>
      <c r="T2452" s="9" t="n">
        <v>374.82</v>
      </c>
      <c r="U2452" s="10">
        <f>SUM(I2452:T2452)</f>
        <v/>
      </c>
    </row>
    <row r="2453">
      <c r="A2453" s="2" t="inlineStr">
        <is>
          <t>SN-3000-3700-3700-3700PU0275</t>
        </is>
      </c>
      <c r="B2453" s="2" t="inlineStr">
        <is>
          <t>3700PU0275</t>
        </is>
      </c>
      <c r="C2453" s="2" t="inlineStr">
        <is>
          <t>Bomba agua de Molienda</t>
        </is>
      </c>
      <c r="D2453" s="2" t="n">
        <v>818</v>
      </c>
      <c r="E2453" s="2" t="inlineStr">
        <is>
          <t>CC-3000</t>
        </is>
      </c>
      <c r="F2453" s="2" t="inlineStr">
        <is>
          <t>P01</t>
        </is>
      </c>
      <c r="G2453" s="2" t="n">
        <v>610000</v>
      </c>
      <c r="H2453" s="2" t="inlineStr">
        <is>
          <t>Mano obra interna</t>
        </is>
      </c>
      <c r="I2453" s="9" t="n">
        <v>2418.73</v>
      </c>
      <c r="J2453" s="9" t="n">
        <v>2383.7</v>
      </c>
      <c r="K2453" s="9" t="n">
        <v>2389.69</v>
      </c>
      <c r="L2453" s="9" t="n">
        <v>2250.42</v>
      </c>
      <c r="M2453" s="9" t="n">
        <v>2190.44</v>
      </c>
      <c r="N2453" s="9" t="n">
        <v>2095.45</v>
      </c>
      <c r="O2453" s="9" t="n">
        <v>2283.26</v>
      </c>
      <c r="P2453" s="9" t="n">
        <v>2329.27</v>
      </c>
      <c r="Q2453" s="9" t="n">
        <v>2196.65</v>
      </c>
      <c r="R2453" s="9" t="n">
        <v>2388.77</v>
      </c>
      <c r="S2453" s="9" t="n">
        <v>2248.67</v>
      </c>
      <c r="T2453" s="9" t="n">
        <v>2430.07</v>
      </c>
      <c r="U2453" s="10">
        <f>SUM(I2453:T2453)</f>
        <v/>
      </c>
    </row>
    <row r="2454">
      <c r="A2454" s="2" t="inlineStr">
        <is>
          <t>SN-3000-3700-3700-3700PU0275</t>
        </is>
      </c>
      <c r="B2454" s="2" t="inlineStr">
        <is>
          <t>3700PU0275</t>
        </is>
      </c>
      <c r="C2454" s="2" t="inlineStr">
        <is>
          <t>Bomba agua de Molienda</t>
        </is>
      </c>
      <c r="D2454" s="2" t="n">
        <v>818</v>
      </c>
      <c r="E2454" s="2" t="inlineStr">
        <is>
          <t>CC-3000</t>
        </is>
      </c>
      <c r="F2454" s="2" t="inlineStr">
        <is>
          <t>P01</t>
        </is>
      </c>
      <c r="G2454" s="2" t="n">
        <v>620000</v>
      </c>
      <c r="H2454" s="2" t="inlineStr">
        <is>
          <t>Materiales</t>
        </is>
      </c>
      <c r="I2454" s="9" t="n">
        <v>2646.97</v>
      </c>
      <c r="J2454" s="9" t="n">
        <v>2527.09</v>
      </c>
      <c r="K2454" s="9" t="n">
        <v>2603.46</v>
      </c>
      <c r="L2454" s="9" t="n">
        <v>2436.22</v>
      </c>
      <c r="M2454" s="9" t="n">
        <v>2335.33</v>
      </c>
      <c r="N2454" s="9" t="n">
        <v>2395.15</v>
      </c>
      <c r="O2454" s="9" t="n">
        <v>2375.2</v>
      </c>
      <c r="P2454" s="9" t="n">
        <v>2539.98</v>
      </c>
      <c r="Q2454" s="9" t="n">
        <v>2391.87</v>
      </c>
      <c r="R2454" s="9" t="n">
        <v>2718.97</v>
      </c>
      <c r="S2454" s="9" t="n">
        <v>2250.46</v>
      </c>
      <c r="T2454" s="9" t="n">
        <v>2367.91</v>
      </c>
      <c r="U2454" s="10">
        <f>SUM(I2454:T2454)</f>
        <v/>
      </c>
    </row>
    <row r="2455">
      <c r="A2455" s="2" t="inlineStr">
        <is>
          <t>SN-3000-3700-3700-3700PU0275</t>
        </is>
      </c>
      <c r="B2455" s="2" t="inlineStr">
        <is>
          <t>3700PU0275</t>
        </is>
      </c>
      <c r="C2455" s="2" t="inlineStr">
        <is>
          <t>Bomba agua de Molienda</t>
        </is>
      </c>
      <c r="D2455" s="2" t="n">
        <v>818</v>
      </c>
      <c r="E2455" s="2" t="inlineStr">
        <is>
          <t>CC-3000</t>
        </is>
      </c>
      <c r="F2455" s="2" t="inlineStr">
        <is>
          <t>P01</t>
        </is>
      </c>
      <c r="G2455" s="2" t="n">
        <v>630000</v>
      </c>
      <c r="H2455" s="2" t="inlineStr">
        <is>
          <t>Servicios externos</t>
        </is>
      </c>
      <c r="I2455" s="9" t="n">
        <v>1873.96</v>
      </c>
      <c r="J2455" s="9" t="n">
        <v>2063.98</v>
      </c>
      <c r="K2455" s="9" t="n">
        <v>1955</v>
      </c>
      <c r="L2455" s="9" t="n">
        <v>1920.12</v>
      </c>
      <c r="M2455" s="9" t="n">
        <v>1785.51</v>
      </c>
      <c r="N2455" s="9" t="n">
        <v>1898.24</v>
      </c>
      <c r="O2455" s="9" t="n">
        <v>1991.61</v>
      </c>
      <c r="P2455" s="9" t="n">
        <v>1841.09</v>
      </c>
      <c r="Q2455" s="9" t="n">
        <v>1930.4</v>
      </c>
      <c r="R2455" s="9" t="n">
        <v>2196.56</v>
      </c>
      <c r="S2455" s="9" t="n">
        <v>1800.15</v>
      </c>
      <c r="T2455" s="9" t="n">
        <v>1967.78</v>
      </c>
      <c r="U2455" s="10">
        <f>SUM(I2455:T2455)</f>
        <v/>
      </c>
    </row>
    <row r="2456">
      <c r="A2456" s="2" t="inlineStr">
        <is>
          <t>SN-3000-3700-3700-3700PU0283</t>
        </is>
      </c>
      <c r="B2456" s="2" t="inlineStr">
        <is>
          <t>3700PU0283</t>
        </is>
      </c>
      <c r="C2456" s="2" t="inlineStr">
        <is>
          <t>Bomba agua sello</t>
        </is>
      </c>
      <c r="D2456" s="2" t="n">
        <v>819</v>
      </c>
      <c r="E2456" s="2" t="inlineStr">
        <is>
          <t>CC-3000</t>
        </is>
      </c>
      <c r="F2456" s="2" t="inlineStr">
        <is>
          <t>P01</t>
        </is>
      </c>
      <c r="G2456" s="2" t="n">
        <v>610000</v>
      </c>
      <c r="H2456" s="2" t="inlineStr">
        <is>
          <t>Mano obra interna</t>
        </is>
      </c>
      <c r="I2456" s="9" t="n">
        <v>2540.5</v>
      </c>
      <c r="J2456" s="9" t="n">
        <v>2639.47</v>
      </c>
      <c r="K2456" s="9" t="n">
        <v>2466.64</v>
      </c>
      <c r="L2456" s="9" t="n">
        <v>2571.34</v>
      </c>
      <c r="M2456" s="9" t="n">
        <v>2494.99</v>
      </c>
      <c r="N2456" s="9" t="n">
        <v>2426.19</v>
      </c>
      <c r="O2456" s="9" t="n">
        <v>2699.11</v>
      </c>
      <c r="P2456" s="9" t="n">
        <v>2433.61</v>
      </c>
      <c r="Q2456" s="9" t="n">
        <v>2223.31</v>
      </c>
      <c r="R2456" s="9" t="n">
        <v>2802.3</v>
      </c>
      <c r="S2456" s="9" t="n">
        <v>2340.14</v>
      </c>
      <c r="T2456" s="9" t="n">
        <v>2412.27</v>
      </c>
      <c r="U2456" s="10">
        <f>SUM(I2456:T2456)</f>
        <v/>
      </c>
    </row>
    <row r="2457">
      <c r="A2457" s="2" t="inlineStr">
        <is>
          <t>SN-3000-3700-3700-3700PU0283</t>
        </is>
      </c>
      <c r="B2457" s="2" t="inlineStr">
        <is>
          <t>3700PU0283</t>
        </is>
      </c>
      <c r="C2457" s="2" t="inlineStr">
        <is>
          <t>Bomba agua sello</t>
        </is>
      </c>
      <c r="D2457" s="2" t="n">
        <v>819</v>
      </c>
      <c r="E2457" s="2" t="inlineStr">
        <is>
          <t>CC-3000</t>
        </is>
      </c>
      <c r="F2457" s="2" t="inlineStr">
        <is>
          <t>P01</t>
        </is>
      </c>
      <c r="G2457" s="2" t="n">
        <v>620000</v>
      </c>
      <c r="H2457" s="2" t="inlineStr">
        <is>
          <t>Materiales</t>
        </is>
      </c>
      <c r="I2457" s="9" t="n">
        <v>2367.06</v>
      </c>
      <c r="J2457" s="9" t="n">
        <v>2337.77</v>
      </c>
      <c r="K2457" s="9" t="n">
        <v>2408.15</v>
      </c>
      <c r="L2457" s="9" t="n">
        <v>2319.42</v>
      </c>
      <c r="M2457" s="9" t="n">
        <v>2425.71</v>
      </c>
      <c r="N2457" s="9" t="n">
        <v>2145.33</v>
      </c>
      <c r="O2457" s="9" t="n">
        <v>2609.95</v>
      </c>
      <c r="P2457" s="9" t="n">
        <v>2364.23</v>
      </c>
      <c r="Q2457" s="9" t="n">
        <v>2330.38</v>
      </c>
      <c r="R2457" s="9" t="n">
        <v>2748.02</v>
      </c>
      <c r="S2457" s="9" t="n">
        <v>2267.03</v>
      </c>
      <c r="T2457" s="9" t="n">
        <v>2561.72</v>
      </c>
      <c r="U2457" s="10">
        <f>SUM(I2457:T2457)</f>
        <v/>
      </c>
    </row>
    <row r="2458">
      <c r="A2458" s="2" t="inlineStr">
        <is>
          <t>SN-3000-3700-3700-3700PU0283</t>
        </is>
      </c>
      <c r="B2458" s="2" t="inlineStr">
        <is>
          <t>3700PU0283</t>
        </is>
      </c>
      <c r="C2458" s="2" t="inlineStr">
        <is>
          <t>Bomba agua sello</t>
        </is>
      </c>
      <c r="D2458" s="2" t="n">
        <v>819</v>
      </c>
      <c r="E2458" s="2" t="inlineStr">
        <is>
          <t>CC-3000</t>
        </is>
      </c>
      <c r="F2458" s="2" t="inlineStr">
        <is>
          <t>P01</t>
        </is>
      </c>
      <c r="G2458" s="2" t="n">
        <v>630000</v>
      </c>
      <c r="H2458" s="2" t="inlineStr">
        <is>
          <t>Servicios externos</t>
        </is>
      </c>
      <c r="I2458" s="9" t="n">
        <v>2623.44</v>
      </c>
      <c r="J2458" s="9" t="n">
        <v>2848.28</v>
      </c>
      <c r="K2458" s="9" t="n">
        <v>2553.56</v>
      </c>
      <c r="L2458" s="9" t="n">
        <v>2615.86</v>
      </c>
      <c r="M2458" s="9" t="n">
        <v>2771.97</v>
      </c>
      <c r="N2458" s="9" t="n">
        <v>2437.62</v>
      </c>
      <c r="O2458" s="9" t="n">
        <v>2767.12</v>
      </c>
      <c r="P2458" s="9" t="n">
        <v>2831.21</v>
      </c>
      <c r="Q2458" s="9" t="n">
        <v>2678.88</v>
      </c>
      <c r="R2458" s="9" t="n">
        <v>2879.16</v>
      </c>
      <c r="S2458" s="9" t="n">
        <v>2790.83</v>
      </c>
      <c r="T2458" s="9" t="n">
        <v>2682.16</v>
      </c>
      <c r="U2458" s="10">
        <f>SUM(I2458:T2458)</f>
        <v/>
      </c>
    </row>
    <row r="2459">
      <c r="A2459" s="2" t="inlineStr">
        <is>
          <t>SN-3000-3700-3700-3700PU0284</t>
        </is>
      </c>
      <c r="B2459" s="2" t="inlineStr">
        <is>
          <t>3700PU0284</t>
        </is>
      </c>
      <c r="C2459" s="2" t="inlineStr">
        <is>
          <t>Bomba agua sello</t>
        </is>
      </c>
      <c r="D2459" s="2" t="n">
        <v>820</v>
      </c>
      <c r="E2459" s="2" t="inlineStr">
        <is>
          <t>CC-3000</t>
        </is>
      </c>
      <c r="F2459" s="2" t="inlineStr">
        <is>
          <t>P01</t>
        </is>
      </c>
      <c r="G2459" s="2" t="n">
        <v>610000</v>
      </c>
      <c r="H2459" s="2" t="inlineStr">
        <is>
          <t>Mano obra interna</t>
        </is>
      </c>
      <c r="I2459" s="9" t="n">
        <v>170.3</v>
      </c>
      <c r="J2459" s="9" t="n">
        <v>167.86</v>
      </c>
      <c r="K2459" s="9" t="n">
        <v>170.57</v>
      </c>
      <c r="L2459" s="9" t="n">
        <v>171.95</v>
      </c>
      <c r="M2459" s="9" t="n">
        <v>162.53</v>
      </c>
      <c r="N2459" s="9" t="n">
        <v>159.77</v>
      </c>
      <c r="O2459" s="9" t="n">
        <v>178.59</v>
      </c>
      <c r="P2459" s="9" t="n">
        <v>166.33</v>
      </c>
      <c r="Q2459" s="9" t="n">
        <v>148.83</v>
      </c>
      <c r="R2459" s="9" t="n">
        <v>186.94</v>
      </c>
      <c r="S2459" s="9" t="n">
        <v>156.95</v>
      </c>
      <c r="T2459" s="9" t="n">
        <v>177.47</v>
      </c>
      <c r="U2459" s="10">
        <f>SUM(I2459:T2459)</f>
        <v/>
      </c>
    </row>
    <row r="2460">
      <c r="A2460" s="2" t="inlineStr">
        <is>
          <t>SN-3000-3700-3700-3700PU0284</t>
        </is>
      </c>
      <c r="B2460" s="2" t="inlineStr">
        <is>
          <t>3700PU0284</t>
        </is>
      </c>
      <c r="C2460" s="2" t="inlineStr">
        <is>
          <t>Bomba agua sello</t>
        </is>
      </c>
      <c r="D2460" s="2" t="n">
        <v>820</v>
      </c>
      <c r="E2460" s="2" t="inlineStr">
        <is>
          <t>CC-3000</t>
        </is>
      </c>
      <c r="F2460" s="2" t="inlineStr">
        <is>
          <t>P01</t>
        </is>
      </c>
      <c r="G2460" s="2" t="n">
        <v>620000</v>
      </c>
      <c r="H2460" s="2" t="inlineStr">
        <is>
          <t>Materiales</t>
        </is>
      </c>
      <c r="I2460" s="9" t="n">
        <v>153.64</v>
      </c>
      <c r="J2460" s="9" t="n">
        <v>142.43</v>
      </c>
      <c r="K2460" s="9" t="n">
        <v>148.96</v>
      </c>
      <c r="L2460" s="9" t="n">
        <v>162.07</v>
      </c>
      <c r="M2460" s="9" t="n">
        <v>150.25</v>
      </c>
      <c r="N2460" s="9" t="n">
        <v>156.65</v>
      </c>
      <c r="O2460" s="9" t="n">
        <v>155.13</v>
      </c>
      <c r="P2460" s="9" t="n">
        <v>149.48</v>
      </c>
      <c r="Q2460" s="9" t="n">
        <v>149.05</v>
      </c>
      <c r="R2460" s="9" t="n">
        <v>170.09</v>
      </c>
      <c r="S2460" s="9" t="n">
        <v>156.89</v>
      </c>
      <c r="T2460" s="9" t="n">
        <v>160.56</v>
      </c>
      <c r="U2460" s="10">
        <f>SUM(I2460:T2460)</f>
        <v/>
      </c>
    </row>
    <row r="2461">
      <c r="A2461" s="2" t="inlineStr">
        <is>
          <t>SN-3000-3700-3700-3700PU0284</t>
        </is>
      </c>
      <c r="B2461" s="2" t="inlineStr">
        <is>
          <t>3700PU0284</t>
        </is>
      </c>
      <c r="C2461" s="2" t="inlineStr">
        <is>
          <t>Bomba agua sello</t>
        </is>
      </c>
      <c r="D2461" s="2" t="n">
        <v>820</v>
      </c>
      <c r="E2461" s="2" t="inlineStr">
        <is>
          <t>CC-3000</t>
        </is>
      </c>
      <c r="F2461" s="2" t="inlineStr">
        <is>
          <t>P01</t>
        </is>
      </c>
      <c r="G2461" s="2" t="n">
        <v>630000</v>
      </c>
      <c r="H2461" s="2" t="inlineStr">
        <is>
          <t>Servicios externos</t>
        </is>
      </c>
      <c r="I2461" s="9" t="n">
        <v>168.91</v>
      </c>
      <c r="J2461" s="9" t="n">
        <v>155.88</v>
      </c>
      <c r="K2461" s="9" t="n">
        <v>165.19</v>
      </c>
      <c r="L2461" s="9" t="n">
        <v>175.73</v>
      </c>
      <c r="M2461" s="9" t="n">
        <v>155.84</v>
      </c>
      <c r="N2461" s="9" t="n">
        <v>156.76</v>
      </c>
      <c r="O2461" s="9" t="n">
        <v>157.63</v>
      </c>
      <c r="P2461" s="9" t="n">
        <v>150.52</v>
      </c>
      <c r="Q2461" s="9" t="n">
        <v>148.83</v>
      </c>
      <c r="R2461" s="9" t="n">
        <v>176.41</v>
      </c>
      <c r="S2461" s="9" t="n">
        <v>153.62</v>
      </c>
      <c r="T2461" s="9" t="n">
        <v>160.61</v>
      </c>
      <c r="U2461" s="10">
        <f>SUM(I2461:T2461)</f>
        <v/>
      </c>
    </row>
    <row r="2462">
      <c r="A2462" s="2" t="inlineStr">
        <is>
          <t>SN-3000-3700-3700-3700TK0028</t>
        </is>
      </c>
      <c r="B2462" s="2" t="inlineStr">
        <is>
          <t>3700TK0028</t>
        </is>
      </c>
      <c r="C2462" s="2" t="inlineStr">
        <is>
          <t>Estanque solución detox</t>
        </is>
      </c>
      <c r="D2462" s="2" t="n">
        <v>821</v>
      </c>
      <c r="E2462" s="2" t="inlineStr">
        <is>
          <t>CC-3000</t>
        </is>
      </c>
      <c r="F2462" s="2" t="inlineStr">
        <is>
          <t>P01</t>
        </is>
      </c>
      <c r="G2462" s="2" t="n">
        <v>610000</v>
      </c>
      <c r="H2462" s="2" t="inlineStr">
        <is>
          <t>Mano obra interna</t>
        </is>
      </c>
      <c r="I2462" s="9" t="n">
        <v>1066.66</v>
      </c>
      <c r="J2462" s="9" t="n">
        <v>1076.4</v>
      </c>
      <c r="K2462" s="9" t="n">
        <v>1223.8</v>
      </c>
      <c r="L2462" s="9" t="n">
        <v>1232.52</v>
      </c>
      <c r="M2462" s="9" t="n">
        <v>1102.53</v>
      </c>
      <c r="N2462" s="9" t="n">
        <v>1147.47</v>
      </c>
      <c r="O2462" s="9" t="n">
        <v>1075.96</v>
      </c>
      <c r="P2462" s="9" t="n">
        <v>1078.74</v>
      </c>
      <c r="Q2462" s="9" t="n">
        <v>1110.06</v>
      </c>
      <c r="R2462" s="9" t="n">
        <v>1297.14</v>
      </c>
      <c r="S2462" s="9" t="n">
        <v>1045.31</v>
      </c>
      <c r="T2462" s="9" t="n">
        <v>1065.83</v>
      </c>
      <c r="U2462" s="10">
        <f>SUM(I2462:T2462)</f>
        <v/>
      </c>
    </row>
    <row r="2463">
      <c r="A2463" s="2" t="inlineStr">
        <is>
          <t>SN-3000-3700-3700-3700TK0028</t>
        </is>
      </c>
      <c r="B2463" s="2" t="inlineStr">
        <is>
          <t>3700TK0028</t>
        </is>
      </c>
      <c r="C2463" s="2" t="inlineStr">
        <is>
          <t>Estanque solución detox</t>
        </is>
      </c>
      <c r="D2463" s="2" t="n">
        <v>821</v>
      </c>
      <c r="E2463" s="2" t="inlineStr">
        <is>
          <t>CC-3000</t>
        </is>
      </c>
      <c r="F2463" s="2" t="inlineStr">
        <is>
          <t>P01</t>
        </is>
      </c>
      <c r="G2463" s="2" t="n">
        <v>620000</v>
      </c>
      <c r="H2463" s="2" t="inlineStr">
        <is>
          <t>Materiales</t>
        </is>
      </c>
      <c r="I2463" s="9" t="n">
        <v>850.05</v>
      </c>
      <c r="J2463" s="9" t="n">
        <v>888.3099999999999</v>
      </c>
      <c r="K2463" s="9" t="n">
        <v>894.5700000000001</v>
      </c>
      <c r="L2463" s="9" t="n">
        <v>878.55</v>
      </c>
      <c r="M2463" s="9" t="n">
        <v>868.33</v>
      </c>
      <c r="N2463" s="9" t="n">
        <v>879.39</v>
      </c>
      <c r="O2463" s="9" t="n">
        <v>809.38</v>
      </c>
      <c r="P2463" s="9" t="n">
        <v>892.0599999999999</v>
      </c>
      <c r="Q2463" s="9" t="n">
        <v>860.9400000000001</v>
      </c>
      <c r="R2463" s="9" t="n">
        <v>890.83</v>
      </c>
      <c r="S2463" s="9" t="n">
        <v>883.39</v>
      </c>
      <c r="T2463" s="9" t="n">
        <v>906.4400000000001</v>
      </c>
      <c r="U2463" s="10">
        <f>SUM(I2463:T2463)</f>
        <v/>
      </c>
    </row>
    <row r="2464">
      <c r="A2464" s="2" t="inlineStr">
        <is>
          <t>SN-3000-3700-3700-3700TK0028</t>
        </is>
      </c>
      <c r="B2464" s="2" t="inlineStr">
        <is>
          <t>3700TK0028</t>
        </is>
      </c>
      <c r="C2464" s="2" t="inlineStr">
        <is>
          <t>Estanque solución detox</t>
        </is>
      </c>
      <c r="D2464" s="2" t="n">
        <v>821</v>
      </c>
      <c r="E2464" s="2" t="inlineStr">
        <is>
          <t>CC-3000</t>
        </is>
      </c>
      <c r="F2464" s="2" t="inlineStr">
        <is>
          <t>P01</t>
        </is>
      </c>
      <c r="G2464" s="2" t="n">
        <v>630000</v>
      </c>
      <c r="H2464" s="2" t="inlineStr">
        <is>
          <t>Servicios externos</t>
        </is>
      </c>
      <c r="I2464" s="9" t="n">
        <v>846.78</v>
      </c>
      <c r="J2464" s="9" t="n">
        <v>868.04</v>
      </c>
      <c r="K2464" s="9" t="n">
        <v>894.48</v>
      </c>
      <c r="L2464" s="9" t="n">
        <v>889.78</v>
      </c>
      <c r="M2464" s="9" t="n">
        <v>820.96</v>
      </c>
      <c r="N2464" s="9" t="n">
        <v>851.84</v>
      </c>
      <c r="O2464" s="9" t="n">
        <v>834.7</v>
      </c>
      <c r="P2464" s="9" t="n">
        <v>850.74</v>
      </c>
      <c r="Q2464" s="9" t="n">
        <v>789.88</v>
      </c>
      <c r="R2464" s="9" t="n">
        <v>960.41</v>
      </c>
      <c r="S2464" s="9" t="n">
        <v>784.02</v>
      </c>
      <c r="T2464" s="9" t="n">
        <v>838.14</v>
      </c>
      <c r="U2464" s="10">
        <f>SUM(I2464:T2464)</f>
        <v/>
      </c>
    </row>
    <row r="2465">
      <c r="A2465" s="2" t="inlineStr">
        <is>
          <t>SN-3000-3700-3700-3700TK0029</t>
        </is>
      </c>
      <c r="B2465" s="2" t="inlineStr">
        <is>
          <t>3700TK0029</t>
        </is>
      </c>
      <c r="C2465" s="2" t="inlineStr">
        <is>
          <t>Estanque agua de Molienda</t>
        </is>
      </c>
      <c r="D2465" s="2" t="n">
        <v>822</v>
      </c>
      <c r="E2465" s="2" t="inlineStr">
        <is>
          <t>CC-3000</t>
        </is>
      </c>
      <c r="F2465" s="2" t="inlineStr">
        <is>
          <t>P01</t>
        </is>
      </c>
      <c r="G2465" s="2" t="n">
        <v>610000</v>
      </c>
      <c r="H2465" s="2" t="inlineStr">
        <is>
          <t>Mano obra interna</t>
        </is>
      </c>
      <c r="I2465" s="9" t="n">
        <v>1527.8</v>
      </c>
      <c r="J2465" s="9" t="n">
        <v>1498.89</v>
      </c>
      <c r="K2465" s="9" t="n">
        <v>1675.37</v>
      </c>
      <c r="L2465" s="9" t="n">
        <v>1692.45</v>
      </c>
      <c r="M2465" s="9" t="n">
        <v>1620.65</v>
      </c>
      <c r="N2465" s="9" t="n">
        <v>1520.43</v>
      </c>
      <c r="O2465" s="9" t="n">
        <v>1482.97</v>
      </c>
      <c r="P2465" s="9" t="n">
        <v>1712.61</v>
      </c>
      <c r="Q2465" s="9" t="n">
        <v>1407.34</v>
      </c>
      <c r="R2465" s="9" t="n">
        <v>1768.25</v>
      </c>
      <c r="S2465" s="9" t="n">
        <v>1647.76</v>
      </c>
      <c r="T2465" s="9" t="n">
        <v>1671.62</v>
      </c>
      <c r="U2465" s="10">
        <f>SUM(I2465:T2465)</f>
        <v/>
      </c>
    </row>
    <row r="2466">
      <c r="A2466" s="2" t="inlineStr">
        <is>
          <t>SN-3000-3700-3700-3700TK0029</t>
        </is>
      </c>
      <c r="B2466" s="2" t="inlineStr">
        <is>
          <t>3700TK0029</t>
        </is>
      </c>
      <c r="C2466" s="2" t="inlineStr">
        <is>
          <t>Estanque agua de Molienda</t>
        </is>
      </c>
      <c r="D2466" s="2" t="n">
        <v>822</v>
      </c>
      <c r="E2466" s="2" t="inlineStr">
        <is>
          <t>CC-3000</t>
        </is>
      </c>
      <c r="F2466" s="2" t="inlineStr">
        <is>
          <t>P01</t>
        </is>
      </c>
      <c r="G2466" s="2" t="n">
        <v>620000</v>
      </c>
      <c r="H2466" s="2" t="inlineStr">
        <is>
          <t>Materiales</t>
        </is>
      </c>
      <c r="I2466" s="9" t="n">
        <v>1559.87</v>
      </c>
      <c r="J2466" s="9" t="n">
        <v>1434.03</v>
      </c>
      <c r="K2466" s="9" t="n">
        <v>1653.55</v>
      </c>
      <c r="L2466" s="9" t="n">
        <v>1638.22</v>
      </c>
      <c r="M2466" s="9" t="n">
        <v>1614.36</v>
      </c>
      <c r="N2466" s="9" t="n">
        <v>1387.48</v>
      </c>
      <c r="O2466" s="9" t="n">
        <v>1655.24</v>
      </c>
      <c r="P2466" s="9" t="n">
        <v>1633.34</v>
      </c>
      <c r="Q2466" s="9" t="n">
        <v>1381.39</v>
      </c>
      <c r="R2466" s="9" t="n">
        <v>1656.51</v>
      </c>
      <c r="S2466" s="9" t="n">
        <v>1557.92</v>
      </c>
      <c r="T2466" s="9" t="n">
        <v>1596.73</v>
      </c>
      <c r="U2466" s="10">
        <f>SUM(I2466:T2466)</f>
        <v/>
      </c>
    </row>
    <row r="2467">
      <c r="A2467" s="2" t="inlineStr">
        <is>
          <t>SN-3000-3700-3700-3700TK0029</t>
        </is>
      </c>
      <c r="B2467" s="2" t="inlineStr">
        <is>
          <t>3700TK0029</t>
        </is>
      </c>
      <c r="C2467" s="2" t="inlineStr">
        <is>
          <t>Estanque agua de Molienda</t>
        </is>
      </c>
      <c r="D2467" s="2" t="n">
        <v>822</v>
      </c>
      <c r="E2467" s="2" t="inlineStr">
        <is>
          <t>CC-3000</t>
        </is>
      </c>
      <c r="F2467" s="2" t="inlineStr">
        <is>
          <t>P01</t>
        </is>
      </c>
      <c r="G2467" s="2" t="n">
        <v>630000</v>
      </c>
      <c r="H2467" s="2" t="inlineStr">
        <is>
          <t>Servicios externos</t>
        </is>
      </c>
      <c r="I2467" s="9" t="n">
        <v>1440.69</v>
      </c>
      <c r="J2467" s="9" t="n">
        <v>1555.18</v>
      </c>
      <c r="K2467" s="9" t="n">
        <v>1473.05</v>
      </c>
      <c r="L2467" s="9" t="n">
        <v>1463.33</v>
      </c>
      <c r="M2467" s="9" t="n">
        <v>1574.59</v>
      </c>
      <c r="N2467" s="9" t="n">
        <v>1470.58</v>
      </c>
      <c r="O2467" s="9" t="n">
        <v>1537.05</v>
      </c>
      <c r="P2467" s="9" t="n">
        <v>1504.92</v>
      </c>
      <c r="Q2467" s="9" t="n">
        <v>1422.12</v>
      </c>
      <c r="R2467" s="9" t="n">
        <v>1656.08</v>
      </c>
      <c r="S2467" s="9" t="n">
        <v>1572.28</v>
      </c>
      <c r="T2467" s="9" t="n">
        <v>1465.51</v>
      </c>
      <c r="U2467" s="10">
        <f>SUM(I2467:T2467)</f>
        <v/>
      </c>
    </row>
    <row r="2468">
      <c r="A2468" s="2" t="inlineStr">
        <is>
          <t>SN-3000-3700-3700-3700TK0062</t>
        </is>
      </c>
      <c r="B2468" s="2" t="inlineStr">
        <is>
          <t>3700TK0062</t>
        </is>
      </c>
      <c r="C2468" s="2" t="inlineStr">
        <is>
          <t>Estanque solución clarificada</t>
        </is>
      </c>
      <c r="D2468" s="2" t="n">
        <v>823</v>
      </c>
      <c r="E2468" s="2" t="inlineStr">
        <is>
          <t>CC-3000</t>
        </is>
      </c>
      <c r="F2468" s="2" t="inlineStr">
        <is>
          <t>P01</t>
        </is>
      </c>
      <c r="G2468" s="2" t="n">
        <v>610000</v>
      </c>
      <c r="H2468" s="2" t="inlineStr">
        <is>
          <t>Mano obra interna</t>
        </is>
      </c>
      <c r="I2468" s="9" t="n">
        <v>2043.35</v>
      </c>
      <c r="J2468" s="9" t="n">
        <v>2175.33</v>
      </c>
      <c r="K2468" s="9" t="n">
        <v>2239.85</v>
      </c>
      <c r="L2468" s="9" t="n">
        <v>2064.78</v>
      </c>
      <c r="M2468" s="9" t="n">
        <v>2085.75</v>
      </c>
      <c r="N2468" s="9" t="n">
        <v>1953.71</v>
      </c>
      <c r="O2468" s="9" t="n">
        <v>2097.11</v>
      </c>
      <c r="P2468" s="9" t="n">
        <v>2308.06</v>
      </c>
      <c r="Q2468" s="9" t="n">
        <v>2064.15</v>
      </c>
      <c r="R2468" s="9" t="n">
        <v>2140.15</v>
      </c>
      <c r="S2468" s="9" t="n">
        <v>2002.86</v>
      </c>
      <c r="T2468" s="9" t="n">
        <v>2014.95</v>
      </c>
      <c r="U2468" s="10">
        <f>SUM(I2468:T2468)</f>
        <v/>
      </c>
    </row>
    <row r="2469">
      <c r="A2469" s="2" t="inlineStr">
        <is>
          <t>SN-3000-3700-3700-3700TK0062</t>
        </is>
      </c>
      <c r="B2469" s="2" t="inlineStr">
        <is>
          <t>3700TK0062</t>
        </is>
      </c>
      <c r="C2469" s="2" t="inlineStr">
        <is>
          <t>Estanque solución clarificada</t>
        </is>
      </c>
      <c r="D2469" s="2" t="n">
        <v>823</v>
      </c>
      <c r="E2469" s="2" t="inlineStr">
        <is>
          <t>CC-3000</t>
        </is>
      </c>
      <c r="F2469" s="2" t="inlineStr">
        <is>
          <t>P01</t>
        </is>
      </c>
      <c r="G2469" s="2" t="n">
        <v>620000</v>
      </c>
      <c r="H2469" s="2" t="inlineStr">
        <is>
          <t>Materiales</t>
        </is>
      </c>
      <c r="I2469" s="9" t="n">
        <v>2397.46</v>
      </c>
      <c r="J2469" s="9" t="n">
        <v>2508.04</v>
      </c>
      <c r="K2469" s="9" t="n">
        <v>2525.72</v>
      </c>
      <c r="L2469" s="9" t="n">
        <v>2418.99</v>
      </c>
      <c r="M2469" s="9" t="n">
        <v>2449.51</v>
      </c>
      <c r="N2469" s="9" t="n">
        <v>2330.31</v>
      </c>
      <c r="O2469" s="9" t="n">
        <v>2264.33</v>
      </c>
      <c r="P2469" s="9" t="n">
        <v>2369.71</v>
      </c>
      <c r="Q2469" s="9" t="n">
        <v>2216.6</v>
      </c>
      <c r="R2469" s="9" t="n">
        <v>2525.28</v>
      </c>
      <c r="S2469" s="9" t="n">
        <v>2167.41</v>
      </c>
      <c r="T2469" s="9" t="n">
        <v>2289.09</v>
      </c>
      <c r="U2469" s="10">
        <f>SUM(I2469:T2469)</f>
        <v/>
      </c>
    </row>
    <row r="2470">
      <c r="A2470" s="2" t="inlineStr">
        <is>
          <t>SN-3000-3700-3700-3700TK0062</t>
        </is>
      </c>
      <c r="B2470" s="2" t="inlineStr">
        <is>
          <t>3700TK0062</t>
        </is>
      </c>
      <c r="C2470" s="2" t="inlineStr">
        <is>
          <t>Estanque solución clarificada</t>
        </is>
      </c>
      <c r="D2470" s="2" t="n">
        <v>823</v>
      </c>
      <c r="E2470" s="2" t="inlineStr">
        <is>
          <t>CC-3000</t>
        </is>
      </c>
      <c r="F2470" s="2" t="inlineStr">
        <is>
          <t>P01</t>
        </is>
      </c>
      <c r="G2470" s="2" t="n">
        <v>630000</v>
      </c>
      <c r="H2470" s="2" t="inlineStr">
        <is>
          <t>Servicios externos</t>
        </is>
      </c>
      <c r="I2470" s="9" t="n">
        <v>1916.56</v>
      </c>
      <c r="J2470" s="9" t="n">
        <v>2140.04</v>
      </c>
      <c r="K2470" s="9" t="n">
        <v>2164.07</v>
      </c>
      <c r="L2470" s="9" t="n">
        <v>2145.12</v>
      </c>
      <c r="M2470" s="9" t="n">
        <v>2039.31</v>
      </c>
      <c r="N2470" s="9" t="n">
        <v>2006.55</v>
      </c>
      <c r="O2470" s="9" t="n">
        <v>2195.09</v>
      </c>
      <c r="P2470" s="9" t="n">
        <v>1998.12</v>
      </c>
      <c r="Q2470" s="9" t="n">
        <v>1960.72</v>
      </c>
      <c r="R2470" s="9" t="n">
        <v>2147.43</v>
      </c>
      <c r="S2470" s="9" t="n">
        <v>2083.78</v>
      </c>
      <c r="T2470" s="9" t="n">
        <v>2185.72</v>
      </c>
      <c r="U2470" s="10">
        <f>SUM(I2470:T2470)</f>
        <v/>
      </c>
    </row>
    <row r="2471">
      <c r="A2471" s="2" t="inlineStr">
        <is>
          <t>SN-3000-3800-3800-3800FA0037</t>
        </is>
      </c>
      <c r="B2471" s="2" t="inlineStr">
        <is>
          <t>3800FA0037</t>
        </is>
      </c>
      <c r="C2471" s="2" t="inlineStr">
        <is>
          <t>Ventilador extractor edificio reactivos</t>
        </is>
      </c>
      <c r="D2471" s="2" t="n">
        <v>824</v>
      </c>
      <c r="E2471" s="2" t="inlineStr">
        <is>
          <t>CC-3000</t>
        </is>
      </c>
      <c r="F2471" s="2" t="inlineStr">
        <is>
          <t>P01</t>
        </is>
      </c>
      <c r="G2471" s="2" t="n">
        <v>610000</v>
      </c>
      <c r="H2471" s="2" t="inlineStr">
        <is>
          <t>Mano obra interna</t>
        </is>
      </c>
      <c r="I2471" s="9" t="n">
        <v>1334.43</v>
      </c>
      <c r="J2471" s="9" t="n">
        <v>1352.87</v>
      </c>
      <c r="K2471" s="9" t="n">
        <v>1378.64</v>
      </c>
      <c r="L2471" s="9" t="n">
        <v>1440.11</v>
      </c>
      <c r="M2471" s="9" t="n">
        <v>1403.79</v>
      </c>
      <c r="N2471" s="9" t="n">
        <v>1304.14</v>
      </c>
      <c r="O2471" s="9" t="n">
        <v>1470.92</v>
      </c>
      <c r="P2471" s="9" t="n">
        <v>1366.19</v>
      </c>
      <c r="Q2471" s="9" t="n">
        <v>1396.2</v>
      </c>
      <c r="R2471" s="9" t="n">
        <v>1451.87</v>
      </c>
      <c r="S2471" s="9" t="n">
        <v>1344.98</v>
      </c>
      <c r="T2471" s="9" t="n">
        <v>1468.75</v>
      </c>
      <c r="U2471" s="10">
        <f>SUM(I2471:T2471)</f>
        <v/>
      </c>
    </row>
    <row r="2472">
      <c r="A2472" s="2" t="inlineStr">
        <is>
          <t>SN-3000-3800-3800-3800FA0037</t>
        </is>
      </c>
      <c r="B2472" s="2" t="inlineStr">
        <is>
          <t>3800FA0037</t>
        </is>
      </c>
      <c r="C2472" s="2" t="inlineStr">
        <is>
          <t>Ventilador extractor edificio reactivos</t>
        </is>
      </c>
      <c r="D2472" s="2" t="n">
        <v>824</v>
      </c>
      <c r="E2472" s="2" t="inlineStr">
        <is>
          <t>CC-3000</t>
        </is>
      </c>
      <c r="F2472" s="2" t="inlineStr">
        <is>
          <t>P01</t>
        </is>
      </c>
      <c r="G2472" s="2" t="n">
        <v>620000</v>
      </c>
      <c r="H2472" s="2" t="inlineStr">
        <is>
          <t>Materiales</t>
        </is>
      </c>
      <c r="I2472" s="9" t="n">
        <v>1144.49</v>
      </c>
      <c r="J2472" s="9" t="n">
        <v>1249.69</v>
      </c>
      <c r="K2472" s="9" t="n">
        <v>1259.8</v>
      </c>
      <c r="L2472" s="9" t="n">
        <v>1301.52</v>
      </c>
      <c r="M2472" s="9" t="n">
        <v>1259.85</v>
      </c>
      <c r="N2472" s="9" t="n">
        <v>1157.92</v>
      </c>
      <c r="O2472" s="9" t="n">
        <v>1281.9</v>
      </c>
      <c r="P2472" s="9" t="n">
        <v>1268.37</v>
      </c>
      <c r="Q2472" s="9" t="n">
        <v>1201.23</v>
      </c>
      <c r="R2472" s="9" t="n">
        <v>1369.3</v>
      </c>
      <c r="S2472" s="9" t="n">
        <v>1223.72</v>
      </c>
      <c r="T2472" s="9" t="n">
        <v>1214.17</v>
      </c>
      <c r="U2472" s="10">
        <f>SUM(I2472:T2472)</f>
        <v/>
      </c>
    </row>
    <row r="2473">
      <c r="A2473" s="2" t="inlineStr">
        <is>
          <t>SN-3000-3800-3800-3800FA0037</t>
        </is>
      </c>
      <c r="B2473" s="2" t="inlineStr">
        <is>
          <t>3800FA0037</t>
        </is>
      </c>
      <c r="C2473" s="2" t="inlineStr">
        <is>
          <t>Ventilador extractor edificio reactivos</t>
        </is>
      </c>
      <c r="D2473" s="2" t="n">
        <v>824</v>
      </c>
      <c r="E2473" s="2" t="inlineStr">
        <is>
          <t>CC-3000</t>
        </is>
      </c>
      <c r="F2473" s="2" t="inlineStr">
        <is>
          <t>P01</t>
        </is>
      </c>
      <c r="G2473" s="2" t="n">
        <v>630000</v>
      </c>
      <c r="H2473" s="2" t="inlineStr">
        <is>
          <t>Servicios externos</t>
        </is>
      </c>
      <c r="I2473" s="9" t="n">
        <v>1199.86</v>
      </c>
      <c r="J2473" s="9" t="n">
        <v>1124.87</v>
      </c>
      <c r="K2473" s="9" t="n">
        <v>1098.05</v>
      </c>
      <c r="L2473" s="9" t="n">
        <v>1098.53</v>
      </c>
      <c r="M2473" s="9" t="n">
        <v>1123.98</v>
      </c>
      <c r="N2473" s="9" t="n">
        <v>1050.69</v>
      </c>
      <c r="O2473" s="9" t="n">
        <v>1029.5</v>
      </c>
      <c r="P2473" s="9" t="n">
        <v>1038.84</v>
      </c>
      <c r="Q2473" s="9" t="n">
        <v>1067.01</v>
      </c>
      <c r="R2473" s="9" t="n">
        <v>1156.76</v>
      </c>
      <c r="S2473" s="9" t="n">
        <v>1068.97</v>
      </c>
      <c r="T2473" s="9" t="n">
        <v>1167.01</v>
      </c>
      <c r="U2473" s="10">
        <f>SUM(I2473:T2473)</f>
        <v/>
      </c>
    </row>
    <row r="2474">
      <c r="A2474" s="2" t="inlineStr">
        <is>
          <t>SN-3000-3800-3800-3800FA0038</t>
        </is>
      </c>
      <c r="B2474" s="2" t="inlineStr">
        <is>
          <t>3800FA0038</t>
        </is>
      </c>
      <c r="C2474" s="2" t="inlineStr">
        <is>
          <t>Ventilador extractor edificio reactivos</t>
        </is>
      </c>
      <c r="D2474" s="2" t="n">
        <v>825</v>
      </c>
      <c r="E2474" s="2" t="inlineStr">
        <is>
          <t>CC-3000</t>
        </is>
      </c>
      <c r="F2474" s="2" t="inlineStr">
        <is>
          <t>P01</t>
        </is>
      </c>
      <c r="G2474" s="2" t="n">
        <v>610000</v>
      </c>
      <c r="H2474" s="2" t="inlineStr">
        <is>
          <t>Mano obra interna</t>
        </is>
      </c>
      <c r="I2474" s="9" t="n">
        <v>994.63</v>
      </c>
      <c r="J2474" s="9" t="n">
        <v>948.4299999999999</v>
      </c>
      <c r="K2474" s="9" t="n">
        <v>1077.19</v>
      </c>
      <c r="L2474" s="9" t="n">
        <v>1092.5</v>
      </c>
      <c r="M2474" s="9" t="n">
        <v>961.3099999999999</v>
      </c>
      <c r="N2474" s="9" t="n">
        <v>963.78</v>
      </c>
      <c r="O2474" s="9" t="n">
        <v>1090.61</v>
      </c>
      <c r="P2474" s="9" t="n">
        <v>1101.47</v>
      </c>
      <c r="Q2474" s="9" t="n">
        <v>950.97</v>
      </c>
      <c r="R2474" s="9" t="n">
        <v>1035.19</v>
      </c>
      <c r="S2474" s="9" t="n">
        <v>957.65</v>
      </c>
      <c r="T2474" s="9" t="n">
        <v>999.8</v>
      </c>
      <c r="U2474" s="10">
        <f>SUM(I2474:T2474)</f>
        <v/>
      </c>
    </row>
    <row r="2475">
      <c r="A2475" s="2" t="inlineStr">
        <is>
          <t>SN-3000-3800-3800-3800FA0038</t>
        </is>
      </c>
      <c r="B2475" s="2" t="inlineStr">
        <is>
          <t>3800FA0038</t>
        </is>
      </c>
      <c r="C2475" s="2" t="inlineStr">
        <is>
          <t>Ventilador extractor edificio reactivos</t>
        </is>
      </c>
      <c r="D2475" s="2" t="n">
        <v>825</v>
      </c>
      <c r="E2475" s="2" t="inlineStr">
        <is>
          <t>CC-3000</t>
        </is>
      </c>
      <c r="F2475" s="2" t="inlineStr">
        <is>
          <t>P01</t>
        </is>
      </c>
      <c r="G2475" s="2" t="n">
        <v>620000</v>
      </c>
      <c r="H2475" s="2" t="inlineStr">
        <is>
          <t>Materiales</t>
        </is>
      </c>
      <c r="I2475" s="9" t="n">
        <v>851.29</v>
      </c>
      <c r="J2475" s="9" t="n">
        <v>833.03</v>
      </c>
      <c r="K2475" s="9" t="n">
        <v>809.12</v>
      </c>
      <c r="L2475" s="9" t="n">
        <v>906.27</v>
      </c>
      <c r="M2475" s="9" t="n">
        <v>841.95</v>
      </c>
      <c r="N2475" s="9" t="n">
        <v>810.47</v>
      </c>
      <c r="O2475" s="9" t="n">
        <v>900.21</v>
      </c>
      <c r="P2475" s="9" t="n">
        <v>851.2</v>
      </c>
      <c r="Q2475" s="9" t="n">
        <v>830.35</v>
      </c>
      <c r="R2475" s="9" t="n">
        <v>869.4</v>
      </c>
      <c r="S2475" s="9" t="n">
        <v>774.47</v>
      </c>
      <c r="T2475" s="9" t="n">
        <v>849.35</v>
      </c>
      <c r="U2475" s="10">
        <f>SUM(I2475:T2475)</f>
        <v/>
      </c>
    </row>
    <row r="2476">
      <c r="A2476" s="2" t="inlineStr">
        <is>
          <t>SN-3000-3800-3800-3800FA0038</t>
        </is>
      </c>
      <c r="B2476" s="2" t="inlineStr">
        <is>
          <t>3800FA0038</t>
        </is>
      </c>
      <c r="C2476" s="2" t="inlineStr">
        <is>
          <t>Ventilador extractor edificio reactivos</t>
        </is>
      </c>
      <c r="D2476" s="2" t="n">
        <v>825</v>
      </c>
      <c r="E2476" s="2" t="inlineStr">
        <is>
          <t>CC-3000</t>
        </is>
      </c>
      <c r="F2476" s="2" t="inlineStr">
        <is>
          <t>P01</t>
        </is>
      </c>
      <c r="G2476" s="2" t="n">
        <v>630000</v>
      </c>
      <c r="H2476" s="2" t="inlineStr">
        <is>
          <t>Servicios externos</t>
        </is>
      </c>
      <c r="I2476" s="9" t="n">
        <v>892.16</v>
      </c>
      <c r="J2476" s="9" t="n">
        <v>928.85</v>
      </c>
      <c r="K2476" s="9" t="n">
        <v>871.9</v>
      </c>
      <c r="L2476" s="9" t="n">
        <v>962.58</v>
      </c>
      <c r="M2476" s="9" t="n">
        <v>898.29</v>
      </c>
      <c r="N2476" s="9" t="n">
        <v>900.21</v>
      </c>
      <c r="O2476" s="9" t="n">
        <v>911</v>
      </c>
      <c r="P2476" s="9" t="n">
        <v>983.01</v>
      </c>
      <c r="Q2476" s="9" t="n">
        <v>828.26</v>
      </c>
      <c r="R2476" s="9" t="n">
        <v>1061.72</v>
      </c>
      <c r="S2476" s="9" t="n">
        <v>823.17</v>
      </c>
      <c r="T2476" s="9" t="n">
        <v>954.78</v>
      </c>
      <c r="U2476" s="10">
        <f>SUM(I2476:T2476)</f>
        <v/>
      </c>
    </row>
    <row r="2477">
      <c r="A2477" s="2" t="inlineStr">
        <is>
          <t>SN-3000-3800-3800-3800FA0048</t>
        </is>
      </c>
      <c r="B2477" s="2" t="inlineStr">
        <is>
          <t>3800FA0048</t>
        </is>
      </c>
      <c r="C2477" s="2" t="inlineStr">
        <is>
          <t>Ventilador extractor edificio reactivos</t>
        </is>
      </c>
      <c r="D2477" s="2" t="n">
        <v>826</v>
      </c>
      <c r="E2477" s="2" t="inlineStr">
        <is>
          <t>CC-3000</t>
        </is>
      </c>
      <c r="F2477" s="2" t="inlineStr">
        <is>
          <t>P01</t>
        </is>
      </c>
      <c r="G2477" s="2" t="n">
        <v>610000</v>
      </c>
      <c r="H2477" s="2" t="inlineStr">
        <is>
          <t>Mano obra interna</t>
        </is>
      </c>
      <c r="I2477" s="9" t="n">
        <v>2236.7</v>
      </c>
      <c r="J2477" s="9" t="n">
        <v>2147.17</v>
      </c>
      <c r="K2477" s="9" t="n">
        <v>2252.81</v>
      </c>
      <c r="L2477" s="9" t="n">
        <v>1991.48</v>
      </c>
      <c r="M2477" s="9" t="n">
        <v>2168.44</v>
      </c>
      <c r="N2477" s="9" t="n">
        <v>1900.95</v>
      </c>
      <c r="O2477" s="9" t="n">
        <v>1926.37</v>
      </c>
      <c r="P2477" s="9" t="n">
        <v>1988.04</v>
      </c>
      <c r="Q2477" s="9" t="n">
        <v>1933.17</v>
      </c>
      <c r="R2477" s="9" t="n">
        <v>2334.08</v>
      </c>
      <c r="S2477" s="9" t="n">
        <v>1926.28</v>
      </c>
      <c r="T2477" s="9" t="n">
        <v>1983.64</v>
      </c>
      <c r="U2477" s="10">
        <f>SUM(I2477:T2477)</f>
        <v/>
      </c>
    </row>
    <row r="2478">
      <c r="A2478" s="2" t="inlineStr">
        <is>
          <t>SN-3000-3800-3800-3800FA0048</t>
        </is>
      </c>
      <c r="B2478" s="2" t="inlineStr">
        <is>
          <t>3800FA0048</t>
        </is>
      </c>
      <c r="C2478" s="2" t="inlineStr">
        <is>
          <t>Ventilador extractor edificio reactivos</t>
        </is>
      </c>
      <c r="D2478" s="2" t="n">
        <v>826</v>
      </c>
      <c r="E2478" s="2" t="inlineStr">
        <is>
          <t>CC-3000</t>
        </is>
      </c>
      <c r="F2478" s="2" t="inlineStr">
        <is>
          <t>P01</t>
        </is>
      </c>
      <c r="G2478" s="2" t="n">
        <v>620000</v>
      </c>
      <c r="H2478" s="2" t="inlineStr">
        <is>
          <t>Materiales</t>
        </is>
      </c>
      <c r="I2478" s="9" t="n">
        <v>2270.56</v>
      </c>
      <c r="J2478" s="9" t="n">
        <v>2065.92</v>
      </c>
      <c r="K2478" s="9" t="n">
        <v>2194.78</v>
      </c>
      <c r="L2478" s="9" t="n">
        <v>2130.52</v>
      </c>
      <c r="M2478" s="9" t="n">
        <v>2135.3</v>
      </c>
      <c r="N2478" s="9" t="n">
        <v>2123.92</v>
      </c>
      <c r="O2478" s="9" t="n">
        <v>2079.88</v>
      </c>
      <c r="P2478" s="9" t="n">
        <v>2035.36</v>
      </c>
      <c r="Q2478" s="9" t="n">
        <v>2032.46</v>
      </c>
      <c r="R2478" s="9" t="n">
        <v>2393.58</v>
      </c>
      <c r="S2478" s="9" t="n">
        <v>1879.86</v>
      </c>
      <c r="T2478" s="9" t="n">
        <v>2121.22</v>
      </c>
      <c r="U2478" s="10">
        <f>SUM(I2478:T2478)</f>
        <v/>
      </c>
    </row>
    <row r="2479">
      <c r="A2479" s="2" t="inlineStr">
        <is>
          <t>SN-3000-3800-3800-3800FA0048</t>
        </is>
      </c>
      <c r="B2479" s="2" t="inlineStr">
        <is>
          <t>3800FA0048</t>
        </is>
      </c>
      <c r="C2479" s="2" t="inlineStr">
        <is>
          <t>Ventilador extractor edificio reactivos</t>
        </is>
      </c>
      <c r="D2479" s="2" t="n">
        <v>826</v>
      </c>
      <c r="E2479" s="2" t="inlineStr">
        <is>
          <t>CC-3000</t>
        </is>
      </c>
      <c r="F2479" s="2" t="inlineStr">
        <is>
          <t>P01</t>
        </is>
      </c>
      <c r="G2479" s="2" t="n">
        <v>630000</v>
      </c>
      <c r="H2479" s="2" t="inlineStr">
        <is>
          <t>Servicios externos</t>
        </is>
      </c>
      <c r="I2479" s="9" t="n">
        <v>2232.33</v>
      </c>
      <c r="J2479" s="9" t="n">
        <v>2111.08</v>
      </c>
      <c r="K2479" s="9" t="n">
        <v>2299.7</v>
      </c>
      <c r="L2479" s="9" t="n">
        <v>2141.33</v>
      </c>
      <c r="M2479" s="9" t="n">
        <v>2100.68</v>
      </c>
      <c r="N2479" s="9" t="n">
        <v>2243.38</v>
      </c>
      <c r="O2479" s="9" t="n">
        <v>2223.64</v>
      </c>
      <c r="P2479" s="9" t="n">
        <v>2303.21</v>
      </c>
      <c r="Q2479" s="9" t="n">
        <v>2124.5</v>
      </c>
      <c r="R2479" s="9" t="n">
        <v>2402.88</v>
      </c>
      <c r="S2479" s="9" t="n">
        <v>2220.47</v>
      </c>
      <c r="T2479" s="9" t="n">
        <v>2132.26</v>
      </c>
      <c r="U2479" s="10">
        <f>SUM(I2479:T2479)</f>
        <v/>
      </c>
    </row>
    <row r="2480">
      <c r="A2480" s="2" t="inlineStr">
        <is>
          <t>SN-3000-3800-3810-3810AG0027</t>
        </is>
      </c>
      <c r="B2480" s="2" t="inlineStr">
        <is>
          <t>3810AG0027</t>
        </is>
      </c>
      <c r="C2480" s="2" t="inlineStr">
        <is>
          <t>Agitador estanque de cal</t>
        </is>
      </c>
      <c r="D2480" s="2" t="n">
        <v>827</v>
      </c>
      <c r="E2480" s="2" t="inlineStr">
        <is>
          <t>CC-3000</t>
        </is>
      </c>
      <c r="F2480" s="2" t="inlineStr">
        <is>
          <t>P01</t>
        </is>
      </c>
      <c r="G2480" s="2" t="n">
        <v>610000</v>
      </c>
      <c r="H2480" s="2" t="inlineStr">
        <is>
          <t>Mano obra interna</t>
        </is>
      </c>
      <c r="I2480" s="9" t="n">
        <v>2429.05</v>
      </c>
      <c r="J2480" s="9" t="n">
        <v>2355.18</v>
      </c>
      <c r="K2480" s="9" t="n">
        <v>2291.37</v>
      </c>
      <c r="L2480" s="9" t="n">
        <v>2311.72</v>
      </c>
      <c r="M2480" s="9" t="n">
        <v>2241.95</v>
      </c>
      <c r="N2480" s="9" t="n">
        <v>2278.98</v>
      </c>
      <c r="O2480" s="9" t="n">
        <v>2523.92</v>
      </c>
      <c r="P2480" s="9" t="n">
        <v>2513.97</v>
      </c>
      <c r="Q2480" s="9" t="n">
        <v>2088.02</v>
      </c>
      <c r="R2480" s="9" t="n">
        <v>2450.41</v>
      </c>
      <c r="S2480" s="9" t="n">
        <v>2102</v>
      </c>
      <c r="T2480" s="9" t="n">
        <v>2341.74</v>
      </c>
      <c r="U2480" s="10">
        <f>SUM(I2480:T2480)</f>
        <v/>
      </c>
    </row>
    <row r="2481">
      <c r="A2481" s="2" t="inlineStr">
        <is>
          <t>SN-3000-3800-3810-3810AG0027</t>
        </is>
      </c>
      <c r="B2481" s="2" t="inlineStr">
        <is>
          <t>3810AG0027</t>
        </is>
      </c>
      <c r="C2481" s="2" t="inlineStr">
        <is>
          <t>Agitador estanque de cal</t>
        </is>
      </c>
      <c r="D2481" s="2" t="n">
        <v>827</v>
      </c>
      <c r="E2481" s="2" t="inlineStr">
        <is>
          <t>CC-3000</t>
        </is>
      </c>
      <c r="F2481" s="2" t="inlineStr">
        <is>
          <t>P01</t>
        </is>
      </c>
      <c r="G2481" s="2" t="n">
        <v>620000</v>
      </c>
      <c r="H2481" s="2" t="inlineStr">
        <is>
          <t>Materiales</t>
        </is>
      </c>
      <c r="I2481" s="9" t="n">
        <v>2625.67</v>
      </c>
      <c r="J2481" s="9" t="n">
        <v>2274.98</v>
      </c>
      <c r="K2481" s="9" t="n">
        <v>2394.71</v>
      </c>
      <c r="L2481" s="9" t="n">
        <v>2354.71</v>
      </c>
      <c r="M2481" s="9" t="n">
        <v>2329.44</v>
      </c>
      <c r="N2481" s="9" t="n">
        <v>2418.11</v>
      </c>
      <c r="O2481" s="9" t="n">
        <v>2469.41</v>
      </c>
      <c r="P2481" s="9" t="n">
        <v>2520.08</v>
      </c>
      <c r="Q2481" s="9" t="n">
        <v>2274.75</v>
      </c>
      <c r="R2481" s="9" t="n">
        <v>2499.95</v>
      </c>
      <c r="S2481" s="9" t="n">
        <v>2233.01</v>
      </c>
      <c r="T2481" s="9" t="n">
        <v>2255.17</v>
      </c>
      <c r="U2481" s="10">
        <f>SUM(I2481:T2481)</f>
        <v/>
      </c>
    </row>
    <row r="2482">
      <c r="A2482" s="2" t="inlineStr">
        <is>
          <t>SN-3000-3800-3810-3810AG0027</t>
        </is>
      </c>
      <c r="B2482" s="2" t="inlineStr">
        <is>
          <t>3810AG0027</t>
        </is>
      </c>
      <c r="C2482" s="2" t="inlineStr">
        <is>
          <t>Agitador estanque de cal</t>
        </is>
      </c>
      <c r="D2482" s="2" t="n">
        <v>827</v>
      </c>
      <c r="E2482" s="2" t="inlineStr">
        <is>
          <t>CC-3000</t>
        </is>
      </c>
      <c r="F2482" s="2" t="inlineStr">
        <is>
          <t>P01</t>
        </is>
      </c>
      <c r="G2482" s="2" t="n">
        <v>630000</v>
      </c>
      <c r="H2482" s="2" t="inlineStr">
        <is>
          <t>Servicios externos</t>
        </is>
      </c>
      <c r="I2482" s="9" t="n">
        <v>2555.64</v>
      </c>
      <c r="J2482" s="9" t="n">
        <v>2436.09</v>
      </c>
      <c r="K2482" s="9" t="n">
        <v>2280.17</v>
      </c>
      <c r="L2482" s="9" t="n">
        <v>2525.72</v>
      </c>
      <c r="M2482" s="9" t="n">
        <v>2176.61</v>
      </c>
      <c r="N2482" s="9" t="n">
        <v>2124.45</v>
      </c>
      <c r="O2482" s="9" t="n">
        <v>2350.21</v>
      </c>
      <c r="P2482" s="9" t="n">
        <v>2360.92</v>
      </c>
      <c r="Q2482" s="9" t="n">
        <v>2319.46</v>
      </c>
      <c r="R2482" s="9" t="n">
        <v>2631.21</v>
      </c>
      <c r="S2482" s="9" t="n">
        <v>2168.63</v>
      </c>
      <c r="T2482" s="9" t="n">
        <v>2301.48</v>
      </c>
      <c r="U2482" s="10">
        <f>SUM(I2482:T2482)</f>
        <v/>
      </c>
    </row>
    <row r="2483">
      <c r="A2483" s="2" t="inlineStr">
        <is>
          <t>SN-3000-3800-3810-3810AG0028</t>
        </is>
      </c>
      <c r="B2483" s="2" t="inlineStr">
        <is>
          <t>3810AG0028</t>
        </is>
      </c>
      <c r="C2483" s="2" t="inlineStr">
        <is>
          <t>Agitador estanque de cal</t>
        </is>
      </c>
      <c r="D2483" s="2" t="n">
        <v>828</v>
      </c>
      <c r="E2483" s="2" t="inlineStr">
        <is>
          <t>CC-3000</t>
        </is>
      </c>
      <c r="F2483" s="2" t="inlineStr">
        <is>
          <t>P01</t>
        </is>
      </c>
      <c r="G2483" s="2" t="n">
        <v>610000</v>
      </c>
      <c r="H2483" s="2" t="inlineStr">
        <is>
          <t>Mano obra interna</t>
        </is>
      </c>
      <c r="I2483" s="9" t="n">
        <v>225.5</v>
      </c>
      <c r="J2483" s="9" t="n">
        <v>223.62</v>
      </c>
      <c r="K2483" s="9" t="n">
        <v>251.35</v>
      </c>
      <c r="L2483" s="9" t="n">
        <v>230.29</v>
      </c>
      <c r="M2483" s="9" t="n">
        <v>245.1</v>
      </c>
      <c r="N2483" s="9" t="n">
        <v>223.63</v>
      </c>
      <c r="O2483" s="9" t="n">
        <v>228.49</v>
      </c>
      <c r="P2483" s="9" t="n">
        <v>231.58</v>
      </c>
      <c r="Q2483" s="9" t="n">
        <v>226.13</v>
      </c>
      <c r="R2483" s="9" t="n">
        <v>254.16</v>
      </c>
      <c r="S2483" s="9" t="n">
        <v>209.6</v>
      </c>
      <c r="T2483" s="9" t="n">
        <v>254.66</v>
      </c>
      <c r="U2483" s="10">
        <f>SUM(I2483:T2483)</f>
        <v/>
      </c>
    </row>
    <row r="2484">
      <c r="A2484" s="2" t="inlineStr">
        <is>
          <t>SN-3000-3800-3810-3810AG0028</t>
        </is>
      </c>
      <c r="B2484" s="2" t="inlineStr">
        <is>
          <t>3810AG0028</t>
        </is>
      </c>
      <c r="C2484" s="2" t="inlineStr">
        <is>
          <t>Agitador estanque de cal</t>
        </is>
      </c>
      <c r="D2484" s="2" t="n">
        <v>828</v>
      </c>
      <c r="E2484" s="2" t="inlineStr">
        <is>
          <t>CC-3000</t>
        </is>
      </c>
      <c r="F2484" s="2" t="inlineStr">
        <is>
          <t>P01</t>
        </is>
      </c>
      <c r="G2484" s="2" t="n">
        <v>620000</v>
      </c>
      <c r="H2484" s="2" t="inlineStr">
        <is>
          <t>Materiales</t>
        </is>
      </c>
      <c r="I2484" s="9" t="n">
        <v>231.25</v>
      </c>
      <c r="J2484" s="9" t="n">
        <v>192.73</v>
      </c>
      <c r="K2484" s="9" t="n">
        <v>227.84</v>
      </c>
      <c r="L2484" s="9" t="n">
        <v>217.54</v>
      </c>
      <c r="M2484" s="9" t="n">
        <v>209.68</v>
      </c>
      <c r="N2484" s="9" t="n">
        <v>188.54</v>
      </c>
      <c r="O2484" s="9" t="n">
        <v>202.92</v>
      </c>
      <c r="P2484" s="9" t="n">
        <v>220.91</v>
      </c>
      <c r="Q2484" s="9" t="n">
        <v>209.38</v>
      </c>
      <c r="R2484" s="9" t="n">
        <v>229.34</v>
      </c>
      <c r="S2484" s="9" t="n">
        <v>200.11</v>
      </c>
      <c r="T2484" s="9" t="n">
        <v>199.69</v>
      </c>
      <c r="U2484" s="10">
        <f>SUM(I2484:T2484)</f>
        <v/>
      </c>
    </row>
    <row r="2485">
      <c r="A2485" s="2" t="inlineStr">
        <is>
          <t>SN-3000-3800-3810-3810AG0028</t>
        </is>
      </c>
      <c r="B2485" s="2" t="inlineStr">
        <is>
          <t>3810AG0028</t>
        </is>
      </c>
      <c r="C2485" s="2" t="inlineStr">
        <is>
          <t>Agitador estanque de cal</t>
        </is>
      </c>
      <c r="D2485" s="2" t="n">
        <v>828</v>
      </c>
      <c r="E2485" s="2" t="inlineStr">
        <is>
          <t>CC-3000</t>
        </is>
      </c>
      <c r="F2485" s="2" t="inlineStr">
        <is>
          <t>P01</t>
        </is>
      </c>
      <c r="G2485" s="2" t="n">
        <v>630000</v>
      </c>
      <c r="H2485" s="2" t="inlineStr">
        <is>
          <t>Servicios externos</t>
        </is>
      </c>
      <c r="I2485" s="9" t="n">
        <v>257.26</v>
      </c>
      <c r="J2485" s="9" t="n">
        <v>238.99</v>
      </c>
      <c r="K2485" s="9" t="n">
        <v>276.68</v>
      </c>
      <c r="L2485" s="9" t="n">
        <v>266.41</v>
      </c>
      <c r="M2485" s="9" t="n">
        <v>238.37</v>
      </c>
      <c r="N2485" s="9" t="n">
        <v>234.24</v>
      </c>
      <c r="O2485" s="9" t="n">
        <v>269.71</v>
      </c>
      <c r="P2485" s="9" t="n">
        <v>242.84</v>
      </c>
      <c r="Q2485" s="9" t="n">
        <v>257.44</v>
      </c>
      <c r="R2485" s="9" t="n">
        <v>273.25</v>
      </c>
      <c r="S2485" s="9" t="n">
        <v>236.27</v>
      </c>
      <c r="T2485" s="9" t="n">
        <v>276.16</v>
      </c>
      <c r="U2485" s="10">
        <f>SUM(I2485:T2485)</f>
        <v/>
      </c>
    </row>
    <row r="2486">
      <c r="A2486" s="2" t="inlineStr">
        <is>
          <t>SN-3000-3800-3810-3810CN0010</t>
        </is>
      </c>
      <c r="B2486" s="2" t="inlineStr">
        <is>
          <t>3810CN0010</t>
        </is>
      </c>
      <c r="C2486" s="2" t="inlineStr">
        <is>
          <t>Grúa pedestal planta de cal</t>
        </is>
      </c>
      <c r="D2486" s="2" t="n">
        <v>829</v>
      </c>
      <c r="E2486" s="2" t="inlineStr">
        <is>
          <t>CC-3000</t>
        </is>
      </c>
      <c r="F2486" s="2" t="inlineStr">
        <is>
          <t>P01</t>
        </is>
      </c>
      <c r="G2486" s="2" t="n">
        <v>610000</v>
      </c>
      <c r="H2486" s="2" t="inlineStr">
        <is>
          <t>Mano obra interna</t>
        </is>
      </c>
      <c r="I2486" s="9" t="n">
        <v>429.27</v>
      </c>
      <c r="J2486" s="9" t="n">
        <v>420.94</v>
      </c>
      <c r="K2486" s="9" t="n">
        <v>413.38</v>
      </c>
      <c r="L2486" s="9" t="n">
        <v>455.04</v>
      </c>
      <c r="M2486" s="9" t="n">
        <v>420.22</v>
      </c>
      <c r="N2486" s="9" t="n">
        <v>429.07</v>
      </c>
      <c r="O2486" s="9" t="n">
        <v>443.03</v>
      </c>
      <c r="P2486" s="9" t="n">
        <v>444.1</v>
      </c>
      <c r="Q2486" s="9" t="n">
        <v>422.87</v>
      </c>
      <c r="R2486" s="9" t="n">
        <v>477.78</v>
      </c>
      <c r="S2486" s="9" t="n">
        <v>414.61</v>
      </c>
      <c r="T2486" s="9" t="n">
        <v>432.62</v>
      </c>
      <c r="U2486" s="10">
        <f>SUM(I2486:T2486)</f>
        <v/>
      </c>
    </row>
    <row r="2487">
      <c r="A2487" s="2" t="inlineStr">
        <is>
          <t>SN-3000-3800-3810-3810CN0010</t>
        </is>
      </c>
      <c r="B2487" s="2" t="inlineStr">
        <is>
          <t>3810CN0010</t>
        </is>
      </c>
      <c r="C2487" s="2" t="inlineStr">
        <is>
          <t>Grúa pedestal planta de cal</t>
        </is>
      </c>
      <c r="D2487" s="2" t="n">
        <v>829</v>
      </c>
      <c r="E2487" s="2" t="inlineStr">
        <is>
          <t>CC-3000</t>
        </is>
      </c>
      <c r="F2487" s="2" t="inlineStr">
        <is>
          <t>P01</t>
        </is>
      </c>
      <c r="G2487" s="2" t="n">
        <v>620000</v>
      </c>
      <c r="H2487" s="2" t="inlineStr">
        <is>
          <t>Materiales</t>
        </is>
      </c>
      <c r="I2487" s="9" t="n">
        <v>393.38</v>
      </c>
      <c r="J2487" s="9" t="n">
        <v>378.44</v>
      </c>
      <c r="K2487" s="9" t="n">
        <v>365.08</v>
      </c>
      <c r="L2487" s="9" t="n">
        <v>398.86</v>
      </c>
      <c r="M2487" s="9" t="n">
        <v>370.24</v>
      </c>
      <c r="N2487" s="9" t="n">
        <v>351.45</v>
      </c>
      <c r="O2487" s="9" t="n">
        <v>340.53</v>
      </c>
      <c r="P2487" s="9" t="n">
        <v>361.66</v>
      </c>
      <c r="Q2487" s="9" t="n">
        <v>351.08</v>
      </c>
      <c r="R2487" s="9" t="n">
        <v>371.67</v>
      </c>
      <c r="S2487" s="9" t="n">
        <v>354.76</v>
      </c>
      <c r="T2487" s="9" t="n">
        <v>403.88</v>
      </c>
      <c r="U2487" s="10">
        <f>SUM(I2487:T2487)</f>
        <v/>
      </c>
    </row>
    <row r="2488">
      <c r="A2488" s="2" t="inlineStr">
        <is>
          <t>SN-3000-3800-3810-3810CN0010</t>
        </is>
      </c>
      <c r="B2488" s="2" t="inlineStr">
        <is>
          <t>3810CN0010</t>
        </is>
      </c>
      <c r="C2488" s="2" t="inlineStr">
        <is>
          <t>Grúa pedestal planta de cal</t>
        </is>
      </c>
      <c r="D2488" s="2" t="n">
        <v>829</v>
      </c>
      <c r="E2488" s="2" t="inlineStr">
        <is>
          <t>CC-3000</t>
        </is>
      </c>
      <c r="F2488" s="2" t="inlineStr">
        <is>
          <t>P01</t>
        </is>
      </c>
      <c r="G2488" s="2" t="n">
        <v>630000</v>
      </c>
      <c r="H2488" s="2" t="inlineStr">
        <is>
          <t>Servicios externos</t>
        </is>
      </c>
      <c r="I2488" s="9" t="n">
        <v>460</v>
      </c>
      <c r="J2488" s="9" t="n">
        <v>442.81</v>
      </c>
      <c r="K2488" s="9" t="n">
        <v>427.72</v>
      </c>
      <c r="L2488" s="9" t="n">
        <v>490.56</v>
      </c>
      <c r="M2488" s="9" t="n">
        <v>472.95</v>
      </c>
      <c r="N2488" s="9" t="n">
        <v>440.08</v>
      </c>
      <c r="O2488" s="9" t="n">
        <v>418.75</v>
      </c>
      <c r="P2488" s="9" t="n">
        <v>426.02</v>
      </c>
      <c r="Q2488" s="9" t="n">
        <v>395.28</v>
      </c>
      <c r="R2488" s="9" t="n">
        <v>483.84</v>
      </c>
      <c r="S2488" s="9" t="n">
        <v>412.73</v>
      </c>
      <c r="T2488" s="9" t="n">
        <v>468.11</v>
      </c>
      <c r="U2488" s="10">
        <f>SUM(I2488:T2488)</f>
        <v/>
      </c>
    </row>
    <row r="2489">
      <c r="A2489" s="2" t="inlineStr">
        <is>
          <t>SN-3000-3800-3810-3810CP0010</t>
        </is>
      </c>
      <c r="B2489" s="2" t="inlineStr">
        <is>
          <t>3810CP0010</t>
        </is>
      </c>
      <c r="C2489" s="2" t="inlineStr">
        <is>
          <t>Compresor de aire neumático</t>
        </is>
      </c>
      <c r="D2489" s="2" t="n">
        <v>830</v>
      </c>
      <c r="E2489" s="2" t="inlineStr">
        <is>
          <t>CC-3000</t>
        </is>
      </c>
      <c r="F2489" s="2" t="inlineStr">
        <is>
          <t>P01</t>
        </is>
      </c>
      <c r="G2489" s="2" t="n">
        <v>610000</v>
      </c>
      <c r="H2489" s="2" t="inlineStr">
        <is>
          <t>Mano obra interna</t>
        </is>
      </c>
      <c r="I2489" s="9" t="n">
        <v>2069.98</v>
      </c>
      <c r="J2489" s="9" t="n">
        <v>2248.51</v>
      </c>
      <c r="K2489" s="9" t="n">
        <v>2153.95</v>
      </c>
      <c r="L2489" s="9" t="n">
        <v>2362.46</v>
      </c>
      <c r="M2489" s="9" t="n">
        <v>2124.12</v>
      </c>
      <c r="N2489" s="9" t="n">
        <v>2046.51</v>
      </c>
      <c r="O2489" s="9" t="n">
        <v>2026.57</v>
      </c>
      <c r="P2489" s="9" t="n">
        <v>2366.98</v>
      </c>
      <c r="Q2489" s="9" t="n">
        <v>2082.05</v>
      </c>
      <c r="R2489" s="9" t="n">
        <v>2340.31</v>
      </c>
      <c r="S2489" s="9" t="n">
        <v>1989.82</v>
      </c>
      <c r="T2489" s="9" t="n">
        <v>2300.96</v>
      </c>
      <c r="U2489" s="10">
        <f>SUM(I2489:T2489)</f>
        <v/>
      </c>
    </row>
    <row r="2490">
      <c r="A2490" s="2" t="inlineStr">
        <is>
          <t>SN-3000-3800-3810-3810CP0010</t>
        </is>
      </c>
      <c r="B2490" s="2" t="inlineStr">
        <is>
          <t>3810CP0010</t>
        </is>
      </c>
      <c r="C2490" s="2" t="inlineStr">
        <is>
          <t>Compresor de aire neumático</t>
        </is>
      </c>
      <c r="D2490" s="2" t="n">
        <v>830</v>
      </c>
      <c r="E2490" s="2" t="inlineStr">
        <is>
          <t>CC-3000</t>
        </is>
      </c>
      <c r="F2490" s="2" t="inlineStr">
        <is>
          <t>P01</t>
        </is>
      </c>
      <c r="G2490" s="2" t="n">
        <v>620000</v>
      </c>
      <c r="H2490" s="2" t="inlineStr">
        <is>
          <t>Materiales</t>
        </is>
      </c>
      <c r="I2490" s="9" t="n">
        <v>2116.92</v>
      </c>
      <c r="J2490" s="9" t="n">
        <v>2030.86</v>
      </c>
      <c r="K2490" s="9" t="n">
        <v>2058.99</v>
      </c>
      <c r="L2490" s="9" t="n">
        <v>2114</v>
      </c>
      <c r="M2490" s="9" t="n">
        <v>1783.42</v>
      </c>
      <c r="N2490" s="9" t="n">
        <v>1774.17</v>
      </c>
      <c r="O2490" s="9" t="n">
        <v>1848.33</v>
      </c>
      <c r="P2490" s="9" t="n">
        <v>1790.38</v>
      </c>
      <c r="Q2490" s="9" t="n">
        <v>1925.76</v>
      </c>
      <c r="R2490" s="9" t="n">
        <v>1928.24</v>
      </c>
      <c r="S2490" s="9" t="n">
        <v>1968.27</v>
      </c>
      <c r="T2490" s="9" t="n">
        <v>2035.74</v>
      </c>
      <c r="U2490" s="10">
        <f>SUM(I2490:T2490)</f>
        <v/>
      </c>
    </row>
    <row r="2491">
      <c r="A2491" s="2" t="inlineStr">
        <is>
          <t>SN-3000-3800-3810-3810CP0010</t>
        </is>
      </c>
      <c r="B2491" s="2" t="inlineStr">
        <is>
          <t>3810CP0010</t>
        </is>
      </c>
      <c r="C2491" s="2" t="inlineStr">
        <is>
          <t>Compresor de aire neumático</t>
        </is>
      </c>
      <c r="D2491" s="2" t="n">
        <v>830</v>
      </c>
      <c r="E2491" s="2" t="inlineStr">
        <is>
          <t>CC-3000</t>
        </is>
      </c>
      <c r="F2491" s="2" t="inlineStr">
        <is>
          <t>P01</t>
        </is>
      </c>
      <c r="G2491" s="2" t="n">
        <v>630000</v>
      </c>
      <c r="H2491" s="2" t="inlineStr">
        <is>
          <t>Servicios externos</t>
        </is>
      </c>
      <c r="I2491" s="9" t="n">
        <v>1928.58</v>
      </c>
      <c r="J2491" s="9" t="n">
        <v>1856.5</v>
      </c>
      <c r="K2491" s="9" t="n">
        <v>2011.55</v>
      </c>
      <c r="L2491" s="9" t="n">
        <v>2089.86</v>
      </c>
      <c r="M2491" s="9" t="n">
        <v>2011.97</v>
      </c>
      <c r="N2491" s="9" t="n">
        <v>1983.57</v>
      </c>
      <c r="O2491" s="9" t="n">
        <v>2136.82</v>
      </c>
      <c r="P2491" s="9" t="n">
        <v>2005.12</v>
      </c>
      <c r="Q2491" s="9" t="n">
        <v>1801.77</v>
      </c>
      <c r="R2491" s="9" t="n">
        <v>2313.28</v>
      </c>
      <c r="S2491" s="9" t="n">
        <v>1928.38</v>
      </c>
      <c r="T2491" s="9" t="n">
        <v>2006.35</v>
      </c>
      <c r="U2491" s="10">
        <f>SUM(I2491:T2491)</f>
        <v/>
      </c>
    </row>
    <row r="2492">
      <c r="A2492" s="2" t="inlineStr">
        <is>
          <t>SN-3000-3800-3810-3810FE0012</t>
        </is>
      </c>
      <c r="B2492" s="2" t="inlineStr">
        <is>
          <t>3810FE0012</t>
        </is>
      </c>
      <c r="C2492" s="2" t="inlineStr">
        <is>
          <t>Alimentador tornillo cal</t>
        </is>
      </c>
      <c r="D2492" s="2" t="n">
        <v>831</v>
      </c>
      <c r="E2492" s="2" t="inlineStr">
        <is>
          <t>CC-3000</t>
        </is>
      </c>
      <c r="F2492" s="2" t="inlineStr">
        <is>
          <t>P01</t>
        </is>
      </c>
      <c r="G2492" s="2" t="n">
        <v>610000</v>
      </c>
      <c r="H2492" s="2" t="inlineStr">
        <is>
          <t>Mano obra interna</t>
        </is>
      </c>
      <c r="I2492" s="9" t="n">
        <v>2621.13</v>
      </c>
      <c r="J2492" s="9" t="n">
        <v>2521.47</v>
      </c>
      <c r="K2492" s="9" t="n">
        <v>2333.12</v>
      </c>
      <c r="L2492" s="9" t="n">
        <v>2455</v>
      </c>
      <c r="M2492" s="9" t="n">
        <v>2221.23</v>
      </c>
      <c r="N2492" s="9" t="n">
        <v>2464.66</v>
      </c>
      <c r="O2492" s="9" t="n">
        <v>2292.48</v>
      </c>
      <c r="P2492" s="9" t="n">
        <v>2282.9</v>
      </c>
      <c r="Q2492" s="9" t="n">
        <v>2373.94</v>
      </c>
      <c r="R2492" s="9" t="n">
        <v>2782.93</v>
      </c>
      <c r="S2492" s="9" t="n">
        <v>2397.65</v>
      </c>
      <c r="T2492" s="9" t="n">
        <v>2288.74</v>
      </c>
      <c r="U2492" s="10">
        <f>SUM(I2492:T2492)</f>
        <v/>
      </c>
    </row>
    <row r="2493">
      <c r="A2493" s="2" t="inlineStr">
        <is>
          <t>SN-3000-3800-3810-3810FE0012</t>
        </is>
      </c>
      <c r="B2493" s="2" t="inlineStr">
        <is>
          <t>3810FE0012</t>
        </is>
      </c>
      <c r="C2493" s="2" t="inlineStr">
        <is>
          <t>Alimentador tornillo cal</t>
        </is>
      </c>
      <c r="D2493" s="2" t="n">
        <v>831</v>
      </c>
      <c r="E2493" s="2" t="inlineStr">
        <is>
          <t>CC-3000</t>
        </is>
      </c>
      <c r="F2493" s="2" t="inlineStr">
        <is>
          <t>P01</t>
        </is>
      </c>
      <c r="G2493" s="2" t="n">
        <v>620000</v>
      </c>
      <c r="H2493" s="2" t="inlineStr">
        <is>
          <t>Materiales</t>
        </is>
      </c>
      <c r="I2493" s="9" t="n">
        <v>2302.87</v>
      </c>
      <c r="J2493" s="9" t="n">
        <v>2139.09</v>
      </c>
      <c r="K2493" s="9" t="n">
        <v>2084.81</v>
      </c>
      <c r="L2493" s="9" t="n">
        <v>2079.21</v>
      </c>
      <c r="M2493" s="9" t="n">
        <v>2248.67</v>
      </c>
      <c r="N2493" s="9" t="n">
        <v>2061.63</v>
      </c>
      <c r="O2493" s="9" t="n">
        <v>2218.8</v>
      </c>
      <c r="P2493" s="9" t="n">
        <v>2101.9</v>
      </c>
      <c r="Q2493" s="9" t="n">
        <v>2009.06</v>
      </c>
      <c r="R2493" s="9" t="n">
        <v>2492.22</v>
      </c>
      <c r="S2493" s="9" t="n">
        <v>2021.88</v>
      </c>
      <c r="T2493" s="9" t="n">
        <v>2239.9</v>
      </c>
      <c r="U2493" s="10">
        <f>SUM(I2493:T2493)</f>
        <v/>
      </c>
    </row>
    <row r="2494">
      <c r="A2494" s="2" t="inlineStr">
        <is>
          <t>SN-3000-3800-3810-3810FE0012</t>
        </is>
      </c>
      <c r="B2494" s="2" t="inlineStr">
        <is>
          <t>3810FE0012</t>
        </is>
      </c>
      <c r="C2494" s="2" t="inlineStr">
        <is>
          <t>Alimentador tornillo cal</t>
        </is>
      </c>
      <c r="D2494" s="2" t="n">
        <v>831</v>
      </c>
      <c r="E2494" s="2" t="inlineStr">
        <is>
          <t>CC-3000</t>
        </is>
      </c>
      <c r="F2494" s="2" t="inlineStr">
        <is>
          <t>P01</t>
        </is>
      </c>
      <c r="G2494" s="2" t="n">
        <v>630000</v>
      </c>
      <c r="H2494" s="2" t="inlineStr">
        <is>
          <t>Servicios externos</t>
        </is>
      </c>
      <c r="I2494" s="9" t="n">
        <v>1858.81</v>
      </c>
      <c r="J2494" s="9" t="n">
        <v>1995.43</v>
      </c>
      <c r="K2494" s="9" t="n">
        <v>2109.57</v>
      </c>
      <c r="L2494" s="9" t="n">
        <v>2034.22</v>
      </c>
      <c r="M2494" s="9" t="n">
        <v>1813.21</v>
      </c>
      <c r="N2494" s="9" t="n">
        <v>1776.1</v>
      </c>
      <c r="O2494" s="9" t="n">
        <v>2066.6</v>
      </c>
      <c r="P2494" s="9" t="n">
        <v>1871.23</v>
      </c>
      <c r="Q2494" s="9" t="n">
        <v>1896.23</v>
      </c>
      <c r="R2494" s="9" t="n">
        <v>2018.57</v>
      </c>
      <c r="S2494" s="9" t="n">
        <v>2008.18</v>
      </c>
      <c r="T2494" s="9" t="n">
        <v>2097.36</v>
      </c>
      <c r="U2494" s="10">
        <f>SUM(I2494:T2494)</f>
        <v/>
      </c>
    </row>
    <row r="2495">
      <c r="A2495" s="2" t="inlineStr">
        <is>
          <t>SN-3000-3800-3810-3810HT0087</t>
        </is>
      </c>
      <c r="B2495" s="2" t="inlineStr">
        <is>
          <t>3810HT0087</t>
        </is>
      </c>
      <c r="C2495" s="2" t="inlineStr">
        <is>
          <t>Carro mantención planta de cal</t>
        </is>
      </c>
      <c r="D2495" s="2" t="n">
        <v>832</v>
      </c>
      <c r="E2495" s="2" t="inlineStr">
        <is>
          <t>CC-3000</t>
        </is>
      </c>
      <c r="F2495" s="2" t="inlineStr">
        <is>
          <t>P01</t>
        </is>
      </c>
      <c r="G2495" s="2" t="n">
        <v>610000</v>
      </c>
      <c r="H2495" s="2" t="inlineStr">
        <is>
          <t>Mano obra interna</t>
        </is>
      </c>
      <c r="I2495" s="9" t="n">
        <v>1407.35</v>
      </c>
      <c r="J2495" s="9" t="n">
        <v>1232.6</v>
      </c>
      <c r="K2495" s="9" t="n">
        <v>1301.15</v>
      </c>
      <c r="L2495" s="9" t="n">
        <v>1341.9</v>
      </c>
      <c r="M2495" s="9" t="n">
        <v>1323.74</v>
      </c>
      <c r="N2495" s="9" t="n">
        <v>1228.17</v>
      </c>
      <c r="O2495" s="9" t="n">
        <v>1337.99</v>
      </c>
      <c r="P2495" s="9" t="n">
        <v>1250.87</v>
      </c>
      <c r="Q2495" s="9" t="n">
        <v>1136.09</v>
      </c>
      <c r="R2495" s="9" t="n">
        <v>1441.32</v>
      </c>
      <c r="S2495" s="9" t="n">
        <v>1282.8</v>
      </c>
      <c r="T2495" s="9" t="n">
        <v>1381.76</v>
      </c>
      <c r="U2495" s="10">
        <f>SUM(I2495:T2495)</f>
        <v/>
      </c>
    </row>
    <row r="2496">
      <c r="A2496" s="2" t="inlineStr">
        <is>
          <t>SN-3000-3800-3810-3810HT0087</t>
        </is>
      </c>
      <c r="B2496" s="2" t="inlineStr">
        <is>
          <t>3810HT0087</t>
        </is>
      </c>
      <c r="C2496" s="2" t="inlineStr">
        <is>
          <t>Carro mantención planta de cal</t>
        </is>
      </c>
      <c r="D2496" s="2" t="n">
        <v>832</v>
      </c>
      <c r="E2496" s="2" t="inlineStr">
        <is>
          <t>CC-3000</t>
        </is>
      </c>
      <c r="F2496" s="2" t="inlineStr">
        <is>
          <t>P01</t>
        </is>
      </c>
      <c r="G2496" s="2" t="n">
        <v>620000</v>
      </c>
      <c r="H2496" s="2" t="inlineStr">
        <is>
          <t>Materiales</t>
        </is>
      </c>
      <c r="I2496" s="9" t="n">
        <v>1671.64</v>
      </c>
      <c r="J2496" s="9" t="n">
        <v>1506.45</v>
      </c>
      <c r="K2496" s="9" t="n">
        <v>1463.37</v>
      </c>
      <c r="L2496" s="9" t="n">
        <v>1606.43</v>
      </c>
      <c r="M2496" s="9" t="n">
        <v>1566.36</v>
      </c>
      <c r="N2496" s="9" t="n">
        <v>1477.02</v>
      </c>
      <c r="O2496" s="9" t="n">
        <v>1586.94</v>
      </c>
      <c r="P2496" s="9" t="n">
        <v>1495.02</v>
      </c>
      <c r="Q2496" s="9" t="n">
        <v>1352.64</v>
      </c>
      <c r="R2496" s="9" t="n">
        <v>1704.05</v>
      </c>
      <c r="S2496" s="9" t="n">
        <v>1429.66</v>
      </c>
      <c r="T2496" s="9" t="n">
        <v>1551.53</v>
      </c>
      <c r="U2496" s="10">
        <f>SUM(I2496:T2496)</f>
        <v/>
      </c>
    </row>
    <row r="2497">
      <c r="A2497" s="2" t="inlineStr">
        <is>
          <t>SN-3000-3800-3810-3810HT0087</t>
        </is>
      </c>
      <c r="B2497" s="2" t="inlineStr">
        <is>
          <t>3810HT0087</t>
        </is>
      </c>
      <c r="C2497" s="2" t="inlineStr">
        <is>
          <t>Carro mantención planta de cal</t>
        </is>
      </c>
      <c r="D2497" s="2" t="n">
        <v>832</v>
      </c>
      <c r="E2497" s="2" t="inlineStr">
        <is>
          <t>CC-3000</t>
        </is>
      </c>
      <c r="F2497" s="2" t="inlineStr">
        <is>
          <t>P01</t>
        </is>
      </c>
      <c r="G2497" s="2" t="n">
        <v>630000</v>
      </c>
      <c r="H2497" s="2" t="inlineStr">
        <is>
          <t>Servicios externos</t>
        </is>
      </c>
      <c r="I2497" s="9" t="n">
        <v>1508.48</v>
      </c>
      <c r="J2497" s="9" t="n">
        <v>1483.64</v>
      </c>
      <c r="K2497" s="9" t="n">
        <v>1414.83</v>
      </c>
      <c r="L2497" s="9" t="n">
        <v>1634.54</v>
      </c>
      <c r="M2497" s="9" t="n">
        <v>1518.55</v>
      </c>
      <c r="N2497" s="9" t="n">
        <v>1401.01</v>
      </c>
      <c r="O2497" s="9" t="n">
        <v>1410.48</v>
      </c>
      <c r="P2497" s="9" t="n">
        <v>1382.43</v>
      </c>
      <c r="Q2497" s="9" t="n">
        <v>1418.61</v>
      </c>
      <c r="R2497" s="9" t="n">
        <v>1552.56</v>
      </c>
      <c r="S2497" s="9" t="n">
        <v>1373.58</v>
      </c>
      <c r="T2497" s="9" t="n">
        <v>1476.2</v>
      </c>
      <c r="U2497" s="10">
        <f>SUM(I2497:T2497)</f>
        <v/>
      </c>
    </row>
    <row r="2498">
      <c r="A2498" s="2" t="inlineStr">
        <is>
          <t>SN-3000-3800-3810-3810HT0089</t>
        </is>
      </c>
      <c r="B2498" s="2" t="inlineStr">
        <is>
          <t>3810HT0089</t>
        </is>
      </c>
      <c r="C2498" s="2" t="inlineStr">
        <is>
          <t>Tecle manual agitadores</t>
        </is>
      </c>
      <c r="D2498" s="2" t="n">
        <v>833</v>
      </c>
      <c r="E2498" s="2" t="inlineStr">
        <is>
          <t>CC-3000</t>
        </is>
      </c>
      <c r="F2498" s="2" t="inlineStr">
        <is>
          <t>P01</t>
        </is>
      </c>
      <c r="G2498" s="2" t="n">
        <v>610000</v>
      </c>
      <c r="H2498" s="2" t="inlineStr">
        <is>
          <t>Mano obra interna</t>
        </is>
      </c>
      <c r="I2498" s="9" t="n">
        <v>1199.98</v>
      </c>
      <c r="J2498" s="9" t="n">
        <v>1152.89</v>
      </c>
      <c r="K2498" s="9" t="n">
        <v>1248.84</v>
      </c>
      <c r="L2498" s="9" t="n">
        <v>1116.65</v>
      </c>
      <c r="M2498" s="9" t="n">
        <v>1156.98</v>
      </c>
      <c r="N2498" s="9" t="n">
        <v>1023.98</v>
      </c>
      <c r="O2498" s="9" t="n">
        <v>1153.34</v>
      </c>
      <c r="P2498" s="9" t="n">
        <v>1158.55</v>
      </c>
      <c r="Q2498" s="9" t="n">
        <v>1016.61</v>
      </c>
      <c r="R2498" s="9" t="n">
        <v>1212.39</v>
      </c>
      <c r="S2498" s="9" t="n">
        <v>1165.49</v>
      </c>
      <c r="T2498" s="9" t="n">
        <v>1095.72</v>
      </c>
      <c r="U2498" s="10">
        <f>SUM(I2498:T2498)</f>
        <v/>
      </c>
    </row>
    <row r="2499">
      <c r="A2499" s="2" t="inlineStr">
        <is>
          <t>SN-3000-3800-3810-3810HT0089</t>
        </is>
      </c>
      <c r="B2499" s="2" t="inlineStr">
        <is>
          <t>3810HT0089</t>
        </is>
      </c>
      <c r="C2499" s="2" t="inlineStr">
        <is>
          <t>Tecle manual agitadores</t>
        </is>
      </c>
      <c r="D2499" s="2" t="n">
        <v>833</v>
      </c>
      <c r="E2499" s="2" t="inlineStr">
        <is>
          <t>CC-3000</t>
        </is>
      </c>
      <c r="F2499" s="2" t="inlineStr">
        <is>
          <t>P01</t>
        </is>
      </c>
      <c r="G2499" s="2" t="n">
        <v>620000</v>
      </c>
      <c r="H2499" s="2" t="inlineStr">
        <is>
          <t>Materiales</t>
        </is>
      </c>
      <c r="I2499" s="9" t="n">
        <v>1144.88</v>
      </c>
      <c r="J2499" s="9" t="n">
        <v>1033.68</v>
      </c>
      <c r="K2499" s="9" t="n">
        <v>1121.05</v>
      </c>
      <c r="L2499" s="9" t="n">
        <v>1128.07</v>
      </c>
      <c r="M2499" s="9" t="n">
        <v>988.84</v>
      </c>
      <c r="N2499" s="9" t="n">
        <v>957.59</v>
      </c>
      <c r="O2499" s="9" t="n">
        <v>1092.78</v>
      </c>
      <c r="P2499" s="9" t="n">
        <v>1090.58</v>
      </c>
      <c r="Q2499" s="9" t="n">
        <v>907.67</v>
      </c>
      <c r="R2499" s="9" t="n">
        <v>1099.02</v>
      </c>
      <c r="S2499" s="9" t="n">
        <v>998.9</v>
      </c>
      <c r="T2499" s="9" t="n">
        <v>1120.5</v>
      </c>
      <c r="U2499" s="10">
        <f>SUM(I2499:T2499)</f>
        <v/>
      </c>
    </row>
    <row r="2500">
      <c r="A2500" s="2" t="inlineStr">
        <is>
          <t>SN-3000-3800-3810-3810HT0089</t>
        </is>
      </c>
      <c r="B2500" s="2" t="inlineStr">
        <is>
          <t>3810HT0089</t>
        </is>
      </c>
      <c r="C2500" s="2" t="inlineStr">
        <is>
          <t>Tecle manual agitadores</t>
        </is>
      </c>
      <c r="D2500" s="2" t="n">
        <v>833</v>
      </c>
      <c r="E2500" s="2" t="inlineStr">
        <is>
          <t>CC-3000</t>
        </is>
      </c>
      <c r="F2500" s="2" t="inlineStr">
        <is>
          <t>P01</t>
        </is>
      </c>
      <c r="G2500" s="2" t="n">
        <v>630000</v>
      </c>
      <c r="H2500" s="2" t="inlineStr">
        <is>
          <t>Servicios externos</t>
        </is>
      </c>
      <c r="I2500" s="9" t="n">
        <v>1132.02</v>
      </c>
      <c r="J2500" s="9" t="n">
        <v>1103.68</v>
      </c>
      <c r="K2500" s="9" t="n">
        <v>1119.11</v>
      </c>
      <c r="L2500" s="9" t="n">
        <v>1089.29</v>
      </c>
      <c r="M2500" s="9" t="n">
        <v>1009.65</v>
      </c>
      <c r="N2500" s="9" t="n">
        <v>923.79</v>
      </c>
      <c r="O2500" s="9" t="n">
        <v>1050.78</v>
      </c>
      <c r="P2500" s="9" t="n">
        <v>1014.43</v>
      </c>
      <c r="Q2500" s="9" t="n">
        <v>943.34</v>
      </c>
      <c r="R2500" s="9" t="n">
        <v>1153.2</v>
      </c>
      <c r="S2500" s="9" t="n">
        <v>999.15</v>
      </c>
      <c r="T2500" s="9" t="n">
        <v>1096.07</v>
      </c>
      <c r="U2500" s="10">
        <f>SUM(I2500:T2500)</f>
        <v/>
      </c>
    </row>
    <row r="2501">
      <c r="A2501" s="2" t="inlineStr">
        <is>
          <t>SN-3000-3800-3810-3810IO0001</t>
        </is>
      </c>
      <c r="B2501" s="2" t="inlineStr">
        <is>
          <t>3810IO0001</t>
        </is>
      </c>
      <c r="C2501" s="2" t="inlineStr">
        <is>
          <t xml:space="preserve">Gabinete RIO  </t>
        </is>
      </c>
      <c r="D2501" s="2" t="n">
        <v>834</v>
      </c>
      <c r="E2501" s="2" t="inlineStr">
        <is>
          <t>CC-3000</t>
        </is>
      </c>
      <c r="F2501" s="2" t="inlineStr">
        <is>
          <t>P01</t>
        </is>
      </c>
      <c r="G2501" s="2" t="n">
        <v>610000</v>
      </c>
      <c r="H2501" s="2" t="inlineStr">
        <is>
          <t>Mano obra interna</t>
        </is>
      </c>
      <c r="I2501" s="9" t="n">
        <v>904.1900000000001</v>
      </c>
      <c r="J2501" s="9" t="n">
        <v>918.22</v>
      </c>
      <c r="K2501" s="9" t="n">
        <v>1037.66</v>
      </c>
      <c r="L2501" s="9" t="n">
        <v>1005.07</v>
      </c>
      <c r="M2501" s="9" t="n">
        <v>884.72</v>
      </c>
      <c r="N2501" s="9" t="n">
        <v>881.3200000000001</v>
      </c>
      <c r="O2501" s="9" t="n">
        <v>1002.8</v>
      </c>
      <c r="P2501" s="9" t="n">
        <v>880.99</v>
      </c>
      <c r="Q2501" s="9" t="n">
        <v>838.91</v>
      </c>
      <c r="R2501" s="9" t="n">
        <v>973.22</v>
      </c>
      <c r="S2501" s="9" t="n">
        <v>918.48</v>
      </c>
      <c r="T2501" s="9" t="n">
        <v>938.47</v>
      </c>
      <c r="U2501" s="10">
        <f>SUM(I2501:T2501)</f>
        <v/>
      </c>
    </row>
    <row r="2502">
      <c r="A2502" s="2" t="inlineStr">
        <is>
          <t>SN-3000-3800-3810-3810IO0001</t>
        </is>
      </c>
      <c r="B2502" s="2" t="inlineStr">
        <is>
          <t>3810IO0001</t>
        </is>
      </c>
      <c r="C2502" s="2" t="inlineStr">
        <is>
          <t xml:space="preserve">Gabinete RIO  </t>
        </is>
      </c>
      <c r="D2502" s="2" t="n">
        <v>834</v>
      </c>
      <c r="E2502" s="2" t="inlineStr">
        <is>
          <t>CC-3000</t>
        </is>
      </c>
      <c r="F2502" s="2" t="inlineStr">
        <is>
          <t>P01</t>
        </is>
      </c>
      <c r="G2502" s="2" t="n">
        <v>620000</v>
      </c>
      <c r="H2502" s="2" t="inlineStr">
        <is>
          <t>Materiales</t>
        </is>
      </c>
      <c r="I2502" s="9" t="n">
        <v>859.8</v>
      </c>
      <c r="J2502" s="9" t="n">
        <v>760.5599999999999</v>
      </c>
      <c r="K2502" s="9" t="n">
        <v>865.8</v>
      </c>
      <c r="L2502" s="9" t="n">
        <v>844.33</v>
      </c>
      <c r="M2502" s="9" t="n">
        <v>815.83</v>
      </c>
      <c r="N2502" s="9" t="n">
        <v>734.34</v>
      </c>
      <c r="O2502" s="9" t="n">
        <v>843.95</v>
      </c>
      <c r="P2502" s="9" t="n">
        <v>815.51</v>
      </c>
      <c r="Q2502" s="9" t="n">
        <v>757.23</v>
      </c>
      <c r="R2502" s="9" t="n">
        <v>903.64</v>
      </c>
      <c r="S2502" s="9" t="n">
        <v>812.42</v>
      </c>
      <c r="T2502" s="9" t="n">
        <v>772.46</v>
      </c>
      <c r="U2502" s="10">
        <f>SUM(I2502:T2502)</f>
        <v/>
      </c>
    </row>
    <row r="2503">
      <c r="A2503" s="2" t="inlineStr">
        <is>
          <t>SN-3000-3800-3810-3810IO0001</t>
        </is>
      </c>
      <c r="B2503" s="2" t="inlineStr">
        <is>
          <t>3810IO0001</t>
        </is>
      </c>
      <c r="C2503" s="2" t="inlineStr">
        <is>
          <t xml:space="preserve">Gabinete RIO  </t>
        </is>
      </c>
      <c r="D2503" s="2" t="n">
        <v>834</v>
      </c>
      <c r="E2503" s="2" t="inlineStr">
        <is>
          <t>CC-3000</t>
        </is>
      </c>
      <c r="F2503" s="2" t="inlineStr">
        <is>
          <t>P01</t>
        </is>
      </c>
      <c r="G2503" s="2" t="n">
        <v>630000</v>
      </c>
      <c r="H2503" s="2" t="inlineStr">
        <is>
          <t>Servicios externos</t>
        </is>
      </c>
      <c r="I2503" s="9" t="n">
        <v>807.6</v>
      </c>
      <c r="J2503" s="9" t="n">
        <v>836.58</v>
      </c>
      <c r="K2503" s="9" t="n">
        <v>862.52</v>
      </c>
      <c r="L2503" s="9" t="n">
        <v>878.9299999999999</v>
      </c>
      <c r="M2503" s="9" t="n">
        <v>848.85</v>
      </c>
      <c r="N2503" s="9" t="n">
        <v>834.26</v>
      </c>
      <c r="O2503" s="9" t="n">
        <v>810.01</v>
      </c>
      <c r="P2503" s="9" t="n">
        <v>804.85</v>
      </c>
      <c r="Q2503" s="9" t="n">
        <v>809.55</v>
      </c>
      <c r="R2503" s="9" t="n">
        <v>853.3</v>
      </c>
      <c r="S2503" s="9" t="n">
        <v>794.58</v>
      </c>
      <c r="T2503" s="9" t="n">
        <v>797.1900000000001</v>
      </c>
      <c r="U2503" s="10">
        <f>SUM(I2503:T2503)</f>
        <v/>
      </c>
    </row>
    <row r="2504">
      <c r="A2504" s="2" t="inlineStr">
        <is>
          <t>SN-3000-3800-3810-3810IO0002</t>
        </is>
      </c>
      <c r="B2504" s="2" t="inlineStr">
        <is>
          <t>3810IO0002</t>
        </is>
      </c>
      <c r="C2504" s="2" t="inlineStr">
        <is>
          <t xml:space="preserve">Gabinete RIO  </t>
        </is>
      </c>
      <c r="D2504" s="2" t="n">
        <v>835</v>
      </c>
      <c r="E2504" s="2" t="inlineStr">
        <is>
          <t>CC-3000</t>
        </is>
      </c>
      <c r="F2504" s="2" t="inlineStr">
        <is>
          <t>P01</t>
        </is>
      </c>
      <c r="G2504" s="2" t="n">
        <v>610000</v>
      </c>
      <c r="H2504" s="2" t="inlineStr">
        <is>
          <t>Mano obra interna</t>
        </is>
      </c>
      <c r="I2504" s="9" t="n">
        <v>474.82</v>
      </c>
      <c r="J2504" s="9" t="n">
        <v>443.55</v>
      </c>
      <c r="K2504" s="9" t="n">
        <v>501.99</v>
      </c>
      <c r="L2504" s="9" t="n">
        <v>462.78</v>
      </c>
      <c r="M2504" s="9" t="n">
        <v>500.36</v>
      </c>
      <c r="N2504" s="9" t="n">
        <v>441.79</v>
      </c>
      <c r="O2504" s="9" t="n">
        <v>484.74</v>
      </c>
      <c r="P2504" s="9" t="n">
        <v>460.05</v>
      </c>
      <c r="Q2504" s="9" t="n">
        <v>461.06</v>
      </c>
      <c r="R2504" s="9" t="n">
        <v>541.4400000000001</v>
      </c>
      <c r="S2504" s="9" t="n">
        <v>478.06</v>
      </c>
      <c r="T2504" s="9" t="n">
        <v>505.81</v>
      </c>
      <c r="U2504" s="10">
        <f>SUM(I2504:T2504)</f>
        <v/>
      </c>
    </row>
    <row r="2505">
      <c r="A2505" s="2" t="inlineStr">
        <is>
          <t>SN-3000-3800-3810-3810IO0002</t>
        </is>
      </c>
      <c r="B2505" s="2" t="inlineStr">
        <is>
          <t>3810IO0002</t>
        </is>
      </c>
      <c r="C2505" s="2" t="inlineStr">
        <is>
          <t xml:space="preserve">Gabinete RIO  </t>
        </is>
      </c>
      <c r="D2505" s="2" t="n">
        <v>835</v>
      </c>
      <c r="E2505" s="2" t="inlineStr">
        <is>
          <t>CC-3000</t>
        </is>
      </c>
      <c r="F2505" s="2" t="inlineStr">
        <is>
          <t>P01</t>
        </is>
      </c>
      <c r="G2505" s="2" t="n">
        <v>620000</v>
      </c>
      <c r="H2505" s="2" t="inlineStr">
        <is>
          <t>Materiales</t>
        </is>
      </c>
      <c r="I2505" s="9" t="n">
        <v>391.76</v>
      </c>
      <c r="J2505" s="9" t="n">
        <v>360.97</v>
      </c>
      <c r="K2505" s="9" t="n">
        <v>392.65</v>
      </c>
      <c r="L2505" s="9" t="n">
        <v>378.14</v>
      </c>
      <c r="M2505" s="9" t="n">
        <v>338.69</v>
      </c>
      <c r="N2505" s="9" t="n">
        <v>349.61</v>
      </c>
      <c r="O2505" s="9" t="n">
        <v>336.01</v>
      </c>
      <c r="P2505" s="9" t="n">
        <v>370.35</v>
      </c>
      <c r="Q2505" s="9" t="n">
        <v>329.66</v>
      </c>
      <c r="R2505" s="9" t="n">
        <v>365.96</v>
      </c>
      <c r="S2505" s="9" t="n">
        <v>374.57</v>
      </c>
      <c r="T2505" s="9" t="n">
        <v>388.11</v>
      </c>
      <c r="U2505" s="10">
        <f>SUM(I2505:T2505)</f>
        <v/>
      </c>
    </row>
    <row r="2506">
      <c r="A2506" s="2" t="inlineStr">
        <is>
          <t>SN-3000-3800-3810-3810IO0002</t>
        </is>
      </c>
      <c r="B2506" s="2" t="inlineStr">
        <is>
          <t>3810IO0002</t>
        </is>
      </c>
      <c r="C2506" s="2" t="inlineStr">
        <is>
          <t xml:space="preserve">Gabinete RIO  </t>
        </is>
      </c>
      <c r="D2506" s="2" t="n">
        <v>835</v>
      </c>
      <c r="E2506" s="2" t="inlineStr">
        <is>
          <t>CC-3000</t>
        </is>
      </c>
      <c r="F2506" s="2" t="inlineStr">
        <is>
          <t>P01</t>
        </is>
      </c>
      <c r="G2506" s="2" t="n">
        <v>630000</v>
      </c>
      <c r="H2506" s="2" t="inlineStr">
        <is>
          <t>Servicios externos</t>
        </is>
      </c>
      <c r="I2506" s="9" t="n">
        <v>481.3</v>
      </c>
      <c r="J2506" s="9" t="n">
        <v>457.46</v>
      </c>
      <c r="K2506" s="9" t="n">
        <v>476.44</v>
      </c>
      <c r="L2506" s="9" t="n">
        <v>431.55</v>
      </c>
      <c r="M2506" s="9" t="n">
        <v>474.57</v>
      </c>
      <c r="N2506" s="9" t="n">
        <v>457.12</v>
      </c>
      <c r="O2506" s="9" t="n">
        <v>468.73</v>
      </c>
      <c r="P2506" s="9" t="n">
        <v>481.1</v>
      </c>
      <c r="Q2506" s="9" t="n">
        <v>423.06</v>
      </c>
      <c r="R2506" s="9" t="n">
        <v>481.92</v>
      </c>
      <c r="S2506" s="9" t="n">
        <v>468.92</v>
      </c>
      <c r="T2506" s="9" t="n">
        <v>454.71</v>
      </c>
      <c r="U2506" s="10">
        <f>SUM(I2506:T2506)</f>
        <v/>
      </c>
    </row>
    <row r="2507">
      <c r="A2507" s="2" t="inlineStr">
        <is>
          <t>SN-3000-3800-3810-3810LL0001</t>
        </is>
      </c>
      <c r="B2507" s="2" t="inlineStr">
        <is>
          <t>3810LL0001</t>
        </is>
      </c>
      <c r="C2507" s="2" t="inlineStr">
        <is>
          <t>Lín lechada cal 3810-5605-LUNA-3"-RML-ET</t>
        </is>
      </c>
      <c r="D2507" s="2" t="n">
        <v>836</v>
      </c>
      <c r="E2507" s="2" t="inlineStr">
        <is>
          <t>CC-3000</t>
        </is>
      </c>
      <c r="F2507" s="2" t="inlineStr">
        <is>
          <t>P01</t>
        </is>
      </c>
      <c r="G2507" s="2" t="n">
        <v>610000</v>
      </c>
      <c r="H2507" s="2" t="inlineStr">
        <is>
          <t>Mano obra interna</t>
        </is>
      </c>
      <c r="I2507" s="9" t="n">
        <v>1598.22</v>
      </c>
      <c r="J2507" s="9" t="n">
        <v>1608.17</v>
      </c>
      <c r="K2507" s="9" t="n">
        <v>1706.66</v>
      </c>
      <c r="L2507" s="9" t="n">
        <v>1665.85</v>
      </c>
      <c r="M2507" s="9" t="n">
        <v>1585.2</v>
      </c>
      <c r="N2507" s="9" t="n">
        <v>1478.97</v>
      </c>
      <c r="O2507" s="9" t="n">
        <v>1635.56</v>
      </c>
      <c r="P2507" s="9" t="n">
        <v>1701.2</v>
      </c>
      <c r="Q2507" s="9" t="n">
        <v>1370.22</v>
      </c>
      <c r="R2507" s="9" t="n">
        <v>1622.43</v>
      </c>
      <c r="S2507" s="9" t="n">
        <v>1452.89</v>
      </c>
      <c r="T2507" s="9" t="n">
        <v>1731.58</v>
      </c>
      <c r="U2507" s="10">
        <f>SUM(I2507:T2507)</f>
        <v/>
      </c>
    </row>
    <row r="2508">
      <c r="A2508" s="2" t="inlineStr">
        <is>
          <t>SN-3000-3800-3810-3810LL0001</t>
        </is>
      </c>
      <c r="B2508" s="2" t="inlineStr">
        <is>
          <t>3810LL0001</t>
        </is>
      </c>
      <c r="C2508" s="2" t="inlineStr">
        <is>
          <t>Lín lechada cal 3810-5605-LUNA-3"-RML-ET</t>
        </is>
      </c>
      <c r="D2508" s="2" t="n">
        <v>836</v>
      </c>
      <c r="E2508" s="2" t="inlineStr">
        <is>
          <t>CC-3000</t>
        </is>
      </c>
      <c r="F2508" s="2" t="inlineStr">
        <is>
          <t>P01</t>
        </is>
      </c>
      <c r="G2508" s="2" t="n">
        <v>620000</v>
      </c>
      <c r="H2508" s="2" t="inlineStr">
        <is>
          <t>Materiales</t>
        </is>
      </c>
      <c r="I2508" s="9" t="n">
        <v>1728.09</v>
      </c>
      <c r="J2508" s="9" t="n">
        <v>1575.39</v>
      </c>
      <c r="K2508" s="9" t="n">
        <v>1618.67</v>
      </c>
      <c r="L2508" s="9" t="n">
        <v>1688.96</v>
      </c>
      <c r="M2508" s="9" t="n">
        <v>1477.6</v>
      </c>
      <c r="N2508" s="9" t="n">
        <v>1480.68</v>
      </c>
      <c r="O2508" s="9" t="n">
        <v>1570.88</v>
      </c>
      <c r="P2508" s="9" t="n">
        <v>1526.64</v>
      </c>
      <c r="Q2508" s="9" t="n">
        <v>1439.3</v>
      </c>
      <c r="R2508" s="9" t="n">
        <v>1587.57</v>
      </c>
      <c r="S2508" s="9" t="n">
        <v>1454.42</v>
      </c>
      <c r="T2508" s="9" t="n">
        <v>1559.96</v>
      </c>
      <c r="U2508" s="10">
        <f>SUM(I2508:T2508)</f>
        <v/>
      </c>
    </row>
    <row r="2509">
      <c r="A2509" s="2" t="inlineStr">
        <is>
          <t>SN-3000-3800-3810-3810LL0001</t>
        </is>
      </c>
      <c r="B2509" s="2" t="inlineStr">
        <is>
          <t>3810LL0001</t>
        </is>
      </c>
      <c r="C2509" s="2" t="inlineStr">
        <is>
          <t>Lín lechada cal 3810-5605-LUNA-3"-RML-ET</t>
        </is>
      </c>
      <c r="D2509" s="2" t="n">
        <v>836</v>
      </c>
      <c r="E2509" s="2" t="inlineStr">
        <is>
          <t>CC-3000</t>
        </is>
      </c>
      <c r="F2509" s="2" t="inlineStr">
        <is>
          <t>P01</t>
        </is>
      </c>
      <c r="G2509" s="2" t="n">
        <v>630000</v>
      </c>
      <c r="H2509" s="2" t="inlineStr">
        <is>
          <t>Servicios externos</t>
        </is>
      </c>
      <c r="I2509" s="9" t="n">
        <v>1576.58</v>
      </c>
      <c r="J2509" s="9" t="n">
        <v>1563.08</v>
      </c>
      <c r="K2509" s="9" t="n">
        <v>1561.68</v>
      </c>
      <c r="L2509" s="9" t="n">
        <v>1678.1</v>
      </c>
      <c r="M2509" s="9" t="n">
        <v>1638.87</v>
      </c>
      <c r="N2509" s="9" t="n">
        <v>1646.53</v>
      </c>
      <c r="O2509" s="9" t="n">
        <v>1710.89</v>
      </c>
      <c r="P2509" s="9" t="n">
        <v>1569.99</v>
      </c>
      <c r="Q2509" s="9" t="n">
        <v>1426.6</v>
      </c>
      <c r="R2509" s="9" t="n">
        <v>1658.09</v>
      </c>
      <c r="S2509" s="9" t="n">
        <v>1693.26</v>
      </c>
      <c r="T2509" s="9" t="n">
        <v>1696.96</v>
      </c>
      <c r="U2509" s="10">
        <f>SUM(I2509:T2509)</f>
        <v/>
      </c>
    </row>
    <row r="2510">
      <c r="A2510" s="2" t="inlineStr">
        <is>
          <t>SN-3000-3800-3810-3810LL0002</t>
        </is>
      </c>
      <c r="B2510" s="2" t="inlineStr">
        <is>
          <t>3810LL0002</t>
        </is>
      </c>
      <c r="C2510" s="2" t="inlineStr">
        <is>
          <t>Lín lechada cal 3810-5605-LUNA-3"-RML-ET</t>
        </is>
      </c>
      <c r="D2510" s="2" t="n">
        <v>837</v>
      </c>
      <c r="E2510" s="2" t="inlineStr">
        <is>
          <t>CC-3000</t>
        </is>
      </c>
      <c r="F2510" s="2" t="inlineStr">
        <is>
          <t>P01</t>
        </is>
      </c>
      <c r="G2510" s="2" t="n">
        <v>610000</v>
      </c>
      <c r="H2510" s="2" t="inlineStr">
        <is>
          <t>Mano obra interna</t>
        </is>
      </c>
      <c r="I2510" s="9" t="n">
        <v>947.15</v>
      </c>
      <c r="J2510" s="9" t="n">
        <v>967.9400000000001</v>
      </c>
      <c r="K2510" s="9" t="n">
        <v>968.72</v>
      </c>
      <c r="L2510" s="9" t="n">
        <v>1055.69</v>
      </c>
      <c r="M2510" s="9" t="n">
        <v>986.29</v>
      </c>
      <c r="N2510" s="9" t="n">
        <v>958.76</v>
      </c>
      <c r="O2510" s="9" t="n">
        <v>979.64</v>
      </c>
      <c r="P2510" s="9" t="n">
        <v>945.9</v>
      </c>
      <c r="Q2510" s="9" t="n">
        <v>930.09</v>
      </c>
      <c r="R2510" s="9" t="n">
        <v>1099.19</v>
      </c>
      <c r="S2510" s="9" t="n">
        <v>933.91</v>
      </c>
      <c r="T2510" s="9" t="n">
        <v>1000.48</v>
      </c>
      <c r="U2510" s="10">
        <f>SUM(I2510:T2510)</f>
        <v/>
      </c>
    </row>
    <row r="2511">
      <c r="A2511" s="2" t="inlineStr">
        <is>
          <t>SN-3000-3800-3810-3810LL0002</t>
        </is>
      </c>
      <c r="B2511" s="2" t="inlineStr">
        <is>
          <t>3810LL0002</t>
        </is>
      </c>
      <c r="C2511" s="2" t="inlineStr">
        <is>
          <t>Lín lechada cal 3810-5605-LUNA-3"-RML-ET</t>
        </is>
      </c>
      <c r="D2511" s="2" t="n">
        <v>837</v>
      </c>
      <c r="E2511" s="2" t="inlineStr">
        <is>
          <t>CC-3000</t>
        </is>
      </c>
      <c r="F2511" s="2" t="inlineStr">
        <is>
          <t>P01</t>
        </is>
      </c>
      <c r="G2511" s="2" t="n">
        <v>620000</v>
      </c>
      <c r="H2511" s="2" t="inlineStr">
        <is>
          <t>Materiales</t>
        </is>
      </c>
      <c r="I2511" s="9" t="n">
        <v>1182.27</v>
      </c>
      <c r="J2511" s="9" t="n">
        <v>1217.27</v>
      </c>
      <c r="K2511" s="9" t="n">
        <v>1235.23</v>
      </c>
      <c r="L2511" s="9" t="n">
        <v>1294.85</v>
      </c>
      <c r="M2511" s="9" t="n">
        <v>1120.92</v>
      </c>
      <c r="N2511" s="9" t="n">
        <v>1205.2</v>
      </c>
      <c r="O2511" s="9" t="n">
        <v>1149.66</v>
      </c>
      <c r="P2511" s="9" t="n">
        <v>1140.8</v>
      </c>
      <c r="Q2511" s="9" t="n">
        <v>1183.34</v>
      </c>
      <c r="R2511" s="9" t="n">
        <v>1353.06</v>
      </c>
      <c r="S2511" s="9" t="n">
        <v>1262.98</v>
      </c>
      <c r="T2511" s="9" t="n">
        <v>1249.24</v>
      </c>
      <c r="U2511" s="10">
        <f>SUM(I2511:T2511)</f>
        <v/>
      </c>
    </row>
    <row r="2512">
      <c r="A2512" s="2" t="inlineStr">
        <is>
          <t>SN-3000-3800-3810-3810LL0002</t>
        </is>
      </c>
      <c r="B2512" s="2" t="inlineStr">
        <is>
          <t>3810LL0002</t>
        </is>
      </c>
      <c r="C2512" s="2" t="inlineStr">
        <is>
          <t>Lín lechada cal 3810-5605-LUNA-3"-RML-ET</t>
        </is>
      </c>
      <c r="D2512" s="2" t="n">
        <v>837</v>
      </c>
      <c r="E2512" s="2" t="inlineStr">
        <is>
          <t>CC-3000</t>
        </is>
      </c>
      <c r="F2512" s="2" t="inlineStr">
        <is>
          <t>P01</t>
        </is>
      </c>
      <c r="G2512" s="2" t="n">
        <v>630000</v>
      </c>
      <c r="H2512" s="2" t="inlineStr">
        <is>
          <t>Servicios externos</t>
        </is>
      </c>
      <c r="I2512" s="9" t="n">
        <v>1171.45</v>
      </c>
      <c r="J2512" s="9" t="n">
        <v>1063.01</v>
      </c>
      <c r="K2512" s="9" t="n">
        <v>1060.99</v>
      </c>
      <c r="L2512" s="9" t="n">
        <v>1086.2</v>
      </c>
      <c r="M2512" s="9" t="n">
        <v>1053.18</v>
      </c>
      <c r="N2512" s="9" t="n">
        <v>1034.02</v>
      </c>
      <c r="O2512" s="9" t="n">
        <v>1190.09</v>
      </c>
      <c r="P2512" s="9" t="n">
        <v>1164.05</v>
      </c>
      <c r="Q2512" s="9" t="n">
        <v>1106.09</v>
      </c>
      <c r="R2512" s="9" t="n">
        <v>1293.42</v>
      </c>
      <c r="S2512" s="9" t="n">
        <v>1063.88</v>
      </c>
      <c r="T2512" s="9" t="n">
        <v>1078.01</v>
      </c>
      <c r="U2512" s="10">
        <f>SUM(I2512:T2512)</f>
        <v/>
      </c>
    </row>
    <row r="2513">
      <c r="A2513" s="2" t="inlineStr">
        <is>
          <t>SN-3000-3800-3810-3810LL0003</t>
        </is>
      </c>
      <c r="B2513" s="2" t="inlineStr">
        <is>
          <t>3810LL0003</t>
        </is>
      </c>
      <c r="C2513" s="2" t="inlineStr">
        <is>
          <t>Lín lechada cal 3810-5605-LUNA-3"-RML-ET</t>
        </is>
      </c>
      <c r="D2513" s="2" t="n">
        <v>838</v>
      </c>
      <c r="E2513" s="2" t="inlineStr">
        <is>
          <t>CC-3000</t>
        </is>
      </c>
      <c r="F2513" s="2" t="inlineStr">
        <is>
          <t>P01</t>
        </is>
      </c>
      <c r="G2513" s="2" t="n">
        <v>610000</v>
      </c>
      <c r="H2513" s="2" t="inlineStr">
        <is>
          <t>Mano obra interna</t>
        </is>
      </c>
      <c r="I2513" s="9" t="n">
        <v>2594.55</v>
      </c>
      <c r="J2513" s="9" t="n">
        <v>2346.28</v>
      </c>
      <c r="K2513" s="9" t="n">
        <v>2473.42</v>
      </c>
      <c r="L2513" s="9" t="n">
        <v>2305.1</v>
      </c>
      <c r="M2513" s="9" t="n">
        <v>2340.54</v>
      </c>
      <c r="N2513" s="9" t="n">
        <v>2248.84</v>
      </c>
      <c r="O2513" s="9" t="n">
        <v>2339.7</v>
      </c>
      <c r="P2513" s="9" t="n">
        <v>2542.03</v>
      </c>
      <c r="Q2513" s="9" t="n">
        <v>2072.67</v>
      </c>
      <c r="R2513" s="9" t="n">
        <v>2778.51</v>
      </c>
      <c r="S2513" s="9" t="n">
        <v>2136.53</v>
      </c>
      <c r="T2513" s="9" t="n">
        <v>2604.38</v>
      </c>
      <c r="U2513" s="10">
        <f>SUM(I2513:T2513)</f>
        <v/>
      </c>
    </row>
    <row r="2514">
      <c r="A2514" s="2" t="inlineStr">
        <is>
          <t>SN-3000-3800-3810-3810LL0003</t>
        </is>
      </c>
      <c r="B2514" s="2" t="inlineStr">
        <is>
          <t>3810LL0003</t>
        </is>
      </c>
      <c r="C2514" s="2" t="inlineStr">
        <is>
          <t>Lín lechada cal 3810-5605-LUNA-3"-RML-ET</t>
        </is>
      </c>
      <c r="D2514" s="2" t="n">
        <v>838</v>
      </c>
      <c r="E2514" s="2" t="inlineStr">
        <is>
          <t>CC-3000</t>
        </is>
      </c>
      <c r="F2514" s="2" t="inlineStr">
        <is>
          <t>P01</t>
        </is>
      </c>
      <c r="G2514" s="2" t="n">
        <v>620000</v>
      </c>
      <c r="H2514" s="2" t="inlineStr">
        <is>
          <t>Materiales</t>
        </is>
      </c>
      <c r="I2514" s="9" t="n">
        <v>2481.11</v>
      </c>
      <c r="J2514" s="9" t="n">
        <v>2202.48</v>
      </c>
      <c r="K2514" s="9" t="n">
        <v>2488.61</v>
      </c>
      <c r="L2514" s="9" t="n">
        <v>2553.13</v>
      </c>
      <c r="M2514" s="9" t="n">
        <v>2195.45</v>
      </c>
      <c r="N2514" s="9" t="n">
        <v>2116.47</v>
      </c>
      <c r="O2514" s="9" t="n">
        <v>2281.39</v>
      </c>
      <c r="P2514" s="9" t="n">
        <v>2225.11</v>
      </c>
      <c r="Q2514" s="9" t="n">
        <v>2054.94</v>
      </c>
      <c r="R2514" s="9" t="n">
        <v>2611.25</v>
      </c>
      <c r="S2514" s="9" t="n">
        <v>2174.66</v>
      </c>
      <c r="T2514" s="9" t="n">
        <v>2452.99</v>
      </c>
      <c r="U2514" s="10">
        <f>SUM(I2514:T2514)</f>
        <v/>
      </c>
    </row>
    <row r="2515">
      <c r="A2515" s="2" t="inlineStr">
        <is>
          <t>SN-3000-3800-3810-3810LL0003</t>
        </is>
      </c>
      <c r="B2515" s="2" t="inlineStr">
        <is>
          <t>3810LL0003</t>
        </is>
      </c>
      <c r="C2515" s="2" t="inlineStr">
        <is>
          <t>Lín lechada cal 3810-5605-LUNA-3"-RML-ET</t>
        </is>
      </c>
      <c r="D2515" s="2" t="n">
        <v>838</v>
      </c>
      <c r="E2515" s="2" t="inlineStr">
        <is>
          <t>CC-3000</t>
        </is>
      </c>
      <c r="F2515" s="2" t="inlineStr">
        <is>
          <t>P01</t>
        </is>
      </c>
      <c r="G2515" s="2" t="n">
        <v>630000</v>
      </c>
      <c r="H2515" s="2" t="inlineStr">
        <is>
          <t>Servicios externos</t>
        </is>
      </c>
      <c r="I2515" s="9" t="n">
        <v>2650.41</v>
      </c>
      <c r="J2515" s="9" t="n">
        <v>2344.23</v>
      </c>
      <c r="K2515" s="9" t="n">
        <v>2645.62</v>
      </c>
      <c r="L2515" s="9" t="n">
        <v>2546.43</v>
      </c>
      <c r="M2515" s="9" t="n">
        <v>2445.56</v>
      </c>
      <c r="N2515" s="9" t="n">
        <v>2352.93</v>
      </c>
      <c r="O2515" s="9" t="n">
        <v>2710.02</v>
      </c>
      <c r="P2515" s="9" t="n">
        <v>2631.02</v>
      </c>
      <c r="Q2515" s="9" t="n">
        <v>2221.21</v>
      </c>
      <c r="R2515" s="9" t="n">
        <v>2722.92</v>
      </c>
      <c r="S2515" s="9" t="n">
        <v>2382.33</v>
      </c>
      <c r="T2515" s="9" t="n">
        <v>2768.97</v>
      </c>
      <c r="U2515" s="10">
        <f>SUM(I2515:T2515)</f>
        <v/>
      </c>
    </row>
    <row r="2516">
      <c r="A2516" s="2" t="inlineStr">
        <is>
          <t>SN-3000-3800-3810-3810PR0001</t>
        </is>
      </c>
      <c r="B2516" s="2" t="inlineStr">
        <is>
          <t>3810PR0001</t>
        </is>
      </c>
      <c r="C2516" s="2" t="inlineStr">
        <is>
          <t>Tablero de enchufes</t>
        </is>
      </c>
      <c r="D2516" s="2" t="n">
        <v>839</v>
      </c>
      <c r="E2516" s="2" t="inlineStr">
        <is>
          <t>CC-3000</t>
        </is>
      </c>
      <c r="F2516" s="2" t="inlineStr">
        <is>
          <t>P01</t>
        </is>
      </c>
      <c r="G2516" s="2" t="n">
        <v>610000</v>
      </c>
      <c r="H2516" s="2" t="inlineStr">
        <is>
          <t>Mano obra interna</t>
        </is>
      </c>
      <c r="I2516" s="9" t="n">
        <v>2414.12</v>
      </c>
      <c r="J2516" s="9" t="n">
        <v>2341.52</v>
      </c>
      <c r="K2516" s="9" t="n">
        <v>2552.15</v>
      </c>
      <c r="L2516" s="9" t="n">
        <v>2480.58</v>
      </c>
      <c r="M2516" s="9" t="n">
        <v>2299.32</v>
      </c>
      <c r="N2516" s="9" t="n">
        <v>2387.91</v>
      </c>
      <c r="O2516" s="9" t="n">
        <v>2371.58</v>
      </c>
      <c r="P2516" s="9" t="n">
        <v>2493.17</v>
      </c>
      <c r="Q2516" s="9" t="n">
        <v>2224.63</v>
      </c>
      <c r="R2516" s="9" t="n">
        <v>2710.24</v>
      </c>
      <c r="S2516" s="9" t="n">
        <v>2420.66</v>
      </c>
      <c r="T2516" s="9" t="n">
        <v>2474.78</v>
      </c>
      <c r="U2516" s="10">
        <f>SUM(I2516:T2516)</f>
        <v/>
      </c>
    </row>
    <row r="2517">
      <c r="A2517" s="2" t="inlineStr">
        <is>
          <t>SN-3000-3800-3810-3810PR0001</t>
        </is>
      </c>
      <c r="B2517" s="2" t="inlineStr">
        <is>
          <t>3810PR0001</t>
        </is>
      </c>
      <c r="C2517" s="2" t="inlineStr">
        <is>
          <t>Tablero de enchufes</t>
        </is>
      </c>
      <c r="D2517" s="2" t="n">
        <v>839</v>
      </c>
      <c r="E2517" s="2" t="inlineStr">
        <is>
          <t>CC-3000</t>
        </is>
      </c>
      <c r="F2517" s="2" t="inlineStr">
        <is>
          <t>P01</t>
        </is>
      </c>
      <c r="G2517" s="2" t="n">
        <v>620000</v>
      </c>
      <c r="H2517" s="2" t="inlineStr">
        <is>
          <t>Materiales</t>
        </is>
      </c>
      <c r="I2517" s="9" t="n">
        <v>2270.33</v>
      </c>
      <c r="J2517" s="9" t="n">
        <v>2068.69</v>
      </c>
      <c r="K2517" s="9" t="n">
        <v>2191.33</v>
      </c>
      <c r="L2517" s="9" t="n">
        <v>2194.33</v>
      </c>
      <c r="M2517" s="9" t="n">
        <v>2060.02</v>
      </c>
      <c r="N2517" s="9" t="n">
        <v>2211.99</v>
      </c>
      <c r="O2517" s="9" t="n">
        <v>2191.46</v>
      </c>
      <c r="P2517" s="9" t="n">
        <v>2090.84</v>
      </c>
      <c r="Q2517" s="9" t="n">
        <v>2189.9</v>
      </c>
      <c r="R2517" s="9" t="n">
        <v>2484.38</v>
      </c>
      <c r="S2517" s="9" t="n">
        <v>2149.92</v>
      </c>
      <c r="T2517" s="9" t="n">
        <v>2179.39</v>
      </c>
      <c r="U2517" s="10">
        <f>SUM(I2517:T2517)</f>
        <v/>
      </c>
    </row>
    <row r="2518">
      <c r="A2518" s="2" t="inlineStr">
        <is>
          <t>SN-3000-3800-3810-3810PR0001</t>
        </is>
      </c>
      <c r="B2518" s="2" t="inlineStr">
        <is>
          <t>3810PR0001</t>
        </is>
      </c>
      <c r="C2518" s="2" t="inlineStr">
        <is>
          <t>Tablero de enchufes</t>
        </is>
      </c>
      <c r="D2518" s="2" t="n">
        <v>839</v>
      </c>
      <c r="E2518" s="2" t="inlineStr">
        <is>
          <t>CC-3000</t>
        </is>
      </c>
      <c r="F2518" s="2" t="inlineStr">
        <is>
          <t>P01</t>
        </is>
      </c>
      <c r="G2518" s="2" t="n">
        <v>630000</v>
      </c>
      <c r="H2518" s="2" t="inlineStr">
        <is>
          <t>Servicios externos</t>
        </is>
      </c>
      <c r="I2518" s="9" t="n">
        <v>1835.05</v>
      </c>
      <c r="J2518" s="9" t="n">
        <v>1892.08</v>
      </c>
      <c r="K2518" s="9" t="n">
        <v>1773.81</v>
      </c>
      <c r="L2518" s="9" t="n">
        <v>1869.84</v>
      </c>
      <c r="M2518" s="9" t="n">
        <v>1923.2</v>
      </c>
      <c r="N2518" s="9" t="n">
        <v>1768.08</v>
      </c>
      <c r="O2518" s="9" t="n">
        <v>1793.05</v>
      </c>
      <c r="P2518" s="9" t="n">
        <v>1870.88</v>
      </c>
      <c r="Q2518" s="9" t="n">
        <v>1772.02</v>
      </c>
      <c r="R2518" s="9" t="n">
        <v>1979.81</v>
      </c>
      <c r="S2518" s="9" t="n">
        <v>1856.06</v>
      </c>
      <c r="T2518" s="9" t="n">
        <v>1840.78</v>
      </c>
      <c r="U2518" s="10">
        <f>SUM(I2518:T2518)</f>
        <v/>
      </c>
    </row>
    <row r="2519">
      <c r="A2519" s="2" t="inlineStr">
        <is>
          <t>SN-3000-3800-3810-3810PU0301</t>
        </is>
      </c>
      <c r="B2519" s="2" t="inlineStr">
        <is>
          <t>3810PU0301</t>
        </is>
      </c>
      <c r="C2519" s="2" t="inlineStr">
        <is>
          <t>Bomba distribución lechada de cal</t>
        </is>
      </c>
      <c r="D2519" s="2" t="n">
        <v>840</v>
      </c>
      <c r="E2519" s="2" t="inlineStr">
        <is>
          <t>CC-3000</t>
        </is>
      </c>
      <c r="F2519" s="2" t="inlineStr">
        <is>
          <t>P01</t>
        </is>
      </c>
      <c r="G2519" s="2" t="n">
        <v>610000</v>
      </c>
      <c r="H2519" s="2" t="inlineStr">
        <is>
          <t>Mano obra interna</t>
        </is>
      </c>
      <c r="I2519" s="9" t="n">
        <v>1656.52</v>
      </c>
      <c r="J2519" s="9" t="n">
        <v>1490.63</v>
      </c>
      <c r="K2519" s="9" t="n">
        <v>1587.36</v>
      </c>
      <c r="L2519" s="9" t="n">
        <v>1573.7</v>
      </c>
      <c r="M2519" s="9" t="n">
        <v>1565.03</v>
      </c>
      <c r="N2519" s="9" t="n">
        <v>1521.53</v>
      </c>
      <c r="O2519" s="9" t="n">
        <v>1399.42</v>
      </c>
      <c r="P2519" s="9" t="n">
        <v>1568.58</v>
      </c>
      <c r="Q2519" s="9" t="n">
        <v>1472.62</v>
      </c>
      <c r="R2519" s="9" t="n">
        <v>1684.26</v>
      </c>
      <c r="S2519" s="9" t="n">
        <v>1515.01</v>
      </c>
      <c r="T2519" s="9" t="n">
        <v>1423.03</v>
      </c>
      <c r="U2519" s="10">
        <f>SUM(I2519:T2519)</f>
        <v/>
      </c>
    </row>
    <row r="2520">
      <c r="A2520" s="2" t="inlineStr">
        <is>
          <t>SN-3000-3800-3810-3810PU0301</t>
        </is>
      </c>
      <c r="B2520" s="2" t="inlineStr">
        <is>
          <t>3810PU0301</t>
        </is>
      </c>
      <c r="C2520" s="2" t="inlineStr">
        <is>
          <t>Bomba distribución lechada de cal</t>
        </is>
      </c>
      <c r="D2520" s="2" t="n">
        <v>840</v>
      </c>
      <c r="E2520" s="2" t="inlineStr">
        <is>
          <t>CC-3000</t>
        </is>
      </c>
      <c r="F2520" s="2" t="inlineStr">
        <is>
          <t>P01</t>
        </is>
      </c>
      <c r="G2520" s="2" t="n">
        <v>620000</v>
      </c>
      <c r="H2520" s="2" t="inlineStr">
        <is>
          <t>Materiales</t>
        </is>
      </c>
      <c r="I2520" s="9" t="n">
        <v>1400.16</v>
      </c>
      <c r="J2520" s="9" t="n">
        <v>1374.62</v>
      </c>
      <c r="K2520" s="9" t="n">
        <v>1288.14</v>
      </c>
      <c r="L2520" s="9" t="n">
        <v>1350.8</v>
      </c>
      <c r="M2520" s="9" t="n">
        <v>1354.52</v>
      </c>
      <c r="N2520" s="9" t="n">
        <v>1298.18</v>
      </c>
      <c r="O2520" s="9" t="n">
        <v>1330.55</v>
      </c>
      <c r="P2520" s="9" t="n">
        <v>1203.72</v>
      </c>
      <c r="Q2520" s="9" t="n">
        <v>1258.43</v>
      </c>
      <c r="R2520" s="9" t="n">
        <v>1469.01</v>
      </c>
      <c r="S2520" s="9" t="n">
        <v>1308.49</v>
      </c>
      <c r="T2520" s="9" t="n">
        <v>1380.83</v>
      </c>
      <c r="U2520" s="10">
        <f>SUM(I2520:T2520)</f>
        <v/>
      </c>
    </row>
    <row r="2521">
      <c r="A2521" s="2" t="inlineStr">
        <is>
          <t>SN-3000-3800-3810-3810PU0301</t>
        </is>
      </c>
      <c r="B2521" s="2" t="inlineStr">
        <is>
          <t>3810PU0301</t>
        </is>
      </c>
      <c r="C2521" s="2" t="inlineStr">
        <is>
          <t>Bomba distribución lechada de cal</t>
        </is>
      </c>
      <c r="D2521" s="2" t="n">
        <v>840</v>
      </c>
      <c r="E2521" s="2" t="inlineStr">
        <is>
          <t>CC-3000</t>
        </is>
      </c>
      <c r="F2521" s="2" t="inlineStr">
        <is>
          <t>P01</t>
        </is>
      </c>
      <c r="G2521" s="2" t="n">
        <v>630000</v>
      </c>
      <c r="H2521" s="2" t="inlineStr">
        <is>
          <t>Servicios externos</t>
        </is>
      </c>
      <c r="I2521" s="9" t="n">
        <v>1432.13</v>
      </c>
      <c r="J2521" s="9" t="n">
        <v>1335.96</v>
      </c>
      <c r="K2521" s="9" t="n">
        <v>1358.19</v>
      </c>
      <c r="L2521" s="9" t="n">
        <v>1421.15</v>
      </c>
      <c r="M2521" s="9" t="n">
        <v>1370.76</v>
      </c>
      <c r="N2521" s="9" t="n">
        <v>1305.61</v>
      </c>
      <c r="O2521" s="9" t="n">
        <v>1314.01</v>
      </c>
      <c r="P2521" s="9" t="n">
        <v>1304.83</v>
      </c>
      <c r="Q2521" s="9" t="n">
        <v>1177.13</v>
      </c>
      <c r="R2521" s="9" t="n">
        <v>1346.25</v>
      </c>
      <c r="S2521" s="9" t="n">
        <v>1261.14</v>
      </c>
      <c r="T2521" s="9" t="n">
        <v>1335.89</v>
      </c>
      <c r="U2521" s="10">
        <f>SUM(I2521:T2521)</f>
        <v/>
      </c>
    </row>
    <row r="2522">
      <c r="A2522" s="2" t="inlineStr">
        <is>
          <t>SN-3000-3800-3810-3810PU0302</t>
        </is>
      </c>
      <c r="B2522" s="2" t="inlineStr">
        <is>
          <t>3810PU0302</t>
        </is>
      </c>
      <c r="C2522" s="2" t="inlineStr">
        <is>
          <t>Bomba distribución lechada de cal</t>
        </is>
      </c>
      <c r="D2522" s="2" t="n">
        <v>841</v>
      </c>
      <c r="E2522" s="2" t="inlineStr">
        <is>
          <t>CC-3000</t>
        </is>
      </c>
      <c r="F2522" s="2" t="inlineStr">
        <is>
          <t>P01</t>
        </is>
      </c>
      <c r="G2522" s="2" t="n">
        <v>610000</v>
      </c>
      <c r="H2522" s="2" t="inlineStr">
        <is>
          <t>Mano obra interna</t>
        </is>
      </c>
      <c r="I2522" s="9" t="n">
        <v>1227.32</v>
      </c>
      <c r="J2522" s="9" t="n">
        <v>1119.23</v>
      </c>
      <c r="K2522" s="9" t="n">
        <v>1166.68</v>
      </c>
      <c r="L2522" s="9" t="n">
        <v>1139.09</v>
      </c>
      <c r="M2522" s="9" t="n">
        <v>1035.67</v>
      </c>
      <c r="N2522" s="9" t="n">
        <v>1142.52</v>
      </c>
      <c r="O2522" s="9" t="n">
        <v>1093.64</v>
      </c>
      <c r="P2522" s="9" t="n">
        <v>1150.93</v>
      </c>
      <c r="Q2522" s="9" t="n">
        <v>1066.3</v>
      </c>
      <c r="R2522" s="9" t="n">
        <v>1230.85</v>
      </c>
      <c r="S2522" s="9" t="n">
        <v>1094.64</v>
      </c>
      <c r="T2522" s="9" t="n">
        <v>1084.59</v>
      </c>
      <c r="U2522" s="10">
        <f>SUM(I2522:T2522)</f>
        <v/>
      </c>
    </row>
    <row r="2523">
      <c r="A2523" s="2" t="inlineStr">
        <is>
          <t>SN-3000-3800-3810-3810PU0302</t>
        </is>
      </c>
      <c r="B2523" s="2" t="inlineStr">
        <is>
          <t>3810PU0302</t>
        </is>
      </c>
      <c r="C2523" s="2" t="inlineStr">
        <is>
          <t>Bomba distribución lechada de cal</t>
        </is>
      </c>
      <c r="D2523" s="2" t="n">
        <v>841</v>
      </c>
      <c r="E2523" s="2" t="inlineStr">
        <is>
          <t>CC-3000</t>
        </is>
      </c>
      <c r="F2523" s="2" t="inlineStr">
        <is>
          <t>P01</t>
        </is>
      </c>
      <c r="G2523" s="2" t="n">
        <v>620000</v>
      </c>
      <c r="H2523" s="2" t="inlineStr">
        <is>
          <t>Materiales</t>
        </is>
      </c>
      <c r="I2523" s="9" t="n">
        <v>1153.73</v>
      </c>
      <c r="J2523" s="9" t="n">
        <v>1160.1</v>
      </c>
      <c r="K2523" s="9" t="n">
        <v>1148.8</v>
      </c>
      <c r="L2523" s="9" t="n">
        <v>1096.13</v>
      </c>
      <c r="M2523" s="9" t="n">
        <v>1040.72</v>
      </c>
      <c r="N2523" s="9" t="n">
        <v>1104.43</v>
      </c>
      <c r="O2523" s="9" t="n">
        <v>1112.51</v>
      </c>
      <c r="P2523" s="9" t="n">
        <v>1057.54</v>
      </c>
      <c r="Q2523" s="9" t="n">
        <v>1077.25</v>
      </c>
      <c r="R2523" s="9" t="n">
        <v>1157.3</v>
      </c>
      <c r="S2523" s="9" t="n">
        <v>1091.43</v>
      </c>
      <c r="T2523" s="9" t="n">
        <v>1107.1</v>
      </c>
      <c r="U2523" s="10">
        <f>SUM(I2523:T2523)</f>
        <v/>
      </c>
    </row>
    <row r="2524">
      <c r="A2524" s="2" t="inlineStr">
        <is>
          <t>SN-3000-3800-3810-3810PU0302</t>
        </is>
      </c>
      <c r="B2524" s="2" t="inlineStr">
        <is>
          <t>3810PU0302</t>
        </is>
      </c>
      <c r="C2524" s="2" t="inlineStr">
        <is>
          <t>Bomba distribución lechada de cal</t>
        </is>
      </c>
      <c r="D2524" s="2" t="n">
        <v>841</v>
      </c>
      <c r="E2524" s="2" t="inlineStr">
        <is>
          <t>CC-3000</t>
        </is>
      </c>
      <c r="F2524" s="2" t="inlineStr">
        <is>
          <t>P01</t>
        </is>
      </c>
      <c r="G2524" s="2" t="n">
        <v>630000</v>
      </c>
      <c r="H2524" s="2" t="inlineStr">
        <is>
          <t>Servicios externos</t>
        </is>
      </c>
      <c r="I2524" s="9" t="n">
        <v>1305.94</v>
      </c>
      <c r="J2524" s="9" t="n">
        <v>1300.29</v>
      </c>
      <c r="K2524" s="9" t="n">
        <v>1481.18</v>
      </c>
      <c r="L2524" s="9" t="n">
        <v>1327.26</v>
      </c>
      <c r="M2524" s="9" t="n">
        <v>1354.21</v>
      </c>
      <c r="N2524" s="9" t="n">
        <v>1241.17</v>
      </c>
      <c r="O2524" s="9" t="n">
        <v>1254.68</v>
      </c>
      <c r="P2524" s="9" t="n">
        <v>1363.69</v>
      </c>
      <c r="Q2524" s="9" t="n">
        <v>1327.84</v>
      </c>
      <c r="R2524" s="9" t="n">
        <v>1431.36</v>
      </c>
      <c r="S2524" s="9" t="n">
        <v>1320.85</v>
      </c>
      <c r="T2524" s="9" t="n">
        <v>1380.93</v>
      </c>
      <c r="U2524" s="10">
        <f>SUM(I2524:T2524)</f>
        <v/>
      </c>
    </row>
    <row r="2525">
      <c r="A2525" s="2" t="inlineStr">
        <is>
          <t>SN-3000-3800-3810-3810PU0303</t>
        </is>
      </c>
      <c r="B2525" s="2" t="inlineStr">
        <is>
          <t>3810PU0303</t>
        </is>
      </c>
      <c r="C2525" s="2" t="inlineStr">
        <is>
          <t>Bomba sumidero lechada de cal</t>
        </is>
      </c>
      <c r="D2525" s="2" t="n">
        <v>842</v>
      </c>
      <c r="E2525" s="2" t="inlineStr">
        <is>
          <t>CC-3000</t>
        </is>
      </c>
      <c r="F2525" s="2" t="inlineStr">
        <is>
          <t>P01</t>
        </is>
      </c>
      <c r="G2525" s="2" t="n">
        <v>610000</v>
      </c>
      <c r="H2525" s="2" t="inlineStr">
        <is>
          <t>Mano obra interna</t>
        </is>
      </c>
      <c r="I2525" s="9" t="n">
        <v>889.25</v>
      </c>
      <c r="J2525" s="9" t="n">
        <v>809.98</v>
      </c>
      <c r="K2525" s="9" t="n">
        <v>865.21</v>
      </c>
      <c r="L2525" s="9" t="n">
        <v>866.16</v>
      </c>
      <c r="M2525" s="9" t="n">
        <v>895.8200000000001</v>
      </c>
      <c r="N2525" s="9" t="n">
        <v>797.95</v>
      </c>
      <c r="O2525" s="9" t="n">
        <v>874.26</v>
      </c>
      <c r="P2525" s="9" t="n">
        <v>815.54</v>
      </c>
      <c r="Q2525" s="9" t="n">
        <v>764.72</v>
      </c>
      <c r="R2525" s="9" t="n">
        <v>944.36</v>
      </c>
      <c r="S2525" s="9" t="n">
        <v>862.8</v>
      </c>
      <c r="T2525" s="9" t="n">
        <v>862.8099999999999</v>
      </c>
      <c r="U2525" s="10">
        <f>SUM(I2525:T2525)</f>
        <v/>
      </c>
    </row>
    <row r="2526">
      <c r="A2526" s="2" t="inlineStr">
        <is>
          <t>SN-3000-3800-3810-3810PU0303</t>
        </is>
      </c>
      <c r="B2526" s="2" t="inlineStr">
        <is>
          <t>3810PU0303</t>
        </is>
      </c>
      <c r="C2526" s="2" t="inlineStr">
        <is>
          <t>Bomba sumidero lechada de cal</t>
        </is>
      </c>
      <c r="D2526" s="2" t="n">
        <v>842</v>
      </c>
      <c r="E2526" s="2" t="inlineStr">
        <is>
          <t>CC-3000</t>
        </is>
      </c>
      <c r="F2526" s="2" t="inlineStr">
        <is>
          <t>P01</t>
        </is>
      </c>
      <c r="G2526" s="2" t="n">
        <v>620000</v>
      </c>
      <c r="H2526" s="2" t="inlineStr">
        <is>
          <t>Materiales</t>
        </is>
      </c>
      <c r="I2526" s="9" t="n">
        <v>870.1799999999999</v>
      </c>
      <c r="J2526" s="9" t="n">
        <v>741.88</v>
      </c>
      <c r="K2526" s="9" t="n">
        <v>854.35</v>
      </c>
      <c r="L2526" s="9" t="n">
        <v>842.41</v>
      </c>
      <c r="M2526" s="9" t="n">
        <v>815.72</v>
      </c>
      <c r="N2526" s="9" t="n">
        <v>818.04</v>
      </c>
      <c r="O2526" s="9" t="n">
        <v>829.48</v>
      </c>
      <c r="P2526" s="9" t="n">
        <v>773.9299999999999</v>
      </c>
      <c r="Q2526" s="9" t="n">
        <v>727.15</v>
      </c>
      <c r="R2526" s="9" t="n">
        <v>847.61</v>
      </c>
      <c r="S2526" s="9" t="n">
        <v>716.22</v>
      </c>
      <c r="T2526" s="9" t="n">
        <v>865.49</v>
      </c>
      <c r="U2526" s="10">
        <f>SUM(I2526:T2526)</f>
        <v/>
      </c>
    </row>
    <row r="2527">
      <c r="A2527" s="2" t="inlineStr">
        <is>
          <t>SN-3000-3800-3810-3810PU0303</t>
        </is>
      </c>
      <c r="B2527" s="2" t="inlineStr">
        <is>
          <t>3810PU0303</t>
        </is>
      </c>
      <c r="C2527" s="2" t="inlineStr">
        <is>
          <t>Bomba sumidero lechada de cal</t>
        </is>
      </c>
      <c r="D2527" s="2" t="n">
        <v>842</v>
      </c>
      <c r="E2527" s="2" t="inlineStr">
        <is>
          <t>CC-3000</t>
        </is>
      </c>
      <c r="F2527" s="2" t="inlineStr">
        <is>
          <t>P01</t>
        </is>
      </c>
      <c r="G2527" s="2" t="n">
        <v>630000</v>
      </c>
      <c r="H2527" s="2" t="inlineStr">
        <is>
          <t>Servicios externos</t>
        </is>
      </c>
      <c r="I2527" s="9" t="n">
        <v>773.45</v>
      </c>
      <c r="J2527" s="9" t="n">
        <v>749.7</v>
      </c>
      <c r="K2527" s="9" t="n">
        <v>799.0700000000001</v>
      </c>
      <c r="L2527" s="9" t="n">
        <v>756.78</v>
      </c>
      <c r="M2527" s="9" t="n">
        <v>752.78</v>
      </c>
      <c r="N2527" s="9" t="n">
        <v>679.78</v>
      </c>
      <c r="O2527" s="9" t="n">
        <v>763.38</v>
      </c>
      <c r="P2527" s="9" t="n">
        <v>715.26</v>
      </c>
      <c r="Q2527" s="9" t="n">
        <v>727.49</v>
      </c>
      <c r="R2527" s="9" t="n">
        <v>749.12</v>
      </c>
      <c r="S2527" s="9" t="n">
        <v>689.79</v>
      </c>
      <c r="T2527" s="9" t="n">
        <v>744.9400000000001</v>
      </c>
      <c r="U2527" s="10">
        <f>SUM(I2527:T2527)</f>
        <v/>
      </c>
    </row>
    <row r="2528">
      <c r="A2528" s="2" t="inlineStr">
        <is>
          <t>SN-3000-3800-3810-3810PU0395</t>
        </is>
      </c>
      <c r="B2528" s="2" t="inlineStr">
        <is>
          <t>3810PU0395</t>
        </is>
      </c>
      <c r="C2528" s="2" t="inlineStr">
        <is>
          <t>Bomba lechada de cal</t>
        </is>
      </c>
      <c r="D2528" s="2" t="n">
        <v>843</v>
      </c>
      <c r="E2528" s="2" t="inlineStr">
        <is>
          <t>CC-3000</t>
        </is>
      </c>
      <c r="F2528" s="2" t="inlineStr">
        <is>
          <t>P01</t>
        </is>
      </c>
      <c r="G2528" s="2" t="n">
        <v>610000</v>
      </c>
      <c r="H2528" s="2" t="inlineStr">
        <is>
          <t>Mano obra interna</t>
        </is>
      </c>
      <c r="I2528" s="9" t="n">
        <v>3227.6</v>
      </c>
      <c r="J2528" s="9" t="n">
        <v>2856.01</v>
      </c>
      <c r="K2528" s="9" t="n">
        <v>2958.31</v>
      </c>
      <c r="L2528" s="9" t="n">
        <v>3010.21</v>
      </c>
      <c r="M2528" s="9" t="n">
        <v>3001.38</v>
      </c>
      <c r="N2528" s="9" t="n">
        <v>2925.22</v>
      </c>
      <c r="O2528" s="9" t="n">
        <v>3007.54</v>
      </c>
      <c r="P2528" s="9" t="n">
        <v>3117.67</v>
      </c>
      <c r="Q2528" s="9" t="n">
        <v>2797.67</v>
      </c>
      <c r="R2528" s="9" t="n">
        <v>3513.29</v>
      </c>
      <c r="S2528" s="9" t="n">
        <v>2830.97</v>
      </c>
      <c r="T2528" s="9" t="n">
        <v>3148.69</v>
      </c>
      <c r="U2528" s="10">
        <f>SUM(I2528:T2528)</f>
        <v/>
      </c>
    </row>
    <row r="2529">
      <c r="A2529" s="2" t="inlineStr">
        <is>
          <t>SN-3000-3800-3810-3810PU0395</t>
        </is>
      </c>
      <c r="B2529" s="2" t="inlineStr">
        <is>
          <t>3810PU0395</t>
        </is>
      </c>
      <c r="C2529" s="2" t="inlineStr">
        <is>
          <t>Bomba lechada de cal</t>
        </is>
      </c>
      <c r="D2529" s="2" t="n">
        <v>843</v>
      </c>
      <c r="E2529" s="2" t="inlineStr">
        <is>
          <t>CC-3000</t>
        </is>
      </c>
      <c r="F2529" s="2" t="inlineStr">
        <is>
          <t>P01</t>
        </is>
      </c>
      <c r="G2529" s="2" t="n">
        <v>620000</v>
      </c>
      <c r="H2529" s="2" t="inlineStr">
        <is>
          <t>Materiales</t>
        </is>
      </c>
      <c r="I2529" s="9" t="n">
        <v>2843.01</v>
      </c>
      <c r="J2529" s="9" t="n">
        <v>2801.95</v>
      </c>
      <c r="K2529" s="9" t="n">
        <v>2913.04</v>
      </c>
      <c r="L2529" s="9" t="n">
        <v>2794.88</v>
      </c>
      <c r="M2529" s="9" t="n">
        <v>2845.58</v>
      </c>
      <c r="N2529" s="9" t="n">
        <v>2709</v>
      </c>
      <c r="O2529" s="9" t="n">
        <v>2738.52</v>
      </c>
      <c r="P2529" s="9" t="n">
        <v>2860.53</v>
      </c>
      <c r="Q2529" s="9" t="n">
        <v>2652.74</v>
      </c>
      <c r="R2529" s="9" t="n">
        <v>2928.57</v>
      </c>
      <c r="S2529" s="9" t="n">
        <v>2628.79</v>
      </c>
      <c r="T2529" s="9" t="n">
        <v>2997.78</v>
      </c>
      <c r="U2529" s="10">
        <f>SUM(I2529:T2529)</f>
        <v/>
      </c>
    </row>
    <row r="2530">
      <c r="A2530" s="2" t="inlineStr">
        <is>
          <t>SN-3000-3800-3810-3810PU0395</t>
        </is>
      </c>
      <c r="B2530" s="2" t="inlineStr">
        <is>
          <t>3810PU0395</t>
        </is>
      </c>
      <c r="C2530" s="2" t="inlineStr">
        <is>
          <t>Bomba lechada de cal</t>
        </is>
      </c>
      <c r="D2530" s="2" t="n">
        <v>843</v>
      </c>
      <c r="E2530" s="2" t="inlineStr">
        <is>
          <t>CC-3000</t>
        </is>
      </c>
      <c r="F2530" s="2" t="inlineStr">
        <is>
          <t>P01</t>
        </is>
      </c>
      <c r="G2530" s="2" t="n">
        <v>630000</v>
      </c>
      <c r="H2530" s="2" t="inlineStr">
        <is>
          <t>Servicios externos</t>
        </is>
      </c>
      <c r="I2530" s="9" t="n">
        <v>3179.92</v>
      </c>
      <c r="J2530" s="9" t="n">
        <v>2676.19</v>
      </c>
      <c r="K2530" s="9" t="n">
        <v>2818.13</v>
      </c>
      <c r="L2530" s="9" t="n">
        <v>2760.5</v>
      </c>
      <c r="M2530" s="9" t="n">
        <v>2894.35</v>
      </c>
      <c r="N2530" s="9" t="n">
        <v>2836.41</v>
      </c>
      <c r="O2530" s="9" t="n">
        <v>2865.98</v>
      </c>
      <c r="P2530" s="9" t="n">
        <v>3046</v>
      </c>
      <c r="Q2530" s="9" t="n">
        <v>2789.38</v>
      </c>
      <c r="R2530" s="9" t="n">
        <v>3381.7</v>
      </c>
      <c r="S2530" s="9" t="n">
        <v>2653.49</v>
      </c>
      <c r="T2530" s="9" t="n">
        <v>2744.13</v>
      </c>
      <c r="U2530" s="10">
        <f>SUM(I2530:T2530)</f>
        <v/>
      </c>
    </row>
    <row r="2531">
      <c r="A2531" s="2" t="inlineStr">
        <is>
          <t>SN-3000-3800-3810-3810PU0396</t>
        </is>
      </c>
      <c r="B2531" s="2" t="inlineStr">
        <is>
          <t>3810PU0396</t>
        </is>
      </c>
      <c r="C2531" s="2" t="inlineStr">
        <is>
          <t>Bomba lechada de cal</t>
        </is>
      </c>
      <c r="D2531" s="2" t="n">
        <v>844</v>
      </c>
      <c r="E2531" s="2" t="inlineStr">
        <is>
          <t>CC-3000</t>
        </is>
      </c>
      <c r="F2531" s="2" t="inlineStr">
        <is>
          <t>P01</t>
        </is>
      </c>
      <c r="G2531" s="2" t="n">
        <v>610000</v>
      </c>
      <c r="H2531" s="2" t="inlineStr">
        <is>
          <t>Mano obra interna</t>
        </is>
      </c>
      <c r="I2531" s="9" t="n">
        <v>1046.69</v>
      </c>
      <c r="J2531" s="9" t="n">
        <v>1169.69</v>
      </c>
      <c r="K2531" s="9" t="n">
        <v>1109.99</v>
      </c>
      <c r="L2531" s="9" t="n">
        <v>1144.8</v>
      </c>
      <c r="M2531" s="9" t="n">
        <v>1067.3</v>
      </c>
      <c r="N2531" s="9" t="n">
        <v>1018.8</v>
      </c>
      <c r="O2531" s="9" t="n">
        <v>1049.48</v>
      </c>
      <c r="P2531" s="9" t="n">
        <v>1078.06</v>
      </c>
      <c r="Q2531" s="9" t="n">
        <v>1053.11</v>
      </c>
      <c r="R2531" s="9" t="n">
        <v>1288.3</v>
      </c>
      <c r="S2531" s="9" t="n">
        <v>1085.31</v>
      </c>
      <c r="T2531" s="9" t="n">
        <v>1133.18</v>
      </c>
      <c r="U2531" s="10">
        <f>SUM(I2531:T2531)</f>
        <v/>
      </c>
    </row>
    <row r="2532">
      <c r="A2532" s="2" t="inlineStr">
        <is>
          <t>SN-3000-3800-3810-3810PU0396</t>
        </is>
      </c>
      <c r="B2532" s="2" t="inlineStr">
        <is>
          <t>3810PU0396</t>
        </is>
      </c>
      <c r="C2532" s="2" t="inlineStr">
        <is>
          <t>Bomba lechada de cal</t>
        </is>
      </c>
      <c r="D2532" s="2" t="n">
        <v>844</v>
      </c>
      <c r="E2532" s="2" t="inlineStr">
        <is>
          <t>CC-3000</t>
        </is>
      </c>
      <c r="F2532" s="2" t="inlineStr">
        <is>
          <t>P01</t>
        </is>
      </c>
      <c r="G2532" s="2" t="n">
        <v>620000</v>
      </c>
      <c r="H2532" s="2" t="inlineStr">
        <is>
          <t>Materiales</t>
        </is>
      </c>
      <c r="I2532" s="9" t="n">
        <v>1074.03</v>
      </c>
      <c r="J2532" s="9" t="n">
        <v>911.13</v>
      </c>
      <c r="K2532" s="9" t="n">
        <v>1096.29</v>
      </c>
      <c r="L2532" s="9" t="n">
        <v>1026.11</v>
      </c>
      <c r="M2532" s="9" t="n">
        <v>935.1</v>
      </c>
      <c r="N2532" s="9" t="n">
        <v>946.6</v>
      </c>
      <c r="O2532" s="9" t="n">
        <v>1077.32</v>
      </c>
      <c r="P2532" s="9" t="n">
        <v>965.97</v>
      </c>
      <c r="Q2532" s="9" t="n">
        <v>894.5700000000001</v>
      </c>
      <c r="R2532" s="9" t="n">
        <v>1010.29</v>
      </c>
      <c r="S2532" s="9" t="n">
        <v>980.95</v>
      </c>
      <c r="T2532" s="9" t="n">
        <v>946.0700000000001</v>
      </c>
      <c r="U2532" s="10">
        <f>SUM(I2532:T2532)</f>
        <v/>
      </c>
    </row>
    <row r="2533">
      <c r="A2533" s="2" t="inlineStr">
        <is>
          <t>SN-3000-3800-3810-3810PU0396</t>
        </is>
      </c>
      <c r="B2533" s="2" t="inlineStr">
        <is>
          <t>3810PU0396</t>
        </is>
      </c>
      <c r="C2533" s="2" t="inlineStr">
        <is>
          <t>Bomba lechada de cal</t>
        </is>
      </c>
      <c r="D2533" s="2" t="n">
        <v>844</v>
      </c>
      <c r="E2533" s="2" t="inlineStr">
        <is>
          <t>CC-3000</t>
        </is>
      </c>
      <c r="F2533" s="2" t="inlineStr">
        <is>
          <t>P01</t>
        </is>
      </c>
      <c r="G2533" s="2" t="n">
        <v>630000</v>
      </c>
      <c r="H2533" s="2" t="inlineStr">
        <is>
          <t>Servicios externos</t>
        </is>
      </c>
      <c r="I2533" s="9" t="n">
        <v>1331.83</v>
      </c>
      <c r="J2533" s="9" t="n">
        <v>1287.32</v>
      </c>
      <c r="K2533" s="9" t="n">
        <v>1182.19</v>
      </c>
      <c r="L2533" s="9" t="n">
        <v>1261.23</v>
      </c>
      <c r="M2533" s="9" t="n">
        <v>1131.98</v>
      </c>
      <c r="N2533" s="9" t="n">
        <v>1182.39</v>
      </c>
      <c r="O2533" s="9" t="n">
        <v>1284.83</v>
      </c>
      <c r="P2533" s="9" t="n">
        <v>1229.1</v>
      </c>
      <c r="Q2533" s="9" t="n">
        <v>1205.87</v>
      </c>
      <c r="R2533" s="9" t="n">
        <v>1382.16</v>
      </c>
      <c r="S2533" s="9" t="n">
        <v>1141.27</v>
      </c>
      <c r="T2533" s="9" t="n">
        <v>1266.61</v>
      </c>
      <c r="U2533" s="10">
        <f>SUM(I2533:T2533)</f>
        <v/>
      </c>
    </row>
    <row r="2534">
      <c r="A2534" s="2" t="inlineStr">
        <is>
          <t>SN-3000-3800-3810-3810SK0008</t>
        </is>
      </c>
      <c r="B2534" s="2" t="inlineStr">
        <is>
          <t>3810SK0008</t>
        </is>
      </c>
      <c r="C2534" s="2" t="inlineStr">
        <is>
          <t>Sistema scrubber cal</t>
        </is>
      </c>
      <c r="D2534" s="2" t="n">
        <v>845</v>
      </c>
      <c r="E2534" s="2" t="inlineStr">
        <is>
          <t>CC-3000</t>
        </is>
      </c>
      <c r="F2534" s="2" t="inlineStr">
        <is>
          <t>P01</t>
        </is>
      </c>
      <c r="G2534" s="2" t="n">
        <v>610000</v>
      </c>
      <c r="H2534" s="2" t="inlineStr">
        <is>
          <t>Mano obra interna</t>
        </is>
      </c>
      <c r="I2534" s="9" t="n">
        <v>2131.76</v>
      </c>
      <c r="J2534" s="9" t="n">
        <v>2003.71</v>
      </c>
      <c r="K2534" s="9" t="n">
        <v>2343.96</v>
      </c>
      <c r="L2534" s="9" t="n">
        <v>2137.51</v>
      </c>
      <c r="M2534" s="9" t="n">
        <v>2153.39</v>
      </c>
      <c r="N2534" s="9" t="n">
        <v>2105.62</v>
      </c>
      <c r="O2534" s="9" t="n">
        <v>2217.38</v>
      </c>
      <c r="P2534" s="9" t="n">
        <v>2202.01</v>
      </c>
      <c r="Q2534" s="9" t="n">
        <v>1910.08</v>
      </c>
      <c r="R2534" s="9" t="n">
        <v>2358.27</v>
      </c>
      <c r="S2534" s="9" t="n">
        <v>2071.85</v>
      </c>
      <c r="T2534" s="9" t="n">
        <v>2188.66</v>
      </c>
      <c r="U2534" s="10">
        <f>SUM(I2534:T2534)</f>
        <v/>
      </c>
    </row>
    <row r="2535">
      <c r="A2535" s="2" t="inlineStr">
        <is>
          <t>SN-3000-3800-3810-3810SK0008</t>
        </is>
      </c>
      <c r="B2535" s="2" t="inlineStr">
        <is>
          <t>3810SK0008</t>
        </is>
      </c>
      <c r="C2535" s="2" t="inlineStr">
        <is>
          <t>Sistema scrubber cal</t>
        </is>
      </c>
      <c r="D2535" s="2" t="n">
        <v>845</v>
      </c>
      <c r="E2535" s="2" t="inlineStr">
        <is>
          <t>CC-3000</t>
        </is>
      </c>
      <c r="F2535" s="2" t="inlineStr">
        <is>
          <t>P01</t>
        </is>
      </c>
      <c r="G2535" s="2" t="n">
        <v>620000</v>
      </c>
      <c r="H2535" s="2" t="inlineStr">
        <is>
          <t>Materiales</t>
        </is>
      </c>
      <c r="I2535" s="9" t="n">
        <v>2070.36</v>
      </c>
      <c r="J2535" s="9" t="n">
        <v>2220.92</v>
      </c>
      <c r="K2535" s="9" t="n">
        <v>2103.34</v>
      </c>
      <c r="L2535" s="9" t="n">
        <v>2134.81</v>
      </c>
      <c r="M2535" s="9" t="n">
        <v>1983.2</v>
      </c>
      <c r="N2535" s="9" t="n">
        <v>1900.37</v>
      </c>
      <c r="O2535" s="9" t="n">
        <v>2012.26</v>
      </c>
      <c r="P2535" s="9" t="n">
        <v>2126.21</v>
      </c>
      <c r="Q2535" s="9" t="n">
        <v>2095.53</v>
      </c>
      <c r="R2535" s="9" t="n">
        <v>2211.87</v>
      </c>
      <c r="S2535" s="9" t="n">
        <v>1984.61</v>
      </c>
      <c r="T2535" s="9" t="n">
        <v>2162.98</v>
      </c>
      <c r="U2535" s="10">
        <f>SUM(I2535:T2535)</f>
        <v/>
      </c>
    </row>
    <row r="2536">
      <c r="A2536" s="2" t="inlineStr">
        <is>
          <t>SN-3000-3800-3810-3810SK0008</t>
        </is>
      </c>
      <c r="B2536" s="2" t="inlineStr">
        <is>
          <t>3810SK0008</t>
        </is>
      </c>
      <c r="C2536" s="2" t="inlineStr">
        <is>
          <t>Sistema scrubber cal</t>
        </is>
      </c>
      <c r="D2536" s="2" t="n">
        <v>845</v>
      </c>
      <c r="E2536" s="2" t="inlineStr">
        <is>
          <t>CC-3000</t>
        </is>
      </c>
      <c r="F2536" s="2" t="inlineStr">
        <is>
          <t>P01</t>
        </is>
      </c>
      <c r="G2536" s="2" t="n">
        <v>630000</v>
      </c>
      <c r="H2536" s="2" t="inlineStr">
        <is>
          <t>Servicios externos</t>
        </is>
      </c>
      <c r="I2536" s="9" t="n">
        <v>2531.28</v>
      </c>
      <c r="J2536" s="9" t="n">
        <v>2246.78</v>
      </c>
      <c r="K2536" s="9" t="n">
        <v>2396.75</v>
      </c>
      <c r="L2536" s="9" t="n">
        <v>2390.8</v>
      </c>
      <c r="M2536" s="9" t="n">
        <v>2406.66</v>
      </c>
      <c r="N2536" s="9" t="n">
        <v>2247.33</v>
      </c>
      <c r="O2536" s="9" t="n">
        <v>2230.7</v>
      </c>
      <c r="P2536" s="9" t="n">
        <v>2185.18</v>
      </c>
      <c r="Q2536" s="9" t="n">
        <v>2317.68</v>
      </c>
      <c r="R2536" s="9" t="n">
        <v>2630.36</v>
      </c>
      <c r="S2536" s="9" t="n">
        <v>2080.57</v>
      </c>
      <c r="T2536" s="9" t="n">
        <v>2482.83</v>
      </c>
      <c r="U2536" s="10">
        <f>SUM(I2536:T2536)</f>
        <v/>
      </c>
    </row>
    <row r="2537">
      <c r="A2537" s="2" t="inlineStr">
        <is>
          <t>SN-3000-3800-3810-3810SK0009</t>
        </is>
      </c>
      <c r="B2537" s="2" t="inlineStr">
        <is>
          <t>3810SK0009</t>
        </is>
      </c>
      <c r="C2537" s="2" t="inlineStr">
        <is>
          <t>Sistema scrubber cal</t>
        </is>
      </c>
      <c r="D2537" s="2" t="n">
        <v>846</v>
      </c>
      <c r="E2537" s="2" t="inlineStr">
        <is>
          <t>CC-3000</t>
        </is>
      </c>
      <c r="F2537" s="2" t="inlineStr">
        <is>
          <t>P01</t>
        </is>
      </c>
      <c r="G2537" s="2" t="n">
        <v>610000</v>
      </c>
      <c r="H2537" s="2" t="inlineStr">
        <is>
          <t>Mano obra interna</t>
        </is>
      </c>
      <c r="I2537" s="9" t="n">
        <v>2082.22</v>
      </c>
      <c r="J2537" s="9" t="n">
        <v>1846.46</v>
      </c>
      <c r="K2537" s="9" t="n">
        <v>2192.17</v>
      </c>
      <c r="L2537" s="9" t="n">
        <v>1977.98</v>
      </c>
      <c r="M2537" s="9" t="n">
        <v>2085.93</v>
      </c>
      <c r="N2537" s="9" t="n">
        <v>1793.61</v>
      </c>
      <c r="O2537" s="9" t="n">
        <v>2130.94</v>
      </c>
      <c r="P2537" s="9" t="n">
        <v>1876.96</v>
      </c>
      <c r="Q2537" s="9" t="n">
        <v>1813</v>
      </c>
      <c r="R2537" s="9" t="n">
        <v>2111.73</v>
      </c>
      <c r="S2537" s="9" t="n">
        <v>1860.73</v>
      </c>
      <c r="T2537" s="9" t="n">
        <v>2057.49</v>
      </c>
      <c r="U2537" s="10">
        <f>SUM(I2537:T2537)</f>
        <v/>
      </c>
    </row>
    <row r="2538">
      <c r="A2538" s="2" t="inlineStr">
        <is>
          <t>SN-3000-3800-3810-3810SK0009</t>
        </is>
      </c>
      <c r="B2538" s="2" t="inlineStr">
        <is>
          <t>3810SK0009</t>
        </is>
      </c>
      <c r="C2538" s="2" t="inlineStr">
        <is>
          <t>Sistema scrubber cal</t>
        </is>
      </c>
      <c r="D2538" s="2" t="n">
        <v>846</v>
      </c>
      <c r="E2538" s="2" t="inlineStr">
        <is>
          <t>CC-3000</t>
        </is>
      </c>
      <c r="F2538" s="2" t="inlineStr">
        <is>
          <t>P01</t>
        </is>
      </c>
      <c r="G2538" s="2" t="n">
        <v>620000</v>
      </c>
      <c r="H2538" s="2" t="inlineStr">
        <is>
          <t>Materiales</t>
        </is>
      </c>
      <c r="I2538" s="9" t="n">
        <v>1926.72</v>
      </c>
      <c r="J2538" s="9" t="n">
        <v>1744.87</v>
      </c>
      <c r="K2538" s="9" t="n">
        <v>1823.86</v>
      </c>
      <c r="L2538" s="9" t="n">
        <v>1708.03</v>
      </c>
      <c r="M2538" s="9" t="n">
        <v>1705.93</v>
      </c>
      <c r="N2538" s="9" t="n">
        <v>1571.84</v>
      </c>
      <c r="O2538" s="9" t="n">
        <v>1823.62</v>
      </c>
      <c r="P2538" s="9" t="n">
        <v>1700.79</v>
      </c>
      <c r="Q2538" s="9" t="n">
        <v>1694.04</v>
      </c>
      <c r="R2538" s="9" t="n">
        <v>1847.78</v>
      </c>
      <c r="S2538" s="9" t="n">
        <v>1825.88</v>
      </c>
      <c r="T2538" s="9" t="n">
        <v>1681.87</v>
      </c>
      <c r="U2538" s="10">
        <f>SUM(I2538:T2538)</f>
        <v/>
      </c>
    </row>
    <row r="2539">
      <c r="A2539" s="2" t="inlineStr">
        <is>
          <t>SN-3000-3800-3810-3810SK0009</t>
        </is>
      </c>
      <c r="B2539" s="2" t="inlineStr">
        <is>
          <t>3810SK0009</t>
        </is>
      </c>
      <c r="C2539" s="2" t="inlineStr">
        <is>
          <t>Sistema scrubber cal</t>
        </is>
      </c>
      <c r="D2539" s="2" t="n">
        <v>846</v>
      </c>
      <c r="E2539" s="2" t="inlineStr">
        <is>
          <t>CC-3000</t>
        </is>
      </c>
      <c r="F2539" s="2" t="inlineStr">
        <is>
          <t>P01</t>
        </is>
      </c>
      <c r="G2539" s="2" t="n">
        <v>630000</v>
      </c>
      <c r="H2539" s="2" t="inlineStr">
        <is>
          <t>Servicios externos</t>
        </is>
      </c>
      <c r="I2539" s="9" t="n">
        <v>1626.11</v>
      </c>
      <c r="J2539" s="9" t="n">
        <v>1657.34</v>
      </c>
      <c r="K2539" s="9" t="n">
        <v>1656.84</v>
      </c>
      <c r="L2539" s="9" t="n">
        <v>1497.39</v>
      </c>
      <c r="M2539" s="9" t="n">
        <v>1562.93</v>
      </c>
      <c r="N2539" s="9" t="n">
        <v>1598.45</v>
      </c>
      <c r="O2539" s="9" t="n">
        <v>1445.86</v>
      </c>
      <c r="P2539" s="9" t="n">
        <v>1484.37</v>
      </c>
      <c r="Q2539" s="9" t="n">
        <v>1534.15</v>
      </c>
      <c r="R2539" s="9" t="n">
        <v>1798.81</v>
      </c>
      <c r="S2539" s="9" t="n">
        <v>1569.34</v>
      </c>
      <c r="T2539" s="9" t="n">
        <v>1717.64</v>
      </c>
      <c r="U2539" s="10">
        <f>SUM(I2539:T2539)</f>
        <v/>
      </c>
    </row>
    <row r="2540">
      <c r="A2540" s="2" t="inlineStr">
        <is>
          <t>SN-3000-3800-3810-3810SN0038</t>
        </is>
      </c>
      <c r="B2540" s="2" t="inlineStr">
        <is>
          <t>3810SN0038</t>
        </is>
      </c>
      <c r="C2540" s="2" t="inlineStr">
        <is>
          <t>Harnero cal</t>
        </is>
      </c>
      <c r="D2540" s="2" t="n">
        <v>847</v>
      </c>
      <c r="E2540" s="2" t="inlineStr">
        <is>
          <t>CC-3000</t>
        </is>
      </c>
      <c r="F2540" s="2" t="inlineStr">
        <is>
          <t>P01</t>
        </is>
      </c>
      <c r="G2540" s="2" t="n">
        <v>610000</v>
      </c>
      <c r="H2540" s="2" t="inlineStr">
        <is>
          <t>Mano obra interna</t>
        </is>
      </c>
      <c r="I2540" s="9" t="n">
        <v>2293.98</v>
      </c>
      <c r="J2540" s="9" t="n">
        <v>2262.09</v>
      </c>
      <c r="K2540" s="9" t="n">
        <v>2376.04</v>
      </c>
      <c r="L2540" s="9" t="n">
        <v>2387.08</v>
      </c>
      <c r="M2540" s="9" t="n">
        <v>2355.28</v>
      </c>
      <c r="N2540" s="9" t="n">
        <v>2085.61</v>
      </c>
      <c r="O2540" s="9" t="n">
        <v>2068.64</v>
      </c>
      <c r="P2540" s="9" t="n">
        <v>2180.11</v>
      </c>
      <c r="Q2540" s="9" t="n">
        <v>2133.65</v>
      </c>
      <c r="R2540" s="9" t="n">
        <v>2295.49</v>
      </c>
      <c r="S2540" s="9" t="n">
        <v>2266.7</v>
      </c>
      <c r="T2540" s="9" t="n">
        <v>2162.45</v>
      </c>
      <c r="U2540" s="10">
        <f>SUM(I2540:T2540)</f>
        <v/>
      </c>
    </row>
    <row r="2541">
      <c r="A2541" s="2" t="inlineStr">
        <is>
          <t>SN-3000-3800-3810-3810SN0038</t>
        </is>
      </c>
      <c r="B2541" s="2" t="inlineStr">
        <is>
          <t>3810SN0038</t>
        </is>
      </c>
      <c r="C2541" s="2" t="inlineStr">
        <is>
          <t>Harnero cal</t>
        </is>
      </c>
      <c r="D2541" s="2" t="n">
        <v>847</v>
      </c>
      <c r="E2541" s="2" t="inlineStr">
        <is>
          <t>CC-3000</t>
        </is>
      </c>
      <c r="F2541" s="2" t="inlineStr">
        <is>
          <t>P01</t>
        </is>
      </c>
      <c r="G2541" s="2" t="n">
        <v>620000</v>
      </c>
      <c r="H2541" s="2" t="inlineStr">
        <is>
          <t>Materiales</t>
        </is>
      </c>
      <c r="I2541" s="9" t="n">
        <v>2161.44</v>
      </c>
      <c r="J2541" s="9" t="n">
        <v>2158.01</v>
      </c>
      <c r="K2541" s="9" t="n">
        <v>2129</v>
      </c>
      <c r="L2541" s="9" t="n">
        <v>2247.25</v>
      </c>
      <c r="M2541" s="9" t="n">
        <v>2072.07</v>
      </c>
      <c r="N2541" s="9" t="n">
        <v>1915.48</v>
      </c>
      <c r="O2541" s="9" t="n">
        <v>1976.94</v>
      </c>
      <c r="P2541" s="9" t="n">
        <v>2184.19</v>
      </c>
      <c r="Q2541" s="9" t="n">
        <v>1932.41</v>
      </c>
      <c r="R2541" s="9" t="n">
        <v>2431.01</v>
      </c>
      <c r="S2541" s="9" t="n">
        <v>2060.22</v>
      </c>
      <c r="T2541" s="9" t="n">
        <v>2093.93</v>
      </c>
      <c r="U2541" s="10">
        <f>SUM(I2541:T2541)</f>
        <v/>
      </c>
    </row>
    <row r="2542">
      <c r="A2542" s="2" t="inlineStr">
        <is>
          <t>SN-3000-3800-3810-3810SN0038</t>
        </is>
      </c>
      <c r="B2542" s="2" t="inlineStr">
        <is>
          <t>3810SN0038</t>
        </is>
      </c>
      <c r="C2542" s="2" t="inlineStr">
        <is>
          <t>Harnero cal</t>
        </is>
      </c>
      <c r="D2542" s="2" t="n">
        <v>847</v>
      </c>
      <c r="E2542" s="2" t="inlineStr">
        <is>
          <t>CC-3000</t>
        </is>
      </c>
      <c r="F2542" s="2" t="inlineStr">
        <is>
          <t>P01</t>
        </is>
      </c>
      <c r="G2542" s="2" t="n">
        <v>630000</v>
      </c>
      <c r="H2542" s="2" t="inlineStr">
        <is>
          <t>Servicios externos</t>
        </is>
      </c>
      <c r="I2542" s="9" t="n">
        <v>2276.75</v>
      </c>
      <c r="J2542" s="9" t="n">
        <v>2369.16</v>
      </c>
      <c r="K2542" s="9" t="n">
        <v>2477.16</v>
      </c>
      <c r="L2542" s="9" t="n">
        <v>2538.53</v>
      </c>
      <c r="M2542" s="9" t="n">
        <v>2233.37</v>
      </c>
      <c r="N2542" s="9" t="n">
        <v>2190.05</v>
      </c>
      <c r="O2542" s="9" t="n">
        <v>2218.29</v>
      </c>
      <c r="P2542" s="9" t="n">
        <v>2290.7</v>
      </c>
      <c r="Q2542" s="9" t="n">
        <v>2180.82</v>
      </c>
      <c r="R2542" s="9" t="n">
        <v>2745.65</v>
      </c>
      <c r="S2542" s="9" t="n">
        <v>2350.52</v>
      </c>
      <c r="T2542" s="9" t="n">
        <v>2514.07</v>
      </c>
      <c r="U2542" s="10">
        <f>SUM(I2542:T2542)</f>
        <v/>
      </c>
    </row>
    <row r="2543">
      <c r="A2543" s="2" t="inlineStr">
        <is>
          <t>SN-3000-3800-3810-3810SO0001</t>
        </is>
      </c>
      <c r="B2543" s="2" t="inlineStr">
        <is>
          <t>3810SO0001</t>
        </is>
      </c>
      <c r="C2543" s="2" t="inlineStr">
        <is>
          <t>Silo de cal</t>
        </is>
      </c>
      <c r="D2543" s="2" t="n">
        <v>848</v>
      </c>
      <c r="E2543" s="2" t="inlineStr">
        <is>
          <t>CC-3000</t>
        </is>
      </c>
      <c r="F2543" s="2" t="inlineStr">
        <is>
          <t>P01</t>
        </is>
      </c>
      <c r="G2543" s="2" t="n">
        <v>610000</v>
      </c>
      <c r="H2543" s="2" t="inlineStr">
        <is>
          <t>Mano obra interna</t>
        </is>
      </c>
      <c r="I2543" s="9" t="n">
        <v>508.99</v>
      </c>
      <c r="J2543" s="9" t="n">
        <v>500.4</v>
      </c>
      <c r="K2543" s="9" t="n">
        <v>524.14</v>
      </c>
      <c r="L2543" s="9" t="n">
        <v>547.51</v>
      </c>
      <c r="M2543" s="9" t="n">
        <v>509.93</v>
      </c>
      <c r="N2543" s="9" t="n">
        <v>534.34</v>
      </c>
      <c r="O2543" s="9" t="n">
        <v>570.25</v>
      </c>
      <c r="P2543" s="9" t="n">
        <v>515.03</v>
      </c>
      <c r="Q2543" s="9" t="n">
        <v>508.27</v>
      </c>
      <c r="R2543" s="9" t="n">
        <v>584.49</v>
      </c>
      <c r="S2543" s="9" t="n">
        <v>486.76</v>
      </c>
      <c r="T2543" s="9" t="n">
        <v>572.4</v>
      </c>
      <c r="U2543" s="10">
        <f>SUM(I2543:T2543)</f>
        <v/>
      </c>
    </row>
    <row r="2544">
      <c r="A2544" s="2" t="inlineStr">
        <is>
          <t>SN-3000-3800-3810-3810SO0001</t>
        </is>
      </c>
      <c r="B2544" s="2" t="inlineStr">
        <is>
          <t>3810SO0001</t>
        </is>
      </c>
      <c r="C2544" s="2" t="inlineStr">
        <is>
          <t>Silo de cal</t>
        </is>
      </c>
      <c r="D2544" s="2" t="n">
        <v>848</v>
      </c>
      <c r="E2544" s="2" t="inlineStr">
        <is>
          <t>CC-3000</t>
        </is>
      </c>
      <c r="F2544" s="2" t="inlineStr">
        <is>
          <t>P01</t>
        </is>
      </c>
      <c r="G2544" s="2" t="n">
        <v>620000</v>
      </c>
      <c r="H2544" s="2" t="inlineStr">
        <is>
          <t>Materiales</t>
        </is>
      </c>
      <c r="I2544" s="9" t="n">
        <v>525.15</v>
      </c>
      <c r="J2544" s="9" t="n">
        <v>476.23</v>
      </c>
      <c r="K2544" s="9" t="n">
        <v>500.44</v>
      </c>
      <c r="L2544" s="9" t="n">
        <v>502.95</v>
      </c>
      <c r="M2544" s="9" t="n">
        <v>519.11</v>
      </c>
      <c r="N2544" s="9" t="n">
        <v>446.58</v>
      </c>
      <c r="O2544" s="9" t="n">
        <v>460.52</v>
      </c>
      <c r="P2544" s="9" t="n">
        <v>487.5</v>
      </c>
      <c r="Q2544" s="9" t="n">
        <v>428.57</v>
      </c>
      <c r="R2544" s="9" t="n">
        <v>550.55</v>
      </c>
      <c r="S2544" s="9" t="n">
        <v>499.79</v>
      </c>
      <c r="T2544" s="9" t="n">
        <v>531.54</v>
      </c>
      <c r="U2544" s="10">
        <f>SUM(I2544:T2544)</f>
        <v/>
      </c>
    </row>
    <row r="2545">
      <c r="A2545" s="2" t="inlineStr">
        <is>
          <t>SN-3000-3800-3810-3810SO0001</t>
        </is>
      </c>
      <c r="B2545" s="2" t="inlineStr">
        <is>
          <t>3810SO0001</t>
        </is>
      </c>
      <c r="C2545" s="2" t="inlineStr">
        <is>
          <t>Silo de cal</t>
        </is>
      </c>
      <c r="D2545" s="2" t="n">
        <v>848</v>
      </c>
      <c r="E2545" s="2" t="inlineStr">
        <is>
          <t>CC-3000</t>
        </is>
      </c>
      <c r="F2545" s="2" t="inlineStr">
        <is>
          <t>P01</t>
        </is>
      </c>
      <c r="G2545" s="2" t="n">
        <v>630000</v>
      </c>
      <c r="H2545" s="2" t="inlineStr">
        <is>
          <t>Servicios externos</t>
        </is>
      </c>
      <c r="I2545" s="9" t="n">
        <v>620.96</v>
      </c>
      <c r="J2545" s="9" t="n">
        <v>583.97</v>
      </c>
      <c r="K2545" s="9" t="n">
        <v>629.39</v>
      </c>
      <c r="L2545" s="9" t="n">
        <v>554.25</v>
      </c>
      <c r="M2545" s="9" t="n">
        <v>564.38</v>
      </c>
      <c r="N2545" s="9" t="n">
        <v>588.33</v>
      </c>
      <c r="O2545" s="9" t="n">
        <v>587.13</v>
      </c>
      <c r="P2545" s="9" t="n">
        <v>604.39</v>
      </c>
      <c r="Q2545" s="9" t="n">
        <v>490.98</v>
      </c>
      <c r="R2545" s="9" t="n">
        <v>651.6</v>
      </c>
      <c r="S2545" s="9" t="n">
        <v>569.55</v>
      </c>
      <c r="T2545" s="9" t="n">
        <v>548.27</v>
      </c>
      <c r="U2545" s="10">
        <f>SUM(I2545:T2545)</f>
        <v/>
      </c>
    </row>
    <row r="2546">
      <c r="A2546" s="2" t="inlineStr">
        <is>
          <t>SN-3000-3800-3810-3810SY0019</t>
        </is>
      </c>
      <c r="B2546" s="2" t="inlineStr">
        <is>
          <t>3810SY0019</t>
        </is>
      </c>
      <c r="C2546" s="2" t="inlineStr">
        <is>
          <t>Ducha y lava ojos emergencia SY0019</t>
        </is>
      </c>
      <c r="D2546" s="2" t="n">
        <v>849</v>
      </c>
      <c r="E2546" s="2" t="inlineStr">
        <is>
          <t>CC-3000</t>
        </is>
      </c>
      <c r="F2546" s="2" t="inlineStr">
        <is>
          <t>P01</t>
        </is>
      </c>
      <c r="G2546" s="2" t="n">
        <v>610000</v>
      </c>
      <c r="H2546" s="2" t="inlineStr">
        <is>
          <t>Mano obra interna</t>
        </is>
      </c>
      <c r="I2546" s="9" t="n">
        <v>585.05</v>
      </c>
      <c r="J2546" s="9" t="n">
        <v>626.02</v>
      </c>
      <c r="K2546" s="9" t="n">
        <v>631.4</v>
      </c>
      <c r="L2546" s="9" t="n">
        <v>650.02</v>
      </c>
      <c r="M2546" s="9" t="n">
        <v>584.75</v>
      </c>
      <c r="N2546" s="9" t="n">
        <v>609.62</v>
      </c>
      <c r="O2546" s="9" t="n">
        <v>592.74</v>
      </c>
      <c r="P2546" s="9" t="n">
        <v>567.37</v>
      </c>
      <c r="Q2546" s="9" t="n">
        <v>523.86</v>
      </c>
      <c r="R2546" s="9" t="n">
        <v>693.52</v>
      </c>
      <c r="S2546" s="9" t="n">
        <v>561.63</v>
      </c>
      <c r="T2546" s="9" t="n">
        <v>571.95</v>
      </c>
      <c r="U2546" s="10">
        <f>SUM(I2546:T2546)</f>
        <v/>
      </c>
    </row>
    <row r="2547">
      <c r="A2547" s="2" t="inlineStr">
        <is>
          <t>SN-3000-3800-3810-3810SY0019</t>
        </is>
      </c>
      <c r="B2547" s="2" t="inlineStr">
        <is>
          <t>3810SY0019</t>
        </is>
      </c>
      <c r="C2547" s="2" t="inlineStr">
        <is>
          <t>Ducha y lava ojos emergencia SY0019</t>
        </is>
      </c>
      <c r="D2547" s="2" t="n">
        <v>849</v>
      </c>
      <c r="E2547" s="2" t="inlineStr">
        <is>
          <t>CC-3000</t>
        </is>
      </c>
      <c r="F2547" s="2" t="inlineStr">
        <is>
          <t>P01</t>
        </is>
      </c>
      <c r="G2547" s="2" t="n">
        <v>620000</v>
      </c>
      <c r="H2547" s="2" t="inlineStr">
        <is>
          <t>Materiales</t>
        </is>
      </c>
      <c r="I2547" s="9" t="n">
        <v>560.9</v>
      </c>
      <c r="J2547" s="9" t="n">
        <v>595.23</v>
      </c>
      <c r="K2547" s="9" t="n">
        <v>590.16</v>
      </c>
      <c r="L2547" s="9" t="n">
        <v>593.83</v>
      </c>
      <c r="M2547" s="9" t="n">
        <v>601.13</v>
      </c>
      <c r="N2547" s="9" t="n">
        <v>545.09</v>
      </c>
      <c r="O2547" s="9" t="n">
        <v>600.03</v>
      </c>
      <c r="P2547" s="9" t="n">
        <v>552.51</v>
      </c>
      <c r="Q2547" s="9" t="n">
        <v>570.0599999999999</v>
      </c>
      <c r="R2547" s="9" t="n">
        <v>572.24</v>
      </c>
      <c r="S2547" s="9" t="n">
        <v>570.61</v>
      </c>
      <c r="T2547" s="9" t="n">
        <v>592.24</v>
      </c>
      <c r="U2547" s="10">
        <f>SUM(I2547:T2547)</f>
        <v/>
      </c>
    </row>
    <row r="2548">
      <c r="A2548" s="2" t="inlineStr">
        <is>
          <t>SN-3000-3800-3810-3810SY0019</t>
        </is>
      </c>
      <c r="B2548" s="2" t="inlineStr">
        <is>
          <t>3810SY0019</t>
        </is>
      </c>
      <c r="C2548" s="2" t="inlineStr">
        <is>
          <t>Ducha y lava ojos emergencia SY0019</t>
        </is>
      </c>
      <c r="D2548" s="2" t="n">
        <v>849</v>
      </c>
      <c r="E2548" s="2" t="inlineStr">
        <is>
          <t>CC-3000</t>
        </is>
      </c>
      <c r="F2548" s="2" t="inlineStr">
        <is>
          <t>P01</t>
        </is>
      </c>
      <c r="G2548" s="2" t="n">
        <v>630000</v>
      </c>
      <c r="H2548" s="2" t="inlineStr">
        <is>
          <t>Servicios externos</t>
        </is>
      </c>
      <c r="I2548" s="9" t="n">
        <v>617.53</v>
      </c>
      <c r="J2548" s="9" t="n">
        <v>588.38</v>
      </c>
      <c r="K2548" s="9" t="n">
        <v>594.14</v>
      </c>
      <c r="L2548" s="9" t="n">
        <v>637.99</v>
      </c>
      <c r="M2548" s="9" t="n">
        <v>657.65</v>
      </c>
      <c r="N2548" s="9" t="n">
        <v>594.4299999999999</v>
      </c>
      <c r="O2548" s="9" t="n">
        <v>620.62</v>
      </c>
      <c r="P2548" s="9" t="n">
        <v>570.15</v>
      </c>
      <c r="Q2548" s="9" t="n">
        <v>540.21</v>
      </c>
      <c r="R2548" s="9" t="n">
        <v>665.58</v>
      </c>
      <c r="S2548" s="9" t="n">
        <v>642.49</v>
      </c>
      <c r="T2548" s="9" t="n">
        <v>662.6799999999999</v>
      </c>
      <c r="U2548" s="10">
        <f>SUM(I2548:T2548)</f>
        <v/>
      </c>
    </row>
    <row r="2549">
      <c r="A2549" s="2" t="inlineStr">
        <is>
          <t>SN-3000-3800-3810-3810SY0031</t>
        </is>
      </c>
      <c r="B2549" s="2" t="inlineStr">
        <is>
          <t>3810SY0031</t>
        </is>
      </c>
      <c r="C2549" s="2" t="inlineStr">
        <is>
          <t>Ducha y lava ojos emergencia SY0031</t>
        </is>
      </c>
      <c r="D2549" s="2" t="n">
        <v>850</v>
      </c>
      <c r="E2549" s="2" t="inlineStr">
        <is>
          <t>CC-3000</t>
        </is>
      </c>
      <c r="F2549" s="2" t="inlineStr">
        <is>
          <t>P01</t>
        </is>
      </c>
      <c r="G2549" s="2" t="n">
        <v>610000</v>
      </c>
      <c r="H2549" s="2" t="inlineStr">
        <is>
          <t>Mano obra interna</t>
        </is>
      </c>
      <c r="I2549" s="9" t="n">
        <v>1289.91</v>
      </c>
      <c r="J2549" s="9" t="n">
        <v>1246.35</v>
      </c>
      <c r="K2549" s="9" t="n">
        <v>1333.04</v>
      </c>
      <c r="L2549" s="9" t="n">
        <v>1321.13</v>
      </c>
      <c r="M2549" s="9" t="n">
        <v>1299.54</v>
      </c>
      <c r="N2549" s="9" t="n">
        <v>1108.61</v>
      </c>
      <c r="O2549" s="9" t="n">
        <v>1344.63</v>
      </c>
      <c r="P2549" s="9" t="n">
        <v>1167.73</v>
      </c>
      <c r="Q2549" s="9" t="n">
        <v>1163.73</v>
      </c>
      <c r="R2549" s="9" t="n">
        <v>1444.21</v>
      </c>
      <c r="S2549" s="9" t="n">
        <v>1212.46</v>
      </c>
      <c r="T2549" s="9" t="n">
        <v>1184.65</v>
      </c>
      <c r="U2549" s="10">
        <f>SUM(I2549:T2549)</f>
        <v/>
      </c>
    </row>
    <row r="2550">
      <c r="A2550" s="2" t="inlineStr">
        <is>
          <t>SN-3000-3800-3810-3810SY0031</t>
        </is>
      </c>
      <c r="B2550" s="2" t="inlineStr">
        <is>
          <t>3810SY0031</t>
        </is>
      </c>
      <c r="C2550" s="2" t="inlineStr">
        <is>
          <t>Ducha y lava ojos emergencia SY0031</t>
        </is>
      </c>
      <c r="D2550" s="2" t="n">
        <v>850</v>
      </c>
      <c r="E2550" s="2" t="inlineStr">
        <is>
          <t>CC-3000</t>
        </is>
      </c>
      <c r="F2550" s="2" t="inlineStr">
        <is>
          <t>P01</t>
        </is>
      </c>
      <c r="G2550" s="2" t="n">
        <v>620000</v>
      </c>
      <c r="H2550" s="2" t="inlineStr">
        <is>
          <t>Materiales</t>
        </is>
      </c>
      <c r="I2550" s="9" t="n">
        <v>1228.17</v>
      </c>
      <c r="J2550" s="9" t="n">
        <v>1092.98</v>
      </c>
      <c r="K2550" s="9" t="n">
        <v>1210.76</v>
      </c>
      <c r="L2550" s="9" t="n">
        <v>1181.12</v>
      </c>
      <c r="M2550" s="9" t="n">
        <v>1235.15</v>
      </c>
      <c r="N2550" s="9" t="n">
        <v>1065.08</v>
      </c>
      <c r="O2550" s="9" t="n">
        <v>1223.44</v>
      </c>
      <c r="P2550" s="9" t="n">
        <v>1169.5</v>
      </c>
      <c r="Q2550" s="9" t="n">
        <v>1121.53</v>
      </c>
      <c r="R2550" s="9" t="n">
        <v>1220.94</v>
      </c>
      <c r="S2550" s="9" t="n">
        <v>1170.38</v>
      </c>
      <c r="T2550" s="9" t="n">
        <v>1239.34</v>
      </c>
      <c r="U2550" s="10">
        <f>SUM(I2550:T2550)</f>
        <v/>
      </c>
    </row>
    <row r="2551">
      <c r="A2551" s="2" t="inlineStr">
        <is>
          <t>SN-3000-3800-3810-3810SY0031</t>
        </is>
      </c>
      <c r="B2551" s="2" t="inlineStr">
        <is>
          <t>3810SY0031</t>
        </is>
      </c>
      <c r="C2551" s="2" t="inlineStr">
        <is>
          <t>Ducha y lava ojos emergencia SY0031</t>
        </is>
      </c>
      <c r="D2551" s="2" t="n">
        <v>850</v>
      </c>
      <c r="E2551" s="2" t="inlineStr">
        <is>
          <t>CC-3000</t>
        </is>
      </c>
      <c r="F2551" s="2" t="inlineStr">
        <is>
          <t>P01</t>
        </is>
      </c>
      <c r="G2551" s="2" t="n">
        <v>630000</v>
      </c>
      <c r="H2551" s="2" t="inlineStr">
        <is>
          <t>Servicios externos</t>
        </is>
      </c>
      <c r="I2551" s="9" t="n">
        <v>1193.68</v>
      </c>
      <c r="J2551" s="9" t="n">
        <v>1158.07</v>
      </c>
      <c r="K2551" s="9" t="n">
        <v>1066.71</v>
      </c>
      <c r="L2551" s="9" t="n">
        <v>1154.88</v>
      </c>
      <c r="M2551" s="9" t="n">
        <v>1116.67</v>
      </c>
      <c r="N2551" s="9" t="n">
        <v>979.88</v>
      </c>
      <c r="O2551" s="9" t="n">
        <v>1084.07</v>
      </c>
      <c r="P2551" s="9" t="n">
        <v>1194.13</v>
      </c>
      <c r="Q2551" s="9" t="n">
        <v>1043.96</v>
      </c>
      <c r="R2551" s="9" t="n">
        <v>1281.89</v>
      </c>
      <c r="S2551" s="9" t="n">
        <v>1106.36</v>
      </c>
      <c r="T2551" s="9" t="n">
        <v>1043</v>
      </c>
      <c r="U2551" s="10">
        <f>SUM(I2551:T2551)</f>
        <v/>
      </c>
    </row>
    <row r="2552">
      <c r="A2552" s="2" t="inlineStr">
        <is>
          <t>SN-3000-3800-3810-3810SY0039</t>
        </is>
      </c>
      <c r="B2552" s="2" t="inlineStr">
        <is>
          <t>3810SY0039</t>
        </is>
      </c>
      <c r="C2552" s="2" t="inlineStr">
        <is>
          <t>Ducha y lava ojos emergencia SY0039</t>
        </is>
      </c>
      <c r="D2552" s="2" t="n">
        <v>851</v>
      </c>
      <c r="E2552" s="2" t="inlineStr">
        <is>
          <t>CC-3000</t>
        </is>
      </c>
      <c r="F2552" s="2" t="inlineStr">
        <is>
          <t>P01</t>
        </is>
      </c>
      <c r="G2552" s="2" t="n">
        <v>610000</v>
      </c>
      <c r="H2552" s="2" t="inlineStr">
        <is>
          <t>Mano obra interna</t>
        </is>
      </c>
      <c r="I2552" s="9" t="n">
        <v>1146.07</v>
      </c>
      <c r="J2552" s="9" t="n">
        <v>1077.04</v>
      </c>
      <c r="K2552" s="9" t="n">
        <v>1051.71</v>
      </c>
      <c r="L2552" s="9" t="n">
        <v>1128.25</v>
      </c>
      <c r="M2552" s="9" t="n">
        <v>1126.18</v>
      </c>
      <c r="N2552" s="9" t="n">
        <v>1078.46</v>
      </c>
      <c r="O2552" s="9" t="n">
        <v>1040.57</v>
      </c>
      <c r="P2552" s="9" t="n">
        <v>1041.41</v>
      </c>
      <c r="Q2552" s="9" t="n">
        <v>1084.73</v>
      </c>
      <c r="R2552" s="9" t="n">
        <v>1241.62</v>
      </c>
      <c r="S2552" s="9" t="n">
        <v>1019</v>
      </c>
      <c r="T2552" s="9" t="n">
        <v>1157.27</v>
      </c>
      <c r="U2552" s="10">
        <f>SUM(I2552:T2552)</f>
        <v/>
      </c>
    </row>
    <row r="2553">
      <c r="A2553" s="2" t="inlineStr">
        <is>
          <t>SN-3000-3800-3810-3810SY0039</t>
        </is>
      </c>
      <c r="B2553" s="2" t="inlineStr">
        <is>
          <t>3810SY0039</t>
        </is>
      </c>
      <c r="C2553" s="2" t="inlineStr">
        <is>
          <t>Ducha y lava ojos emergencia SY0039</t>
        </is>
      </c>
      <c r="D2553" s="2" t="n">
        <v>851</v>
      </c>
      <c r="E2553" s="2" t="inlineStr">
        <is>
          <t>CC-3000</t>
        </is>
      </c>
      <c r="F2553" s="2" t="inlineStr">
        <is>
          <t>P01</t>
        </is>
      </c>
      <c r="G2553" s="2" t="n">
        <v>620000</v>
      </c>
      <c r="H2553" s="2" t="inlineStr">
        <is>
          <t>Materiales</t>
        </is>
      </c>
      <c r="I2553" s="9" t="n">
        <v>1066.18</v>
      </c>
      <c r="J2553" s="9" t="n">
        <v>1025.89</v>
      </c>
      <c r="K2553" s="9" t="n">
        <v>1057.69</v>
      </c>
      <c r="L2553" s="9" t="n">
        <v>1185.51</v>
      </c>
      <c r="M2553" s="9" t="n">
        <v>1100</v>
      </c>
      <c r="N2553" s="9" t="n">
        <v>1008.96</v>
      </c>
      <c r="O2553" s="9" t="n">
        <v>1159.41</v>
      </c>
      <c r="P2553" s="9" t="n">
        <v>1149.95</v>
      </c>
      <c r="Q2553" s="9" t="n">
        <v>956.54</v>
      </c>
      <c r="R2553" s="9" t="n">
        <v>1211.04</v>
      </c>
      <c r="S2553" s="9" t="n">
        <v>1100.31</v>
      </c>
      <c r="T2553" s="9" t="n">
        <v>1152.42</v>
      </c>
      <c r="U2553" s="10">
        <f>SUM(I2553:T2553)</f>
        <v/>
      </c>
    </row>
    <row r="2554">
      <c r="A2554" s="2" t="inlineStr">
        <is>
          <t>SN-3000-3800-3810-3810SY0039</t>
        </is>
      </c>
      <c r="B2554" s="2" t="inlineStr">
        <is>
          <t>3810SY0039</t>
        </is>
      </c>
      <c r="C2554" s="2" t="inlineStr">
        <is>
          <t>Ducha y lava ojos emergencia SY0039</t>
        </is>
      </c>
      <c r="D2554" s="2" t="n">
        <v>851</v>
      </c>
      <c r="E2554" s="2" t="inlineStr">
        <is>
          <t>CC-3000</t>
        </is>
      </c>
      <c r="F2554" s="2" t="inlineStr">
        <is>
          <t>P01</t>
        </is>
      </c>
      <c r="G2554" s="2" t="n">
        <v>630000</v>
      </c>
      <c r="H2554" s="2" t="inlineStr">
        <is>
          <t>Servicios externos</t>
        </is>
      </c>
      <c r="I2554" s="9" t="n">
        <v>1272.99</v>
      </c>
      <c r="J2554" s="9" t="n">
        <v>1258.33</v>
      </c>
      <c r="K2554" s="9" t="n">
        <v>1433.09</v>
      </c>
      <c r="L2554" s="9" t="n">
        <v>1431.43</v>
      </c>
      <c r="M2554" s="9" t="n">
        <v>1256.98</v>
      </c>
      <c r="N2554" s="9" t="n">
        <v>1162.72</v>
      </c>
      <c r="O2554" s="9" t="n">
        <v>1393.05</v>
      </c>
      <c r="P2554" s="9" t="n">
        <v>1289.78</v>
      </c>
      <c r="Q2554" s="9" t="n">
        <v>1192.18</v>
      </c>
      <c r="R2554" s="9" t="n">
        <v>1385.13</v>
      </c>
      <c r="S2554" s="9" t="n">
        <v>1257.39</v>
      </c>
      <c r="T2554" s="9" t="n">
        <v>1310.16</v>
      </c>
      <c r="U2554" s="10">
        <f>SUM(I2554:T2554)</f>
        <v/>
      </c>
    </row>
    <row r="2555">
      <c r="A2555" s="2" t="inlineStr">
        <is>
          <t>SN-3000-3800-3810-3810TA0040</t>
        </is>
      </c>
      <c r="B2555" s="2" t="inlineStr">
        <is>
          <t>3810TA0040</t>
        </is>
      </c>
      <c r="C2555" s="2" t="inlineStr">
        <is>
          <t>Estanque lechada de cal</t>
        </is>
      </c>
      <c r="D2555" s="2" t="n">
        <v>852</v>
      </c>
      <c r="E2555" s="2" t="inlineStr">
        <is>
          <t>CC-3000</t>
        </is>
      </c>
      <c r="F2555" s="2" t="inlineStr">
        <is>
          <t>P01</t>
        </is>
      </c>
      <c r="G2555" s="2" t="n">
        <v>610000</v>
      </c>
      <c r="H2555" s="2" t="inlineStr">
        <is>
          <t>Mano obra interna</t>
        </is>
      </c>
      <c r="I2555" s="9" t="n">
        <v>2155.42</v>
      </c>
      <c r="J2555" s="9" t="n">
        <v>2397.86</v>
      </c>
      <c r="K2555" s="9" t="n">
        <v>2498.66</v>
      </c>
      <c r="L2555" s="9" t="n">
        <v>2474.66</v>
      </c>
      <c r="M2555" s="9" t="n">
        <v>2376.47</v>
      </c>
      <c r="N2555" s="9" t="n">
        <v>2219.99</v>
      </c>
      <c r="O2555" s="9" t="n">
        <v>2163.88</v>
      </c>
      <c r="P2555" s="9" t="n">
        <v>2099.17</v>
      </c>
      <c r="Q2555" s="9" t="n">
        <v>1972.33</v>
      </c>
      <c r="R2555" s="9" t="n">
        <v>2372.72</v>
      </c>
      <c r="S2555" s="9" t="n">
        <v>2192.98</v>
      </c>
      <c r="T2555" s="9" t="n">
        <v>2478.86</v>
      </c>
      <c r="U2555" s="10">
        <f>SUM(I2555:T2555)</f>
        <v/>
      </c>
    </row>
    <row r="2556">
      <c r="A2556" s="2" t="inlineStr">
        <is>
          <t>SN-3000-3800-3810-3810TA0040</t>
        </is>
      </c>
      <c r="B2556" s="2" t="inlineStr">
        <is>
          <t>3810TA0040</t>
        </is>
      </c>
      <c r="C2556" s="2" t="inlineStr">
        <is>
          <t>Estanque lechada de cal</t>
        </is>
      </c>
      <c r="D2556" s="2" t="n">
        <v>852</v>
      </c>
      <c r="E2556" s="2" t="inlineStr">
        <is>
          <t>CC-3000</t>
        </is>
      </c>
      <c r="F2556" s="2" t="inlineStr">
        <is>
          <t>P01</t>
        </is>
      </c>
      <c r="G2556" s="2" t="n">
        <v>620000</v>
      </c>
      <c r="H2556" s="2" t="inlineStr">
        <is>
          <t>Materiales</t>
        </is>
      </c>
      <c r="I2556" s="9" t="n">
        <v>2165.31</v>
      </c>
      <c r="J2556" s="9" t="n">
        <v>2145.74</v>
      </c>
      <c r="K2556" s="9" t="n">
        <v>2068.27</v>
      </c>
      <c r="L2556" s="9" t="n">
        <v>2308.87</v>
      </c>
      <c r="M2556" s="9" t="n">
        <v>2100.62</v>
      </c>
      <c r="N2556" s="9" t="n">
        <v>1947.63</v>
      </c>
      <c r="O2556" s="9" t="n">
        <v>2260.87</v>
      </c>
      <c r="P2556" s="9" t="n">
        <v>2153.56</v>
      </c>
      <c r="Q2556" s="9" t="n">
        <v>1961.59</v>
      </c>
      <c r="R2556" s="9" t="n">
        <v>2307.67</v>
      </c>
      <c r="S2556" s="9" t="n">
        <v>2126.54</v>
      </c>
      <c r="T2556" s="9" t="n">
        <v>2025.61</v>
      </c>
      <c r="U2556" s="10">
        <f>SUM(I2556:T2556)</f>
        <v/>
      </c>
    </row>
    <row r="2557">
      <c r="A2557" s="2" t="inlineStr">
        <is>
          <t>SN-3000-3800-3810-3810TA0040</t>
        </is>
      </c>
      <c r="B2557" s="2" t="inlineStr">
        <is>
          <t>3810TA0040</t>
        </is>
      </c>
      <c r="C2557" s="2" t="inlineStr">
        <is>
          <t>Estanque lechada de cal</t>
        </is>
      </c>
      <c r="D2557" s="2" t="n">
        <v>852</v>
      </c>
      <c r="E2557" s="2" t="inlineStr">
        <is>
          <t>CC-3000</t>
        </is>
      </c>
      <c r="F2557" s="2" t="inlineStr">
        <is>
          <t>P01</t>
        </is>
      </c>
      <c r="G2557" s="2" t="n">
        <v>630000</v>
      </c>
      <c r="H2557" s="2" t="inlineStr">
        <is>
          <t>Servicios externos</t>
        </is>
      </c>
      <c r="I2557" s="9" t="n">
        <v>2585.72</v>
      </c>
      <c r="J2557" s="9" t="n">
        <v>2348.64</v>
      </c>
      <c r="K2557" s="9" t="n">
        <v>2505.1</v>
      </c>
      <c r="L2557" s="9" t="n">
        <v>2550.31</v>
      </c>
      <c r="M2557" s="9" t="n">
        <v>2288.28</v>
      </c>
      <c r="N2557" s="9" t="n">
        <v>2433.68</v>
      </c>
      <c r="O2557" s="9" t="n">
        <v>2428.7</v>
      </c>
      <c r="P2557" s="9" t="n">
        <v>2329.02</v>
      </c>
      <c r="Q2557" s="9" t="n">
        <v>2258.68</v>
      </c>
      <c r="R2557" s="9" t="n">
        <v>2553.32</v>
      </c>
      <c r="S2557" s="9" t="n">
        <v>2142.18</v>
      </c>
      <c r="T2557" s="9" t="n">
        <v>2507.84</v>
      </c>
      <c r="U2557" s="10">
        <f>SUM(I2557:T2557)</f>
        <v/>
      </c>
    </row>
    <row r="2558">
      <c r="A2558" s="2" t="inlineStr">
        <is>
          <t>SN-3000-3800-3810-3810WL0006</t>
        </is>
      </c>
      <c r="B2558" s="2" t="inlineStr">
        <is>
          <t>3810WL0006</t>
        </is>
      </c>
      <c r="C2558" s="2" t="inlineStr">
        <is>
          <t>Línea agua 3810-0001-AA1A-2-WFR-N</t>
        </is>
      </c>
      <c r="D2558" s="2" t="n">
        <v>853</v>
      </c>
      <c r="E2558" s="2" t="inlineStr">
        <is>
          <t>CC-3000</t>
        </is>
      </c>
      <c r="F2558" s="2" t="inlineStr">
        <is>
          <t>P01</t>
        </is>
      </c>
      <c r="G2558" s="2" t="n">
        <v>610000</v>
      </c>
      <c r="H2558" s="2" t="inlineStr">
        <is>
          <t>Mano obra interna</t>
        </is>
      </c>
      <c r="I2558" s="9" t="n">
        <v>1070.2</v>
      </c>
      <c r="J2558" s="9" t="n">
        <v>931.38</v>
      </c>
      <c r="K2558" s="9" t="n">
        <v>1038.97</v>
      </c>
      <c r="L2558" s="9" t="n">
        <v>1066.67</v>
      </c>
      <c r="M2558" s="9" t="n">
        <v>1068</v>
      </c>
      <c r="N2558" s="9" t="n">
        <v>1015.85</v>
      </c>
      <c r="O2558" s="9" t="n">
        <v>1059.79</v>
      </c>
      <c r="P2558" s="9" t="n">
        <v>959.8</v>
      </c>
      <c r="Q2558" s="9" t="n">
        <v>982.16</v>
      </c>
      <c r="R2558" s="9" t="n">
        <v>1022.34</v>
      </c>
      <c r="S2558" s="9" t="n">
        <v>922.1900000000001</v>
      </c>
      <c r="T2558" s="9" t="n">
        <v>952.46</v>
      </c>
      <c r="U2558" s="10">
        <f>SUM(I2558:T2558)</f>
        <v/>
      </c>
    </row>
    <row r="2559">
      <c r="A2559" s="2" t="inlineStr">
        <is>
          <t>SN-3000-3800-3810-3810WL0006</t>
        </is>
      </c>
      <c r="B2559" s="2" t="inlineStr">
        <is>
          <t>3810WL0006</t>
        </is>
      </c>
      <c r="C2559" s="2" t="inlineStr">
        <is>
          <t>Línea agua 3810-0001-AA1A-2-WFR-N</t>
        </is>
      </c>
      <c r="D2559" s="2" t="n">
        <v>853</v>
      </c>
      <c r="E2559" s="2" t="inlineStr">
        <is>
          <t>CC-3000</t>
        </is>
      </c>
      <c r="F2559" s="2" t="inlineStr">
        <is>
          <t>P01</t>
        </is>
      </c>
      <c r="G2559" s="2" t="n">
        <v>620000</v>
      </c>
      <c r="H2559" s="2" t="inlineStr">
        <is>
          <t>Materiales</t>
        </is>
      </c>
      <c r="I2559" s="9" t="n">
        <v>1038</v>
      </c>
      <c r="J2559" s="9" t="n">
        <v>1006.51</v>
      </c>
      <c r="K2559" s="9" t="n">
        <v>1073.63</v>
      </c>
      <c r="L2559" s="9" t="n">
        <v>1121.61</v>
      </c>
      <c r="M2559" s="9" t="n">
        <v>1138.89</v>
      </c>
      <c r="N2559" s="9" t="n">
        <v>1023.57</v>
      </c>
      <c r="O2559" s="9" t="n">
        <v>1093.33</v>
      </c>
      <c r="P2559" s="9" t="n">
        <v>1026.15</v>
      </c>
      <c r="Q2559" s="9" t="n">
        <v>972</v>
      </c>
      <c r="R2559" s="9" t="n">
        <v>1101.36</v>
      </c>
      <c r="S2559" s="9" t="n">
        <v>1035.02</v>
      </c>
      <c r="T2559" s="9" t="n">
        <v>1116.82</v>
      </c>
      <c r="U2559" s="10">
        <f>SUM(I2559:T2559)</f>
        <v/>
      </c>
    </row>
    <row r="2560">
      <c r="A2560" s="2" t="inlineStr">
        <is>
          <t>SN-3000-3800-3810-3810WL0006</t>
        </is>
      </c>
      <c r="B2560" s="2" t="inlineStr">
        <is>
          <t>3810WL0006</t>
        </is>
      </c>
      <c r="C2560" s="2" t="inlineStr">
        <is>
          <t>Línea agua 3810-0001-AA1A-2-WFR-N</t>
        </is>
      </c>
      <c r="D2560" s="2" t="n">
        <v>853</v>
      </c>
      <c r="E2560" s="2" t="inlineStr">
        <is>
          <t>CC-3000</t>
        </is>
      </c>
      <c r="F2560" s="2" t="inlineStr">
        <is>
          <t>P01</t>
        </is>
      </c>
      <c r="G2560" s="2" t="n">
        <v>630000</v>
      </c>
      <c r="H2560" s="2" t="inlineStr">
        <is>
          <t>Servicios externos</t>
        </is>
      </c>
      <c r="I2560" s="9" t="n">
        <v>975.88</v>
      </c>
      <c r="J2560" s="9" t="n">
        <v>960.78</v>
      </c>
      <c r="K2560" s="9" t="n">
        <v>877.6799999999999</v>
      </c>
      <c r="L2560" s="9" t="n">
        <v>854.36</v>
      </c>
      <c r="M2560" s="9" t="n">
        <v>938</v>
      </c>
      <c r="N2560" s="9" t="n">
        <v>823.15</v>
      </c>
      <c r="O2560" s="9" t="n">
        <v>884.9299999999999</v>
      </c>
      <c r="P2560" s="9" t="n">
        <v>889.8099999999999</v>
      </c>
      <c r="Q2560" s="9" t="n">
        <v>899.4</v>
      </c>
      <c r="R2560" s="9" t="n">
        <v>1001.67</v>
      </c>
      <c r="S2560" s="9" t="n">
        <v>812.4299999999999</v>
      </c>
      <c r="T2560" s="9" t="n">
        <v>847.9</v>
      </c>
      <c r="U2560" s="10">
        <f>SUM(I2560:T2560)</f>
        <v/>
      </c>
    </row>
    <row r="2561">
      <c r="A2561" s="2" t="inlineStr">
        <is>
          <t>SN-3000-3800-3810-3810XM0060</t>
        </is>
      </c>
      <c r="B2561" s="2" t="inlineStr">
        <is>
          <t>3810XM0060</t>
        </is>
      </c>
      <c r="C2561" s="2" t="inlineStr">
        <is>
          <t>Apagador cal</t>
        </is>
      </c>
      <c r="D2561" s="2" t="n">
        <v>854</v>
      </c>
      <c r="E2561" s="2" t="inlineStr">
        <is>
          <t>CC-3000</t>
        </is>
      </c>
      <c r="F2561" s="2" t="inlineStr">
        <is>
          <t>P01</t>
        </is>
      </c>
      <c r="G2561" s="2" t="n">
        <v>610000</v>
      </c>
      <c r="H2561" s="2" t="inlineStr">
        <is>
          <t>Mano obra interna</t>
        </is>
      </c>
      <c r="I2561" s="9" t="n">
        <v>2313.93</v>
      </c>
      <c r="J2561" s="9" t="n">
        <v>2293.55</v>
      </c>
      <c r="K2561" s="9" t="n">
        <v>2538.65</v>
      </c>
      <c r="L2561" s="9" t="n">
        <v>2315.37</v>
      </c>
      <c r="M2561" s="9" t="n">
        <v>2264.81</v>
      </c>
      <c r="N2561" s="9" t="n">
        <v>2171.08</v>
      </c>
      <c r="O2561" s="9" t="n">
        <v>2152.15</v>
      </c>
      <c r="P2561" s="9" t="n">
        <v>2502.76</v>
      </c>
      <c r="Q2561" s="9" t="n">
        <v>2047.69</v>
      </c>
      <c r="R2561" s="9" t="n">
        <v>2432.15</v>
      </c>
      <c r="S2561" s="9" t="n">
        <v>2125.99</v>
      </c>
      <c r="T2561" s="9" t="n">
        <v>2365.67</v>
      </c>
      <c r="U2561" s="10">
        <f>SUM(I2561:T2561)</f>
        <v/>
      </c>
    </row>
    <row r="2562">
      <c r="A2562" s="2" t="inlineStr">
        <is>
          <t>SN-3000-3800-3810-3810XM0060</t>
        </is>
      </c>
      <c r="B2562" s="2" t="inlineStr">
        <is>
          <t>3810XM0060</t>
        </is>
      </c>
      <c r="C2562" s="2" t="inlineStr">
        <is>
          <t>Apagador cal</t>
        </is>
      </c>
      <c r="D2562" s="2" t="n">
        <v>854</v>
      </c>
      <c r="E2562" s="2" t="inlineStr">
        <is>
          <t>CC-3000</t>
        </is>
      </c>
      <c r="F2562" s="2" t="inlineStr">
        <is>
          <t>P01</t>
        </is>
      </c>
      <c r="G2562" s="2" t="n">
        <v>620000</v>
      </c>
      <c r="H2562" s="2" t="inlineStr">
        <is>
          <t>Materiales</t>
        </is>
      </c>
      <c r="I2562" s="9" t="n">
        <v>2635.97</v>
      </c>
      <c r="J2562" s="9" t="n">
        <v>2690.92</v>
      </c>
      <c r="K2562" s="9" t="n">
        <v>2628.19</v>
      </c>
      <c r="L2562" s="9" t="n">
        <v>2941.38</v>
      </c>
      <c r="M2562" s="9" t="n">
        <v>2791.53</v>
      </c>
      <c r="N2562" s="9" t="n">
        <v>2721.46</v>
      </c>
      <c r="O2562" s="9" t="n">
        <v>2747.41</v>
      </c>
      <c r="P2562" s="9" t="n">
        <v>2936.08</v>
      </c>
      <c r="Q2562" s="9" t="n">
        <v>2530.55</v>
      </c>
      <c r="R2562" s="9" t="n">
        <v>2981.4</v>
      </c>
      <c r="S2562" s="9" t="n">
        <v>2753.72</v>
      </c>
      <c r="T2562" s="9" t="n">
        <v>2808.54</v>
      </c>
      <c r="U2562" s="10">
        <f>SUM(I2562:T2562)</f>
        <v/>
      </c>
    </row>
    <row r="2563">
      <c r="A2563" s="2" t="inlineStr">
        <is>
          <t>SN-3000-3800-3810-3810XM0060</t>
        </is>
      </c>
      <c r="B2563" s="2" t="inlineStr">
        <is>
          <t>3810XM0060</t>
        </is>
      </c>
      <c r="C2563" s="2" t="inlineStr">
        <is>
          <t>Apagador cal</t>
        </is>
      </c>
      <c r="D2563" s="2" t="n">
        <v>854</v>
      </c>
      <c r="E2563" s="2" t="inlineStr">
        <is>
          <t>CC-3000</t>
        </is>
      </c>
      <c r="F2563" s="2" t="inlineStr">
        <is>
          <t>P01</t>
        </is>
      </c>
      <c r="G2563" s="2" t="n">
        <v>630000</v>
      </c>
      <c r="H2563" s="2" t="inlineStr">
        <is>
          <t>Servicios externos</t>
        </is>
      </c>
      <c r="I2563" s="9" t="n">
        <v>2217.44</v>
      </c>
      <c r="J2563" s="9" t="n">
        <v>2060.01</v>
      </c>
      <c r="K2563" s="9" t="n">
        <v>2283.57</v>
      </c>
      <c r="L2563" s="9" t="n">
        <v>2327.01</v>
      </c>
      <c r="M2563" s="9" t="n">
        <v>2079.34</v>
      </c>
      <c r="N2563" s="9" t="n">
        <v>2184.05</v>
      </c>
      <c r="O2563" s="9" t="n">
        <v>2379.39</v>
      </c>
      <c r="P2563" s="9" t="n">
        <v>2177.93</v>
      </c>
      <c r="Q2563" s="9" t="n">
        <v>1990.34</v>
      </c>
      <c r="R2563" s="9" t="n">
        <v>2564.88</v>
      </c>
      <c r="S2563" s="9" t="n">
        <v>2232.72</v>
      </c>
      <c r="T2563" s="9" t="n">
        <v>2127.5</v>
      </c>
      <c r="U2563" s="10">
        <f>SUM(I2563:T2563)</f>
        <v/>
      </c>
    </row>
    <row r="2564">
      <c r="A2564" s="2" t="inlineStr">
        <is>
          <t>SN-3000-3800-3820-3820CN0015</t>
        </is>
      </c>
      <c r="B2564" s="2" t="inlineStr">
        <is>
          <t>3820CN0015</t>
        </is>
      </c>
      <c r="C2564" s="2" t="inlineStr">
        <is>
          <t>Puente grúa cianuro</t>
        </is>
      </c>
      <c r="D2564" s="2" t="n">
        <v>855</v>
      </c>
      <c r="E2564" s="2" t="inlineStr">
        <is>
          <t>CC-3000</t>
        </is>
      </c>
      <c r="F2564" s="2" t="inlineStr">
        <is>
          <t>P01</t>
        </is>
      </c>
      <c r="G2564" s="2" t="n">
        <v>610000</v>
      </c>
      <c r="H2564" s="2" t="inlineStr">
        <is>
          <t>Mano obra interna</t>
        </is>
      </c>
      <c r="I2564" s="9" t="n">
        <v>505.73</v>
      </c>
      <c r="J2564" s="9" t="n">
        <v>480.33</v>
      </c>
      <c r="K2564" s="9" t="n">
        <v>506.66</v>
      </c>
      <c r="L2564" s="9" t="n">
        <v>497.89</v>
      </c>
      <c r="M2564" s="9" t="n">
        <v>499.74</v>
      </c>
      <c r="N2564" s="9" t="n">
        <v>447.56</v>
      </c>
      <c r="O2564" s="9" t="n">
        <v>498.28</v>
      </c>
      <c r="P2564" s="9" t="n">
        <v>519.46</v>
      </c>
      <c r="Q2564" s="9" t="n">
        <v>440.76</v>
      </c>
      <c r="R2564" s="9" t="n">
        <v>543.98</v>
      </c>
      <c r="S2564" s="9" t="n">
        <v>447.63</v>
      </c>
      <c r="T2564" s="9" t="n">
        <v>472.06</v>
      </c>
      <c r="U2564" s="10">
        <f>SUM(I2564:T2564)</f>
        <v/>
      </c>
    </row>
    <row r="2565">
      <c r="A2565" s="2" t="inlineStr">
        <is>
          <t>SN-3000-3800-3820-3820CN0015</t>
        </is>
      </c>
      <c r="B2565" s="2" t="inlineStr">
        <is>
          <t>3820CN0015</t>
        </is>
      </c>
      <c r="C2565" s="2" t="inlineStr">
        <is>
          <t>Puente grúa cianuro</t>
        </is>
      </c>
      <c r="D2565" s="2" t="n">
        <v>855</v>
      </c>
      <c r="E2565" s="2" t="inlineStr">
        <is>
          <t>CC-3000</t>
        </is>
      </c>
      <c r="F2565" s="2" t="inlineStr">
        <is>
          <t>P01</t>
        </is>
      </c>
      <c r="G2565" s="2" t="n">
        <v>620000</v>
      </c>
      <c r="H2565" s="2" t="inlineStr">
        <is>
          <t>Materiales</t>
        </is>
      </c>
      <c r="I2565" s="9" t="n">
        <v>529.62</v>
      </c>
      <c r="J2565" s="9" t="n">
        <v>527.89</v>
      </c>
      <c r="K2565" s="9" t="n">
        <v>577.5700000000001</v>
      </c>
      <c r="L2565" s="9" t="n">
        <v>564.75</v>
      </c>
      <c r="M2565" s="9" t="n">
        <v>567.0599999999999</v>
      </c>
      <c r="N2565" s="9" t="n">
        <v>510.34</v>
      </c>
      <c r="O2565" s="9" t="n">
        <v>523.05</v>
      </c>
      <c r="P2565" s="9" t="n">
        <v>549.24</v>
      </c>
      <c r="Q2565" s="9" t="n">
        <v>524.62</v>
      </c>
      <c r="R2565" s="9" t="n">
        <v>611.42</v>
      </c>
      <c r="S2565" s="9" t="n">
        <v>552.28</v>
      </c>
      <c r="T2565" s="9" t="n">
        <v>574.16</v>
      </c>
      <c r="U2565" s="10">
        <f>SUM(I2565:T2565)</f>
        <v/>
      </c>
    </row>
    <row r="2566">
      <c r="A2566" s="2" t="inlineStr">
        <is>
          <t>SN-3000-3800-3820-3820CN0015</t>
        </is>
      </c>
      <c r="B2566" s="2" t="inlineStr">
        <is>
          <t>3820CN0015</t>
        </is>
      </c>
      <c r="C2566" s="2" t="inlineStr">
        <is>
          <t>Puente grúa cianuro</t>
        </is>
      </c>
      <c r="D2566" s="2" t="n">
        <v>855</v>
      </c>
      <c r="E2566" s="2" t="inlineStr">
        <is>
          <t>CC-3000</t>
        </is>
      </c>
      <c r="F2566" s="2" t="inlineStr">
        <is>
          <t>P01</t>
        </is>
      </c>
      <c r="G2566" s="2" t="n">
        <v>630000</v>
      </c>
      <c r="H2566" s="2" t="inlineStr">
        <is>
          <t>Servicios externos</t>
        </is>
      </c>
      <c r="I2566" s="9" t="n">
        <v>480.55</v>
      </c>
      <c r="J2566" s="9" t="n">
        <v>415.45</v>
      </c>
      <c r="K2566" s="9" t="n">
        <v>443.42</v>
      </c>
      <c r="L2566" s="9" t="n">
        <v>479.25</v>
      </c>
      <c r="M2566" s="9" t="n">
        <v>431.2</v>
      </c>
      <c r="N2566" s="9" t="n">
        <v>431.33</v>
      </c>
      <c r="O2566" s="9" t="n">
        <v>439.33</v>
      </c>
      <c r="P2566" s="9" t="n">
        <v>451.79</v>
      </c>
      <c r="Q2566" s="9" t="n">
        <v>410.09</v>
      </c>
      <c r="R2566" s="9" t="n">
        <v>525.55</v>
      </c>
      <c r="S2566" s="9" t="n">
        <v>427.23</v>
      </c>
      <c r="T2566" s="9" t="n">
        <v>467.64</v>
      </c>
      <c r="U2566" s="10">
        <f>SUM(I2566:T2566)</f>
        <v/>
      </c>
    </row>
    <row r="2567">
      <c r="A2567" s="2" t="inlineStr">
        <is>
          <t>SN-3000-3800-3820-3820FA0039</t>
        </is>
      </c>
      <c r="B2567" s="2" t="inlineStr">
        <is>
          <t>3820FA0039</t>
        </is>
      </c>
      <c r="C2567" s="2" t="inlineStr">
        <is>
          <t>Ventilador extractor aire cianuro</t>
        </is>
      </c>
      <c r="D2567" s="2" t="n">
        <v>856</v>
      </c>
      <c r="E2567" s="2" t="inlineStr">
        <is>
          <t>CC-3000</t>
        </is>
      </c>
      <c r="F2567" s="2" t="inlineStr">
        <is>
          <t>P01</t>
        </is>
      </c>
      <c r="G2567" s="2" t="n">
        <v>610000</v>
      </c>
      <c r="H2567" s="2" t="inlineStr">
        <is>
          <t>Mano obra interna</t>
        </is>
      </c>
      <c r="I2567" s="9" t="n">
        <v>1345.69</v>
      </c>
      <c r="J2567" s="9" t="n">
        <v>1283.6</v>
      </c>
      <c r="K2567" s="9" t="n">
        <v>1345.29</v>
      </c>
      <c r="L2567" s="9" t="n">
        <v>1317.43</v>
      </c>
      <c r="M2567" s="9" t="n">
        <v>1339.22</v>
      </c>
      <c r="N2567" s="9" t="n">
        <v>1144.39</v>
      </c>
      <c r="O2567" s="9" t="n">
        <v>1369.84</v>
      </c>
      <c r="P2567" s="9" t="n">
        <v>1306.57</v>
      </c>
      <c r="Q2567" s="9" t="n">
        <v>1267.61</v>
      </c>
      <c r="R2567" s="9" t="n">
        <v>1281.93</v>
      </c>
      <c r="S2567" s="9" t="n">
        <v>1322.32</v>
      </c>
      <c r="T2567" s="9" t="n">
        <v>1229.34</v>
      </c>
      <c r="U2567" s="10">
        <f>SUM(I2567:T2567)</f>
        <v/>
      </c>
    </row>
    <row r="2568">
      <c r="A2568" s="2" t="inlineStr">
        <is>
          <t>SN-3000-3800-3820-3820FA0039</t>
        </is>
      </c>
      <c r="B2568" s="2" t="inlineStr">
        <is>
          <t>3820FA0039</t>
        </is>
      </c>
      <c r="C2568" s="2" t="inlineStr">
        <is>
          <t>Ventilador extractor aire cianuro</t>
        </is>
      </c>
      <c r="D2568" s="2" t="n">
        <v>856</v>
      </c>
      <c r="E2568" s="2" t="inlineStr">
        <is>
          <t>CC-3000</t>
        </is>
      </c>
      <c r="F2568" s="2" t="inlineStr">
        <is>
          <t>P01</t>
        </is>
      </c>
      <c r="G2568" s="2" t="n">
        <v>620000</v>
      </c>
      <c r="H2568" s="2" t="inlineStr">
        <is>
          <t>Materiales</t>
        </is>
      </c>
      <c r="I2568" s="9" t="n">
        <v>1218.34</v>
      </c>
      <c r="J2568" s="9" t="n">
        <v>1225.82</v>
      </c>
      <c r="K2568" s="9" t="n">
        <v>1273.49</v>
      </c>
      <c r="L2568" s="9" t="n">
        <v>1169.7</v>
      </c>
      <c r="M2568" s="9" t="n">
        <v>1199.91</v>
      </c>
      <c r="N2568" s="9" t="n">
        <v>1115.26</v>
      </c>
      <c r="O2568" s="9" t="n">
        <v>1221.87</v>
      </c>
      <c r="P2568" s="9" t="n">
        <v>1254.75</v>
      </c>
      <c r="Q2568" s="9" t="n">
        <v>1050.57</v>
      </c>
      <c r="R2568" s="9" t="n">
        <v>1307.78</v>
      </c>
      <c r="S2568" s="9" t="n">
        <v>1193.03</v>
      </c>
      <c r="T2568" s="9" t="n">
        <v>1187.39</v>
      </c>
      <c r="U2568" s="10">
        <f>SUM(I2568:T2568)</f>
        <v/>
      </c>
    </row>
    <row r="2569">
      <c r="A2569" s="2" t="inlineStr">
        <is>
          <t>SN-3000-3800-3820-3820FA0039</t>
        </is>
      </c>
      <c r="B2569" s="2" t="inlineStr">
        <is>
          <t>3820FA0039</t>
        </is>
      </c>
      <c r="C2569" s="2" t="inlineStr">
        <is>
          <t>Ventilador extractor aire cianuro</t>
        </is>
      </c>
      <c r="D2569" s="2" t="n">
        <v>856</v>
      </c>
      <c r="E2569" s="2" t="inlineStr">
        <is>
          <t>CC-3000</t>
        </is>
      </c>
      <c r="F2569" s="2" t="inlineStr">
        <is>
          <t>P01</t>
        </is>
      </c>
      <c r="G2569" s="2" t="n">
        <v>630000</v>
      </c>
      <c r="H2569" s="2" t="inlineStr">
        <is>
          <t>Servicios externos</t>
        </is>
      </c>
      <c r="I2569" s="9" t="n">
        <v>1332.62</v>
      </c>
      <c r="J2569" s="9" t="n">
        <v>1216.38</v>
      </c>
      <c r="K2569" s="9" t="n">
        <v>1258.12</v>
      </c>
      <c r="L2569" s="9" t="n">
        <v>1338.73</v>
      </c>
      <c r="M2569" s="9" t="n">
        <v>1262.02</v>
      </c>
      <c r="N2569" s="9" t="n">
        <v>1182.82</v>
      </c>
      <c r="O2569" s="9" t="n">
        <v>1204.02</v>
      </c>
      <c r="P2569" s="9" t="n">
        <v>1314.07</v>
      </c>
      <c r="Q2569" s="9" t="n">
        <v>1230.35</v>
      </c>
      <c r="R2569" s="9" t="n">
        <v>1322.81</v>
      </c>
      <c r="S2569" s="9" t="n">
        <v>1280.13</v>
      </c>
      <c r="T2569" s="9" t="n">
        <v>1415.99</v>
      </c>
      <c r="U2569" s="10">
        <f>SUM(I2569:T2569)</f>
        <v/>
      </c>
    </row>
    <row r="2570">
      <c r="A2570" s="2" t="inlineStr">
        <is>
          <t>SN-3000-3800-3820-3820FA0040</t>
        </is>
      </c>
      <c r="B2570" s="2" t="inlineStr">
        <is>
          <t>3820FA0040</t>
        </is>
      </c>
      <c r="C2570" s="2" t="inlineStr">
        <is>
          <t>Ventilador extractor aire cianuro</t>
        </is>
      </c>
      <c r="D2570" s="2" t="n">
        <v>857</v>
      </c>
      <c r="E2570" s="2" t="inlineStr">
        <is>
          <t>CC-3000</t>
        </is>
      </c>
      <c r="F2570" s="2" t="inlineStr">
        <is>
          <t>P01</t>
        </is>
      </c>
      <c r="G2570" s="2" t="n">
        <v>610000</v>
      </c>
      <c r="H2570" s="2" t="inlineStr">
        <is>
          <t>Mano obra interna</t>
        </is>
      </c>
      <c r="I2570" s="9" t="n">
        <v>2246.77</v>
      </c>
      <c r="J2570" s="9" t="n">
        <v>2140.98</v>
      </c>
      <c r="K2570" s="9" t="n">
        <v>2038.25</v>
      </c>
      <c r="L2570" s="9" t="n">
        <v>2001.36</v>
      </c>
      <c r="M2570" s="9" t="n">
        <v>2032.59</v>
      </c>
      <c r="N2570" s="9" t="n">
        <v>2018.98</v>
      </c>
      <c r="O2570" s="9" t="n">
        <v>2189.34</v>
      </c>
      <c r="P2570" s="9" t="n">
        <v>1981.75</v>
      </c>
      <c r="Q2570" s="9" t="n">
        <v>1922.58</v>
      </c>
      <c r="R2570" s="9" t="n">
        <v>2287.31</v>
      </c>
      <c r="S2570" s="9" t="n">
        <v>1988.45</v>
      </c>
      <c r="T2570" s="9" t="n">
        <v>2087.44</v>
      </c>
      <c r="U2570" s="10">
        <f>SUM(I2570:T2570)</f>
        <v/>
      </c>
    </row>
    <row r="2571">
      <c r="A2571" s="2" t="inlineStr">
        <is>
          <t>SN-3000-3800-3820-3820FA0040</t>
        </is>
      </c>
      <c r="B2571" s="2" t="inlineStr">
        <is>
          <t>3820FA0040</t>
        </is>
      </c>
      <c r="C2571" s="2" t="inlineStr">
        <is>
          <t>Ventilador extractor aire cianuro</t>
        </is>
      </c>
      <c r="D2571" s="2" t="n">
        <v>857</v>
      </c>
      <c r="E2571" s="2" t="inlineStr">
        <is>
          <t>CC-3000</t>
        </is>
      </c>
      <c r="F2571" s="2" t="inlineStr">
        <is>
          <t>P01</t>
        </is>
      </c>
      <c r="G2571" s="2" t="n">
        <v>620000</v>
      </c>
      <c r="H2571" s="2" t="inlineStr">
        <is>
          <t>Materiales</t>
        </is>
      </c>
      <c r="I2571" s="9" t="n">
        <v>1795.87</v>
      </c>
      <c r="J2571" s="9" t="n">
        <v>1601.02</v>
      </c>
      <c r="K2571" s="9" t="n">
        <v>1692.58</v>
      </c>
      <c r="L2571" s="9" t="n">
        <v>1592.98</v>
      </c>
      <c r="M2571" s="9" t="n">
        <v>1618.89</v>
      </c>
      <c r="N2571" s="9" t="n">
        <v>1499.33</v>
      </c>
      <c r="O2571" s="9" t="n">
        <v>1555.09</v>
      </c>
      <c r="P2571" s="9" t="n">
        <v>1572.37</v>
      </c>
      <c r="Q2571" s="9" t="n">
        <v>1398.43</v>
      </c>
      <c r="R2571" s="9" t="n">
        <v>1779.87</v>
      </c>
      <c r="S2571" s="9" t="n">
        <v>1551.55</v>
      </c>
      <c r="T2571" s="9" t="n">
        <v>1762.01</v>
      </c>
      <c r="U2571" s="10">
        <f>SUM(I2571:T2571)</f>
        <v/>
      </c>
    </row>
    <row r="2572">
      <c r="A2572" s="2" t="inlineStr">
        <is>
          <t>SN-3000-3800-3820-3820FA0040</t>
        </is>
      </c>
      <c r="B2572" s="2" t="inlineStr">
        <is>
          <t>3820FA0040</t>
        </is>
      </c>
      <c r="C2572" s="2" t="inlineStr">
        <is>
          <t>Ventilador extractor aire cianuro</t>
        </is>
      </c>
      <c r="D2572" s="2" t="n">
        <v>857</v>
      </c>
      <c r="E2572" s="2" t="inlineStr">
        <is>
          <t>CC-3000</t>
        </is>
      </c>
      <c r="F2572" s="2" t="inlineStr">
        <is>
          <t>P01</t>
        </is>
      </c>
      <c r="G2572" s="2" t="n">
        <v>630000</v>
      </c>
      <c r="H2572" s="2" t="inlineStr">
        <is>
          <t>Servicios externos</t>
        </is>
      </c>
      <c r="I2572" s="9" t="n">
        <v>1453.68</v>
      </c>
      <c r="J2572" s="9" t="n">
        <v>1606.43</v>
      </c>
      <c r="K2572" s="9" t="n">
        <v>1490.22</v>
      </c>
      <c r="L2572" s="9" t="n">
        <v>1445.08</v>
      </c>
      <c r="M2572" s="9" t="n">
        <v>1442.28</v>
      </c>
      <c r="N2572" s="9" t="n">
        <v>1544.9</v>
      </c>
      <c r="O2572" s="9" t="n">
        <v>1611.42</v>
      </c>
      <c r="P2572" s="9" t="n">
        <v>1495.87</v>
      </c>
      <c r="Q2572" s="9" t="n">
        <v>1468.54</v>
      </c>
      <c r="R2572" s="9" t="n">
        <v>1658.69</v>
      </c>
      <c r="S2572" s="9" t="n">
        <v>1583.53</v>
      </c>
      <c r="T2572" s="9" t="n">
        <v>1448.44</v>
      </c>
      <c r="U2572" s="10">
        <f>SUM(I2572:T2572)</f>
        <v/>
      </c>
    </row>
    <row r="2573">
      <c r="A2573" s="2" t="inlineStr">
        <is>
          <t>SN-3000-3800-3820-3820FP1001</t>
        </is>
      </c>
      <c r="B2573" s="2" t="inlineStr">
        <is>
          <t>3820FP1001</t>
        </is>
      </c>
      <c r="C2573" s="2" t="inlineStr">
        <is>
          <t>Tablero SCI</t>
        </is>
      </c>
      <c r="D2573" s="2" t="n">
        <v>858</v>
      </c>
      <c r="E2573" s="2" t="inlineStr">
        <is>
          <t>CC-3000</t>
        </is>
      </c>
      <c r="F2573" s="2" t="inlineStr">
        <is>
          <t>P01</t>
        </is>
      </c>
      <c r="G2573" s="2" t="n">
        <v>610000</v>
      </c>
      <c r="H2573" s="2" t="inlineStr">
        <is>
          <t>Mano obra interna</t>
        </is>
      </c>
      <c r="I2573" s="9" t="n">
        <v>1574.91</v>
      </c>
      <c r="J2573" s="9" t="n">
        <v>1576.11</v>
      </c>
      <c r="K2573" s="9" t="n">
        <v>1597.3</v>
      </c>
      <c r="L2573" s="9" t="n">
        <v>1718.44</v>
      </c>
      <c r="M2573" s="9" t="n">
        <v>1657.72</v>
      </c>
      <c r="N2573" s="9" t="n">
        <v>1568.97</v>
      </c>
      <c r="O2573" s="9" t="n">
        <v>1680.98</v>
      </c>
      <c r="P2573" s="9" t="n">
        <v>1663.7</v>
      </c>
      <c r="Q2573" s="9" t="n">
        <v>1583.06</v>
      </c>
      <c r="R2573" s="9" t="n">
        <v>1683.07</v>
      </c>
      <c r="S2573" s="9" t="n">
        <v>1558.64</v>
      </c>
      <c r="T2573" s="9" t="n">
        <v>1560.64</v>
      </c>
      <c r="U2573" s="10">
        <f>SUM(I2573:T2573)</f>
        <v/>
      </c>
    </row>
    <row r="2574">
      <c r="A2574" s="2" t="inlineStr">
        <is>
          <t>SN-3000-3800-3820-3820FP1001</t>
        </is>
      </c>
      <c r="B2574" s="2" t="inlineStr">
        <is>
          <t>3820FP1001</t>
        </is>
      </c>
      <c r="C2574" s="2" t="inlineStr">
        <is>
          <t>Tablero SCI</t>
        </is>
      </c>
      <c r="D2574" s="2" t="n">
        <v>858</v>
      </c>
      <c r="E2574" s="2" t="inlineStr">
        <is>
          <t>CC-3000</t>
        </is>
      </c>
      <c r="F2574" s="2" t="inlineStr">
        <is>
          <t>P01</t>
        </is>
      </c>
      <c r="G2574" s="2" t="n">
        <v>620000</v>
      </c>
      <c r="H2574" s="2" t="inlineStr">
        <is>
          <t>Materiales</t>
        </is>
      </c>
      <c r="I2574" s="9" t="n">
        <v>1453.95</v>
      </c>
      <c r="J2574" s="9" t="n">
        <v>1400.46</v>
      </c>
      <c r="K2574" s="9" t="n">
        <v>1471.09</v>
      </c>
      <c r="L2574" s="9" t="n">
        <v>1367.01</v>
      </c>
      <c r="M2574" s="9" t="n">
        <v>1400.91</v>
      </c>
      <c r="N2574" s="9" t="n">
        <v>1291.15</v>
      </c>
      <c r="O2574" s="9" t="n">
        <v>1478.53</v>
      </c>
      <c r="P2574" s="9" t="n">
        <v>1344.16</v>
      </c>
      <c r="Q2574" s="9" t="n">
        <v>1305.54</v>
      </c>
      <c r="R2574" s="9" t="n">
        <v>1547.5</v>
      </c>
      <c r="S2574" s="9" t="n">
        <v>1422.53</v>
      </c>
      <c r="T2574" s="9" t="n">
        <v>1386.32</v>
      </c>
      <c r="U2574" s="10">
        <f>SUM(I2574:T2574)</f>
        <v/>
      </c>
    </row>
    <row r="2575">
      <c r="A2575" s="2" t="inlineStr">
        <is>
          <t>SN-3000-3800-3820-3820FP1001</t>
        </is>
      </c>
      <c r="B2575" s="2" t="inlineStr">
        <is>
          <t>3820FP1001</t>
        </is>
      </c>
      <c r="C2575" s="2" t="inlineStr">
        <is>
          <t>Tablero SCI</t>
        </is>
      </c>
      <c r="D2575" s="2" t="n">
        <v>858</v>
      </c>
      <c r="E2575" s="2" t="inlineStr">
        <is>
          <t>CC-3000</t>
        </is>
      </c>
      <c r="F2575" s="2" t="inlineStr">
        <is>
          <t>P01</t>
        </is>
      </c>
      <c r="G2575" s="2" t="n">
        <v>630000</v>
      </c>
      <c r="H2575" s="2" t="inlineStr">
        <is>
          <t>Servicios externos</t>
        </is>
      </c>
      <c r="I2575" s="9" t="n">
        <v>1374.03</v>
      </c>
      <c r="J2575" s="9" t="n">
        <v>1302.78</v>
      </c>
      <c r="K2575" s="9" t="n">
        <v>1438.87</v>
      </c>
      <c r="L2575" s="9" t="n">
        <v>1487.54</v>
      </c>
      <c r="M2575" s="9" t="n">
        <v>1266.53</v>
      </c>
      <c r="N2575" s="9" t="n">
        <v>1314.09</v>
      </c>
      <c r="O2575" s="9" t="n">
        <v>1448.47</v>
      </c>
      <c r="P2575" s="9" t="n">
        <v>1273.17</v>
      </c>
      <c r="Q2575" s="9" t="n">
        <v>1265.87</v>
      </c>
      <c r="R2575" s="9" t="n">
        <v>1553.75</v>
      </c>
      <c r="S2575" s="9" t="n">
        <v>1402.17</v>
      </c>
      <c r="T2575" s="9" t="n">
        <v>1384.59</v>
      </c>
      <c r="U2575" s="10">
        <f>SUM(I2575:T2575)</f>
        <v/>
      </c>
    </row>
    <row r="2576">
      <c r="A2576" s="2" t="inlineStr">
        <is>
          <t>SN-3000-3800-3820-3820HO0029</t>
        </is>
      </c>
      <c r="B2576" s="2" t="inlineStr">
        <is>
          <t>3820HO0029</t>
        </is>
      </c>
      <c r="C2576" s="2" t="inlineStr">
        <is>
          <t>Tolva cianuro de sodio</t>
        </is>
      </c>
      <c r="D2576" s="2" t="n">
        <v>859</v>
      </c>
      <c r="E2576" s="2" t="inlineStr">
        <is>
          <t>CC-3000</t>
        </is>
      </c>
      <c r="F2576" s="2" t="inlineStr">
        <is>
          <t>P01</t>
        </is>
      </c>
      <c r="G2576" s="2" t="n">
        <v>610000</v>
      </c>
      <c r="H2576" s="2" t="inlineStr">
        <is>
          <t>Mano obra interna</t>
        </is>
      </c>
      <c r="I2576" s="9" t="n">
        <v>535.26</v>
      </c>
      <c r="J2576" s="9" t="n">
        <v>558.8099999999999</v>
      </c>
      <c r="K2576" s="9" t="n">
        <v>542.6</v>
      </c>
      <c r="L2576" s="9" t="n">
        <v>539.89</v>
      </c>
      <c r="M2576" s="9" t="n">
        <v>577.96</v>
      </c>
      <c r="N2576" s="9" t="n">
        <v>556.51</v>
      </c>
      <c r="O2576" s="9" t="n">
        <v>590.6</v>
      </c>
      <c r="P2576" s="9" t="n">
        <v>523.9400000000001</v>
      </c>
      <c r="Q2576" s="9" t="n">
        <v>495.79</v>
      </c>
      <c r="R2576" s="9" t="n">
        <v>635.6799999999999</v>
      </c>
      <c r="S2576" s="9" t="n">
        <v>560.9299999999999</v>
      </c>
      <c r="T2576" s="9" t="n">
        <v>595.75</v>
      </c>
      <c r="U2576" s="10">
        <f>SUM(I2576:T2576)</f>
        <v/>
      </c>
    </row>
    <row r="2577">
      <c r="A2577" s="2" t="inlineStr">
        <is>
          <t>SN-3000-3800-3820-3820HO0029</t>
        </is>
      </c>
      <c r="B2577" s="2" t="inlineStr">
        <is>
          <t>3820HO0029</t>
        </is>
      </c>
      <c r="C2577" s="2" t="inlineStr">
        <is>
          <t>Tolva cianuro de sodio</t>
        </is>
      </c>
      <c r="D2577" s="2" t="n">
        <v>859</v>
      </c>
      <c r="E2577" s="2" t="inlineStr">
        <is>
          <t>CC-3000</t>
        </is>
      </c>
      <c r="F2577" s="2" t="inlineStr">
        <is>
          <t>P01</t>
        </is>
      </c>
      <c r="G2577" s="2" t="n">
        <v>620000</v>
      </c>
      <c r="H2577" s="2" t="inlineStr">
        <is>
          <t>Materiales</t>
        </is>
      </c>
      <c r="I2577" s="9" t="n">
        <v>782.46</v>
      </c>
      <c r="J2577" s="9" t="n">
        <v>715.62</v>
      </c>
      <c r="K2577" s="9" t="n">
        <v>724.55</v>
      </c>
      <c r="L2577" s="9" t="n">
        <v>748.47</v>
      </c>
      <c r="M2577" s="9" t="n">
        <v>732.65</v>
      </c>
      <c r="N2577" s="9" t="n">
        <v>674.1900000000001</v>
      </c>
      <c r="O2577" s="9" t="n">
        <v>755.99</v>
      </c>
      <c r="P2577" s="9" t="n">
        <v>676.55</v>
      </c>
      <c r="Q2577" s="9" t="n">
        <v>704.33</v>
      </c>
      <c r="R2577" s="9" t="n">
        <v>722.5700000000001</v>
      </c>
      <c r="S2577" s="9" t="n">
        <v>700.89</v>
      </c>
      <c r="T2577" s="9" t="n">
        <v>777.51</v>
      </c>
      <c r="U2577" s="10">
        <f>SUM(I2577:T2577)</f>
        <v/>
      </c>
    </row>
    <row r="2578">
      <c r="A2578" s="2" t="inlineStr">
        <is>
          <t>SN-3000-3800-3820-3820HO0029</t>
        </is>
      </c>
      <c r="B2578" s="2" t="inlineStr">
        <is>
          <t>3820HO0029</t>
        </is>
      </c>
      <c r="C2578" s="2" t="inlineStr">
        <is>
          <t>Tolva cianuro de sodio</t>
        </is>
      </c>
      <c r="D2578" s="2" t="n">
        <v>859</v>
      </c>
      <c r="E2578" s="2" t="inlineStr">
        <is>
          <t>CC-3000</t>
        </is>
      </c>
      <c r="F2578" s="2" t="inlineStr">
        <is>
          <t>P01</t>
        </is>
      </c>
      <c r="G2578" s="2" t="n">
        <v>630000</v>
      </c>
      <c r="H2578" s="2" t="inlineStr">
        <is>
          <t>Servicios externos</t>
        </is>
      </c>
      <c r="I2578" s="9" t="n">
        <v>558.16</v>
      </c>
      <c r="J2578" s="9" t="n">
        <v>507.7</v>
      </c>
      <c r="K2578" s="9" t="n">
        <v>598</v>
      </c>
      <c r="L2578" s="9" t="n">
        <v>586.87</v>
      </c>
      <c r="M2578" s="9" t="n">
        <v>577.04</v>
      </c>
      <c r="N2578" s="9" t="n">
        <v>552.54</v>
      </c>
      <c r="O2578" s="9" t="n">
        <v>566.11</v>
      </c>
      <c r="P2578" s="9" t="n">
        <v>517.34</v>
      </c>
      <c r="Q2578" s="9" t="n">
        <v>491.49</v>
      </c>
      <c r="R2578" s="9" t="n">
        <v>587.6799999999999</v>
      </c>
      <c r="S2578" s="9" t="n">
        <v>535.3099999999999</v>
      </c>
      <c r="T2578" s="9" t="n">
        <v>578.3</v>
      </c>
      <c r="U2578" s="10">
        <f>SUM(I2578:T2578)</f>
        <v/>
      </c>
    </row>
    <row r="2579">
      <c r="A2579" s="2" t="inlineStr">
        <is>
          <t>SN-3000-3800-3820-3820HT0050</t>
        </is>
      </c>
      <c r="B2579" s="2" t="inlineStr">
        <is>
          <t>3820HT0050</t>
        </is>
      </c>
      <c r="C2579" s="2" t="inlineStr">
        <is>
          <t>Tecle eléctrico manejo de cianuro</t>
        </is>
      </c>
      <c r="D2579" s="2" t="n">
        <v>860</v>
      </c>
      <c r="E2579" s="2" t="inlineStr">
        <is>
          <t>CC-3000</t>
        </is>
      </c>
      <c r="F2579" s="2" t="inlineStr">
        <is>
          <t>P01</t>
        </is>
      </c>
      <c r="G2579" s="2" t="n">
        <v>610000</v>
      </c>
      <c r="H2579" s="2" t="inlineStr">
        <is>
          <t>Mano obra interna</t>
        </is>
      </c>
      <c r="I2579" s="9" t="n">
        <v>1934.21</v>
      </c>
      <c r="J2579" s="9" t="n">
        <v>1978.51</v>
      </c>
      <c r="K2579" s="9" t="n">
        <v>1964.5</v>
      </c>
      <c r="L2579" s="9" t="n">
        <v>2122.76</v>
      </c>
      <c r="M2579" s="9" t="n">
        <v>2017.82</v>
      </c>
      <c r="N2579" s="9" t="n">
        <v>2000.33</v>
      </c>
      <c r="O2579" s="9" t="n">
        <v>1874.66</v>
      </c>
      <c r="P2579" s="9" t="n">
        <v>2162.7</v>
      </c>
      <c r="Q2579" s="9" t="n">
        <v>1725.26</v>
      </c>
      <c r="R2579" s="9" t="n">
        <v>2111.84</v>
      </c>
      <c r="S2579" s="9" t="n">
        <v>2006.24</v>
      </c>
      <c r="T2579" s="9" t="n">
        <v>1895.65</v>
      </c>
      <c r="U2579" s="10">
        <f>SUM(I2579:T2579)</f>
        <v/>
      </c>
    </row>
    <row r="2580">
      <c r="A2580" s="2" t="inlineStr">
        <is>
          <t>SN-3000-3800-3820-3820HT0050</t>
        </is>
      </c>
      <c r="B2580" s="2" t="inlineStr">
        <is>
          <t>3820HT0050</t>
        </is>
      </c>
      <c r="C2580" s="2" t="inlineStr">
        <is>
          <t>Tecle eléctrico manejo de cianuro</t>
        </is>
      </c>
      <c r="D2580" s="2" t="n">
        <v>860</v>
      </c>
      <c r="E2580" s="2" t="inlineStr">
        <is>
          <t>CC-3000</t>
        </is>
      </c>
      <c r="F2580" s="2" t="inlineStr">
        <is>
          <t>P01</t>
        </is>
      </c>
      <c r="G2580" s="2" t="n">
        <v>620000</v>
      </c>
      <c r="H2580" s="2" t="inlineStr">
        <is>
          <t>Materiales</t>
        </is>
      </c>
      <c r="I2580" s="9" t="n">
        <v>1765.27</v>
      </c>
      <c r="J2580" s="9" t="n">
        <v>1850.59</v>
      </c>
      <c r="K2580" s="9" t="n">
        <v>2034.76</v>
      </c>
      <c r="L2580" s="9" t="n">
        <v>1912.56</v>
      </c>
      <c r="M2580" s="9" t="n">
        <v>1866.08</v>
      </c>
      <c r="N2580" s="9" t="n">
        <v>1729.67</v>
      </c>
      <c r="O2580" s="9" t="n">
        <v>1712.8</v>
      </c>
      <c r="P2580" s="9" t="n">
        <v>1711.6</v>
      </c>
      <c r="Q2580" s="9" t="n">
        <v>1833.91</v>
      </c>
      <c r="R2580" s="9" t="n">
        <v>1873.12</v>
      </c>
      <c r="S2580" s="9" t="n">
        <v>1939.2</v>
      </c>
      <c r="T2580" s="9" t="n">
        <v>1781.32</v>
      </c>
      <c r="U2580" s="10">
        <f>SUM(I2580:T2580)</f>
        <v/>
      </c>
    </row>
    <row r="2581">
      <c r="A2581" s="2" t="inlineStr">
        <is>
          <t>SN-3000-3800-3820-3820HT0050</t>
        </is>
      </c>
      <c r="B2581" s="2" t="inlineStr">
        <is>
          <t>3820HT0050</t>
        </is>
      </c>
      <c r="C2581" s="2" t="inlineStr">
        <is>
          <t>Tecle eléctrico manejo de cianuro</t>
        </is>
      </c>
      <c r="D2581" s="2" t="n">
        <v>860</v>
      </c>
      <c r="E2581" s="2" t="inlineStr">
        <is>
          <t>CC-3000</t>
        </is>
      </c>
      <c r="F2581" s="2" t="inlineStr">
        <is>
          <t>P01</t>
        </is>
      </c>
      <c r="G2581" s="2" t="n">
        <v>630000</v>
      </c>
      <c r="H2581" s="2" t="inlineStr">
        <is>
          <t>Servicios externos</t>
        </is>
      </c>
      <c r="I2581" s="9" t="n">
        <v>2411.12</v>
      </c>
      <c r="J2581" s="9" t="n">
        <v>2122.41</v>
      </c>
      <c r="K2581" s="9" t="n">
        <v>2358.59</v>
      </c>
      <c r="L2581" s="9" t="n">
        <v>2198.43</v>
      </c>
      <c r="M2581" s="9" t="n">
        <v>2112.74</v>
      </c>
      <c r="N2581" s="9" t="n">
        <v>2006.27</v>
      </c>
      <c r="O2581" s="9" t="n">
        <v>2317.8</v>
      </c>
      <c r="P2581" s="9" t="n">
        <v>2116.47</v>
      </c>
      <c r="Q2581" s="9" t="n">
        <v>1980.11</v>
      </c>
      <c r="R2581" s="9" t="n">
        <v>2566.13</v>
      </c>
      <c r="S2581" s="9" t="n">
        <v>2074.28</v>
      </c>
      <c r="T2581" s="9" t="n">
        <v>2208.68</v>
      </c>
      <c r="U2581" s="10">
        <f>SUM(I2581:T2581)</f>
        <v/>
      </c>
    </row>
    <row r="2582">
      <c r="A2582" s="2" t="inlineStr">
        <is>
          <t>SN-3000-3800-3820-3820HT0088</t>
        </is>
      </c>
      <c r="B2582" s="2" t="inlineStr">
        <is>
          <t>3820HT0088</t>
        </is>
      </c>
      <c r="C2582" s="2" t="inlineStr">
        <is>
          <t>Carro mantención planta de cianuro</t>
        </is>
      </c>
      <c r="D2582" s="2" t="n">
        <v>861</v>
      </c>
      <c r="E2582" s="2" t="inlineStr">
        <is>
          <t>CC-3000</t>
        </is>
      </c>
      <c r="F2582" s="2" t="inlineStr">
        <is>
          <t>P01</t>
        </is>
      </c>
      <c r="G2582" s="2" t="n">
        <v>610000</v>
      </c>
      <c r="H2582" s="2" t="inlineStr">
        <is>
          <t>Mano obra interna</t>
        </is>
      </c>
      <c r="I2582" s="9" t="n">
        <v>2340.03</v>
      </c>
      <c r="J2582" s="9" t="n">
        <v>2256.38</v>
      </c>
      <c r="K2582" s="9" t="n">
        <v>2541.93</v>
      </c>
      <c r="L2582" s="9" t="n">
        <v>2320.82</v>
      </c>
      <c r="M2582" s="9" t="n">
        <v>2218.3</v>
      </c>
      <c r="N2582" s="9" t="n">
        <v>2210.85</v>
      </c>
      <c r="O2582" s="9" t="n">
        <v>2417.46</v>
      </c>
      <c r="P2582" s="9" t="n">
        <v>2168.49</v>
      </c>
      <c r="Q2582" s="9" t="n">
        <v>2135.41</v>
      </c>
      <c r="R2582" s="9" t="n">
        <v>2462.7</v>
      </c>
      <c r="S2582" s="9" t="n">
        <v>2173.9</v>
      </c>
      <c r="T2582" s="9" t="n">
        <v>2434.62</v>
      </c>
      <c r="U2582" s="10">
        <f>SUM(I2582:T2582)</f>
        <v/>
      </c>
    </row>
    <row r="2583">
      <c r="A2583" s="2" t="inlineStr">
        <is>
          <t>SN-3000-3800-3820-3820HT0088</t>
        </is>
      </c>
      <c r="B2583" s="2" t="inlineStr">
        <is>
          <t>3820HT0088</t>
        </is>
      </c>
      <c r="C2583" s="2" t="inlineStr">
        <is>
          <t>Carro mantención planta de cianuro</t>
        </is>
      </c>
      <c r="D2583" s="2" t="n">
        <v>861</v>
      </c>
      <c r="E2583" s="2" t="inlineStr">
        <is>
          <t>CC-3000</t>
        </is>
      </c>
      <c r="F2583" s="2" t="inlineStr">
        <is>
          <t>P01</t>
        </is>
      </c>
      <c r="G2583" s="2" t="n">
        <v>620000</v>
      </c>
      <c r="H2583" s="2" t="inlineStr">
        <is>
          <t>Materiales</t>
        </is>
      </c>
      <c r="I2583" s="9" t="n">
        <v>1925.8</v>
      </c>
      <c r="J2583" s="9" t="n">
        <v>1827.99</v>
      </c>
      <c r="K2583" s="9" t="n">
        <v>1826.91</v>
      </c>
      <c r="L2583" s="9" t="n">
        <v>1824.89</v>
      </c>
      <c r="M2583" s="9" t="n">
        <v>1738.87</v>
      </c>
      <c r="N2583" s="9" t="n">
        <v>1647.52</v>
      </c>
      <c r="O2583" s="9" t="n">
        <v>1891.03</v>
      </c>
      <c r="P2583" s="9" t="n">
        <v>1904.66</v>
      </c>
      <c r="Q2583" s="9" t="n">
        <v>1634.32</v>
      </c>
      <c r="R2583" s="9" t="n">
        <v>2037.2</v>
      </c>
      <c r="S2583" s="9" t="n">
        <v>1934.07</v>
      </c>
      <c r="T2583" s="9" t="n">
        <v>1754.16</v>
      </c>
      <c r="U2583" s="10">
        <f>SUM(I2583:T2583)</f>
        <v/>
      </c>
    </row>
    <row r="2584">
      <c r="A2584" s="2" t="inlineStr">
        <is>
          <t>SN-3000-3800-3820-3820HT0088</t>
        </is>
      </c>
      <c r="B2584" s="2" t="inlineStr">
        <is>
          <t>3820HT0088</t>
        </is>
      </c>
      <c r="C2584" s="2" t="inlineStr">
        <is>
          <t>Carro mantención planta de cianuro</t>
        </is>
      </c>
      <c r="D2584" s="2" t="n">
        <v>861</v>
      </c>
      <c r="E2584" s="2" t="inlineStr">
        <is>
          <t>CC-3000</t>
        </is>
      </c>
      <c r="F2584" s="2" t="inlineStr">
        <is>
          <t>P01</t>
        </is>
      </c>
      <c r="G2584" s="2" t="n">
        <v>630000</v>
      </c>
      <c r="H2584" s="2" t="inlineStr">
        <is>
          <t>Servicios externos</t>
        </is>
      </c>
      <c r="I2584" s="9" t="n">
        <v>2087.71</v>
      </c>
      <c r="J2584" s="9" t="n">
        <v>1800.67</v>
      </c>
      <c r="K2584" s="9" t="n">
        <v>2124.51</v>
      </c>
      <c r="L2584" s="9" t="n">
        <v>2169.63</v>
      </c>
      <c r="M2584" s="9" t="n">
        <v>1822.71</v>
      </c>
      <c r="N2584" s="9" t="n">
        <v>1982.14</v>
      </c>
      <c r="O2584" s="9" t="n">
        <v>1934.14</v>
      </c>
      <c r="P2584" s="9" t="n">
        <v>1857.92</v>
      </c>
      <c r="Q2584" s="9" t="n">
        <v>1833.29</v>
      </c>
      <c r="R2584" s="9" t="n">
        <v>1980.43</v>
      </c>
      <c r="S2584" s="9" t="n">
        <v>1915.36</v>
      </c>
      <c r="T2584" s="9" t="n">
        <v>1846.97</v>
      </c>
      <c r="U2584" s="10">
        <f>SUM(I2584:T2584)</f>
        <v/>
      </c>
    </row>
    <row r="2585">
      <c r="A2585" s="2" t="inlineStr">
        <is>
          <t>SN-3000-3800-3820-3820IO0001</t>
        </is>
      </c>
      <c r="B2585" s="2" t="inlineStr">
        <is>
          <t>3820IO0001</t>
        </is>
      </c>
      <c r="C2585" s="2" t="inlineStr">
        <is>
          <t xml:space="preserve">Gabinete RIO  </t>
        </is>
      </c>
      <c r="D2585" s="2" t="n">
        <v>862</v>
      </c>
      <c r="E2585" s="2" t="inlineStr">
        <is>
          <t>CC-3000</t>
        </is>
      </c>
      <c r="F2585" s="2" t="inlineStr">
        <is>
          <t>P01</t>
        </is>
      </c>
      <c r="G2585" s="2" t="n">
        <v>610000</v>
      </c>
      <c r="H2585" s="2" t="inlineStr">
        <is>
          <t>Mano obra interna</t>
        </is>
      </c>
      <c r="I2585" s="9" t="n">
        <v>1500.34</v>
      </c>
      <c r="J2585" s="9" t="n">
        <v>1440.72</v>
      </c>
      <c r="K2585" s="9" t="n">
        <v>1445.29</v>
      </c>
      <c r="L2585" s="9" t="n">
        <v>1471.6</v>
      </c>
      <c r="M2585" s="9" t="n">
        <v>1383.13</v>
      </c>
      <c r="N2585" s="9" t="n">
        <v>1460.87</v>
      </c>
      <c r="O2585" s="9" t="n">
        <v>1402.26</v>
      </c>
      <c r="P2585" s="9" t="n">
        <v>1498.93</v>
      </c>
      <c r="Q2585" s="9" t="n">
        <v>1322.42</v>
      </c>
      <c r="R2585" s="9" t="n">
        <v>1627.91</v>
      </c>
      <c r="S2585" s="9" t="n">
        <v>1434.74</v>
      </c>
      <c r="T2585" s="9" t="n">
        <v>1476.1</v>
      </c>
      <c r="U2585" s="10">
        <f>SUM(I2585:T2585)</f>
        <v/>
      </c>
    </row>
    <row r="2586">
      <c r="A2586" s="2" t="inlineStr">
        <is>
          <t>SN-3000-3800-3820-3820IO0001</t>
        </is>
      </c>
      <c r="B2586" s="2" t="inlineStr">
        <is>
          <t>3820IO0001</t>
        </is>
      </c>
      <c r="C2586" s="2" t="inlineStr">
        <is>
          <t xml:space="preserve">Gabinete RIO  </t>
        </is>
      </c>
      <c r="D2586" s="2" t="n">
        <v>862</v>
      </c>
      <c r="E2586" s="2" t="inlineStr">
        <is>
          <t>CC-3000</t>
        </is>
      </c>
      <c r="F2586" s="2" t="inlineStr">
        <is>
          <t>P01</t>
        </is>
      </c>
      <c r="G2586" s="2" t="n">
        <v>620000</v>
      </c>
      <c r="H2586" s="2" t="inlineStr">
        <is>
          <t>Materiales</t>
        </is>
      </c>
      <c r="I2586" s="9" t="n">
        <v>1384.25</v>
      </c>
      <c r="J2586" s="9" t="n">
        <v>1423.31</v>
      </c>
      <c r="K2586" s="9" t="n">
        <v>1470.1</v>
      </c>
      <c r="L2586" s="9" t="n">
        <v>1413.96</v>
      </c>
      <c r="M2586" s="9" t="n">
        <v>1442.37</v>
      </c>
      <c r="N2586" s="9" t="n">
        <v>1383.28</v>
      </c>
      <c r="O2586" s="9" t="n">
        <v>1382.15</v>
      </c>
      <c r="P2586" s="9" t="n">
        <v>1278.66</v>
      </c>
      <c r="Q2586" s="9" t="n">
        <v>1293.02</v>
      </c>
      <c r="R2586" s="9" t="n">
        <v>1447.99</v>
      </c>
      <c r="S2586" s="9" t="n">
        <v>1339.16</v>
      </c>
      <c r="T2586" s="9" t="n">
        <v>1427.77</v>
      </c>
      <c r="U2586" s="10">
        <f>SUM(I2586:T2586)</f>
        <v/>
      </c>
    </row>
    <row r="2587">
      <c r="A2587" s="2" t="inlineStr">
        <is>
          <t>SN-3000-3800-3820-3820IO0001</t>
        </is>
      </c>
      <c r="B2587" s="2" t="inlineStr">
        <is>
          <t>3820IO0001</t>
        </is>
      </c>
      <c r="C2587" s="2" t="inlineStr">
        <is>
          <t xml:space="preserve">Gabinete RIO  </t>
        </is>
      </c>
      <c r="D2587" s="2" t="n">
        <v>862</v>
      </c>
      <c r="E2587" s="2" t="inlineStr">
        <is>
          <t>CC-3000</t>
        </is>
      </c>
      <c r="F2587" s="2" t="inlineStr">
        <is>
          <t>P01</t>
        </is>
      </c>
      <c r="G2587" s="2" t="n">
        <v>630000</v>
      </c>
      <c r="H2587" s="2" t="inlineStr">
        <is>
          <t>Servicios externos</t>
        </is>
      </c>
      <c r="I2587" s="9" t="n">
        <v>1465.03</v>
      </c>
      <c r="J2587" s="9" t="n">
        <v>1414.65</v>
      </c>
      <c r="K2587" s="9" t="n">
        <v>1350.48</v>
      </c>
      <c r="L2587" s="9" t="n">
        <v>1356.74</v>
      </c>
      <c r="M2587" s="9" t="n">
        <v>1410.77</v>
      </c>
      <c r="N2587" s="9" t="n">
        <v>1315.39</v>
      </c>
      <c r="O2587" s="9" t="n">
        <v>1455.73</v>
      </c>
      <c r="P2587" s="9" t="n">
        <v>1311.57</v>
      </c>
      <c r="Q2587" s="9" t="n">
        <v>1235.67</v>
      </c>
      <c r="R2587" s="9" t="n">
        <v>1519.94</v>
      </c>
      <c r="S2587" s="9" t="n">
        <v>1351.92</v>
      </c>
      <c r="T2587" s="9" t="n">
        <v>1364.12</v>
      </c>
      <c r="U2587" s="10">
        <f>SUM(I2587:T2587)</f>
        <v/>
      </c>
    </row>
    <row r="2588">
      <c r="A2588" s="2" t="inlineStr">
        <is>
          <t>SN-3000-3800-3820-3820PU0304</t>
        </is>
      </c>
      <c r="B2588" s="2" t="inlineStr">
        <is>
          <t>3820PU0304</t>
        </is>
      </c>
      <c r="C2588" s="2" t="inlineStr">
        <is>
          <t>Bomba hidróxido de sodio</t>
        </is>
      </c>
      <c r="D2588" s="2" t="n">
        <v>863</v>
      </c>
      <c r="E2588" s="2" t="inlineStr">
        <is>
          <t>CC-3000</t>
        </is>
      </c>
      <c r="F2588" s="2" t="inlineStr">
        <is>
          <t>P01</t>
        </is>
      </c>
      <c r="G2588" s="2" t="n">
        <v>610000</v>
      </c>
      <c r="H2588" s="2" t="inlineStr">
        <is>
          <t>Mano obra interna</t>
        </is>
      </c>
      <c r="I2588" s="9" t="n">
        <v>1320.34</v>
      </c>
      <c r="J2588" s="9" t="n">
        <v>1274.25</v>
      </c>
      <c r="K2588" s="9" t="n">
        <v>1348.13</v>
      </c>
      <c r="L2588" s="9" t="n">
        <v>1445.7</v>
      </c>
      <c r="M2588" s="9" t="n">
        <v>1463.37</v>
      </c>
      <c r="N2588" s="9" t="n">
        <v>1284.7</v>
      </c>
      <c r="O2588" s="9" t="n">
        <v>1293.73</v>
      </c>
      <c r="P2588" s="9" t="n">
        <v>1442.91</v>
      </c>
      <c r="Q2588" s="9" t="n">
        <v>1374.71</v>
      </c>
      <c r="R2588" s="9" t="n">
        <v>1419.69</v>
      </c>
      <c r="S2588" s="9" t="n">
        <v>1327.99</v>
      </c>
      <c r="T2588" s="9" t="n">
        <v>1340.66</v>
      </c>
      <c r="U2588" s="10">
        <f>SUM(I2588:T2588)</f>
        <v/>
      </c>
    </row>
    <row r="2589">
      <c r="A2589" s="2" t="inlineStr">
        <is>
          <t>SN-3000-3800-3820-3820PU0304</t>
        </is>
      </c>
      <c r="B2589" s="2" t="inlineStr">
        <is>
          <t>3820PU0304</t>
        </is>
      </c>
      <c r="C2589" s="2" t="inlineStr">
        <is>
          <t>Bomba hidróxido de sodio</t>
        </is>
      </c>
      <c r="D2589" s="2" t="n">
        <v>863</v>
      </c>
      <c r="E2589" s="2" t="inlineStr">
        <is>
          <t>CC-3000</t>
        </is>
      </c>
      <c r="F2589" s="2" t="inlineStr">
        <is>
          <t>P01</t>
        </is>
      </c>
      <c r="G2589" s="2" t="n">
        <v>620000</v>
      </c>
      <c r="H2589" s="2" t="inlineStr">
        <is>
          <t>Materiales</t>
        </is>
      </c>
      <c r="I2589" s="9" t="n">
        <v>1236.4</v>
      </c>
      <c r="J2589" s="9" t="n">
        <v>1252.35</v>
      </c>
      <c r="K2589" s="9" t="n">
        <v>1255.33</v>
      </c>
      <c r="L2589" s="9" t="n">
        <v>1302.98</v>
      </c>
      <c r="M2589" s="9" t="n">
        <v>1158.57</v>
      </c>
      <c r="N2589" s="9" t="n">
        <v>1203.13</v>
      </c>
      <c r="O2589" s="9" t="n">
        <v>1127.79</v>
      </c>
      <c r="P2589" s="9" t="n">
        <v>1109.94</v>
      </c>
      <c r="Q2589" s="9" t="n">
        <v>1137.01</v>
      </c>
      <c r="R2589" s="9" t="n">
        <v>1249.64</v>
      </c>
      <c r="S2589" s="9" t="n">
        <v>1111.91</v>
      </c>
      <c r="T2589" s="9" t="n">
        <v>1233.57</v>
      </c>
      <c r="U2589" s="10">
        <f>SUM(I2589:T2589)</f>
        <v/>
      </c>
    </row>
    <row r="2590">
      <c r="A2590" s="2" t="inlineStr">
        <is>
          <t>SN-3000-3800-3820-3820PU0304</t>
        </is>
      </c>
      <c r="B2590" s="2" t="inlineStr">
        <is>
          <t>3820PU0304</t>
        </is>
      </c>
      <c r="C2590" s="2" t="inlineStr">
        <is>
          <t>Bomba hidróxido de sodio</t>
        </is>
      </c>
      <c r="D2590" s="2" t="n">
        <v>863</v>
      </c>
      <c r="E2590" s="2" t="inlineStr">
        <is>
          <t>CC-3000</t>
        </is>
      </c>
      <c r="F2590" s="2" t="inlineStr">
        <is>
          <t>P01</t>
        </is>
      </c>
      <c r="G2590" s="2" t="n">
        <v>630000</v>
      </c>
      <c r="H2590" s="2" t="inlineStr">
        <is>
          <t>Servicios externos</t>
        </is>
      </c>
      <c r="I2590" s="9" t="n">
        <v>1347.3</v>
      </c>
      <c r="J2590" s="9" t="n">
        <v>1243.66</v>
      </c>
      <c r="K2590" s="9" t="n">
        <v>1407.03</v>
      </c>
      <c r="L2590" s="9" t="n">
        <v>1293.37</v>
      </c>
      <c r="M2590" s="9" t="n">
        <v>1298.37</v>
      </c>
      <c r="N2590" s="9" t="n">
        <v>1152.16</v>
      </c>
      <c r="O2590" s="9" t="n">
        <v>1366.15</v>
      </c>
      <c r="P2590" s="9" t="n">
        <v>1328.77</v>
      </c>
      <c r="Q2590" s="9" t="n">
        <v>1154.66</v>
      </c>
      <c r="R2590" s="9" t="n">
        <v>1342.88</v>
      </c>
      <c r="S2590" s="9" t="n">
        <v>1214.98</v>
      </c>
      <c r="T2590" s="9" t="n">
        <v>1340.22</v>
      </c>
      <c r="U2590" s="10">
        <f>SUM(I2590:T2590)</f>
        <v/>
      </c>
    </row>
    <row r="2591">
      <c r="A2591" s="2" t="inlineStr">
        <is>
          <t>SN-3000-3800-3820-3820PU0306</t>
        </is>
      </c>
      <c r="B2591" s="2" t="inlineStr">
        <is>
          <t>3820PU0306</t>
        </is>
      </c>
      <c r="C2591" s="2" t="inlineStr">
        <is>
          <t>Bomba sumidero cianuro de sodio</t>
        </is>
      </c>
      <c r="D2591" s="2" t="n">
        <v>864</v>
      </c>
      <c r="E2591" s="2" t="inlineStr">
        <is>
          <t>CC-3000</t>
        </is>
      </c>
      <c r="F2591" s="2" t="inlineStr">
        <is>
          <t>P01</t>
        </is>
      </c>
      <c r="G2591" s="2" t="n">
        <v>610000</v>
      </c>
      <c r="H2591" s="2" t="inlineStr">
        <is>
          <t>Mano obra interna</t>
        </is>
      </c>
      <c r="I2591" s="9" t="n">
        <v>775.27</v>
      </c>
      <c r="J2591" s="9" t="n">
        <v>800.11</v>
      </c>
      <c r="K2591" s="9" t="n">
        <v>863.48</v>
      </c>
      <c r="L2591" s="9" t="n">
        <v>746.5</v>
      </c>
      <c r="M2591" s="9" t="n">
        <v>769.47</v>
      </c>
      <c r="N2591" s="9" t="n">
        <v>764.61</v>
      </c>
      <c r="O2591" s="9" t="n">
        <v>799.21</v>
      </c>
      <c r="P2591" s="9" t="n">
        <v>726.83</v>
      </c>
      <c r="Q2591" s="9" t="n">
        <v>699.52</v>
      </c>
      <c r="R2591" s="9" t="n">
        <v>790.17</v>
      </c>
      <c r="S2591" s="9" t="n">
        <v>771.2</v>
      </c>
      <c r="T2591" s="9" t="n">
        <v>818.25</v>
      </c>
      <c r="U2591" s="10">
        <f>SUM(I2591:T2591)</f>
        <v/>
      </c>
    </row>
    <row r="2592">
      <c r="A2592" s="2" t="inlineStr">
        <is>
          <t>SN-3000-3800-3820-3820PU0306</t>
        </is>
      </c>
      <c r="B2592" s="2" t="inlineStr">
        <is>
          <t>3820PU0306</t>
        </is>
      </c>
      <c r="C2592" s="2" t="inlineStr">
        <is>
          <t>Bomba sumidero cianuro de sodio</t>
        </is>
      </c>
      <c r="D2592" s="2" t="n">
        <v>864</v>
      </c>
      <c r="E2592" s="2" t="inlineStr">
        <is>
          <t>CC-3000</t>
        </is>
      </c>
      <c r="F2592" s="2" t="inlineStr">
        <is>
          <t>P01</t>
        </is>
      </c>
      <c r="G2592" s="2" t="n">
        <v>620000</v>
      </c>
      <c r="H2592" s="2" t="inlineStr">
        <is>
          <t>Materiales</t>
        </is>
      </c>
      <c r="I2592" s="9" t="n">
        <v>653.83</v>
      </c>
      <c r="J2592" s="9" t="n">
        <v>630.45</v>
      </c>
      <c r="K2592" s="9" t="n">
        <v>713.62</v>
      </c>
      <c r="L2592" s="9" t="n">
        <v>639.71</v>
      </c>
      <c r="M2592" s="9" t="n">
        <v>656.29</v>
      </c>
      <c r="N2592" s="9" t="n">
        <v>657.64</v>
      </c>
      <c r="O2592" s="9" t="n">
        <v>693.08</v>
      </c>
      <c r="P2592" s="9" t="n">
        <v>675.1</v>
      </c>
      <c r="Q2592" s="9" t="n">
        <v>592.9299999999999</v>
      </c>
      <c r="R2592" s="9" t="n">
        <v>746.36</v>
      </c>
      <c r="S2592" s="9" t="n">
        <v>661.73</v>
      </c>
      <c r="T2592" s="9" t="n">
        <v>689.6799999999999</v>
      </c>
      <c r="U2592" s="10">
        <f>SUM(I2592:T2592)</f>
        <v/>
      </c>
    </row>
    <row r="2593">
      <c r="A2593" s="2" t="inlineStr">
        <is>
          <t>SN-3000-3800-3820-3820PU0306</t>
        </is>
      </c>
      <c r="B2593" s="2" t="inlineStr">
        <is>
          <t>3820PU0306</t>
        </is>
      </c>
      <c r="C2593" s="2" t="inlineStr">
        <is>
          <t>Bomba sumidero cianuro de sodio</t>
        </is>
      </c>
      <c r="D2593" s="2" t="n">
        <v>864</v>
      </c>
      <c r="E2593" s="2" t="inlineStr">
        <is>
          <t>CC-3000</t>
        </is>
      </c>
      <c r="F2593" s="2" t="inlineStr">
        <is>
          <t>P01</t>
        </is>
      </c>
      <c r="G2593" s="2" t="n">
        <v>630000</v>
      </c>
      <c r="H2593" s="2" t="inlineStr">
        <is>
          <t>Servicios externos</t>
        </is>
      </c>
      <c r="I2593" s="9" t="n">
        <v>600.28</v>
      </c>
      <c r="J2593" s="9" t="n">
        <v>644.3</v>
      </c>
      <c r="K2593" s="9" t="n">
        <v>701.03</v>
      </c>
      <c r="L2593" s="9" t="n">
        <v>676.76</v>
      </c>
      <c r="M2593" s="9" t="n">
        <v>661.11</v>
      </c>
      <c r="N2593" s="9" t="n">
        <v>610.87</v>
      </c>
      <c r="O2593" s="9" t="n">
        <v>614.8200000000001</v>
      </c>
      <c r="P2593" s="9" t="n">
        <v>651.9299999999999</v>
      </c>
      <c r="Q2593" s="9" t="n">
        <v>610.5599999999999</v>
      </c>
      <c r="R2593" s="9" t="n">
        <v>703.33</v>
      </c>
      <c r="S2593" s="9" t="n">
        <v>658.01</v>
      </c>
      <c r="T2593" s="9" t="n">
        <v>630.12</v>
      </c>
      <c r="U2593" s="10">
        <f>SUM(I2593:T2593)</f>
        <v/>
      </c>
    </row>
    <row r="2594">
      <c r="A2594" s="2" t="inlineStr">
        <is>
          <t>SN-3000-3800-3820-3820PU0307</t>
        </is>
      </c>
      <c r="B2594" s="2" t="inlineStr">
        <is>
          <t>3820PU0307</t>
        </is>
      </c>
      <c r="C2594" s="2" t="inlineStr">
        <is>
          <t>Bomba transferencia de cianuro</t>
        </is>
      </c>
      <c r="D2594" s="2" t="n">
        <v>865</v>
      </c>
      <c r="E2594" s="2" t="inlineStr">
        <is>
          <t>CC-3000</t>
        </is>
      </c>
      <c r="F2594" s="2" t="inlineStr">
        <is>
          <t>P01</t>
        </is>
      </c>
      <c r="G2594" s="2" t="n">
        <v>610000</v>
      </c>
      <c r="H2594" s="2" t="inlineStr">
        <is>
          <t>Mano obra interna</t>
        </is>
      </c>
      <c r="I2594" s="9" t="n">
        <v>1269.56</v>
      </c>
      <c r="J2594" s="9" t="n">
        <v>1087.22</v>
      </c>
      <c r="K2594" s="9" t="n">
        <v>1242.31</v>
      </c>
      <c r="L2594" s="9" t="n">
        <v>1264.33</v>
      </c>
      <c r="M2594" s="9" t="n">
        <v>1120.18</v>
      </c>
      <c r="N2594" s="9" t="n">
        <v>1175.07</v>
      </c>
      <c r="O2594" s="9" t="n">
        <v>1136.5</v>
      </c>
      <c r="P2594" s="9" t="n">
        <v>1221.4</v>
      </c>
      <c r="Q2594" s="9" t="n">
        <v>1011.87</v>
      </c>
      <c r="R2594" s="9" t="n">
        <v>1290.17</v>
      </c>
      <c r="S2594" s="9" t="n">
        <v>1162.1</v>
      </c>
      <c r="T2594" s="9" t="n">
        <v>1183.06</v>
      </c>
      <c r="U2594" s="10">
        <f>SUM(I2594:T2594)</f>
        <v/>
      </c>
    </row>
    <row r="2595">
      <c r="A2595" s="2" t="inlineStr">
        <is>
          <t>SN-3000-3800-3820-3820PU0307</t>
        </is>
      </c>
      <c r="B2595" s="2" t="inlineStr">
        <is>
          <t>3820PU0307</t>
        </is>
      </c>
      <c r="C2595" s="2" t="inlineStr">
        <is>
          <t>Bomba transferencia de cianuro</t>
        </is>
      </c>
      <c r="D2595" s="2" t="n">
        <v>865</v>
      </c>
      <c r="E2595" s="2" t="inlineStr">
        <is>
          <t>CC-3000</t>
        </is>
      </c>
      <c r="F2595" s="2" t="inlineStr">
        <is>
          <t>P01</t>
        </is>
      </c>
      <c r="G2595" s="2" t="n">
        <v>620000</v>
      </c>
      <c r="H2595" s="2" t="inlineStr">
        <is>
          <t>Materiales</t>
        </is>
      </c>
      <c r="I2595" s="9" t="n">
        <v>1512.41</v>
      </c>
      <c r="J2595" s="9" t="n">
        <v>1417.7</v>
      </c>
      <c r="K2595" s="9" t="n">
        <v>1537.13</v>
      </c>
      <c r="L2595" s="9" t="n">
        <v>1406.5</v>
      </c>
      <c r="M2595" s="9" t="n">
        <v>1379.44</v>
      </c>
      <c r="N2595" s="9" t="n">
        <v>1276.47</v>
      </c>
      <c r="O2595" s="9" t="n">
        <v>1496.06</v>
      </c>
      <c r="P2595" s="9" t="n">
        <v>1287.85</v>
      </c>
      <c r="Q2595" s="9" t="n">
        <v>1262.44</v>
      </c>
      <c r="R2595" s="9" t="n">
        <v>1447.96</v>
      </c>
      <c r="S2595" s="9" t="n">
        <v>1318.87</v>
      </c>
      <c r="T2595" s="9" t="n">
        <v>1502.29</v>
      </c>
      <c r="U2595" s="10">
        <f>SUM(I2595:T2595)</f>
        <v/>
      </c>
    </row>
    <row r="2596">
      <c r="A2596" s="2" t="inlineStr">
        <is>
          <t>SN-3000-3800-3820-3820PU0307</t>
        </is>
      </c>
      <c r="B2596" s="2" t="inlineStr">
        <is>
          <t>3820PU0307</t>
        </is>
      </c>
      <c r="C2596" s="2" t="inlineStr">
        <is>
          <t>Bomba transferencia de cianuro</t>
        </is>
      </c>
      <c r="D2596" s="2" t="n">
        <v>865</v>
      </c>
      <c r="E2596" s="2" t="inlineStr">
        <is>
          <t>CC-3000</t>
        </is>
      </c>
      <c r="F2596" s="2" t="inlineStr">
        <is>
          <t>P01</t>
        </is>
      </c>
      <c r="G2596" s="2" t="n">
        <v>630000</v>
      </c>
      <c r="H2596" s="2" t="inlineStr">
        <is>
          <t>Servicios externos</t>
        </is>
      </c>
      <c r="I2596" s="9" t="n">
        <v>1397.49</v>
      </c>
      <c r="J2596" s="9" t="n">
        <v>1248.4</v>
      </c>
      <c r="K2596" s="9" t="n">
        <v>1399.09</v>
      </c>
      <c r="L2596" s="9" t="n">
        <v>1316.19</v>
      </c>
      <c r="M2596" s="9" t="n">
        <v>1231.73</v>
      </c>
      <c r="N2596" s="9" t="n">
        <v>1217.01</v>
      </c>
      <c r="O2596" s="9" t="n">
        <v>1268.38</v>
      </c>
      <c r="P2596" s="9" t="n">
        <v>1233.12</v>
      </c>
      <c r="Q2596" s="9" t="n">
        <v>1154.42</v>
      </c>
      <c r="R2596" s="9" t="n">
        <v>1314.55</v>
      </c>
      <c r="S2596" s="9" t="n">
        <v>1209.75</v>
      </c>
      <c r="T2596" s="9" t="n">
        <v>1328.31</v>
      </c>
      <c r="U2596" s="10">
        <f>SUM(I2596:T2596)</f>
        <v/>
      </c>
    </row>
    <row r="2597">
      <c r="A2597" s="2" t="inlineStr">
        <is>
          <t>SN-3000-3800-3820-3820PU0308</t>
        </is>
      </c>
      <c r="B2597" s="2" t="inlineStr">
        <is>
          <t>3820PU0308</t>
        </is>
      </c>
      <c r="C2597" s="2" t="inlineStr">
        <is>
          <t>Bomba distribución de cianuro</t>
        </is>
      </c>
      <c r="D2597" s="2" t="n">
        <v>866</v>
      </c>
      <c r="E2597" s="2" t="inlineStr">
        <is>
          <t>CC-3000</t>
        </is>
      </c>
      <c r="F2597" s="2" t="inlineStr">
        <is>
          <t>P01</t>
        </is>
      </c>
      <c r="G2597" s="2" t="n">
        <v>610000</v>
      </c>
      <c r="H2597" s="2" t="inlineStr">
        <is>
          <t>Mano obra interna</t>
        </is>
      </c>
      <c r="I2597" s="9" t="n">
        <v>1278.41</v>
      </c>
      <c r="J2597" s="9" t="n">
        <v>1285.76</v>
      </c>
      <c r="K2597" s="9" t="n">
        <v>1224.91</v>
      </c>
      <c r="L2597" s="9" t="n">
        <v>1230.46</v>
      </c>
      <c r="M2597" s="9" t="n">
        <v>1134.21</v>
      </c>
      <c r="N2597" s="9" t="n">
        <v>1137.98</v>
      </c>
      <c r="O2597" s="9" t="n">
        <v>1255.68</v>
      </c>
      <c r="P2597" s="9" t="n">
        <v>1155.53</v>
      </c>
      <c r="Q2597" s="9" t="n">
        <v>1070.08</v>
      </c>
      <c r="R2597" s="9" t="n">
        <v>1280.31</v>
      </c>
      <c r="S2597" s="9" t="n">
        <v>1232.26</v>
      </c>
      <c r="T2597" s="9" t="n">
        <v>1253.46</v>
      </c>
      <c r="U2597" s="10">
        <f>SUM(I2597:T2597)</f>
        <v/>
      </c>
    </row>
    <row r="2598">
      <c r="A2598" s="2" t="inlineStr">
        <is>
          <t>SN-3000-3800-3820-3820PU0308</t>
        </is>
      </c>
      <c r="B2598" s="2" t="inlineStr">
        <is>
          <t>3820PU0308</t>
        </is>
      </c>
      <c r="C2598" s="2" t="inlineStr">
        <is>
          <t>Bomba distribución de cianuro</t>
        </is>
      </c>
      <c r="D2598" s="2" t="n">
        <v>866</v>
      </c>
      <c r="E2598" s="2" t="inlineStr">
        <is>
          <t>CC-3000</t>
        </is>
      </c>
      <c r="F2598" s="2" t="inlineStr">
        <is>
          <t>P01</t>
        </is>
      </c>
      <c r="G2598" s="2" t="n">
        <v>620000</v>
      </c>
      <c r="H2598" s="2" t="inlineStr">
        <is>
          <t>Materiales</t>
        </is>
      </c>
      <c r="I2598" s="9" t="n">
        <v>1529.9</v>
      </c>
      <c r="J2598" s="9" t="n">
        <v>1308.86</v>
      </c>
      <c r="K2598" s="9" t="n">
        <v>1345.81</v>
      </c>
      <c r="L2598" s="9" t="n">
        <v>1415.36</v>
      </c>
      <c r="M2598" s="9" t="n">
        <v>1397.91</v>
      </c>
      <c r="N2598" s="9" t="n">
        <v>1349.07</v>
      </c>
      <c r="O2598" s="9" t="n">
        <v>1325.75</v>
      </c>
      <c r="P2598" s="9" t="n">
        <v>1322.07</v>
      </c>
      <c r="Q2598" s="9" t="n">
        <v>1215.26</v>
      </c>
      <c r="R2598" s="9" t="n">
        <v>1603.15</v>
      </c>
      <c r="S2598" s="9" t="n">
        <v>1460.22</v>
      </c>
      <c r="T2598" s="9" t="n">
        <v>1340.62</v>
      </c>
      <c r="U2598" s="10">
        <f>SUM(I2598:T2598)</f>
        <v/>
      </c>
    </row>
    <row r="2599">
      <c r="A2599" s="2" t="inlineStr">
        <is>
          <t>SN-3000-3800-3820-3820PU0308</t>
        </is>
      </c>
      <c r="B2599" s="2" t="inlineStr">
        <is>
          <t>3820PU0308</t>
        </is>
      </c>
      <c r="C2599" s="2" t="inlineStr">
        <is>
          <t>Bomba distribución de cianuro</t>
        </is>
      </c>
      <c r="D2599" s="2" t="n">
        <v>866</v>
      </c>
      <c r="E2599" s="2" t="inlineStr">
        <is>
          <t>CC-3000</t>
        </is>
      </c>
      <c r="F2599" s="2" t="inlineStr">
        <is>
          <t>P01</t>
        </is>
      </c>
      <c r="G2599" s="2" t="n">
        <v>630000</v>
      </c>
      <c r="H2599" s="2" t="inlineStr">
        <is>
          <t>Servicios externos</t>
        </is>
      </c>
      <c r="I2599" s="9" t="n">
        <v>1055.23</v>
      </c>
      <c r="J2599" s="9" t="n">
        <v>1155.33</v>
      </c>
      <c r="K2599" s="9" t="n">
        <v>1225.04</v>
      </c>
      <c r="L2599" s="9" t="n">
        <v>1087.57</v>
      </c>
      <c r="M2599" s="9" t="n">
        <v>1060.42</v>
      </c>
      <c r="N2599" s="9" t="n">
        <v>1034.43</v>
      </c>
      <c r="O2599" s="9" t="n">
        <v>1107.21</v>
      </c>
      <c r="P2599" s="9" t="n">
        <v>1137.72</v>
      </c>
      <c r="Q2599" s="9" t="n">
        <v>1030.53</v>
      </c>
      <c r="R2599" s="9" t="n">
        <v>1279.12</v>
      </c>
      <c r="S2599" s="9" t="n">
        <v>1002.39</v>
      </c>
      <c r="T2599" s="9" t="n">
        <v>1176.34</v>
      </c>
      <c r="U2599" s="10">
        <f>SUM(I2599:T2599)</f>
        <v/>
      </c>
    </row>
    <row r="2600">
      <c r="A2600" s="2" t="inlineStr">
        <is>
          <t>SN-3000-3800-3820-3820PU0309</t>
        </is>
      </c>
      <c r="B2600" s="2" t="inlineStr">
        <is>
          <t>3820PU0309</t>
        </is>
      </c>
      <c r="C2600" s="2" t="inlineStr">
        <is>
          <t>Bomba distribución de cianuro</t>
        </is>
      </c>
      <c r="D2600" s="2" t="n">
        <v>867</v>
      </c>
      <c r="E2600" s="2" t="inlineStr">
        <is>
          <t>CC-3000</t>
        </is>
      </c>
      <c r="F2600" s="2" t="inlineStr">
        <is>
          <t>P01</t>
        </is>
      </c>
      <c r="G2600" s="2" t="n">
        <v>610000</v>
      </c>
      <c r="H2600" s="2" t="inlineStr">
        <is>
          <t>Mano obra interna</t>
        </is>
      </c>
      <c r="I2600" s="9" t="n">
        <v>1766.84</v>
      </c>
      <c r="J2600" s="9" t="n">
        <v>1796.71</v>
      </c>
      <c r="K2600" s="9" t="n">
        <v>1946.33</v>
      </c>
      <c r="L2600" s="9" t="n">
        <v>1866.68</v>
      </c>
      <c r="M2600" s="9" t="n">
        <v>1824.2</v>
      </c>
      <c r="N2600" s="9" t="n">
        <v>1755.52</v>
      </c>
      <c r="O2600" s="9" t="n">
        <v>1715.56</v>
      </c>
      <c r="P2600" s="9" t="n">
        <v>1836.55</v>
      </c>
      <c r="Q2600" s="9" t="n">
        <v>1718.13</v>
      </c>
      <c r="R2600" s="9" t="n">
        <v>1913.97</v>
      </c>
      <c r="S2600" s="9" t="n">
        <v>1719.02</v>
      </c>
      <c r="T2600" s="9" t="n">
        <v>1866.01</v>
      </c>
      <c r="U2600" s="10">
        <f>SUM(I2600:T2600)</f>
        <v/>
      </c>
    </row>
    <row r="2601">
      <c r="A2601" s="2" t="inlineStr">
        <is>
          <t>SN-3000-3800-3820-3820PU0309</t>
        </is>
      </c>
      <c r="B2601" s="2" t="inlineStr">
        <is>
          <t>3820PU0309</t>
        </is>
      </c>
      <c r="C2601" s="2" t="inlineStr">
        <is>
          <t>Bomba distribución de cianuro</t>
        </is>
      </c>
      <c r="D2601" s="2" t="n">
        <v>867</v>
      </c>
      <c r="E2601" s="2" t="inlineStr">
        <is>
          <t>CC-3000</t>
        </is>
      </c>
      <c r="F2601" s="2" t="inlineStr">
        <is>
          <t>P01</t>
        </is>
      </c>
      <c r="G2601" s="2" t="n">
        <v>620000</v>
      </c>
      <c r="H2601" s="2" t="inlineStr">
        <is>
          <t>Materiales</t>
        </is>
      </c>
      <c r="I2601" s="9" t="n">
        <v>2014.62</v>
      </c>
      <c r="J2601" s="9" t="n">
        <v>2091.86</v>
      </c>
      <c r="K2601" s="9" t="n">
        <v>2195.46</v>
      </c>
      <c r="L2601" s="9" t="n">
        <v>1982.83</v>
      </c>
      <c r="M2601" s="9" t="n">
        <v>2074.91</v>
      </c>
      <c r="N2601" s="9" t="n">
        <v>1840.08</v>
      </c>
      <c r="O2601" s="9" t="n">
        <v>1895.18</v>
      </c>
      <c r="P2601" s="9" t="n">
        <v>2048.89</v>
      </c>
      <c r="Q2601" s="9" t="n">
        <v>2009.52</v>
      </c>
      <c r="R2601" s="9" t="n">
        <v>2022.75</v>
      </c>
      <c r="S2601" s="9" t="n">
        <v>2064.02</v>
      </c>
      <c r="T2601" s="9" t="n">
        <v>2058.47</v>
      </c>
      <c r="U2601" s="10">
        <f>SUM(I2601:T2601)</f>
        <v/>
      </c>
    </row>
    <row r="2602">
      <c r="A2602" s="2" t="inlineStr">
        <is>
          <t>SN-3000-3800-3820-3820PU0309</t>
        </is>
      </c>
      <c r="B2602" s="2" t="inlineStr">
        <is>
          <t>3820PU0309</t>
        </is>
      </c>
      <c r="C2602" s="2" t="inlineStr">
        <is>
          <t>Bomba distribución de cianuro</t>
        </is>
      </c>
      <c r="D2602" s="2" t="n">
        <v>867</v>
      </c>
      <c r="E2602" s="2" t="inlineStr">
        <is>
          <t>CC-3000</t>
        </is>
      </c>
      <c r="F2602" s="2" t="inlineStr">
        <is>
          <t>P01</t>
        </is>
      </c>
      <c r="G2602" s="2" t="n">
        <v>630000</v>
      </c>
      <c r="H2602" s="2" t="inlineStr">
        <is>
          <t>Servicios externos</t>
        </is>
      </c>
      <c r="I2602" s="9" t="n">
        <v>2186.01</v>
      </c>
      <c r="J2602" s="9" t="n">
        <v>2119.12</v>
      </c>
      <c r="K2602" s="9" t="n">
        <v>2184.13</v>
      </c>
      <c r="L2602" s="9" t="n">
        <v>2188.41</v>
      </c>
      <c r="M2602" s="9" t="n">
        <v>1904.69</v>
      </c>
      <c r="N2602" s="9" t="n">
        <v>1879.74</v>
      </c>
      <c r="O2602" s="9" t="n">
        <v>1947.06</v>
      </c>
      <c r="P2602" s="9" t="n">
        <v>2106.98</v>
      </c>
      <c r="Q2602" s="9" t="n">
        <v>1784.8</v>
      </c>
      <c r="R2602" s="9" t="n">
        <v>2077.71</v>
      </c>
      <c r="S2602" s="9" t="n">
        <v>2084.14</v>
      </c>
      <c r="T2602" s="9" t="n">
        <v>2127.81</v>
      </c>
      <c r="U2602" s="10">
        <f>SUM(I2602:T2602)</f>
        <v/>
      </c>
    </row>
    <row r="2603">
      <c r="A2603" s="2" t="inlineStr">
        <is>
          <t>SN-3000-3800-3820-3820PU0310</t>
        </is>
      </c>
      <c r="B2603" s="2" t="inlineStr">
        <is>
          <t>3820PU0310</t>
        </is>
      </c>
      <c r="C2603" s="2" t="inlineStr">
        <is>
          <t>Bomba distribución de cianuro</t>
        </is>
      </c>
      <c r="D2603" s="2" t="n">
        <v>868</v>
      </c>
      <c r="E2603" s="2" t="inlineStr">
        <is>
          <t>CC-3000</t>
        </is>
      </c>
      <c r="F2603" s="2" t="inlineStr">
        <is>
          <t>P01</t>
        </is>
      </c>
      <c r="G2603" s="2" t="n">
        <v>610000</v>
      </c>
      <c r="H2603" s="2" t="inlineStr">
        <is>
          <t>Mano obra interna</t>
        </is>
      </c>
      <c r="I2603" s="9" t="n">
        <v>884.3099999999999</v>
      </c>
      <c r="J2603" s="9" t="n">
        <v>890.75</v>
      </c>
      <c r="K2603" s="9" t="n">
        <v>915.48</v>
      </c>
      <c r="L2603" s="9" t="n">
        <v>865.86</v>
      </c>
      <c r="M2603" s="9" t="n">
        <v>878.4299999999999</v>
      </c>
      <c r="N2603" s="9" t="n">
        <v>861.98</v>
      </c>
      <c r="O2603" s="9" t="n">
        <v>859.71</v>
      </c>
      <c r="P2603" s="9" t="n">
        <v>928.39</v>
      </c>
      <c r="Q2603" s="9" t="n">
        <v>839.76</v>
      </c>
      <c r="R2603" s="9" t="n">
        <v>919.46</v>
      </c>
      <c r="S2603" s="9" t="n">
        <v>918.99</v>
      </c>
      <c r="T2603" s="9" t="n">
        <v>967.1799999999999</v>
      </c>
      <c r="U2603" s="10">
        <f>SUM(I2603:T2603)</f>
        <v/>
      </c>
    </row>
    <row r="2604">
      <c r="A2604" s="2" t="inlineStr">
        <is>
          <t>SN-3000-3800-3820-3820PU0310</t>
        </is>
      </c>
      <c r="B2604" s="2" t="inlineStr">
        <is>
          <t>3820PU0310</t>
        </is>
      </c>
      <c r="C2604" s="2" t="inlineStr">
        <is>
          <t>Bomba distribución de cianuro</t>
        </is>
      </c>
      <c r="D2604" s="2" t="n">
        <v>868</v>
      </c>
      <c r="E2604" s="2" t="inlineStr">
        <is>
          <t>CC-3000</t>
        </is>
      </c>
      <c r="F2604" s="2" t="inlineStr">
        <is>
          <t>P01</t>
        </is>
      </c>
      <c r="G2604" s="2" t="n">
        <v>620000</v>
      </c>
      <c r="H2604" s="2" t="inlineStr">
        <is>
          <t>Materiales</t>
        </is>
      </c>
      <c r="I2604" s="9" t="n">
        <v>851.48</v>
      </c>
      <c r="J2604" s="9" t="n">
        <v>885.11</v>
      </c>
      <c r="K2604" s="9" t="n">
        <v>919.62</v>
      </c>
      <c r="L2604" s="9" t="n">
        <v>861.48</v>
      </c>
      <c r="M2604" s="9" t="n">
        <v>820.1</v>
      </c>
      <c r="N2604" s="9" t="n">
        <v>735.75</v>
      </c>
      <c r="O2604" s="9" t="n">
        <v>864.64</v>
      </c>
      <c r="P2604" s="9" t="n">
        <v>844.09</v>
      </c>
      <c r="Q2604" s="9" t="n">
        <v>832.72</v>
      </c>
      <c r="R2604" s="9" t="n">
        <v>915.1900000000001</v>
      </c>
      <c r="S2604" s="9" t="n">
        <v>873.15</v>
      </c>
      <c r="T2604" s="9" t="n">
        <v>896.47</v>
      </c>
      <c r="U2604" s="10">
        <f>SUM(I2604:T2604)</f>
        <v/>
      </c>
    </row>
    <row r="2605">
      <c r="A2605" s="2" t="inlineStr">
        <is>
          <t>SN-3000-3800-3820-3820PU0310</t>
        </is>
      </c>
      <c r="B2605" s="2" t="inlineStr">
        <is>
          <t>3820PU0310</t>
        </is>
      </c>
      <c r="C2605" s="2" t="inlineStr">
        <is>
          <t>Bomba distribución de cianuro</t>
        </is>
      </c>
      <c r="D2605" s="2" t="n">
        <v>868</v>
      </c>
      <c r="E2605" s="2" t="inlineStr">
        <is>
          <t>CC-3000</t>
        </is>
      </c>
      <c r="F2605" s="2" t="inlineStr">
        <is>
          <t>P01</t>
        </is>
      </c>
      <c r="G2605" s="2" t="n">
        <v>630000</v>
      </c>
      <c r="H2605" s="2" t="inlineStr">
        <is>
          <t>Servicios externos</t>
        </is>
      </c>
      <c r="I2605" s="9" t="n">
        <v>874.08</v>
      </c>
      <c r="J2605" s="9" t="n">
        <v>818.52</v>
      </c>
      <c r="K2605" s="9" t="n">
        <v>951.52</v>
      </c>
      <c r="L2605" s="9" t="n">
        <v>941.13</v>
      </c>
      <c r="M2605" s="9" t="n">
        <v>831.17</v>
      </c>
      <c r="N2605" s="9" t="n">
        <v>877.49</v>
      </c>
      <c r="O2605" s="9" t="n">
        <v>892.46</v>
      </c>
      <c r="P2605" s="9" t="n">
        <v>824.88</v>
      </c>
      <c r="Q2605" s="9" t="n">
        <v>819.88</v>
      </c>
      <c r="R2605" s="9" t="n">
        <v>1015.07</v>
      </c>
      <c r="S2605" s="9" t="n">
        <v>853.27</v>
      </c>
      <c r="T2605" s="9" t="n">
        <v>934.86</v>
      </c>
      <c r="U2605" s="10">
        <f>SUM(I2605:T2605)</f>
        <v/>
      </c>
    </row>
    <row r="2606">
      <c r="A2606" s="2" t="inlineStr">
        <is>
          <t>SN-3000-3800-3820-3820PU0462</t>
        </is>
      </c>
      <c r="B2606" s="2" t="inlineStr">
        <is>
          <t>3820PU0462</t>
        </is>
      </c>
      <c r="C2606" s="2" t="inlineStr">
        <is>
          <t>Bomba sumidero unidad de lavado</t>
        </is>
      </c>
      <c r="D2606" s="2" t="n">
        <v>869</v>
      </c>
      <c r="E2606" s="2" t="inlineStr">
        <is>
          <t>CC-3000</t>
        </is>
      </c>
      <c r="F2606" s="2" t="inlineStr">
        <is>
          <t>P01</t>
        </is>
      </c>
      <c r="G2606" s="2" t="n">
        <v>610000</v>
      </c>
      <c r="H2606" s="2" t="inlineStr">
        <is>
          <t>Mano obra interna</t>
        </is>
      </c>
      <c r="I2606" s="9" t="n">
        <v>169.35</v>
      </c>
      <c r="J2606" s="9" t="n">
        <v>168.9</v>
      </c>
      <c r="K2606" s="9" t="n">
        <v>165.11</v>
      </c>
      <c r="L2606" s="9" t="n">
        <v>159.34</v>
      </c>
      <c r="M2606" s="9" t="n">
        <v>162.12</v>
      </c>
      <c r="N2606" s="9" t="n">
        <v>163.22</v>
      </c>
      <c r="O2606" s="9" t="n">
        <v>151.85</v>
      </c>
      <c r="P2606" s="9" t="n">
        <v>157.47</v>
      </c>
      <c r="Q2606" s="9" t="n">
        <v>140.8</v>
      </c>
      <c r="R2606" s="9" t="n">
        <v>172.52</v>
      </c>
      <c r="S2606" s="9" t="n">
        <v>155.95</v>
      </c>
      <c r="T2606" s="9" t="n">
        <v>173.98</v>
      </c>
      <c r="U2606" s="10">
        <f>SUM(I2606:T2606)</f>
        <v/>
      </c>
    </row>
    <row r="2607">
      <c r="A2607" s="2" t="inlineStr">
        <is>
          <t>SN-3000-3800-3820-3820PU0462</t>
        </is>
      </c>
      <c r="B2607" s="2" t="inlineStr">
        <is>
          <t>3820PU0462</t>
        </is>
      </c>
      <c r="C2607" s="2" t="inlineStr">
        <is>
          <t>Bomba sumidero unidad de lavado</t>
        </is>
      </c>
      <c r="D2607" s="2" t="n">
        <v>869</v>
      </c>
      <c r="E2607" s="2" t="inlineStr">
        <is>
          <t>CC-3000</t>
        </is>
      </c>
      <c r="F2607" s="2" t="inlineStr">
        <is>
          <t>P01</t>
        </is>
      </c>
      <c r="G2607" s="2" t="n">
        <v>620000</v>
      </c>
      <c r="H2607" s="2" t="inlineStr">
        <is>
          <t>Materiales</t>
        </is>
      </c>
      <c r="I2607" s="9" t="n">
        <v>183.02</v>
      </c>
      <c r="J2607" s="9" t="n">
        <v>185.47</v>
      </c>
      <c r="K2607" s="9" t="n">
        <v>177.77</v>
      </c>
      <c r="L2607" s="9" t="n">
        <v>186.35</v>
      </c>
      <c r="M2607" s="9" t="n">
        <v>182.77</v>
      </c>
      <c r="N2607" s="9" t="n">
        <v>164.99</v>
      </c>
      <c r="O2607" s="9" t="n">
        <v>167.93</v>
      </c>
      <c r="P2607" s="9" t="n">
        <v>177.34</v>
      </c>
      <c r="Q2607" s="9" t="n">
        <v>161.34</v>
      </c>
      <c r="R2607" s="9" t="n">
        <v>184.15</v>
      </c>
      <c r="S2607" s="9" t="n">
        <v>184.73</v>
      </c>
      <c r="T2607" s="9" t="n">
        <v>180.08</v>
      </c>
      <c r="U2607" s="10">
        <f>SUM(I2607:T2607)</f>
        <v/>
      </c>
    </row>
    <row r="2608">
      <c r="A2608" s="2" t="inlineStr">
        <is>
          <t>SN-3000-3800-3820-3820PU0462</t>
        </is>
      </c>
      <c r="B2608" s="2" t="inlineStr">
        <is>
          <t>3820PU0462</t>
        </is>
      </c>
      <c r="C2608" s="2" t="inlineStr">
        <is>
          <t>Bomba sumidero unidad de lavado</t>
        </is>
      </c>
      <c r="D2608" s="2" t="n">
        <v>869</v>
      </c>
      <c r="E2608" s="2" t="inlineStr">
        <is>
          <t>CC-3000</t>
        </is>
      </c>
      <c r="F2608" s="2" t="inlineStr">
        <is>
          <t>P01</t>
        </is>
      </c>
      <c r="G2608" s="2" t="n">
        <v>630000</v>
      </c>
      <c r="H2608" s="2" t="inlineStr">
        <is>
          <t>Servicios externos</t>
        </is>
      </c>
      <c r="I2608" s="9" t="n">
        <v>192.17</v>
      </c>
      <c r="J2608" s="9" t="n">
        <v>208.59</v>
      </c>
      <c r="K2608" s="9" t="n">
        <v>213.77</v>
      </c>
      <c r="L2608" s="9" t="n">
        <v>212.24</v>
      </c>
      <c r="M2608" s="9" t="n">
        <v>192.39</v>
      </c>
      <c r="N2608" s="9" t="n">
        <v>188.76</v>
      </c>
      <c r="O2608" s="9" t="n">
        <v>200.93</v>
      </c>
      <c r="P2608" s="9" t="n">
        <v>206.91</v>
      </c>
      <c r="Q2608" s="9" t="n">
        <v>194.5</v>
      </c>
      <c r="R2608" s="9" t="n">
        <v>199</v>
      </c>
      <c r="S2608" s="9" t="n">
        <v>203.95</v>
      </c>
      <c r="T2608" s="9" t="n">
        <v>214.88</v>
      </c>
      <c r="U2608" s="10">
        <f>SUM(I2608:T2608)</f>
        <v/>
      </c>
    </row>
    <row r="2609">
      <c r="A2609" s="2" t="inlineStr">
        <is>
          <t>SN-3000-3800-3820-3820PU0523</t>
        </is>
      </c>
      <c r="B2609" s="2" t="inlineStr">
        <is>
          <t>3820PU0523</t>
        </is>
      </c>
      <c r="C2609" s="2" t="inlineStr">
        <is>
          <t>Bomba distribución de cianuro</t>
        </is>
      </c>
      <c r="D2609" s="2" t="n">
        <v>870</v>
      </c>
      <c r="E2609" s="2" t="inlineStr">
        <is>
          <t>CC-3000</t>
        </is>
      </c>
      <c r="F2609" s="2" t="inlineStr">
        <is>
          <t>P01</t>
        </is>
      </c>
      <c r="G2609" s="2" t="n">
        <v>610000</v>
      </c>
      <c r="H2609" s="2" t="inlineStr">
        <is>
          <t>Mano obra interna</t>
        </is>
      </c>
      <c r="I2609" s="9" t="n">
        <v>2512.07</v>
      </c>
      <c r="J2609" s="9" t="n">
        <v>2681.37</v>
      </c>
      <c r="K2609" s="9" t="n">
        <v>2693.36</v>
      </c>
      <c r="L2609" s="9" t="n">
        <v>2782.1</v>
      </c>
      <c r="M2609" s="9" t="n">
        <v>2692.95</v>
      </c>
      <c r="N2609" s="9" t="n">
        <v>2313.03</v>
      </c>
      <c r="O2609" s="9" t="n">
        <v>2636.17</v>
      </c>
      <c r="P2609" s="9" t="n">
        <v>2581.7</v>
      </c>
      <c r="Q2609" s="9" t="n">
        <v>2583.68</v>
      </c>
      <c r="R2609" s="9" t="n">
        <v>2702.88</v>
      </c>
      <c r="S2609" s="9" t="n">
        <v>2389.91</v>
      </c>
      <c r="T2609" s="9" t="n">
        <v>2796.11</v>
      </c>
      <c r="U2609" s="10">
        <f>SUM(I2609:T2609)</f>
        <v/>
      </c>
    </row>
    <row r="2610">
      <c r="A2610" s="2" t="inlineStr">
        <is>
          <t>SN-3000-3800-3820-3820PU0523</t>
        </is>
      </c>
      <c r="B2610" s="2" t="inlineStr">
        <is>
          <t>3820PU0523</t>
        </is>
      </c>
      <c r="C2610" s="2" t="inlineStr">
        <is>
          <t>Bomba distribución de cianuro</t>
        </is>
      </c>
      <c r="D2610" s="2" t="n">
        <v>870</v>
      </c>
      <c r="E2610" s="2" t="inlineStr">
        <is>
          <t>CC-3000</t>
        </is>
      </c>
      <c r="F2610" s="2" t="inlineStr">
        <is>
          <t>P01</t>
        </is>
      </c>
      <c r="G2610" s="2" t="n">
        <v>620000</v>
      </c>
      <c r="H2610" s="2" t="inlineStr">
        <is>
          <t>Materiales</t>
        </is>
      </c>
      <c r="I2610" s="9" t="n">
        <v>2332.61</v>
      </c>
      <c r="J2610" s="9" t="n">
        <v>2115.24</v>
      </c>
      <c r="K2610" s="9" t="n">
        <v>2313.81</v>
      </c>
      <c r="L2610" s="9" t="n">
        <v>2309.84</v>
      </c>
      <c r="M2610" s="9" t="n">
        <v>2166.78</v>
      </c>
      <c r="N2610" s="9" t="n">
        <v>2282.49</v>
      </c>
      <c r="O2610" s="9" t="n">
        <v>2089</v>
      </c>
      <c r="P2610" s="9" t="n">
        <v>2178.58</v>
      </c>
      <c r="Q2610" s="9" t="n">
        <v>2042.39</v>
      </c>
      <c r="R2610" s="9" t="n">
        <v>2442.94</v>
      </c>
      <c r="S2610" s="9" t="n">
        <v>2116.03</v>
      </c>
      <c r="T2610" s="9" t="n">
        <v>2106.53</v>
      </c>
      <c r="U2610" s="10">
        <f>SUM(I2610:T2610)</f>
        <v/>
      </c>
    </row>
    <row r="2611">
      <c r="A2611" s="2" t="inlineStr">
        <is>
          <t>SN-3000-3800-3820-3820PU0523</t>
        </is>
      </c>
      <c r="B2611" s="2" t="inlineStr">
        <is>
          <t>3820PU0523</t>
        </is>
      </c>
      <c r="C2611" s="2" t="inlineStr">
        <is>
          <t>Bomba distribución de cianuro</t>
        </is>
      </c>
      <c r="D2611" s="2" t="n">
        <v>870</v>
      </c>
      <c r="E2611" s="2" t="inlineStr">
        <is>
          <t>CC-3000</t>
        </is>
      </c>
      <c r="F2611" s="2" t="inlineStr">
        <is>
          <t>P01</t>
        </is>
      </c>
      <c r="G2611" s="2" t="n">
        <v>630000</v>
      </c>
      <c r="H2611" s="2" t="inlineStr">
        <is>
          <t>Servicios externos</t>
        </is>
      </c>
      <c r="I2611" s="9" t="n">
        <v>2908.38</v>
      </c>
      <c r="J2611" s="9" t="n">
        <v>2772.44</v>
      </c>
      <c r="K2611" s="9" t="n">
        <v>2953.74</v>
      </c>
      <c r="L2611" s="9" t="n">
        <v>2817.59</v>
      </c>
      <c r="M2611" s="9" t="n">
        <v>2675.09</v>
      </c>
      <c r="N2611" s="9" t="n">
        <v>2605.66</v>
      </c>
      <c r="O2611" s="9" t="n">
        <v>2734.98</v>
      </c>
      <c r="P2611" s="9" t="n">
        <v>2746.02</v>
      </c>
      <c r="Q2611" s="9" t="n">
        <v>2653.72</v>
      </c>
      <c r="R2611" s="9" t="n">
        <v>3175.97</v>
      </c>
      <c r="S2611" s="9" t="n">
        <v>2853.19</v>
      </c>
      <c r="T2611" s="9" t="n">
        <v>2696.23</v>
      </c>
      <c r="U2611" s="10">
        <f>SUM(I2611:T2611)</f>
        <v/>
      </c>
    </row>
    <row r="2612">
      <c r="A2612" s="2" t="inlineStr">
        <is>
          <t>SN-3000-3800-3820-3820SK0005</t>
        </is>
      </c>
      <c r="B2612" s="2" t="inlineStr">
        <is>
          <t>3820SK0005</t>
        </is>
      </c>
      <c r="C2612" s="2" t="inlineStr">
        <is>
          <t>Sistema lavado de cianuro</t>
        </is>
      </c>
      <c r="D2612" s="2" t="n">
        <v>871</v>
      </c>
      <c r="E2612" s="2" t="inlineStr">
        <is>
          <t>CC-3000</t>
        </is>
      </c>
      <c r="F2612" s="2" t="inlineStr">
        <is>
          <t>P01</t>
        </is>
      </c>
      <c r="G2612" s="2" t="n">
        <v>610000</v>
      </c>
      <c r="H2612" s="2" t="inlineStr">
        <is>
          <t>Mano obra interna</t>
        </is>
      </c>
      <c r="I2612" s="9" t="n">
        <v>734.73</v>
      </c>
      <c r="J2612" s="9" t="n">
        <v>724.04</v>
      </c>
      <c r="K2612" s="9" t="n">
        <v>690.21</v>
      </c>
      <c r="L2612" s="9" t="n">
        <v>717.91</v>
      </c>
      <c r="M2612" s="9" t="n">
        <v>641.3200000000001</v>
      </c>
      <c r="N2612" s="9" t="n">
        <v>687.5</v>
      </c>
      <c r="O2612" s="9" t="n">
        <v>647.59</v>
      </c>
      <c r="P2612" s="9" t="n">
        <v>664.8200000000001</v>
      </c>
      <c r="Q2612" s="9" t="n">
        <v>636.14</v>
      </c>
      <c r="R2612" s="9" t="n">
        <v>749.21</v>
      </c>
      <c r="S2612" s="9" t="n">
        <v>668.84</v>
      </c>
      <c r="T2612" s="9" t="n">
        <v>650.3200000000001</v>
      </c>
      <c r="U2612" s="10">
        <f>SUM(I2612:T2612)</f>
        <v/>
      </c>
    </row>
    <row r="2613">
      <c r="A2613" s="2" t="inlineStr">
        <is>
          <t>SN-3000-3800-3820-3820SK0005</t>
        </is>
      </c>
      <c r="B2613" s="2" t="inlineStr">
        <is>
          <t>3820SK0005</t>
        </is>
      </c>
      <c r="C2613" s="2" t="inlineStr">
        <is>
          <t>Sistema lavado de cianuro</t>
        </is>
      </c>
      <c r="D2613" s="2" t="n">
        <v>871</v>
      </c>
      <c r="E2613" s="2" t="inlineStr">
        <is>
          <t>CC-3000</t>
        </is>
      </c>
      <c r="F2613" s="2" t="inlineStr">
        <is>
          <t>P01</t>
        </is>
      </c>
      <c r="G2613" s="2" t="n">
        <v>620000</v>
      </c>
      <c r="H2613" s="2" t="inlineStr">
        <is>
          <t>Materiales</t>
        </is>
      </c>
      <c r="I2613" s="9" t="n">
        <v>629.66</v>
      </c>
      <c r="J2613" s="9" t="n">
        <v>602.86</v>
      </c>
      <c r="K2613" s="9" t="n">
        <v>604.65</v>
      </c>
      <c r="L2613" s="9" t="n">
        <v>597.28</v>
      </c>
      <c r="M2613" s="9" t="n">
        <v>536.22</v>
      </c>
      <c r="N2613" s="9" t="n">
        <v>525.84</v>
      </c>
      <c r="O2613" s="9" t="n">
        <v>555.1</v>
      </c>
      <c r="P2613" s="9" t="n">
        <v>576.1900000000001</v>
      </c>
      <c r="Q2613" s="9" t="n">
        <v>557.6900000000001</v>
      </c>
      <c r="R2613" s="9" t="n">
        <v>619.11</v>
      </c>
      <c r="S2613" s="9" t="n">
        <v>525.8</v>
      </c>
      <c r="T2613" s="9" t="n">
        <v>580.6</v>
      </c>
      <c r="U2613" s="10">
        <f>SUM(I2613:T2613)</f>
        <v/>
      </c>
    </row>
    <row r="2614">
      <c r="A2614" s="2" t="inlineStr">
        <is>
          <t>SN-3000-3800-3820-3820SK0005</t>
        </is>
      </c>
      <c r="B2614" s="2" t="inlineStr">
        <is>
          <t>3820SK0005</t>
        </is>
      </c>
      <c r="C2614" s="2" t="inlineStr">
        <is>
          <t>Sistema lavado de cianuro</t>
        </is>
      </c>
      <c r="D2614" s="2" t="n">
        <v>871</v>
      </c>
      <c r="E2614" s="2" t="inlineStr">
        <is>
          <t>CC-3000</t>
        </is>
      </c>
      <c r="F2614" s="2" t="inlineStr">
        <is>
          <t>P01</t>
        </is>
      </c>
      <c r="G2614" s="2" t="n">
        <v>630000</v>
      </c>
      <c r="H2614" s="2" t="inlineStr">
        <is>
          <t>Servicios externos</t>
        </is>
      </c>
      <c r="I2614" s="9" t="n">
        <v>568.87</v>
      </c>
      <c r="J2614" s="9" t="n">
        <v>499.46</v>
      </c>
      <c r="K2614" s="9" t="n">
        <v>551.13</v>
      </c>
      <c r="L2614" s="9" t="n">
        <v>564.48</v>
      </c>
      <c r="M2614" s="9" t="n">
        <v>507.13</v>
      </c>
      <c r="N2614" s="9" t="n">
        <v>477.44</v>
      </c>
      <c r="O2614" s="9" t="n">
        <v>541.39</v>
      </c>
      <c r="P2614" s="9" t="n">
        <v>497.14</v>
      </c>
      <c r="Q2614" s="9" t="n">
        <v>505.7</v>
      </c>
      <c r="R2614" s="9" t="n">
        <v>601.17</v>
      </c>
      <c r="S2614" s="9" t="n">
        <v>504.45</v>
      </c>
      <c r="T2614" s="9" t="n">
        <v>542.66</v>
      </c>
      <c r="U2614" s="10">
        <f>SUM(I2614:T2614)</f>
        <v/>
      </c>
    </row>
    <row r="2615">
      <c r="A2615" s="2" t="inlineStr">
        <is>
          <t>SN-3000-3800-3820-3820SY0014</t>
        </is>
      </c>
      <c r="B2615" s="2" t="inlineStr">
        <is>
          <t>3820SY0014</t>
        </is>
      </c>
      <c r="C2615" s="2" t="inlineStr">
        <is>
          <t>Ducha y lava ojos emergencia</t>
        </is>
      </c>
      <c r="D2615" s="2" t="n">
        <v>872</v>
      </c>
      <c r="E2615" s="2" t="inlineStr">
        <is>
          <t>CC-3000</t>
        </is>
      </c>
      <c r="F2615" s="2" t="inlineStr">
        <is>
          <t>P01</t>
        </is>
      </c>
      <c r="G2615" s="2" t="n">
        <v>610000</v>
      </c>
      <c r="H2615" s="2" t="inlineStr">
        <is>
          <t>Mano obra interna</t>
        </is>
      </c>
      <c r="I2615" s="9" t="n">
        <v>2138.46</v>
      </c>
      <c r="J2615" s="9" t="n">
        <v>2237.32</v>
      </c>
      <c r="K2615" s="9" t="n">
        <v>2051.96</v>
      </c>
      <c r="L2615" s="9" t="n">
        <v>2222.82</v>
      </c>
      <c r="M2615" s="9" t="n">
        <v>2133.61</v>
      </c>
      <c r="N2615" s="9" t="n">
        <v>2131.92</v>
      </c>
      <c r="O2615" s="9" t="n">
        <v>1968.18</v>
      </c>
      <c r="P2615" s="9" t="n">
        <v>2028.99</v>
      </c>
      <c r="Q2615" s="9" t="n">
        <v>1843.76</v>
      </c>
      <c r="R2615" s="9" t="n">
        <v>2426.84</v>
      </c>
      <c r="S2615" s="9" t="n">
        <v>2013.39</v>
      </c>
      <c r="T2615" s="9" t="n">
        <v>2275.9</v>
      </c>
      <c r="U2615" s="10">
        <f>SUM(I2615:T2615)</f>
        <v/>
      </c>
    </row>
    <row r="2616">
      <c r="A2616" s="2" t="inlineStr">
        <is>
          <t>SN-3000-3800-3820-3820SY0014</t>
        </is>
      </c>
      <c r="B2616" s="2" t="inlineStr">
        <is>
          <t>3820SY0014</t>
        </is>
      </c>
      <c r="C2616" s="2" t="inlineStr">
        <is>
          <t>Ducha y lava ojos emergencia</t>
        </is>
      </c>
      <c r="D2616" s="2" t="n">
        <v>872</v>
      </c>
      <c r="E2616" s="2" t="inlineStr">
        <is>
          <t>CC-3000</t>
        </is>
      </c>
      <c r="F2616" s="2" t="inlineStr">
        <is>
          <t>P01</t>
        </is>
      </c>
      <c r="G2616" s="2" t="n">
        <v>620000</v>
      </c>
      <c r="H2616" s="2" t="inlineStr">
        <is>
          <t>Materiales</t>
        </is>
      </c>
      <c r="I2616" s="9" t="n">
        <v>1656.14</v>
      </c>
      <c r="J2616" s="9" t="n">
        <v>1644.03</v>
      </c>
      <c r="K2616" s="9" t="n">
        <v>1807.75</v>
      </c>
      <c r="L2616" s="9" t="n">
        <v>1860.92</v>
      </c>
      <c r="M2616" s="9" t="n">
        <v>1676.31</v>
      </c>
      <c r="N2616" s="9" t="n">
        <v>1759.16</v>
      </c>
      <c r="O2616" s="9" t="n">
        <v>1655.61</v>
      </c>
      <c r="P2616" s="9" t="n">
        <v>1777.58</v>
      </c>
      <c r="Q2616" s="9" t="n">
        <v>1666.78</v>
      </c>
      <c r="R2616" s="9" t="n">
        <v>1793.5</v>
      </c>
      <c r="S2616" s="9" t="n">
        <v>1543.95</v>
      </c>
      <c r="T2616" s="9" t="n">
        <v>1713.34</v>
      </c>
      <c r="U2616" s="10">
        <f>SUM(I2616:T2616)</f>
        <v/>
      </c>
    </row>
    <row r="2617">
      <c r="A2617" s="2" t="inlineStr">
        <is>
          <t>SN-3000-3800-3820-3820SY0014</t>
        </is>
      </c>
      <c r="B2617" s="2" t="inlineStr">
        <is>
          <t>3820SY0014</t>
        </is>
      </c>
      <c r="C2617" s="2" t="inlineStr">
        <is>
          <t>Ducha y lava ojos emergencia</t>
        </is>
      </c>
      <c r="D2617" s="2" t="n">
        <v>872</v>
      </c>
      <c r="E2617" s="2" t="inlineStr">
        <is>
          <t>CC-3000</t>
        </is>
      </c>
      <c r="F2617" s="2" t="inlineStr">
        <is>
          <t>P01</t>
        </is>
      </c>
      <c r="G2617" s="2" t="n">
        <v>630000</v>
      </c>
      <c r="H2617" s="2" t="inlineStr">
        <is>
          <t>Servicios externos</t>
        </is>
      </c>
      <c r="I2617" s="9" t="n">
        <v>1689.26</v>
      </c>
      <c r="J2617" s="9" t="n">
        <v>1642.64</v>
      </c>
      <c r="K2617" s="9" t="n">
        <v>1664.67</v>
      </c>
      <c r="L2617" s="9" t="n">
        <v>1646.98</v>
      </c>
      <c r="M2617" s="9" t="n">
        <v>1475.16</v>
      </c>
      <c r="N2617" s="9" t="n">
        <v>1385.38</v>
      </c>
      <c r="O2617" s="9" t="n">
        <v>1630.95</v>
      </c>
      <c r="P2617" s="9" t="n">
        <v>1568.6</v>
      </c>
      <c r="Q2617" s="9" t="n">
        <v>1489.63</v>
      </c>
      <c r="R2617" s="9" t="n">
        <v>1752.04</v>
      </c>
      <c r="S2617" s="9" t="n">
        <v>1483.57</v>
      </c>
      <c r="T2617" s="9" t="n">
        <v>1488.39</v>
      </c>
      <c r="U2617" s="10">
        <f>SUM(I2617:T2617)</f>
        <v/>
      </c>
    </row>
    <row r="2618">
      <c r="A2618" s="2" t="inlineStr">
        <is>
          <t>SN-3000-3800-3820-3820SY0032</t>
        </is>
      </c>
      <c r="B2618" s="2" t="inlineStr">
        <is>
          <t>3820SY0032</t>
        </is>
      </c>
      <c r="C2618" s="2" t="inlineStr">
        <is>
          <t>Ducha y lava ojos emergencia</t>
        </is>
      </c>
      <c r="D2618" s="2" t="n">
        <v>873</v>
      </c>
      <c r="E2618" s="2" t="inlineStr">
        <is>
          <t>CC-3000</t>
        </is>
      </c>
      <c r="F2618" s="2" t="inlineStr">
        <is>
          <t>P01</t>
        </is>
      </c>
      <c r="G2618" s="2" t="n">
        <v>610000</v>
      </c>
      <c r="H2618" s="2" t="inlineStr">
        <is>
          <t>Mano obra interna</t>
        </is>
      </c>
      <c r="I2618" s="9" t="n">
        <v>1251.01</v>
      </c>
      <c r="J2618" s="9" t="n">
        <v>1279.5</v>
      </c>
      <c r="K2618" s="9" t="n">
        <v>1260.96</v>
      </c>
      <c r="L2618" s="9" t="n">
        <v>1204.68</v>
      </c>
      <c r="M2618" s="9" t="n">
        <v>1157.51</v>
      </c>
      <c r="N2618" s="9" t="n">
        <v>1226.42</v>
      </c>
      <c r="O2618" s="9" t="n">
        <v>1249.95</v>
      </c>
      <c r="P2618" s="9" t="n">
        <v>1214.84</v>
      </c>
      <c r="Q2618" s="9" t="n">
        <v>1147.8</v>
      </c>
      <c r="R2618" s="9" t="n">
        <v>1341.99</v>
      </c>
      <c r="S2618" s="9" t="n">
        <v>1145.33</v>
      </c>
      <c r="T2618" s="9" t="n">
        <v>1228.5</v>
      </c>
      <c r="U2618" s="10">
        <f>SUM(I2618:T2618)</f>
        <v/>
      </c>
    </row>
    <row r="2619">
      <c r="A2619" s="2" t="inlineStr">
        <is>
          <t>SN-3000-3800-3820-3820SY0032</t>
        </is>
      </c>
      <c r="B2619" s="2" t="inlineStr">
        <is>
          <t>3820SY0032</t>
        </is>
      </c>
      <c r="C2619" s="2" t="inlineStr">
        <is>
          <t>Ducha y lava ojos emergencia</t>
        </is>
      </c>
      <c r="D2619" s="2" t="n">
        <v>873</v>
      </c>
      <c r="E2619" s="2" t="inlineStr">
        <is>
          <t>CC-3000</t>
        </is>
      </c>
      <c r="F2619" s="2" t="inlineStr">
        <is>
          <t>P01</t>
        </is>
      </c>
      <c r="G2619" s="2" t="n">
        <v>620000</v>
      </c>
      <c r="H2619" s="2" t="inlineStr">
        <is>
          <t>Materiales</t>
        </is>
      </c>
      <c r="I2619" s="9" t="n">
        <v>1031.56</v>
      </c>
      <c r="J2619" s="9" t="n">
        <v>1013.38</v>
      </c>
      <c r="K2619" s="9" t="n">
        <v>1005.95</v>
      </c>
      <c r="L2619" s="9" t="n">
        <v>1033.63</v>
      </c>
      <c r="M2619" s="9" t="n">
        <v>999.5700000000001</v>
      </c>
      <c r="N2619" s="9" t="n">
        <v>949.98</v>
      </c>
      <c r="O2619" s="9" t="n">
        <v>1111.43</v>
      </c>
      <c r="P2619" s="9" t="n">
        <v>957.96</v>
      </c>
      <c r="Q2619" s="9" t="n">
        <v>979.65</v>
      </c>
      <c r="R2619" s="9" t="n">
        <v>1051.76</v>
      </c>
      <c r="S2619" s="9" t="n">
        <v>1050.11</v>
      </c>
      <c r="T2619" s="9" t="n">
        <v>1113.34</v>
      </c>
      <c r="U2619" s="10">
        <f>SUM(I2619:T2619)</f>
        <v/>
      </c>
    </row>
    <row r="2620">
      <c r="A2620" s="2" t="inlineStr">
        <is>
          <t>SN-3000-3800-3820-3820SY0032</t>
        </is>
      </c>
      <c r="B2620" s="2" t="inlineStr">
        <is>
          <t>3820SY0032</t>
        </is>
      </c>
      <c r="C2620" s="2" t="inlineStr">
        <is>
          <t>Ducha y lava ojos emergencia</t>
        </is>
      </c>
      <c r="D2620" s="2" t="n">
        <v>873</v>
      </c>
      <c r="E2620" s="2" t="inlineStr">
        <is>
          <t>CC-3000</t>
        </is>
      </c>
      <c r="F2620" s="2" t="inlineStr">
        <is>
          <t>P01</t>
        </is>
      </c>
      <c r="G2620" s="2" t="n">
        <v>630000</v>
      </c>
      <c r="H2620" s="2" t="inlineStr">
        <is>
          <t>Servicios externos</t>
        </is>
      </c>
      <c r="I2620" s="9" t="n">
        <v>1162.33</v>
      </c>
      <c r="J2620" s="9" t="n">
        <v>1023.51</v>
      </c>
      <c r="K2620" s="9" t="n">
        <v>1052.5</v>
      </c>
      <c r="L2620" s="9" t="n">
        <v>1073.83</v>
      </c>
      <c r="M2620" s="9" t="n">
        <v>1044.22</v>
      </c>
      <c r="N2620" s="9" t="n">
        <v>1018.01</v>
      </c>
      <c r="O2620" s="9" t="n">
        <v>1061.04</v>
      </c>
      <c r="P2620" s="9" t="n">
        <v>1066.37</v>
      </c>
      <c r="Q2620" s="9" t="n">
        <v>1041.6</v>
      </c>
      <c r="R2620" s="9" t="n">
        <v>1119.94</v>
      </c>
      <c r="S2620" s="9" t="n">
        <v>967.27</v>
      </c>
      <c r="T2620" s="9" t="n">
        <v>1096.82</v>
      </c>
      <c r="U2620" s="10">
        <f>SUM(I2620:T2620)</f>
        <v/>
      </c>
    </row>
    <row r="2621">
      <c r="A2621" s="2" t="inlineStr">
        <is>
          <t>SN-3000-3800-3820-3820SY0033</t>
        </is>
      </c>
      <c r="B2621" s="2" t="inlineStr">
        <is>
          <t>3820SY0033</t>
        </is>
      </c>
      <c r="C2621" s="2" t="inlineStr">
        <is>
          <t>Lava ojos emergencia</t>
        </is>
      </c>
      <c r="D2621" s="2" t="n">
        <v>874</v>
      </c>
      <c r="E2621" s="2" t="inlineStr">
        <is>
          <t>CC-3000</t>
        </is>
      </c>
      <c r="F2621" s="2" t="inlineStr">
        <is>
          <t>P01</t>
        </is>
      </c>
      <c r="G2621" s="2" t="n">
        <v>610000</v>
      </c>
      <c r="H2621" s="2" t="inlineStr">
        <is>
          <t>Mano obra interna</t>
        </is>
      </c>
      <c r="I2621" s="9" t="n">
        <v>688.23</v>
      </c>
      <c r="J2621" s="9" t="n">
        <v>672.4</v>
      </c>
      <c r="K2621" s="9" t="n">
        <v>749.36</v>
      </c>
      <c r="L2621" s="9" t="n">
        <v>709.76</v>
      </c>
      <c r="M2621" s="9" t="n">
        <v>761.09</v>
      </c>
      <c r="N2621" s="9" t="n">
        <v>657.12</v>
      </c>
      <c r="O2621" s="9" t="n">
        <v>669.85</v>
      </c>
      <c r="P2621" s="9" t="n">
        <v>718.61</v>
      </c>
      <c r="Q2621" s="9" t="n">
        <v>727.61</v>
      </c>
      <c r="R2621" s="9" t="n">
        <v>798.86</v>
      </c>
      <c r="S2621" s="9" t="n">
        <v>685.67</v>
      </c>
      <c r="T2621" s="9" t="n">
        <v>679.1</v>
      </c>
      <c r="U2621" s="10">
        <f>SUM(I2621:T2621)</f>
        <v/>
      </c>
    </row>
    <row r="2622">
      <c r="A2622" s="2" t="inlineStr">
        <is>
          <t>SN-3000-3800-3820-3820SY0033</t>
        </is>
      </c>
      <c r="B2622" s="2" t="inlineStr">
        <is>
          <t>3820SY0033</t>
        </is>
      </c>
      <c r="C2622" s="2" t="inlineStr">
        <is>
          <t>Lava ojos emergencia</t>
        </is>
      </c>
      <c r="D2622" s="2" t="n">
        <v>874</v>
      </c>
      <c r="E2622" s="2" t="inlineStr">
        <is>
          <t>CC-3000</t>
        </is>
      </c>
      <c r="F2622" s="2" t="inlineStr">
        <is>
          <t>P01</t>
        </is>
      </c>
      <c r="G2622" s="2" t="n">
        <v>620000</v>
      </c>
      <c r="H2622" s="2" t="inlineStr">
        <is>
          <t>Materiales</t>
        </is>
      </c>
      <c r="I2622" s="9" t="n">
        <v>684.33</v>
      </c>
      <c r="J2622" s="9" t="n">
        <v>709.12</v>
      </c>
      <c r="K2622" s="9" t="n">
        <v>735.29</v>
      </c>
      <c r="L2622" s="9" t="n">
        <v>691.89</v>
      </c>
      <c r="M2622" s="9" t="n">
        <v>648.1</v>
      </c>
      <c r="N2622" s="9" t="n">
        <v>699.9299999999999</v>
      </c>
      <c r="O2622" s="9" t="n">
        <v>713.33</v>
      </c>
      <c r="P2622" s="9" t="n">
        <v>741.34</v>
      </c>
      <c r="Q2622" s="9" t="n">
        <v>629.61</v>
      </c>
      <c r="R2622" s="9" t="n">
        <v>777.11</v>
      </c>
      <c r="S2622" s="9" t="n">
        <v>639.38</v>
      </c>
      <c r="T2622" s="9" t="n">
        <v>690.0599999999999</v>
      </c>
      <c r="U2622" s="10">
        <f>SUM(I2622:T2622)</f>
        <v/>
      </c>
    </row>
    <row r="2623">
      <c r="A2623" s="2" t="inlineStr">
        <is>
          <t>SN-3000-3800-3820-3820SY0033</t>
        </is>
      </c>
      <c r="B2623" s="2" t="inlineStr">
        <is>
          <t>3820SY0033</t>
        </is>
      </c>
      <c r="C2623" s="2" t="inlineStr">
        <is>
          <t>Lava ojos emergencia</t>
        </is>
      </c>
      <c r="D2623" s="2" t="n">
        <v>874</v>
      </c>
      <c r="E2623" s="2" t="inlineStr">
        <is>
          <t>CC-3000</t>
        </is>
      </c>
      <c r="F2623" s="2" t="inlineStr">
        <is>
          <t>P01</t>
        </is>
      </c>
      <c r="G2623" s="2" t="n">
        <v>630000</v>
      </c>
      <c r="H2623" s="2" t="inlineStr">
        <is>
          <t>Servicios externos</t>
        </is>
      </c>
      <c r="I2623" s="9" t="n">
        <v>775.83</v>
      </c>
      <c r="J2623" s="9" t="n">
        <v>691.03</v>
      </c>
      <c r="K2623" s="9" t="n">
        <v>780.85</v>
      </c>
      <c r="L2623" s="9" t="n">
        <v>759.28</v>
      </c>
      <c r="M2623" s="9" t="n">
        <v>697.58</v>
      </c>
      <c r="N2623" s="9" t="n">
        <v>732.21</v>
      </c>
      <c r="O2623" s="9" t="n">
        <v>723.75</v>
      </c>
      <c r="P2623" s="9" t="n">
        <v>738.9400000000001</v>
      </c>
      <c r="Q2623" s="9" t="n">
        <v>671.95</v>
      </c>
      <c r="R2623" s="9" t="n">
        <v>773.11</v>
      </c>
      <c r="S2623" s="9" t="n">
        <v>738.22</v>
      </c>
      <c r="T2623" s="9" t="n">
        <v>709</v>
      </c>
      <c r="U2623" s="10">
        <f>SUM(I2623:T2623)</f>
        <v/>
      </c>
    </row>
    <row r="2624">
      <c r="A2624" s="2" t="inlineStr">
        <is>
          <t>SN-3000-3800-3820-3820TA0029</t>
        </is>
      </c>
      <c r="B2624" s="2" t="inlineStr">
        <is>
          <t>3820TA0029</t>
        </is>
      </c>
      <c r="C2624" s="2" t="inlineStr">
        <is>
          <t>Estanque preparación cianuro de sodio</t>
        </is>
      </c>
      <c r="D2624" s="2" t="n">
        <v>875</v>
      </c>
      <c r="E2624" s="2" t="inlineStr">
        <is>
          <t>CC-3000</t>
        </is>
      </c>
      <c r="F2624" s="2" t="inlineStr">
        <is>
          <t>P01</t>
        </is>
      </c>
      <c r="G2624" s="2" t="n">
        <v>610000</v>
      </c>
      <c r="H2624" s="2" t="inlineStr">
        <is>
          <t>Mano obra interna</t>
        </is>
      </c>
      <c r="I2624" s="9" t="n">
        <v>1187.89</v>
      </c>
      <c r="J2624" s="9" t="n">
        <v>1136.55</v>
      </c>
      <c r="K2624" s="9" t="n">
        <v>1107.53</v>
      </c>
      <c r="L2624" s="9" t="n">
        <v>1064.74</v>
      </c>
      <c r="M2624" s="9" t="n">
        <v>1116.12</v>
      </c>
      <c r="N2624" s="9" t="n">
        <v>978.1</v>
      </c>
      <c r="O2624" s="9" t="n">
        <v>1084.09</v>
      </c>
      <c r="P2624" s="9" t="n">
        <v>1023.52</v>
      </c>
      <c r="Q2624" s="9" t="n">
        <v>1037.15</v>
      </c>
      <c r="R2624" s="9" t="n">
        <v>1093.52</v>
      </c>
      <c r="S2624" s="9" t="n">
        <v>1083.9</v>
      </c>
      <c r="T2624" s="9" t="n">
        <v>1144.12</v>
      </c>
      <c r="U2624" s="10">
        <f>SUM(I2624:T2624)</f>
        <v/>
      </c>
    </row>
    <row r="2625">
      <c r="A2625" s="2" t="inlineStr">
        <is>
          <t>SN-3000-3800-3820-3820TA0029</t>
        </is>
      </c>
      <c r="B2625" s="2" t="inlineStr">
        <is>
          <t>3820TA0029</t>
        </is>
      </c>
      <c r="C2625" s="2" t="inlineStr">
        <is>
          <t>Estanque preparación cianuro de sodio</t>
        </is>
      </c>
      <c r="D2625" s="2" t="n">
        <v>875</v>
      </c>
      <c r="E2625" s="2" t="inlineStr">
        <is>
          <t>CC-3000</t>
        </is>
      </c>
      <c r="F2625" s="2" t="inlineStr">
        <is>
          <t>P01</t>
        </is>
      </c>
      <c r="G2625" s="2" t="n">
        <v>620000</v>
      </c>
      <c r="H2625" s="2" t="inlineStr">
        <is>
          <t>Materiales</t>
        </is>
      </c>
      <c r="I2625" s="9" t="n">
        <v>1190.17</v>
      </c>
      <c r="J2625" s="9" t="n">
        <v>1133.95</v>
      </c>
      <c r="K2625" s="9" t="n">
        <v>1230.83</v>
      </c>
      <c r="L2625" s="9" t="n">
        <v>1249.93</v>
      </c>
      <c r="M2625" s="9" t="n">
        <v>1244.79</v>
      </c>
      <c r="N2625" s="9" t="n">
        <v>1081.96</v>
      </c>
      <c r="O2625" s="9" t="n">
        <v>1271.92</v>
      </c>
      <c r="P2625" s="9" t="n">
        <v>1270.72</v>
      </c>
      <c r="Q2625" s="9" t="n">
        <v>1134.65</v>
      </c>
      <c r="R2625" s="9" t="n">
        <v>1293.03</v>
      </c>
      <c r="S2625" s="9" t="n">
        <v>1255.74</v>
      </c>
      <c r="T2625" s="9" t="n">
        <v>1304.9</v>
      </c>
      <c r="U2625" s="10">
        <f>SUM(I2625:T2625)</f>
        <v/>
      </c>
    </row>
    <row r="2626">
      <c r="A2626" s="2" t="inlineStr">
        <is>
          <t>SN-3000-3800-3820-3820TA0029</t>
        </is>
      </c>
      <c r="B2626" s="2" t="inlineStr">
        <is>
          <t>3820TA0029</t>
        </is>
      </c>
      <c r="C2626" s="2" t="inlineStr">
        <is>
          <t>Estanque preparación cianuro de sodio</t>
        </is>
      </c>
      <c r="D2626" s="2" t="n">
        <v>875</v>
      </c>
      <c r="E2626" s="2" t="inlineStr">
        <is>
          <t>CC-3000</t>
        </is>
      </c>
      <c r="F2626" s="2" t="inlineStr">
        <is>
          <t>P01</t>
        </is>
      </c>
      <c r="G2626" s="2" t="n">
        <v>630000</v>
      </c>
      <c r="H2626" s="2" t="inlineStr">
        <is>
          <t>Servicios externos</t>
        </is>
      </c>
      <c r="I2626" s="9" t="n">
        <v>1409.54</v>
      </c>
      <c r="J2626" s="9" t="n">
        <v>1478.67</v>
      </c>
      <c r="K2626" s="9" t="n">
        <v>1358.25</v>
      </c>
      <c r="L2626" s="9" t="n">
        <v>1420.31</v>
      </c>
      <c r="M2626" s="9" t="n">
        <v>1387.34</v>
      </c>
      <c r="N2626" s="9" t="n">
        <v>1334.97</v>
      </c>
      <c r="O2626" s="9" t="n">
        <v>1438.51</v>
      </c>
      <c r="P2626" s="9" t="n">
        <v>1334.27</v>
      </c>
      <c r="Q2626" s="9" t="n">
        <v>1389.14</v>
      </c>
      <c r="R2626" s="9" t="n">
        <v>1532.79</v>
      </c>
      <c r="S2626" s="9" t="n">
        <v>1452.88</v>
      </c>
      <c r="T2626" s="9" t="n">
        <v>1316.73</v>
      </c>
      <c r="U2626" s="10">
        <f>SUM(I2626:T2626)</f>
        <v/>
      </c>
    </row>
    <row r="2627">
      <c r="A2627" s="2" t="inlineStr">
        <is>
          <t>SN-3000-3800-3820-3820TA0030</t>
        </is>
      </c>
      <c r="B2627" s="2" t="inlineStr">
        <is>
          <t>3820TA0030</t>
        </is>
      </c>
      <c r="C2627" s="2" t="inlineStr">
        <is>
          <t>Estanque distribución de cianuro</t>
        </is>
      </c>
      <c r="D2627" s="2" t="n">
        <v>876</v>
      </c>
      <c r="E2627" s="2" t="inlineStr">
        <is>
          <t>CC-3000</t>
        </is>
      </c>
      <c r="F2627" s="2" t="inlineStr">
        <is>
          <t>P01</t>
        </is>
      </c>
      <c r="G2627" s="2" t="n">
        <v>610000</v>
      </c>
      <c r="H2627" s="2" t="inlineStr">
        <is>
          <t>Mano obra interna</t>
        </is>
      </c>
      <c r="I2627" s="9" t="n">
        <v>2938.03</v>
      </c>
      <c r="J2627" s="9" t="n">
        <v>2877.07</v>
      </c>
      <c r="K2627" s="9" t="n">
        <v>3128.75</v>
      </c>
      <c r="L2627" s="9" t="n">
        <v>2853.03</v>
      </c>
      <c r="M2627" s="9" t="n">
        <v>2752.34</v>
      </c>
      <c r="N2627" s="9" t="n">
        <v>2881.33</v>
      </c>
      <c r="O2627" s="9" t="n">
        <v>2930.23</v>
      </c>
      <c r="P2627" s="9" t="n">
        <v>2792.44</v>
      </c>
      <c r="Q2627" s="9" t="n">
        <v>2710.21</v>
      </c>
      <c r="R2627" s="9" t="n">
        <v>3127.47</v>
      </c>
      <c r="S2627" s="9" t="n">
        <v>2912.26</v>
      </c>
      <c r="T2627" s="9" t="n">
        <v>2726.54</v>
      </c>
      <c r="U2627" s="10">
        <f>SUM(I2627:T2627)</f>
        <v/>
      </c>
    </row>
    <row r="2628">
      <c r="A2628" s="2" t="inlineStr">
        <is>
          <t>SN-3000-3800-3820-3820TA0030</t>
        </is>
      </c>
      <c r="B2628" s="2" t="inlineStr">
        <is>
          <t>3820TA0030</t>
        </is>
      </c>
      <c r="C2628" s="2" t="inlineStr">
        <is>
          <t>Estanque distribución de cianuro</t>
        </is>
      </c>
      <c r="D2628" s="2" t="n">
        <v>876</v>
      </c>
      <c r="E2628" s="2" t="inlineStr">
        <is>
          <t>CC-3000</t>
        </is>
      </c>
      <c r="F2628" s="2" t="inlineStr">
        <is>
          <t>P01</t>
        </is>
      </c>
      <c r="G2628" s="2" t="n">
        <v>620000</v>
      </c>
      <c r="H2628" s="2" t="inlineStr">
        <is>
          <t>Materiales</t>
        </is>
      </c>
      <c r="I2628" s="9" t="n">
        <v>2877.9</v>
      </c>
      <c r="J2628" s="9" t="n">
        <v>2837.53</v>
      </c>
      <c r="K2628" s="9" t="n">
        <v>3038.08</v>
      </c>
      <c r="L2628" s="9" t="n">
        <v>2806.26</v>
      </c>
      <c r="M2628" s="9" t="n">
        <v>2674.45</v>
      </c>
      <c r="N2628" s="9" t="n">
        <v>2481.82</v>
      </c>
      <c r="O2628" s="9" t="n">
        <v>2701.1</v>
      </c>
      <c r="P2628" s="9" t="n">
        <v>2578.92</v>
      </c>
      <c r="Q2628" s="9" t="n">
        <v>2705.66</v>
      </c>
      <c r="R2628" s="9" t="n">
        <v>3136.53</v>
      </c>
      <c r="S2628" s="9" t="n">
        <v>2648.18</v>
      </c>
      <c r="T2628" s="9" t="n">
        <v>2705.22</v>
      </c>
      <c r="U2628" s="10">
        <f>SUM(I2628:T2628)</f>
        <v/>
      </c>
    </row>
    <row r="2629">
      <c r="A2629" s="2" t="inlineStr">
        <is>
          <t>SN-3000-3800-3820-3820TA0030</t>
        </is>
      </c>
      <c r="B2629" s="2" t="inlineStr">
        <is>
          <t>3820TA0030</t>
        </is>
      </c>
      <c r="C2629" s="2" t="inlineStr">
        <is>
          <t>Estanque distribución de cianuro</t>
        </is>
      </c>
      <c r="D2629" s="2" t="n">
        <v>876</v>
      </c>
      <c r="E2629" s="2" t="inlineStr">
        <is>
          <t>CC-3000</t>
        </is>
      </c>
      <c r="F2629" s="2" t="inlineStr">
        <is>
          <t>P01</t>
        </is>
      </c>
      <c r="G2629" s="2" t="n">
        <v>630000</v>
      </c>
      <c r="H2629" s="2" t="inlineStr">
        <is>
          <t>Servicios externos</t>
        </is>
      </c>
      <c r="I2629" s="9" t="n">
        <v>2634.4</v>
      </c>
      <c r="J2629" s="9" t="n">
        <v>2551.64</v>
      </c>
      <c r="K2629" s="9" t="n">
        <v>2426.35</v>
      </c>
      <c r="L2629" s="9" t="n">
        <v>2545.81</v>
      </c>
      <c r="M2629" s="9" t="n">
        <v>2324.65</v>
      </c>
      <c r="N2629" s="9" t="n">
        <v>2233.22</v>
      </c>
      <c r="O2629" s="9" t="n">
        <v>2257.14</v>
      </c>
      <c r="P2629" s="9" t="n">
        <v>2471.61</v>
      </c>
      <c r="Q2629" s="9" t="n">
        <v>2147.02</v>
      </c>
      <c r="R2629" s="9" t="n">
        <v>2429.33</v>
      </c>
      <c r="S2629" s="9" t="n">
        <v>2215.72</v>
      </c>
      <c r="T2629" s="9" t="n">
        <v>2405.69</v>
      </c>
      <c r="U2629" s="10">
        <f>SUM(I2629:T2629)</f>
        <v/>
      </c>
    </row>
    <row r="2630">
      <c r="A2630" s="2" t="inlineStr">
        <is>
          <t>SN-3000-3800-3820-3820TA0031</t>
        </is>
      </c>
      <c r="B2630" s="2" t="inlineStr">
        <is>
          <t>3820TA0031</t>
        </is>
      </c>
      <c r="C2630" s="2" t="inlineStr">
        <is>
          <t>Estanque hidróxido de sodio</t>
        </is>
      </c>
      <c r="D2630" s="2" t="n">
        <v>877</v>
      </c>
      <c r="E2630" s="2" t="inlineStr">
        <is>
          <t>CC-3000</t>
        </is>
      </c>
      <c r="F2630" s="2" t="inlineStr">
        <is>
          <t>P01</t>
        </is>
      </c>
      <c r="G2630" s="2" t="n">
        <v>610000</v>
      </c>
      <c r="H2630" s="2" t="inlineStr">
        <is>
          <t>Mano obra interna</t>
        </is>
      </c>
      <c r="I2630" s="9" t="n">
        <v>2826.88</v>
      </c>
      <c r="J2630" s="9" t="n">
        <v>3041.05</v>
      </c>
      <c r="K2630" s="9" t="n">
        <v>2897.99</v>
      </c>
      <c r="L2630" s="9" t="n">
        <v>2891.35</v>
      </c>
      <c r="M2630" s="9" t="n">
        <v>2747.59</v>
      </c>
      <c r="N2630" s="9" t="n">
        <v>2670.27</v>
      </c>
      <c r="O2630" s="9" t="n">
        <v>2710.61</v>
      </c>
      <c r="P2630" s="9" t="n">
        <v>2809.93</v>
      </c>
      <c r="Q2630" s="9" t="n">
        <v>2862.25</v>
      </c>
      <c r="R2630" s="9" t="n">
        <v>3230.05</v>
      </c>
      <c r="S2630" s="9" t="n">
        <v>2983.64</v>
      </c>
      <c r="T2630" s="9" t="n">
        <v>2764.12</v>
      </c>
      <c r="U2630" s="10">
        <f>SUM(I2630:T2630)</f>
        <v/>
      </c>
    </row>
    <row r="2631">
      <c r="A2631" s="2" t="inlineStr">
        <is>
          <t>SN-3000-3800-3820-3820TA0031</t>
        </is>
      </c>
      <c r="B2631" s="2" t="inlineStr">
        <is>
          <t>3820TA0031</t>
        </is>
      </c>
      <c r="C2631" s="2" t="inlineStr">
        <is>
          <t>Estanque hidróxido de sodio</t>
        </is>
      </c>
      <c r="D2631" s="2" t="n">
        <v>877</v>
      </c>
      <c r="E2631" s="2" t="inlineStr">
        <is>
          <t>CC-3000</t>
        </is>
      </c>
      <c r="F2631" s="2" t="inlineStr">
        <is>
          <t>P01</t>
        </is>
      </c>
      <c r="G2631" s="2" t="n">
        <v>620000</v>
      </c>
      <c r="H2631" s="2" t="inlineStr">
        <is>
          <t>Materiales</t>
        </is>
      </c>
      <c r="I2631" s="9" t="n">
        <v>2615.64</v>
      </c>
      <c r="J2631" s="9" t="n">
        <v>2731.05</v>
      </c>
      <c r="K2631" s="9" t="n">
        <v>2970.87</v>
      </c>
      <c r="L2631" s="9" t="n">
        <v>2875.41</v>
      </c>
      <c r="M2631" s="9" t="n">
        <v>2453.46</v>
      </c>
      <c r="N2631" s="9" t="n">
        <v>2485.47</v>
      </c>
      <c r="O2631" s="9" t="n">
        <v>2477.36</v>
      </c>
      <c r="P2631" s="9" t="n">
        <v>2479.35</v>
      </c>
      <c r="Q2631" s="9" t="n">
        <v>2325.39</v>
      </c>
      <c r="R2631" s="9" t="n">
        <v>2784.93</v>
      </c>
      <c r="S2631" s="9" t="n">
        <v>2511.49</v>
      </c>
      <c r="T2631" s="9" t="n">
        <v>2674.72</v>
      </c>
      <c r="U2631" s="10">
        <f>SUM(I2631:T2631)</f>
        <v/>
      </c>
    </row>
    <row r="2632">
      <c r="A2632" s="2" t="inlineStr">
        <is>
          <t>SN-3000-3800-3820-3820TA0031</t>
        </is>
      </c>
      <c r="B2632" s="2" t="inlineStr">
        <is>
          <t>3820TA0031</t>
        </is>
      </c>
      <c r="C2632" s="2" t="inlineStr">
        <is>
          <t>Estanque hidróxido de sodio</t>
        </is>
      </c>
      <c r="D2632" s="2" t="n">
        <v>877</v>
      </c>
      <c r="E2632" s="2" t="inlineStr">
        <is>
          <t>CC-3000</t>
        </is>
      </c>
      <c r="F2632" s="2" t="inlineStr">
        <is>
          <t>P01</t>
        </is>
      </c>
      <c r="G2632" s="2" t="n">
        <v>630000</v>
      </c>
      <c r="H2632" s="2" t="inlineStr">
        <is>
          <t>Servicios externos</t>
        </is>
      </c>
      <c r="I2632" s="9" t="n">
        <v>2769.53</v>
      </c>
      <c r="J2632" s="9" t="n">
        <v>2413.77</v>
      </c>
      <c r="K2632" s="9" t="n">
        <v>2535.45</v>
      </c>
      <c r="L2632" s="9" t="n">
        <v>2711.21</v>
      </c>
      <c r="M2632" s="9" t="n">
        <v>2602.71</v>
      </c>
      <c r="N2632" s="9" t="n">
        <v>2348.22</v>
      </c>
      <c r="O2632" s="9" t="n">
        <v>2747.85</v>
      </c>
      <c r="P2632" s="9" t="n">
        <v>2527.06</v>
      </c>
      <c r="Q2632" s="9" t="n">
        <v>2368.82</v>
      </c>
      <c r="R2632" s="9" t="n">
        <v>2768.29</v>
      </c>
      <c r="S2632" s="9" t="n">
        <v>2445.63</v>
      </c>
      <c r="T2632" s="9" t="n">
        <v>2662.93</v>
      </c>
      <c r="U2632" s="10">
        <f>SUM(I2632:T2632)</f>
        <v/>
      </c>
    </row>
    <row r="2633">
      <c r="A2633" s="2" t="inlineStr">
        <is>
          <t>SN-3000-3800-3830-3830CT0001</t>
        </is>
      </c>
      <c r="B2633" s="2" t="inlineStr">
        <is>
          <t>3830CT0001</t>
        </is>
      </c>
      <c r="C2633" s="2" t="inlineStr">
        <is>
          <t>Sistema CCTV floculante</t>
        </is>
      </c>
      <c r="D2633" s="2" t="n">
        <v>878</v>
      </c>
      <c r="E2633" s="2" t="inlineStr">
        <is>
          <t>CC-3000</t>
        </is>
      </c>
      <c r="F2633" s="2" t="inlineStr">
        <is>
          <t>P01</t>
        </is>
      </c>
      <c r="G2633" s="2" t="n">
        <v>610000</v>
      </c>
      <c r="H2633" s="2" t="inlineStr">
        <is>
          <t>Mano obra interna</t>
        </is>
      </c>
      <c r="I2633" s="9" t="n">
        <v>1588.67</v>
      </c>
      <c r="J2633" s="9" t="n">
        <v>1697.18</v>
      </c>
      <c r="K2633" s="9" t="n">
        <v>1618.54</v>
      </c>
      <c r="L2633" s="9" t="n">
        <v>1706.74</v>
      </c>
      <c r="M2633" s="9" t="n">
        <v>1562.63</v>
      </c>
      <c r="N2633" s="9" t="n">
        <v>1531.38</v>
      </c>
      <c r="O2633" s="9" t="n">
        <v>1550.85</v>
      </c>
      <c r="P2633" s="9" t="n">
        <v>1682.61</v>
      </c>
      <c r="Q2633" s="9" t="n">
        <v>1563.83</v>
      </c>
      <c r="R2633" s="9" t="n">
        <v>1612.03</v>
      </c>
      <c r="S2633" s="9" t="n">
        <v>1456.58</v>
      </c>
      <c r="T2633" s="9" t="n">
        <v>1753.56</v>
      </c>
      <c r="U2633" s="10">
        <f>SUM(I2633:T2633)</f>
        <v/>
      </c>
    </row>
    <row r="2634">
      <c r="A2634" s="2" t="inlineStr">
        <is>
          <t>SN-3000-3800-3830-3830CT0001</t>
        </is>
      </c>
      <c r="B2634" s="2" t="inlineStr">
        <is>
          <t>3830CT0001</t>
        </is>
      </c>
      <c r="C2634" s="2" t="inlineStr">
        <is>
          <t>Sistema CCTV floculante</t>
        </is>
      </c>
      <c r="D2634" s="2" t="n">
        <v>878</v>
      </c>
      <c r="E2634" s="2" t="inlineStr">
        <is>
          <t>CC-3000</t>
        </is>
      </c>
      <c r="F2634" s="2" t="inlineStr">
        <is>
          <t>P01</t>
        </is>
      </c>
      <c r="G2634" s="2" t="n">
        <v>620000</v>
      </c>
      <c r="H2634" s="2" t="inlineStr">
        <is>
          <t>Materiales</t>
        </is>
      </c>
      <c r="I2634" s="9" t="n">
        <v>1833.03</v>
      </c>
      <c r="J2634" s="9" t="n">
        <v>1764.81</v>
      </c>
      <c r="K2634" s="9" t="n">
        <v>1943.12</v>
      </c>
      <c r="L2634" s="9" t="n">
        <v>1727.34</v>
      </c>
      <c r="M2634" s="9" t="n">
        <v>1818.95</v>
      </c>
      <c r="N2634" s="9" t="n">
        <v>1708.45</v>
      </c>
      <c r="O2634" s="9" t="n">
        <v>1864.53</v>
      </c>
      <c r="P2634" s="9" t="n">
        <v>1657.74</v>
      </c>
      <c r="Q2634" s="9" t="n">
        <v>1694.63</v>
      </c>
      <c r="R2634" s="9" t="n">
        <v>1952.09</v>
      </c>
      <c r="S2634" s="9" t="n">
        <v>1831.26</v>
      </c>
      <c r="T2634" s="9" t="n">
        <v>1871.99</v>
      </c>
      <c r="U2634" s="10">
        <f>SUM(I2634:T2634)</f>
        <v/>
      </c>
    </row>
    <row r="2635">
      <c r="A2635" s="2" t="inlineStr">
        <is>
          <t>SN-3000-3800-3830-3830CT0001</t>
        </is>
      </c>
      <c r="B2635" s="2" t="inlineStr">
        <is>
          <t>3830CT0001</t>
        </is>
      </c>
      <c r="C2635" s="2" t="inlineStr">
        <is>
          <t>Sistema CCTV floculante</t>
        </is>
      </c>
      <c r="D2635" s="2" t="n">
        <v>878</v>
      </c>
      <c r="E2635" s="2" t="inlineStr">
        <is>
          <t>CC-3000</t>
        </is>
      </c>
      <c r="F2635" s="2" t="inlineStr">
        <is>
          <t>P01</t>
        </is>
      </c>
      <c r="G2635" s="2" t="n">
        <v>630000</v>
      </c>
      <c r="H2635" s="2" t="inlineStr">
        <is>
          <t>Servicios externos</t>
        </is>
      </c>
      <c r="I2635" s="9" t="n">
        <v>1960.44</v>
      </c>
      <c r="J2635" s="9" t="n">
        <v>1754.81</v>
      </c>
      <c r="K2635" s="9" t="n">
        <v>1757.35</v>
      </c>
      <c r="L2635" s="9" t="n">
        <v>1886.75</v>
      </c>
      <c r="M2635" s="9" t="n">
        <v>1896.67</v>
      </c>
      <c r="N2635" s="9" t="n">
        <v>1611.33</v>
      </c>
      <c r="O2635" s="9" t="n">
        <v>1825.94</v>
      </c>
      <c r="P2635" s="9" t="n">
        <v>1695.69</v>
      </c>
      <c r="Q2635" s="9" t="n">
        <v>1555.96</v>
      </c>
      <c r="R2635" s="9" t="n">
        <v>2006.23</v>
      </c>
      <c r="S2635" s="9" t="n">
        <v>1801.54</v>
      </c>
      <c r="T2635" s="9" t="n">
        <v>1864.76</v>
      </c>
      <c r="U2635" s="10">
        <f>SUM(I2635:T2635)</f>
        <v/>
      </c>
    </row>
    <row r="2636">
      <c r="A2636" s="2" t="inlineStr">
        <is>
          <t>SN-3000-3800-3830-3830FE0020</t>
        </is>
      </c>
      <c r="B2636" s="2" t="inlineStr">
        <is>
          <t>3830FE0020</t>
        </is>
      </c>
      <c r="C2636" s="2" t="inlineStr">
        <is>
          <t>Alimentador tornillo floculante</t>
        </is>
      </c>
      <c r="D2636" s="2" t="n">
        <v>879</v>
      </c>
      <c r="E2636" s="2" t="inlineStr">
        <is>
          <t>CC-3000</t>
        </is>
      </c>
      <c r="F2636" s="2" t="inlineStr">
        <is>
          <t>P01</t>
        </is>
      </c>
      <c r="G2636" s="2" t="n">
        <v>610000</v>
      </c>
      <c r="H2636" s="2" t="inlineStr">
        <is>
          <t>Mano obra interna</t>
        </is>
      </c>
      <c r="I2636" s="9" t="n">
        <v>2500.24</v>
      </c>
      <c r="J2636" s="9" t="n">
        <v>2422.19</v>
      </c>
      <c r="K2636" s="9" t="n">
        <v>2866.27</v>
      </c>
      <c r="L2636" s="9" t="n">
        <v>2684.52</v>
      </c>
      <c r="M2636" s="9" t="n">
        <v>2503.74</v>
      </c>
      <c r="N2636" s="9" t="n">
        <v>2605.55</v>
      </c>
      <c r="O2636" s="9" t="n">
        <v>2792.16</v>
      </c>
      <c r="P2636" s="9" t="n">
        <v>2702.86</v>
      </c>
      <c r="Q2636" s="9" t="n">
        <v>2557.92</v>
      </c>
      <c r="R2636" s="9" t="n">
        <v>2732.6</v>
      </c>
      <c r="S2636" s="9" t="n">
        <v>2455.51</v>
      </c>
      <c r="T2636" s="9" t="n">
        <v>2819.43</v>
      </c>
      <c r="U2636" s="10">
        <f>SUM(I2636:T2636)</f>
        <v/>
      </c>
    </row>
    <row r="2637">
      <c r="A2637" s="2" t="inlineStr">
        <is>
          <t>SN-3000-3800-3830-3830FE0020</t>
        </is>
      </c>
      <c r="B2637" s="2" t="inlineStr">
        <is>
          <t>3830FE0020</t>
        </is>
      </c>
      <c r="C2637" s="2" t="inlineStr">
        <is>
          <t>Alimentador tornillo floculante</t>
        </is>
      </c>
      <c r="D2637" s="2" t="n">
        <v>879</v>
      </c>
      <c r="E2637" s="2" t="inlineStr">
        <is>
          <t>CC-3000</t>
        </is>
      </c>
      <c r="F2637" s="2" t="inlineStr">
        <is>
          <t>P01</t>
        </is>
      </c>
      <c r="G2637" s="2" t="n">
        <v>620000</v>
      </c>
      <c r="H2637" s="2" t="inlineStr">
        <is>
          <t>Materiales</t>
        </is>
      </c>
      <c r="I2637" s="9" t="n">
        <v>2359.67</v>
      </c>
      <c r="J2637" s="9" t="n">
        <v>2386.8</v>
      </c>
      <c r="K2637" s="9" t="n">
        <v>2564.62</v>
      </c>
      <c r="L2637" s="9" t="n">
        <v>2356.28</v>
      </c>
      <c r="M2637" s="9" t="n">
        <v>2448.41</v>
      </c>
      <c r="N2637" s="9" t="n">
        <v>2139.02</v>
      </c>
      <c r="O2637" s="9" t="n">
        <v>2339.4</v>
      </c>
      <c r="P2637" s="9" t="n">
        <v>2479.51</v>
      </c>
      <c r="Q2637" s="9" t="n">
        <v>2121.21</v>
      </c>
      <c r="R2637" s="9" t="n">
        <v>2487.78</v>
      </c>
      <c r="S2637" s="9" t="n">
        <v>2478.82</v>
      </c>
      <c r="T2637" s="9" t="n">
        <v>2518.35</v>
      </c>
      <c r="U2637" s="10">
        <f>SUM(I2637:T2637)</f>
        <v/>
      </c>
    </row>
    <row r="2638">
      <c r="A2638" s="2" t="inlineStr">
        <is>
          <t>SN-3000-3800-3830-3830FE0020</t>
        </is>
      </c>
      <c r="B2638" s="2" t="inlineStr">
        <is>
          <t>3830FE0020</t>
        </is>
      </c>
      <c r="C2638" s="2" t="inlineStr">
        <is>
          <t>Alimentador tornillo floculante</t>
        </is>
      </c>
      <c r="D2638" s="2" t="n">
        <v>879</v>
      </c>
      <c r="E2638" s="2" t="inlineStr">
        <is>
          <t>CC-3000</t>
        </is>
      </c>
      <c r="F2638" s="2" t="inlineStr">
        <is>
          <t>P01</t>
        </is>
      </c>
      <c r="G2638" s="2" t="n">
        <v>630000</v>
      </c>
      <c r="H2638" s="2" t="inlineStr">
        <is>
          <t>Servicios externos</t>
        </is>
      </c>
      <c r="I2638" s="9" t="n">
        <v>2271.26</v>
      </c>
      <c r="J2638" s="9" t="n">
        <v>2239.17</v>
      </c>
      <c r="K2638" s="9" t="n">
        <v>2435.23</v>
      </c>
      <c r="L2638" s="9" t="n">
        <v>2252.73</v>
      </c>
      <c r="M2638" s="9" t="n">
        <v>2301.92</v>
      </c>
      <c r="N2638" s="9" t="n">
        <v>2197.82</v>
      </c>
      <c r="O2638" s="9" t="n">
        <v>2325.14</v>
      </c>
      <c r="P2638" s="9" t="n">
        <v>2183.93</v>
      </c>
      <c r="Q2638" s="9" t="n">
        <v>2034.82</v>
      </c>
      <c r="R2638" s="9" t="n">
        <v>2702.55</v>
      </c>
      <c r="S2638" s="9" t="n">
        <v>2431.5</v>
      </c>
      <c r="T2638" s="9" t="n">
        <v>2339.46</v>
      </c>
      <c r="U2638" s="10">
        <f>SUM(I2638:T2638)</f>
        <v/>
      </c>
    </row>
    <row r="2639">
      <c r="A2639" s="2" t="inlineStr">
        <is>
          <t>SN-3000-3800-3830-3830HO0024</t>
        </is>
      </c>
      <c r="B2639" s="2" t="inlineStr">
        <is>
          <t>3830HO0024</t>
        </is>
      </c>
      <c r="C2639" s="2" t="inlineStr">
        <is>
          <t>Tolva floculante</t>
        </is>
      </c>
      <c r="D2639" s="2" t="n">
        <v>880</v>
      </c>
      <c r="E2639" s="2" t="inlineStr">
        <is>
          <t>CC-3000</t>
        </is>
      </c>
      <c r="F2639" s="2" t="inlineStr">
        <is>
          <t>P01</t>
        </is>
      </c>
      <c r="G2639" s="2" t="n">
        <v>610000</v>
      </c>
      <c r="H2639" s="2" t="inlineStr">
        <is>
          <t>Mano obra interna</t>
        </is>
      </c>
      <c r="I2639" s="9" t="n">
        <v>935.33</v>
      </c>
      <c r="J2639" s="9" t="n">
        <v>826.45</v>
      </c>
      <c r="K2639" s="9" t="n">
        <v>892.23</v>
      </c>
      <c r="L2639" s="9" t="n">
        <v>886.41</v>
      </c>
      <c r="M2639" s="9" t="n">
        <v>898.26</v>
      </c>
      <c r="N2639" s="9" t="n">
        <v>865.61</v>
      </c>
      <c r="O2639" s="9" t="n">
        <v>954.95</v>
      </c>
      <c r="P2639" s="9" t="n">
        <v>934.73</v>
      </c>
      <c r="Q2639" s="9" t="n">
        <v>879.66</v>
      </c>
      <c r="R2639" s="9" t="n">
        <v>1024.4</v>
      </c>
      <c r="S2639" s="9" t="n">
        <v>907.11</v>
      </c>
      <c r="T2639" s="9" t="n">
        <v>882.96</v>
      </c>
      <c r="U2639" s="10">
        <f>SUM(I2639:T2639)</f>
        <v/>
      </c>
    </row>
    <row r="2640">
      <c r="A2640" s="2" t="inlineStr">
        <is>
          <t>SN-3000-3800-3830-3830HO0024</t>
        </is>
      </c>
      <c r="B2640" s="2" t="inlineStr">
        <is>
          <t>3830HO0024</t>
        </is>
      </c>
      <c r="C2640" s="2" t="inlineStr">
        <is>
          <t>Tolva floculante</t>
        </is>
      </c>
      <c r="D2640" s="2" t="n">
        <v>880</v>
      </c>
      <c r="E2640" s="2" t="inlineStr">
        <is>
          <t>CC-3000</t>
        </is>
      </c>
      <c r="F2640" s="2" t="inlineStr">
        <is>
          <t>P01</t>
        </is>
      </c>
      <c r="G2640" s="2" t="n">
        <v>620000</v>
      </c>
      <c r="H2640" s="2" t="inlineStr">
        <is>
          <t>Materiales</t>
        </is>
      </c>
      <c r="I2640" s="9" t="n">
        <v>754.89</v>
      </c>
      <c r="J2640" s="9" t="n">
        <v>741.85</v>
      </c>
      <c r="K2640" s="9" t="n">
        <v>740.52</v>
      </c>
      <c r="L2640" s="9" t="n">
        <v>788.84</v>
      </c>
      <c r="M2640" s="9" t="n">
        <v>776.83</v>
      </c>
      <c r="N2640" s="9" t="n">
        <v>706.72</v>
      </c>
      <c r="O2640" s="9" t="n">
        <v>726.33</v>
      </c>
      <c r="P2640" s="9" t="n">
        <v>770.61</v>
      </c>
      <c r="Q2640" s="9" t="n">
        <v>628.74</v>
      </c>
      <c r="R2640" s="9" t="n">
        <v>741.62</v>
      </c>
      <c r="S2640" s="9" t="n">
        <v>746.87</v>
      </c>
      <c r="T2640" s="9" t="n">
        <v>769.48</v>
      </c>
      <c r="U2640" s="10">
        <f>SUM(I2640:T2640)</f>
        <v/>
      </c>
    </row>
    <row r="2641">
      <c r="A2641" s="2" t="inlineStr">
        <is>
          <t>SN-3000-3800-3830-3830HO0024</t>
        </is>
      </c>
      <c r="B2641" s="2" t="inlineStr">
        <is>
          <t>3830HO0024</t>
        </is>
      </c>
      <c r="C2641" s="2" t="inlineStr">
        <is>
          <t>Tolva floculante</t>
        </is>
      </c>
      <c r="D2641" s="2" t="n">
        <v>880</v>
      </c>
      <c r="E2641" s="2" t="inlineStr">
        <is>
          <t>CC-3000</t>
        </is>
      </c>
      <c r="F2641" s="2" t="inlineStr">
        <is>
          <t>P01</t>
        </is>
      </c>
      <c r="G2641" s="2" t="n">
        <v>630000</v>
      </c>
      <c r="H2641" s="2" t="inlineStr">
        <is>
          <t>Servicios externos</t>
        </is>
      </c>
      <c r="I2641" s="9" t="n">
        <v>859.29</v>
      </c>
      <c r="J2641" s="9" t="n">
        <v>761.9</v>
      </c>
      <c r="K2641" s="9" t="n">
        <v>835.03</v>
      </c>
      <c r="L2641" s="9" t="n">
        <v>827.3200000000001</v>
      </c>
      <c r="M2641" s="9" t="n">
        <v>744.64</v>
      </c>
      <c r="N2641" s="9" t="n">
        <v>731.55</v>
      </c>
      <c r="O2641" s="9" t="n">
        <v>845.5700000000001</v>
      </c>
      <c r="P2641" s="9" t="n">
        <v>751.74</v>
      </c>
      <c r="Q2641" s="9" t="n">
        <v>699.14</v>
      </c>
      <c r="R2641" s="9" t="n">
        <v>851.8099999999999</v>
      </c>
      <c r="S2641" s="9" t="n">
        <v>717.08</v>
      </c>
      <c r="T2641" s="9" t="n">
        <v>854.99</v>
      </c>
      <c r="U2641" s="10">
        <f>SUM(I2641:T2641)</f>
        <v/>
      </c>
    </row>
    <row r="2642">
      <c r="A2642" s="2" t="inlineStr">
        <is>
          <t>SN-3000-3800-3830-3830HT0025</t>
        </is>
      </c>
      <c r="B2642" s="2" t="inlineStr">
        <is>
          <t>3830HT0025</t>
        </is>
      </c>
      <c r="C2642" s="2" t="inlineStr">
        <is>
          <t>Tecle área floculante</t>
        </is>
      </c>
      <c r="D2642" s="2" t="n">
        <v>881</v>
      </c>
      <c r="E2642" s="2" t="inlineStr">
        <is>
          <t>CC-3000</t>
        </is>
      </c>
      <c r="F2642" s="2" t="inlineStr">
        <is>
          <t>P01</t>
        </is>
      </c>
      <c r="G2642" s="2" t="n">
        <v>610000</v>
      </c>
      <c r="H2642" s="2" t="inlineStr">
        <is>
          <t>Mano obra interna</t>
        </is>
      </c>
      <c r="I2642" s="9" t="n">
        <v>1267.41</v>
      </c>
      <c r="J2642" s="9" t="n">
        <v>1169.57</v>
      </c>
      <c r="K2642" s="9" t="n">
        <v>1318.57</v>
      </c>
      <c r="L2642" s="9" t="n">
        <v>1263.56</v>
      </c>
      <c r="M2642" s="9" t="n">
        <v>1184.63</v>
      </c>
      <c r="N2642" s="9" t="n">
        <v>1255.47</v>
      </c>
      <c r="O2642" s="9" t="n">
        <v>1134.72</v>
      </c>
      <c r="P2642" s="9" t="n">
        <v>1233.04</v>
      </c>
      <c r="Q2642" s="9" t="n">
        <v>1223.42</v>
      </c>
      <c r="R2642" s="9" t="n">
        <v>1354.54</v>
      </c>
      <c r="S2642" s="9" t="n">
        <v>1225.14</v>
      </c>
      <c r="T2642" s="9" t="n">
        <v>1144.29</v>
      </c>
      <c r="U2642" s="10">
        <f>SUM(I2642:T2642)</f>
        <v/>
      </c>
    </row>
    <row r="2643">
      <c r="A2643" s="2" t="inlineStr">
        <is>
          <t>SN-3000-3800-3830-3830HT0025</t>
        </is>
      </c>
      <c r="B2643" s="2" t="inlineStr">
        <is>
          <t>3830HT0025</t>
        </is>
      </c>
      <c r="C2643" s="2" t="inlineStr">
        <is>
          <t>Tecle área floculante</t>
        </is>
      </c>
      <c r="D2643" s="2" t="n">
        <v>881</v>
      </c>
      <c r="E2643" s="2" t="inlineStr">
        <is>
          <t>CC-3000</t>
        </is>
      </c>
      <c r="F2643" s="2" t="inlineStr">
        <is>
          <t>P01</t>
        </is>
      </c>
      <c r="G2643" s="2" t="n">
        <v>620000</v>
      </c>
      <c r="H2643" s="2" t="inlineStr">
        <is>
          <t>Materiales</t>
        </is>
      </c>
      <c r="I2643" s="9" t="n">
        <v>1091.95</v>
      </c>
      <c r="J2643" s="9" t="n">
        <v>1227.45</v>
      </c>
      <c r="K2643" s="9" t="n">
        <v>1283.43</v>
      </c>
      <c r="L2643" s="9" t="n">
        <v>1149.62</v>
      </c>
      <c r="M2643" s="9" t="n">
        <v>1105.22</v>
      </c>
      <c r="N2643" s="9" t="n">
        <v>1042.08</v>
      </c>
      <c r="O2643" s="9" t="n">
        <v>1124.34</v>
      </c>
      <c r="P2643" s="9" t="n">
        <v>1130.56</v>
      </c>
      <c r="Q2643" s="9" t="n">
        <v>1118.27</v>
      </c>
      <c r="R2643" s="9" t="n">
        <v>1319.05</v>
      </c>
      <c r="S2643" s="9" t="n">
        <v>1162.67</v>
      </c>
      <c r="T2643" s="9" t="n">
        <v>1200.05</v>
      </c>
      <c r="U2643" s="10">
        <f>SUM(I2643:T2643)</f>
        <v/>
      </c>
    </row>
    <row r="2644">
      <c r="A2644" s="2" t="inlineStr">
        <is>
          <t>SN-3000-3800-3830-3830HT0025</t>
        </is>
      </c>
      <c r="B2644" s="2" t="inlineStr">
        <is>
          <t>3830HT0025</t>
        </is>
      </c>
      <c r="C2644" s="2" t="inlineStr">
        <is>
          <t>Tecle área floculante</t>
        </is>
      </c>
      <c r="D2644" s="2" t="n">
        <v>881</v>
      </c>
      <c r="E2644" s="2" t="inlineStr">
        <is>
          <t>CC-3000</t>
        </is>
      </c>
      <c r="F2644" s="2" t="inlineStr">
        <is>
          <t>P01</t>
        </is>
      </c>
      <c r="G2644" s="2" t="n">
        <v>630000</v>
      </c>
      <c r="H2644" s="2" t="inlineStr">
        <is>
          <t>Servicios externos</t>
        </is>
      </c>
      <c r="I2644" s="9" t="n">
        <v>1528.19</v>
      </c>
      <c r="J2644" s="9" t="n">
        <v>1414.61</v>
      </c>
      <c r="K2644" s="9" t="n">
        <v>1448.51</v>
      </c>
      <c r="L2644" s="9" t="n">
        <v>1422.52</v>
      </c>
      <c r="M2644" s="9" t="n">
        <v>1467.99</v>
      </c>
      <c r="N2644" s="9" t="n">
        <v>1479.92</v>
      </c>
      <c r="O2644" s="9" t="n">
        <v>1461.32</v>
      </c>
      <c r="P2644" s="9" t="n">
        <v>1535.98</v>
      </c>
      <c r="Q2644" s="9" t="n">
        <v>1237.96</v>
      </c>
      <c r="R2644" s="9" t="n">
        <v>1628.31</v>
      </c>
      <c r="S2644" s="9" t="n">
        <v>1474.88</v>
      </c>
      <c r="T2644" s="9" t="n">
        <v>1494.04</v>
      </c>
      <c r="U2644" s="10">
        <f>SUM(I2644:T2644)</f>
        <v/>
      </c>
    </row>
    <row r="2645">
      <c r="A2645" s="2" t="inlineStr">
        <is>
          <t>SN-3000-3800-3830-3830IO0001</t>
        </is>
      </c>
      <c r="B2645" s="2" t="inlineStr">
        <is>
          <t>3830IO0001</t>
        </is>
      </c>
      <c r="C2645" s="2" t="inlineStr">
        <is>
          <t xml:space="preserve">Gabinete RIO  </t>
        </is>
      </c>
      <c r="D2645" s="2" t="n">
        <v>882</v>
      </c>
      <c r="E2645" s="2" t="inlineStr">
        <is>
          <t>CC-3000</t>
        </is>
      </c>
      <c r="F2645" s="2" t="inlineStr">
        <is>
          <t>P01</t>
        </is>
      </c>
      <c r="G2645" s="2" t="n">
        <v>610000</v>
      </c>
      <c r="H2645" s="2" t="inlineStr">
        <is>
          <t>Mano obra interna</t>
        </is>
      </c>
      <c r="I2645" s="9" t="n">
        <v>1437.72</v>
      </c>
      <c r="J2645" s="9" t="n">
        <v>1310.6</v>
      </c>
      <c r="K2645" s="9" t="n">
        <v>1367.17</v>
      </c>
      <c r="L2645" s="9" t="n">
        <v>1431.67</v>
      </c>
      <c r="M2645" s="9" t="n">
        <v>1463.39</v>
      </c>
      <c r="N2645" s="9" t="n">
        <v>1236.57</v>
      </c>
      <c r="O2645" s="9" t="n">
        <v>1412.22</v>
      </c>
      <c r="P2645" s="9" t="n">
        <v>1447.24</v>
      </c>
      <c r="Q2645" s="9" t="n">
        <v>1212.89</v>
      </c>
      <c r="R2645" s="9" t="n">
        <v>1405.47</v>
      </c>
      <c r="S2645" s="9" t="n">
        <v>1315.26</v>
      </c>
      <c r="T2645" s="9" t="n">
        <v>1358.03</v>
      </c>
      <c r="U2645" s="10">
        <f>SUM(I2645:T2645)</f>
        <v/>
      </c>
    </row>
    <row r="2646">
      <c r="A2646" s="2" t="inlineStr">
        <is>
          <t>SN-3000-3800-3830-3830IO0001</t>
        </is>
      </c>
      <c r="B2646" s="2" t="inlineStr">
        <is>
          <t>3830IO0001</t>
        </is>
      </c>
      <c r="C2646" s="2" t="inlineStr">
        <is>
          <t xml:space="preserve">Gabinete RIO  </t>
        </is>
      </c>
      <c r="D2646" s="2" t="n">
        <v>882</v>
      </c>
      <c r="E2646" s="2" t="inlineStr">
        <is>
          <t>CC-3000</t>
        </is>
      </c>
      <c r="F2646" s="2" t="inlineStr">
        <is>
          <t>P01</t>
        </is>
      </c>
      <c r="G2646" s="2" t="n">
        <v>620000</v>
      </c>
      <c r="H2646" s="2" t="inlineStr">
        <is>
          <t>Materiales</t>
        </is>
      </c>
      <c r="I2646" s="9" t="n">
        <v>1015.1</v>
      </c>
      <c r="J2646" s="9" t="n">
        <v>968.11</v>
      </c>
      <c r="K2646" s="9" t="n">
        <v>1096.91</v>
      </c>
      <c r="L2646" s="9" t="n">
        <v>1099.9</v>
      </c>
      <c r="M2646" s="9" t="n">
        <v>1067.5</v>
      </c>
      <c r="N2646" s="9" t="n">
        <v>1004.01</v>
      </c>
      <c r="O2646" s="9" t="n">
        <v>1120.95</v>
      </c>
      <c r="P2646" s="9" t="n">
        <v>1107.51</v>
      </c>
      <c r="Q2646" s="9" t="n">
        <v>1043.73</v>
      </c>
      <c r="R2646" s="9" t="n">
        <v>1106.62</v>
      </c>
      <c r="S2646" s="9" t="n">
        <v>1072.5</v>
      </c>
      <c r="T2646" s="9" t="n">
        <v>1104.84</v>
      </c>
      <c r="U2646" s="10">
        <f>SUM(I2646:T2646)</f>
        <v/>
      </c>
    </row>
    <row r="2647">
      <c r="A2647" s="2" t="inlineStr">
        <is>
          <t>SN-3000-3800-3830-3830IO0001</t>
        </is>
      </c>
      <c r="B2647" s="2" t="inlineStr">
        <is>
          <t>3830IO0001</t>
        </is>
      </c>
      <c r="C2647" s="2" t="inlineStr">
        <is>
          <t xml:space="preserve">Gabinete RIO  </t>
        </is>
      </c>
      <c r="D2647" s="2" t="n">
        <v>882</v>
      </c>
      <c r="E2647" s="2" t="inlineStr">
        <is>
          <t>CC-3000</t>
        </is>
      </c>
      <c r="F2647" s="2" t="inlineStr">
        <is>
          <t>P01</t>
        </is>
      </c>
      <c r="G2647" s="2" t="n">
        <v>630000</v>
      </c>
      <c r="H2647" s="2" t="inlineStr">
        <is>
          <t>Servicios externos</t>
        </is>
      </c>
      <c r="I2647" s="9" t="n">
        <v>1069.55</v>
      </c>
      <c r="J2647" s="9" t="n">
        <v>1133.34</v>
      </c>
      <c r="K2647" s="9" t="n">
        <v>1086.38</v>
      </c>
      <c r="L2647" s="9" t="n">
        <v>1105.03</v>
      </c>
      <c r="M2647" s="9" t="n">
        <v>1106.59</v>
      </c>
      <c r="N2647" s="9" t="n">
        <v>1099.74</v>
      </c>
      <c r="O2647" s="9" t="n">
        <v>1194.88</v>
      </c>
      <c r="P2647" s="9" t="n">
        <v>1133.92</v>
      </c>
      <c r="Q2647" s="9" t="n">
        <v>1069.35</v>
      </c>
      <c r="R2647" s="9" t="n">
        <v>1169.13</v>
      </c>
      <c r="S2647" s="9" t="n">
        <v>1114.82</v>
      </c>
      <c r="T2647" s="9" t="n">
        <v>1123.4</v>
      </c>
      <c r="U2647" s="10">
        <f>SUM(I2647:T2647)</f>
        <v/>
      </c>
    </row>
    <row r="2648">
      <c r="A2648" s="2" t="inlineStr">
        <is>
          <t>SN-3000-3800-3830-3830MX0005</t>
        </is>
      </c>
      <c r="B2648" s="2" t="inlineStr">
        <is>
          <t>3830MX0005</t>
        </is>
      </c>
      <c r="C2648" s="2" t="inlineStr">
        <is>
          <t>Mezclador floculante</t>
        </is>
      </c>
      <c r="D2648" s="2" t="n">
        <v>883</v>
      </c>
      <c r="E2648" s="2" t="inlineStr">
        <is>
          <t>CC-3000</t>
        </is>
      </c>
      <c r="F2648" s="2" t="inlineStr">
        <is>
          <t>P01</t>
        </is>
      </c>
      <c r="G2648" s="2" t="n">
        <v>610000</v>
      </c>
      <c r="H2648" s="2" t="inlineStr">
        <is>
          <t>Mano obra interna</t>
        </is>
      </c>
      <c r="I2648" s="9" t="n">
        <v>1484.19</v>
      </c>
      <c r="J2648" s="9" t="n">
        <v>1449.55</v>
      </c>
      <c r="K2648" s="9" t="n">
        <v>1509.69</v>
      </c>
      <c r="L2648" s="9" t="n">
        <v>1587.22</v>
      </c>
      <c r="M2648" s="9" t="n">
        <v>1570.32</v>
      </c>
      <c r="N2648" s="9" t="n">
        <v>1375.26</v>
      </c>
      <c r="O2648" s="9" t="n">
        <v>1474.1</v>
      </c>
      <c r="P2648" s="9" t="n">
        <v>1526.94</v>
      </c>
      <c r="Q2648" s="9" t="n">
        <v>1464.2</v>
      </c>
      <c r="R2648" s="9" t="n">
        <v>1593.75</v>
      </c>
      <c r="S2648" s="9" t="n">
        <v>1342.48</v>
      </c>
      <c r="T2648" s="9" t="n">
        <v>1469.76</v>
      </c>
      <c r="U2648" s="10">
        <f>SUM(I2648:T2648)</f>
        <v/>
      </c>
    </row>
    <row r="2649">
      <c r="A2649" s="2" t="inlineStr">
        <is>
          <t>SN-3000-3800-3830-3830MX0005</t>
        </is>
      </c>
      <c r="B2649" s="2" t="inlineStr">
        <is>
          <t>3830MX0005</t>
        </is>
      </c>
      <c r="C2649" s="2" t="inlineStr">
        <is>
          <t>Mezclador floculante</t>
        </is>
      </c>
      <c r="D2649" s="2" t="n">
        <v>883</v>
      </c>
      <c r="E2649" s="2" t="inlineStr">
        <is>
          <t>CC-3000</t>
        </is>
      </c>
      <c r="F2649" s="2" t="inlineStr">
        <is>
          <t>P01</t>
        </is>
      </c>
      <c r="G2649" s="2" t="n">
        <v>620000</v>
      </c>
      <c r="H2649" s="2" t="inlineStr">
        <is>
          <t>Materiales</t>
        </is>
      </c>
      <c r="I2649" s="9" t="n">
        <v>1326.22</v>
      </c>
      <c r="J2649" s="9" t="n">
        <v>1231.55</v>
      </c>
      <c r="K2649" s="9" t="n">
        <v>1257.55</v>
      </c>
      <c r="L2649" s="9" t="n">
        <v>1385.88</v>
      </c>
      <c r="M2649" s="9" t="n">
        <v>1405.61</v>
      </c>
      <c r="N2649" s="9" t="n">
        <v>1343.1</v>
      </c>
      <c r="O2649" s="9" t="n">
        <v>1355.73</v>
      </c>
      <c r="P2649" s="9" t="n">
        <v>1387.42</v>
      </c>
      <c r="Q2649" s="9" t="n">
        <v>1177.61</v>
      </c>
      <c r="R2649" s="9" t="n">
        <v>1447.57</v>
      </c>
      <c r="S2649" s="9" t="n">
        <v>1184.87</v>
      </c>
      <c r="T2649" s="9" t="n">
        <v>1380.35</v>
      </c>
      <c r="U2649" s="10">
        <f>SUM(I2649:T2649)</f>
        <v/>
      </c>
    </row>
    <row r="2650">
      <c r="A2650" s="2" t="inlineStr">
        <is>
          <t>SN-3000-3800-3830-3830MX0005</t>
        </is>
      </c>
      <c r="B2650" s="2" t="inlineStr">
        <is>
          <t>3830MX0005</t>
        </is>
      </c>
      <c r="C2650" s="2" t="inlineStr">
        <is>
          <t>Mezclador floculante</t>
        </is>
      </c>
      <c r="D2650" s="2" t="n">
        <v>883</v>
      </c>
      <c r="E2650" s="2" t="inlineStr">
        <is>
          <t>CC-3000</t>
        </is>
      </c>
      <c r="F2650" s="2" t="inlineStr">
        <is>
          <t>P01</t>
        </is>
      </c>
      <c r="G2650" s="2" t="n">
        <v>630000</v>
      </c>
      <c r="H2650" s="2" t="inlineStr">
        <is>
          <t>Servicios externos</t>
        </is>
      </c>
      <c r="I2650" s="9" t="n">
        <v>1596.96</v>
      </c>
      <c r="J2650" s="9" t="n">
        <v>1464.61</v>
      </c>
      <c r="K2650" s="9" t="n">
        <v>1596.26</v>
      </c>
      <c r="L2650" s="9" t="n">
        <v>1618.94</v>
      </c>
      <c r="M2650" s="9" t="n">
        <v>1397.17</v>
      </c>
      <c r="N2650" s="9" t="n">
        <v>1480.35</v>
      </c>
      <c r="O2650" s="9" t="n">
        <v>1425.16</v>
      </c>
      <c r="P2650" s="9" t="n">
        <v>1567</v>
      </c>
      <c r="Q2650" s="9" t="n">
        <v>1288.27</v>
      </c>
      <c r="R2650" s="9" t="n">
        <v>1512.85</v>
      </c>
      <c r="S2650" s="9" t="n">
        <v>1482.28</v>
      </c>
      <c r="T2650" s="9" t="n">
        <v>1422.83</v>
      </c>
      <c r="U2650" s="10">
        <f>SUM(I2650:T2650)</f>
        <v/>
      </c>
    </row>
    <row r="2651">
      <c r="A2651" s="2" t="inlineStr">
        <is>
          <t>SN-3000-3800-3830-3830MX0006</t>
        </is>
      </c>
      <c r="B2651" s="2" t="inlineStr">
        <is>
          <t>3830MX0006</t>
        </is>
      </c>
      <c r="C2651" s="2" t="inlineStr">
        <is>
          <t>Mezclador floculante</t>
        </is>
      </c>
      <c r="D2651" s="2" t="n">
        <v>884</v>
      </c>
      <c r="E2651" s="2" t="inlineStr">
        <is>
          <t>CC-3000</t>
        </is>
      </c>
      <c r="F2651" s="2" t="inlineStr">
        <is>
          <t>P01</t>
        </is>
      </c>
      <c r="G2651" s="2" t="n">
        <v>610000</v>
      </c>
      <c r="H2651" s="2" t="inlineStr">
        <is>
          <t>Mano obra interna</t>
        </is>
      </c>
      <c r="I2651" s="9" t="n">
        <v>2232.97</v>
      </c>
      <c r="J2651" s="9" t="n">
        <v>2249.75</v>
      </c>
      <c r="K2651" s="9" t="n">
        <v>2153.88</v>
      </c>
      <c r="L2651" s="9" t="n">
        <v>2336.88</v>
      </c>
      <c r="M2651" s="9" t="n">
        <v>2251.43</v>
      </c>
      <c r="N2651" s="9" t="n">
        <v>2099.12</v>
      </c>
      <c r="O2651" s="9" t="n">
        <v>2219.98</v>
      </c>
      <c r="P2651" s="9" t="n">
        <v>2007.21</v>
      </c>
      <c r="Q2651" s="9" t="n">
        <v>1975.36</v>
      </c>
      <c r="R2651" s="9" t="n">
        <v>2249.65</v>
      </c>
      <c r="S2651" s="9" t="n">
        <v>1981.36</v>
      </c>
      <c r="T2651" s="9" t="n">
        <v>2161.48</v>
      </c>
      <c r="U2651" s="10">
        <f>SUM(I2651:T2651)</f>
        <v/>
      </c>
    </row>
    <row r="2652">
      <c r="A2652" s="2" t="inlineStr">
        <is>
          <t>SN-3000-3800-3830-3830MX0006</t>
        </is>
      </c>
      <c r="B2652" s="2" t="inlineStr">
        <is>
          <t>3830MX0006</t>
        </is>
      </c>
      <c r="C2652" s="2" t="inlineStr">
        <is>
          <t>Mezclador floculante</t>
        </is>
      </c>
      <c r="D2652" s="2" t="n">
        <v>884</v>
      </c>
      <c r="E2652" s="2" t="inlineStr">
        <is>
          <t>CC-3000</t>
        </is>
      </c>
      <c r="F2652" s="2" t="inlineStr">
        <is>
          <t>P01</t>
        </is>
      </c>
      <c r="G2652" s="2" t="n">
        <v>620000</v>
      </c>
      <c r="H2652" s="2" t="inlineStr">
        <is>
          <t>Materiales</t>
        </is>
      </c>
      <c r="I2652" s="9" t="n">
        <v>2380.52</v>
      </c>
      <c r="J2652" s="9" t="n">
        <v>2250.24</v>
      </c>
      <c r="K2652" s="9" t="n">
        <v>2474.1</v>
      </c>
      <c r="L2652" s="9" t="n">
        <v>2168.68</v>
      </c>
      <c r="M2652" s="9" t="n">
        <v>2069.44</v>
      </c>
      <c r="N2652" s="9" t="n">
        <v>2162.61</v>
      </c>
      <c r="O2652" s="9" t="n">
        <v>2070.87</v>
      </c>
      <c r="P2652" s="9" t="n">
        <v>2351.33</v>
      </c>
      <c r="Q2652" s="9" t="n">
        <v>2096.04</v>
      </c>
      <c r="R2652" s="9" t="n">
        <v>2421.32</v>
      </c>
      <c r="S2652" s="9" t="n">
        <v>2129.78</v>
      </c>
      <c r="T2652" s="9" t="n">
        <v>2237.26</v>
      </c>
      <c r="U2652" s="10">
        <f>SUM(I2652:T2652)</f>
        <v/>
      </c>
    </row>
    <row r="2653">
      <c r="A2653" s="2" t="inlineStr">
        <is>
          <t>SN-3000-3800-3830-3830MX0006</t>
        </is>
      </c>
      <c r="B2653" s="2" t="inlineStr">
        <is>
          <t>3830MX0006</t>
        </is>
      </c>
      <c r="C2653" s="2" t="inlineStr">
        <is>
          <t>Mezclador floculante</t>
        </is>
      </c>
      <c r="D2653" s="2" t="n">
        <v>884</v>
      </c>
      <c r="E2653" s="2" t="inlineStr">
        <is>
          <t>CC-3000</t>
        </is>
      </c>
      <c r="F2653" s="2" t="inlineStr">
        <is>
          <t>P01</t>
        </is>
      </c>
      <c r="G2653" s="2" t="n">
        <v>630000</v>
      </c>
      <c r="H2653" s="2" t="inlineStr">
        <is>
          <t>Servicios externos</t>
        </is>
      </c>
      <c r="I2653" s="9" t="n">
        <v>2245.69</v>
      </c>
      <c r="J2653" s="9" t="n">
        <v>2191.89</v>
      </c>
      <c r="K2653" s="9" t="n">
        <v>2461.91</v>
      </c>
      <c r="L2653" s="9" t="n">
        <v>2300.61</v>
      </c>
      <c r="M2653" s="9" t="n">
        <v>2465.06</v>
      </c>
      <c r="N2653" s="9" t="n">
        <v>2197.46</v>
      </c>
      <c r="O2653" s="9" t="n">
        <v>2232.07</v>
      </c>
      <c r="P2653" s="9" t="n">
        <v>2281.74</v>
      </c>
      <c r="Q2653" s="9" t="n">
        <v>2168.9</v>
      </c>
      <c r="R2653" s="9" t="n">
        <v>2380.29</v>
      </c>
      <c r="S2653" s="9" t="n">
        <v>2175.98</v>
      </c>
      <c r="T2653" s="9" t="n">
        <v>2351.67</v>
      </c>
      <c r="U2653" s="10">
        <f>SUM(I2653:T2653)</f>
        <v/>
      </c>
    </row>
    <row r="2654">
      <c r="A2654" s="2" t="inlineStr">
        <is>
          <t>SN-3000-3800-3830-3830MX0007</t>
        </is>
      </c>
      <c r="B2654" s="2" t="inlineStr">
        <is>
          <t>3830MX0007</t>
        </is>
      </c>
      <c r="C2654" s="2" t="inlineStr">
        <is>
          <t>Mezclador floculante</t>
        </is>
      </c>
      <c r="D2654" s="2" t="n">
        <v>885</v>
      </c>
      <c r="E2654" s="2" t="inlineStr">
        <is>
          <t>CC-3000</t>
        </is>
      </c>
      <c r="F2654" s="2" t="inlineStr">
        <is>
          <t>P01</t>
        </is>
      </c>
      <c r="G2654" s="2" t="n">
        <v>610000</v>
      </c>
      <c r="H2654" s="2" t="inlineStr">
        <is>
          <t>Mano obra interna</t>
        </is>
      </c>
      <c r="I2654" s="9" t="n">
        <v>1381.41</v>
      </c>
      <c r="J2654" s="9" t="n">
        <v>1341.43</v>
      </c>
      <c r="K2654" s="9" t="n">
        <v>1266.66</v>
      </c>
      <c r="L2654" s="9" t="n">
        <v>1240.21</v>
      </c>
      <c r="M2654" s="9" t="n">
        <v>1305.22</v>
      </c>
      <c r="N2654" s="9" t="n">
        <v>1294.59</v>
      </c>
      <c r="O2654" s="9" t="n">
        <v>1387.57</v>
      </c>
      <c r="P2654" s="9" t="n">
        <v>1188.37</v>
      </c>
      <c r="Q2654" s="9" t="n">
        <v>1185.3</v>
      </c>
      <c r="R2654" s="9" t="n">
        <v>1444.53</v>
      </c>
      <c r="S2654" s="9" t="n">
        <v>1315.62</v>
      </c>
      <c r="T2654" s="9" t="n">
        <v>1218.55</v>
      </c>
      <c r="U2654" s="10">
        <f>SUM(I2654:T2654)</f>
        <v/>
      </c>
    </row>
    <row r="2655">
      <c r="A2655" s="2" t="inlineStr">
        <is>
          <t>SN-3000-3800-3830-3830MX0007</t>
        </is>
      </c>
      <c r="B2655" s="2" t="inlineStr">
        <is>
          <t>3830MX0007</t>
        </is>
      </c>
      <c r="C2655" s="2" t="inlineStr">
        <is>
          <t>Mezclador floculante</t>
        </is>
      </c>
      <c r="D2655" s="2" t="n">
        <v>885</v>
      </c>
      <c r="E2655" s="2" t="inlineStr">
        <is>
          <t>CC-3000</t>
        </is>
      </c>
      <c r="F2655" s="2" t="inlineStr">
        <is>
          <t>P01</t>
        </is>
      </c>
      <c r="G2655" s="2" t="n">
        <v>620000</v>
      </c>
      <c r="H2655" s="2" t="inlineStr">
        <is>
          <t>Materiales</t>
        </is>
      </c>
      <c r="I2655" s="9" t="n">
        <v>1404.76</v>
      </c>
      <c r="J2655" s="9" t="n">
        <v>1307.14</v>
      </c>
      <c r="K2655" s="9" t="n">
        <v>1466.67</v>
      </c>
      <c r="L2655" s="9" t="n">
        <v>1375.95</v>
      </c>
      <c r="M2655" s="9" t="n">
        <v>1462.89</v>
      </c>
      <c r="N2655" s="9" t="n">
        <v>1414.16</v>
      </c>
      <c r="O2655" s="9" t="n">
        <v>1502.79</v>
      </c>
      <c r="P2655" s="9" t="n">
        <v>1395.23</v>
      </c>
      <c r="Q2655" s="9" t="n">
        <v>1222.49</v>
      </c>
      <c r="R2655" s="9" t="n">
        <v>1476.82</v>
      </c>
      <c r="S2655" s="9" t="n">
        <v>1371.59</v>
      </c>
      <c r="T2655" s="9" t="n">
        <v>1490.18</v>
      </c>
      <c r="U2655" s="10">
        <f>SUM(I2655:T2655)</f>
        <v/>
      </c>
    </row>
    <row r="2656">
      <c r="A2656" s="2" t="inlineStr">
        <is>
          <t>SN-3000-3800-3830-3830MX0007</t>
        </is>
      </c>
      <c r="B2656" s="2" t="inlineStr">
        <is>
          <t>3830MX0007</t>
        </is>
      </c>
      <c r="C2656" s="2" t="inlineStr">
        <is>
          <t>Mezclador floculante</t>
        </is>
      </c>
      <c r="D2656" s="2" t="n">
        <v>885</v>
      </c>
      <c r="E2656" s="2" t="inlineStr">
        <is>
          <t>CC-3000</t>
        </is>
      </c>
      <c r="F2656" s="2" t="inlineStr">
        <is>
          <t>P01</t>
        </is>
      </c>
      <c r="G2656" s="2" t="n">
        <v>630000</v>
      </c>
      <c r="H2656" s="2" t="inlineStr">
        <is>
          <t>Servicios externos</t>
        </is>
      </c>
      <c r="I2656" s="9" t="n">
        <v>1323.02</v>
      </c>
      <c r="J2656" s="9" t="n">
        <v>1273.99</v>
      </c>
      <c r="K2656" s="9" t="n">
        <v>1258.09</v>
      </c>
      <c r="L2656" s="9" t="n">
        <v>1342.91</v>
      </c>
      <c r="M2656" s="9" t="n">
        <v>1262.85</v>
      </c>
      <c r="N2656" s="9" t="n">
        <v>1292.66</v>
      </c>
      <c r="O2656" s="9" t="n">
        <v>1328.48</v>
      </c>
      <c r="P2656" s="9" t="n">
        <v>1207.57</v>
      </c>
      <c r="Q2656" s="9" t="n">
        <v>1197.35</v>
      </c>
      <c r="R2656" s="9" t="n">
        <v>1434.66</v>
      </c>
      <c r="S2656" s="9" t="n">
        <v>1165</v>
      </c>
      <c r="T2656" s="9" t="n">
        <v>1368.91</v>
      </c>
      <c r="U2656" s="10">
        <f>SUM(I2656:T2656)</f>
        <v/>
      </c>
    </row>
    <row r="2657">
      <c r="A2657" s="2" t="inlineStr">
        <is>
          <t>SN-3000-3800-3830-3830MX0008</t>
        </is>
      </c>
      <c r="B2657" s="2" t="inlineStr">
        <is>
          <t>3830MX0008</t>
        </is>
      </c>
      <c r="C2657" s="2" t="inlineStr">
        <is>
          <t>Mezclador floculante</t>
        </is>
      </c>
      <c r="D2657" s="2" t="n">
        <v>886</v>
      </c>
      <c r="E2657" s="2" t="inlineStr">
        <is>
          <t>CC-3000</t>
        </is>
      </c>
      <c r="F2657" s="2" t="inlineStr">
        <is>
          <t>P01</t>
        </is>
      </c>
      <c r="G2657" s="2" t="n">
        <v>610000</v>
      </c>
      <c r="H2657" s="2" t="inlineStr">
        <is>
          <t>Mano obra interna</t>
        </is>
      </c>
      <c r="I2657" s="9" t="n">
        <v>175.51</v>
      </c>
      <c r="J2657" s="9" t="n">
        <v>181.17</v>
      </c>
      <c r="K2657" s="9" t="n">
        <v>179.31</v>
      </c>
      <c r="L2657" s="9" t="n">
        <v>173.5</v>
      </c>
      <c r="M2657" s="9" t="n">
        <v>156.65</v>
      </c>
      <c r="N2657" s="9" t="n">
        <v>154.66</v>
      </c>
      <c r="O2657" s="9" t="n">
        <v>174.09</v>
      </c>
      <c r="P2657" s="9" t="n">
        <v>171.55</v>
      </c>
      <c r="Q2657" s="9" t="n">
        <v>156.48</v>
      </c>
      <c r="R2657" s="9" t="n">
        <v>197.87</v>
      </c>
      <c r="S2657" s="9" t="n">
        <v>161.9</v>
      </c>
      <c r="T2657" s="9" t="n">
        <v>175.43</v>
      </c>
      <c r="U2657" s="10">
        <f>SUM(I2657:T2657)</f>
        <v/>
      </c>
    </row>
    <row r="2658">
      <c r="A2658" s="2" t="inlineStr">
        <is>
          <t>SN-3000-3800-3830-3830MX0008</t>
        </is>
      </c>
      <c r="B2658" s="2" t="inlineStr">
        <is>
          <t>3830MX0008</t>
        </is>
      </c>
      <c r="C2658" s="2" t="inlineStr">
        <is>
          <t>Mezclador floculante</t>
        </is>
      </c>
      <c r="D2658" s="2" t="n">
        <v>886</v>
      </c>
      <c r="E2658" s="2" t="inlineStr">
        <is>
          <t>CC-3000</t>
        </is>
      </c>
      <c r="F2658" s="2" t="inlineStr">
        <is>
          <t>P01</t>
        </is>
      </c>
      <c r="G2658" s="2" t="n">
        <v>620000</v>
      </c>
      <c r="H2658" s="2" t="inlineStr">
        <is>
          <t>Materiales</t>
        </is>
      </c>
      <c r="I2658" s="9" t="n">
        <v>188.43</v>
      </c>
      <c r="J2658" s="9" t="n">
        <v>180.35</v>
      </c>
      <c r="K2658" s="9" t="n">
        <v>184.65</v>
      </c>
      <c r="L2658" s="9" t="n">
        <v>200.11</v>
      </c>
      <c r="M2658" s="9" t="n">
        <v>180.45</v>
      </c>
      <c r="N2658" s="9" t="n">
        <v>176.5</v>
      </c>
      <c r="O2658" s="9" t="n">
        <v>188.46</v>
      </c>
      <c r="P2658" s="9" t="n">
        <v>170.94</v>
      </c>
      <c r="Q2658" s="9" t="n">
        <v>178.77</v>
      </c>
      <c r="R2658" s="9" t="n">
        <v>198.59</v>
      </c>
      <c r="S2658" s="9" t="n">
        <v>182.38</v>
      </c>
      <c r="T2658" s="9" t="n">
        <v>194.62</v>
      </c>
      <c r="U2658" s="10">
        <f>SUM(I2658:T2658)</f>
        <v/>
      </c>
    </row>
    <row r="2659">
      <c r="A2659" s="2" t="inlineStr">
        <is>
          <t>SN-3000-3800-3830-3830MX0008</t>
        </is>
      </c>
      <c r="B2659" s="2" t="inlineStr">
        <is>
          <t>3830MX0008</t>
        </is>
      </c>
      <c r="C2659" s="2" t="inlineStr">
        <is>
          <t>Mezclador floculante</t>
        </is>
      </c>
      <c r="D2659" s="2" t="n">
        <v>886</v>
      </c>
      <c r="E2659" s="2" t="inlineStr">
        <is>
          <t>CC-3000</t>
        </is>
      </c>
      <c r="F2659" s="2" t="inlineStr">
        <is>
          <t>P01</t>
        </is>
      </c>
      <c r="G2659" s="2" t="n">
        <v>630000</v>
      </c>
      <c r="H2659" s="2" t="inlineStr">
        <is>
          <t>Servicios externos</t>
        </is>
      </c>
      <c r="I2659" s="9" t="n">
        <v>207</v>
      </c>
      <c r="J2659" s="9" t="n">
        <v>213.33</v>
      </c>
      <c r="K2659" s="9" t="n">
        <v>204.65</v>
      </c>
      <c r="L2659" s="9" t="n">
        <v>216.29</v>
      </c>
      <c r="M2659" s="9" t="n">
        <v>191.22</v>
      </c>
      <c r="N2659" s="9" t="n">
        <v>182.12</v>
      </c>
      <c r="O2659" s="9" t="n">
        <v>193.07</v>
      </c>
      <c r="P2659" s="9" t="n">
        <v>200.22</v>
      </c>
      <c r="Q2659" s="9" t="n">
        <v>177.66</v>
      </c>
      <c r="R2659" s="9" t="n">
        <v>227.16</v>
      </c>
      <c r="S2659" s="9" t="n">
        <v>193.88</v>
      </c>
      <c r="T2659" s="9" t="n">
        <v>217.32</v>
      </c>
      <c r="U2659" s="10">
        <f>SUM(I2659:T2659)</f>
        <v/>
      </c>
    </row>
    <row r="2660">
      <c r="A2660" s="2" t="inlineStr">
        <is>
          <t>SN-3000-3800-3830-3830MX0009</t>
        </is>
      </c>
      <c r="B2660" s="2" t="inlineStr">
        <is>
          <t>3830MX0009</t>
        </is>
      </c>
      <c r="C2660" s="2" t="inlineStr">
        <is>
          <t>Mezclador floculante</t>
        </is>
      </c>
      <c r="D2660" s="2" t="n">
        <v>887</v>
      </c>
      <c r="E2660" s="2" t="inlineStr">
        <is>
          <t>CC-3000</t>
        </is>
      </c>
      <c r="F2660" s="2" t="inlineStr">
        <is>
          <t>P01</t>
        </is>
      </c>
      <c r="G2660" s="2" t="n">
        <v>610000</v>
      </c>
      <c r="H2660" s="2" t="inlineStr">
        <is>
          <t>Mano obra interna</t>
        </is>
      </c>
      <c r="I2660" s="9" t="n">
        <v>123.83</v>
      </c>
      <c r="J2660" s="9" t="n">
        <v>123.29</v>
      </c>
      <c r="K2660" s="9" t="n">
        <v>128.62</v>
      </c>
      <c r="L2660" s="9" t="n">
        <v>122.19</v>
      </c>
      <c r="M2660" s="9" t="n">
        <v>135.68</v>
      </c>
      <c r="N2660" s="9" t="n">
        <v>117.28</v>
      </c>
      <c r="O2660" s="9" t="n">
        <v>131.61</v>
      </c>
      <c r="P2660" s="9" t="n">
        <v>121.27</v>
      </c>
      <c r="Q2660" s="9" t="n">
        <v>125.42</v>
      </c>
      <c r="R2660" s="9" t="n">
        <v>134.56</v>
      </c>
      <c r="S2660" s="9" t="n">
        <v>130.89</v>
      </c>
      <c r="T2660" s="9" t="n">
        <v>125.68</v>
      </c>
      <c r="U2660" s="10">
        <f>SUM(I2660:T2660)</f>
        <v/>
      </c>
    </row>
    <row r="2661">
      <c r="A2661" s="2" t="inlineStr">
        <is>
          <t>SN-3000-3800-3830-3830MX0009</t>
        </is>
      </c>
      <c r="B2661" s="2" t="inlineStr">
        <is>
          <t>3830MX0009</t>
        </is>
      </c>
      <c r="C2661" s="2" t="inlineStr">
        <is>
          <t>Mezclador floculante</t>
        </is>
      </c>
      <c r="D2661" s="2" t="n">
        <v>887</v>
      </c>
      <c r="E2661" s="2" t="inlineStr">
        <is>
          <t>CC-3000</t>
        </is>
      </c>
      <c r="F2661" s="2" t="inlineStr">
        <is>
          <t>P01</t>
        </is>
      </c>
      <c r="G2661" s="2" t="n">
        <v>620000</v>
      </c>
      <c r="H2661" s="2" t="inlineStr">
        <is>
          <t>Materiales</t>
        </is>
      </c>
      <c r="I2661" s="9" t="n">
        <v>126.83</v>
      </c>
      <c r="J2661" s="9" t="n">
        <v>122.51</v>
      </c>
      <c r="K2661" s="9" t="n">
        <v>120.04</v>
      </c>
      <c r="L2661" s="9" t="n">
        <v>121.26</v>
      </c>
      <c r="M2661" s="9" t="n">
        <v>128.18</v>
      </c>
      <c r="N2661" s="9" t="n">
        <v>109.68</v>
      </c>
      <c r="O2661" s="9" t="n">
        <v>123.75</v>
      </c>
      <c r="P2661" s="9" t="n">
        <v>124.41</v>
      </c>
      <c r="Q2661" s="9" t="n">
        <v>118.82</v>
      </c>
      <c r="R2661" s="9" t="n">
        <v>123.73</v>
      </c>
      <c r="S2661" s="9" t="n">
        <v>121.58</v>
      </c>
      <c r="T2661" s="9" t="n">
        <v>115.74</v>
      </c>
      <c r="U2661" s="10">
        <f>SUM(I2661:T2661)</f>
        <v/>
      </c>
    </row>
    <row r="2662">
      <c r="A2662" s="2" t="inlineStr">
        <is>
          <t>SN-3000-3800-3830-3830MX0009</t>
        </is>
      </c>
      <c r="B2662" s="2" t="inlineStr">
        <is>
          <t>3830MX0009</t>
        </is>
      </c>
      <c r="C2662" s="2" t="inlineStr">
        <is>
          <t>Mezclador floculante</t>
        </is>
      </c>
      <c r="D2662" s="2" t="n">
        <v>887</v>
      </c>
      <c r="E2662" s="2" t="inlineStr">
        <is>
          <t>CC-3000</t>
        </is>
      </c>
      <c r="F2662" s="2" t="inlineStr">
        <is>
          <t>P01</t>
        </is>
      </c>
      <c r="G2662" s="2" t="n">
        <v>630000</v>
      </c>
      <c r="H2662" s="2" t="inlineStr">
        <is>
          <t>Servicios externos</t>
        </is>
      </c>
      <c r="I2662" s="9" t="n">
        <v>133.23</v>
      </c>
      <c r="J2662" s="9" t="n">
        <v>137</v>
      </c>
      <c r="K2662" s="9" t="n">
        <v>126.6</v>
      </c>
      <c r="L2662" s="9" t="n">
        <v>126.34</v>
      </c>
      <c r="M2662" s="9" t="n">
        <v>132.67</v>
      </c>
      <c r="N2662" s="9" t="n">
        <v>122.29</v>
      </c>
      <c r="O2662" s="9" t="n">
        <v>133.16</v>
      </c>
      <c r="P2662" s="9" t="n">
        <v>140.8</v>
      </c>
      <c r="Q2662" s="9" t="n">
        <v>130.96</v>
      </c>
      <c r="R2662" s="9" t="n">
        <v>137.46</v>
      </c>
      <c r="S2662" s="9" t="n">
        <v>126.43</v>
      </c>
      <c r="T2662" s="9" t="n">
        <v>141.03</v>
      </c>
      <c r="U2662" s="10">
        <f>SUM(I2662:T2662)</f>
        <v/>
      </c>
    </row>
    <row r="2663">
      <c r="A2663" s="2" t="inlineStr">
        <is>
          <t>SN-3000-3800-3830-3830MX0010</t>
        </is>
      </c>
      <c r="B2663" s="2" t="inlineStr">
        <is>
          <t>3830MX0010</t>
        </is>
      </c>
      <c r="C2663" s="2" t="inlineStr">
        <is>
          <t>Mezclador floculante</t>
        </is>
      </c>
      <c r="D2663" s="2" t="n">
        <v>888</v>
      </c>
      <c r="E2663" s="2" t="inlineStr">
        <is>
          <t>CC-3000</t>
        </is>
      </c>
      <c r="F2663" s="2" t="inlineStr">
        <is>
          <t>P01</t>
        </is>
      </c>
      <c r="G2663" s="2" t="n">
        <v>610000</v>
      </c>
      <c r="H2663" s="2" t="inlineStr">
        <is>
          <t>Mano obra interna</t>
        </is>
      </c>
      <c r="I2663" s="9" t="n">
        <v>1000.57</v>
      </c>
      <c r="J2663" s="9" t="n">
        <v>953.66</v>
      </c>
      <c r="K2663" s="9" t="n">
        <v>985.48</v>
      </c>
      <c r="L2663" s="9" t="n">
        <v>1089.27</v>
      </c>
      <c r="M2663" s="9" t="n">
        <v>1013.98</v>
      </c>
      <c r="N2663" s="9" t="n">
        <v>927.47</v>
      </c>
      <c r="O2663" s="9" t="n">
        <v>1040.14</v>
      </c>
      <c r="P2663" s="9" t="n">
        <v>985.3</v>
      </c>
      <c r="Q2663" s="9" t="n">
        <v>974.25</v>
      </c>
      <c r="R2663" s="9" t="n">
        <v>1025.32</v>
      </c>
      <c r="S2663" s="9" t="n">
        <v>913.85</v>
      </c>
      <c r="T2663" s="9" t="n">
        <v>961.8099999999999</v>
      </c>
      <c r="U2663" s="10">
        <f>SUM(I2663:T2663)</f>
        <v/>
      </c>
    </row>
    <row r="2664">
      <c r="A2664" s="2" t="inlineStr">
        <is>
          <t>SN-3000-3800-3830-3830MX0010</t>
        </is>
      </c>
      <c r="B2664" s="2" t="inlineStr">
        <is>
          <t>3830MX0010</t>
        </is>
      </c>
      <c r="C2664" s="2" t="inlineStr">
        <is>
          <t>Mezclador floculante</t>
        </is>
      </c>
      <c r="D2664" s="2" t="n">
        <v>888</v>
      </c>
      <c r="E2664" s="2" t="inlineStr">
        <is>
          <t>CC-3000</t>
        </is>
      </c>
      <c r="F2664" s="2" t="inlineStr">
        <is>
          <t>P01</t>
        </is>
      </c>
      <c r="G2664" s="2" t="n">
        <v>620000</v>
      </c>
      <c r="H2664" s="2" t="inlineStr">
        <is>
          <t>Materiales</t>
        </is>
      </c>
      <c r="I2664" s="9" t="n">
        <v>1069.51</v>
      </c>
      <c r="J2664" s="9" t="n">
        <v>1007.18</v>
      </c>
      <c r="K2664" s="9" t="n">
        <v>1206.65</v>
      </c>
      <c r="L2664" s="9" t="n">
        <v>1178.73</v>
      </c>
      <c r="M2664" s="9" t="n">
        <v>1095.82</v>
      </c>
      <c r="N2664" s="9" t="n">
        <v>1101.17</v>
      </c>
      <c r="O2664" s="9" t="n">
        <v>1159.91</v>
      </c>
      <c r="P2664" s="9" t="n">
        <v>1113.57</v>
      </c>
      <c r="Q2664" s="9" t="n">
        <v>1011.96</v>
      </c>
      <c r="R2664" s="9" t="n">
        <v>1240.31</v>
      </c>
      <c r="S2664" s="9" t="n">
        <v>1060.63</v>
      </c>
      <c r="T2664" s="9" t="n">
        <v>1034.28</v>
      </c>
      <c r="U2664" s="10">
        <f>SUM(I2664:T2664)</f>
        <v/>
      </c>
    </row>
    <row r="2665">
      <c r="A2665" s="2" t="inlineStr">
        <is>
          <t>SN-3000-3800-3830-3830MX0010</t>
        </is>
      </c>
      <c r="B2665" s="2" t="inlineStr">
        <is>
          <t>3830MX0010</t>
        </is>
      </c>
      <c r="C2665" s="2" t="inlineStr">
        <is>
          <t>Mezclador floculante</t>
        </is>
      </c>
      <c r="D2665" s="2" t="n">
        <v>888</v>
      </c>
      <c r="E2665" s="2" t="inlineStr">
        <is>
          <t>CC-3000</t>
        </is>
      </c>
      <c r="F2665" s="2" t="inlineStr">
        <is>
          <t>P01</t>
        </is>
      </c>
      <c r="G2665" s="2" t="n">
        <v>630000</v>
      </c>
      <c r="H2665" s="2" t="inlineStr">
        <is>
          <t>Servicios externos</t>
        </is>
      </c>
      <c r="I2665" s="9" t="n">
        <v>1041.09</v>
      </c>
      <c r="J2665" s="9" t="n">
        <v>1083.73</v>
      </c>
      <c r="K2665" s="9" t="n">
        <v>1088.31</v>
      </c>
      <c r="L2665" s="9" t="n">
        <v>1114.54</v>
      </c>
      <c r="M2665" s="9" t="n">
        <v>1060.05</v>
      </c>
      <c r="N2665" s="9" t="n">
        <v>953.62</v>
      </c>
      <c r="O2665" s="9" t="n">
        <v>1065.21</v>
      </c>
      <c r="P2665" s="9" t="n">
        <v>977.85</v>
      </c>
      <c r="Q2665" s="9" t="n">
        <v>943.55</v>
      </c>
      <c r="R2665" s="9" t="n">
        <v>1163.75</v>
      </c>
      <c r="S2665" s="9" t="n">
        <v>1013.71</v>
      </c>
      <c r="T2665" s="9" t="n">
        <v>1098.36</v>
      </c>
      <c r="U2665" s="10">
        <f>SUM(I2665:T2665)</f>
        <v/>
      </c>
    </row>
    <row r="2666">
      <c r="A2666" s="2" t="inlineStr">
        <is>
          <t>SN-3000-3800-3830-3830PR0002</t>
        </is>
      </c>
      <c r="B2666" s="2" t="inlineStr">
        <is>
          <t>3830PR0002</t>
        </is>
      </c>
      <c r="C2666" s="2" t="inlineStr">
        <is>
          <t>Tablero de enchufes</t>
        </is>
      </c>
      <c r="D2666" s="2" t="n">
        <v>889</v>
      </c>
      <c r="E2666" s="2" t="inlineStr">
        <is>
          <t>CC-3000</t>
        </is>
      </c>
      <c r="F2666" s="2" t="inlineStr">
        <is>
          <t>P01</t>
        </is>
      </c>
      <c r="G2666" s="2" t="n">
        <v>610000</v>
      </c>
      <c r="H2666" s="2" t="inlineStr">
        <is>
          <t>Mano obra interna</t>
        </is>
      </c>
      <c r="I2666" s="9" t="n">
        <v>1905.05</v>
      </c>
      <c r="J2666" s="9" t="n">
        <v>1683.1</v>
      </c>
      <c r="K2666" s="9" t="n">
        <v>1864.64</v>
      </c>
      <c r="L2666" s="9" t="n">
        <v>1814.5</v>
      </c>
      <c r="M2666" s="9" t="n">
        <v>1791.93</v>
      </c>
      <c r="N2666" s="9" t="n">
        <v>1615.56</v>
      </c>
      <c r="O2666" s="9" t="n">
        <v>1755.39</v>
      </c>
      <c r="P2666" s="9" t="n">
        <v>1840.99</v>
      </c>
      <c r="Q2666" s="9" t="n">
        <v>1686.05</v>
      </c>
      <c r="R2666" s="9" t="n">
        <v>1950.33</v>
      </c>
      <c r="S2666" s="9" t="n">
        <v>1740.14</v>
      </c>
      <c r="T2666" s="9" t="n">
        <v>1950.42</v>
      </c>
      <c r="U2666" s="10">
        <f>SUM(I2666:T2666)</f>
        <v/>
      </c>
    </row>
    <row r="2667">
      <c r="A2667" s="2" t="inlineStr">
        <is>
          <t>SN-3000-3800-3830-3830PR0002</t>
        </is>
      </c>
      <c r="B2667" s="2" t="inlineStr">
        <is>
          <t>3830PR0002</t>
        </is>
      </c>
      <c r="C2667" s="2" t="inlineStr">
        <is>
          <t>Tablero de enchufes</t>
        </is>
      </c>
      <c r="D2667" s="2" t="n">
        <v>889</v>
      </c>
      <c r="E2667" s="2" t="inlineStr">
        <is>
          <t>CC-3000</t>
        </is>
      </c>
      <c r="F2667" s="2" t="inlineStr">
        <is>
          <t>P01</t>
        </is>
      </c>
      <c r="G2667" s="2" t="n">
        <v>620000</v>
      </c>
      <c r="H2667" s="2" t="inlineStr">
        <is>
          <t>Materiales</t>
        </is>
      </c>
      <c r="I2667" s="9" t="n">
        <v>2154.88</v>
      </c>
      <c r="J2667" s="9" t="n">
        <v>2076.11</v>
      </c>
      <c r="K2667" s="9" t="n">
        <v>2247.08</v>
      </c>
      <c r="L2667" s="9" t="n">
        <v>2064.01</v>
      </c>
      <c r="M2667" s="9" t="n">
        <v>2069.51</v>
      </c>
      <c r="N2667" s="9" t="n">
        <v>1975.45</v>
      </c>
      <c r="O2667" s="9" t="n">
        <v>2064.57</v>
      </c>
      <c r="P2667" s="9" t="n">
        <v>2205.4</v>
      </c>
      <c r="Q2667" s="9" t="n">
        <v>1972.75</v>
      </c>
      <c r="R2667" s="9" t="n">
        <v>2206.02</v>
      </c>
      <c r="S2667" s="9" t="n">
        <v>2219.86</v>
      </c>
      <c r="T2667" s="9" t="n">
        <v>2322.43</v>
      </c>
      <c r="U2667" s="10">
        <f>SUM(I2667:T2667)</f>
        <v/>
      </c>
    </row>
    <row r="2668">
      <c r="A2668" s="2" t="inlineStr">
        <is>
          <t>SN-3000-3800-3830-3830PR0002</t>
        </is>
      </c>
      <c r="B2668" s="2" t="inlineStr">
        <is>
          <t>3830PR0002</t>
        </is>
      </c>
      <c r="C2668" s="2" t="inlineStr">
        <is>
          <t>Tablero de enchufes</t>
        </is>
      </c>
      <c r="D2668" s="2" t="n">
        <v>889</v>
      </c>
      <c r="E2668" s="2" t="inlineStr">
        <is>
          <t>CC-3000</t>
        </is>
      </c>
      <c r="F2668" s="2" t="inlineStr">
        <is>
          <t>P01</t>
        </is>
      </c>
      <c r="G2668" s="2" t="n">
        <v>630000</v>
      </c>
      <c r="H2668" s="2" t="inlineStr">
        <is>
          <t>Servicios externos</t>
        </is>
      </c>
      <c r="I2668" s="9" t="n">
        <v>2077.41</v>
      </c>
      <c r="J2668" s="9" t="n">
        <v>1895.24</v>
      </c>
      <c r="K2668" s="9" t="n">
        <v>2002.28</v>
      </c>
      <c r="L2668" s="9" t="n">
        <v>2041</v>
      </c>
      <c r="M2668" s="9" t="n">
        <v>1957.93</v>
      </c>
      <c r="N2668" s="9" t="n">
        <v>2098.69</v>
      </c>
      <c r="O2668" s="9" t="n">
        <v>2233.38</v>
      </c>
      <c r="P2668" s="9" t="n">
        <v>2174.51</v>
      </c>
      <c r="Q2668" s="9" t="n">
        <v>1998.93</v>
      </c>
      <c r="R2668" s="9" t="n">
        <v>2265.3</v>
      </c>
      <c r="S2668" s="9" t="n">
        <v>2091.63</v>
      </c>
      <c r="T2668" s="9" t="n">
        <v>2252.29</v>
      </c>
      <c r="U2668" s="10">
        <f>SUM(I2668:T2668)</f>
        <v/>
      </c>
    </row>
    <row r="2669">
      <c r="A2669" s="2" t="inlineStr">
        <is>
          <t>SN-3000-3800-3830-3830PU0312</t>
        </is>
      </c>
      <c r="B2669" s="2" t="inlineStr">
        <is>
          <t>3830PU0312</t>
        </is>
      </c>
      <c r="C2669" s="2" t="inlineStr">
        <is>
          <t>Bomba floculante</t>
        </is>
      </c>
      <c r="D2669" s="2" t="n">
        <v>890</v>
      </c>
      <c r="E2669" s="2" t="inlineStr">
        <is>
          <t>CC-3000</t>
        </is>
      </c>
      <c r="F2669" s="2" t="inlineStr">
        <is>
          <t>P01</t>
        </is>
      </c>
      <c r="G2669" s="2" t="n">
        <v>610000</v>
      </c>
      <c r="H2669" s="2" t="inlineStr">
        <is>
          <t>Mano obra interna</t>
        </is>
      </c>
      <c r="I2669" s="9" t="n">
        <v>1748.68</v>
      </c>
      <c r="J2669" s="9" t="n">
        <v>1689.68</v>
      </c>
      <c r="K2669" s="9" t="n">
        <v>1895.65</v>
      </c>
      <c r="L2669" s="9" t="n">
        <v>1803.77</v>
      </c>
      <c r="M2669" s="9" t="n">
        <v>1912.2</v>
      </c>
      <c r="N2669" s="9" t="n">
        <v>1764.48</v>
      </c>
      <c r="O2669" s="9" t="n">
        <v>1865.22</v>
      </c>
      <c r="P2669" s="9" t="n">
        <v>1668.56</v>
      </c>
      <c r="Q2669" s="9" t="n">
        <v>1687.53</v>
      </c>
      <c r="R2669" s="9" t="n">
        <v>1933.84</v>
      </c>
      <c r="S2669" s="9" t="n">
        <v>1813.09</v>
      </c>
      <c r="T2669" s="9" t="n">
        <v>1805.54</v>
      </c>
      <c r="U2669" s="10">
        <f>SUM(I2669:T2669)</f>
        <v/>
      </c>
    </row>
    <row r="2670">
      <c r="A2670" s="2" t="inlineStr">
        <is>
          <t>SN-3000-3800-3830-3830PU0312</t>
        </is>
      </c>
      <c r="B2670" s="2" t="inlineStr">
        <is>
          <t>3830PU0312</t>
        </is>
      </c>
      <c r="C2670" s="2" t="inlineStr">
        <is>
          <t>Bomba floculante</t>
        </is>
      </c>
      <c r="D2670" s="2" t="n">
        <v>890</v>
      </c>
      <c r="E2670" s="2" t="inlineStr">
        <is>
          <t>CC-3000</t>
        </is>
      </c>
      <c r="F2670" s="2" t="inlineStr">
        <is>
          <t>P01</t>
        </is>
      </c>
      <c r="G2670" s="2" t="n">
        <v>620000</v>
      </c>
      <c r="H2670" s="2" t="inlineStr">
        <is>
          <t>Materiales</t>
        </is>
      </c>
      <c r="I2670" s="9" t="n">
        <v>2011.52</v>
      </c>
      <c r="J2670" s="9" t="n">
        <v>1937.5</v>
      </c>
      <c r="K2670" s="9" t="n">
        <v>2111.68</v>
      </c>
      <c r="L2670" s="9" t="n">
        <v>2115.83</v>
      </c>
      <c r="M2670" s="9" t="n">
        <v>1806.58</v>
      </c>
      <c r="N2670" s="9" t="n">
        <v>1925.06</v>
      </c>
      <c r="O2670" s="9" t="n">
        <v>1815.39</v>
      </c>
      <c r="P2670" s="9" t="n">
        <v>1903.6</v>
      </c>
      <c r="Q2670" s="9" t="n">
        <v>1671.39</v>
      </c>
      <c r="R2670" s="9" t="n">
        <v>2109.48</v>
      </c>
      <c r="S2670" s="9" t="n">
        <v>1847.59</v>
      </c>
      <c r="T2670" s="9" t="n">
        <v>1986.77</v>
      </c>
      <c r="U2670" s="10">
        <f>SUM(I2670:T2670)</f>
        <v/>
      </c>
    </row>
    <row r="2671">
      <c r="A2671" s="2" t="inlineStr">
        <is>
          <t>SN-3000-3800-3830-3830PU0312</t>
        </is>
      </c>
      <c r="B2671" s="2" t="inlineStr">
        <is>
          <t>3830PU0312</t>
        </is>
      </c>
      <c r="C2671" s="2" t="inlineStr">
        <is>
          <t>Bomba floculante</t>
        </is>
      </c>
      <c r="D2671" s="2" t="n">
        <v>890</v>
      </c>
      <c r="E2671" s="2" t="inlineStr">
        <is>
          <t>CC-3000</t>
        </is>
      </c>
      <c r="F2671" s="2" t="inlineStr">
        <is>
          <t>P01</t>
        </is>
      </c>
      <c r="G2671" s="2" t="n">
        <v>630000</v>
      </c>
      <c r="H2671" s="2" t="inlineStr">
        <is>
          <t>Servicios externos</t>
        </is>
      </c>
      <c r="I2671" s="9" t="n">
        <v>1844.82</v>
      </c>
      <c r="J2671" s="9" t="n">
        <v>1688.86</v>
      </c>
      <c r="K2671" s="9" t="n">
        <v>1928.01</v>
      </c>
      <c r="L2671" s="9" t="n">
        <v>1827.35</v>
      </c>
      <c r="M2671" s="9" t="n">
        <v>1752.08</v>
      </c>
      <c r="N2671" s="9" t="n">
        <v>1827.48</v>
      </c>
      <c r="O2671" s="9" t="n">
        <v>1712.62</v>
      </c>
      <c r="P2671" s="9" t="n">
        <v>1779.89</v>
      </c>
      <c r="Q2671" s="9" t="n">
        <v>1698.85</v>
      </c>
      <c r="R2671" s="9" t="n">
        <v>1797.67</v>
      </c>
      <c r="S2671" s="9" t="n">
        <v>1676.6</v>
      </c>
      <c r="T2671" s="9" t="n">
        <v>1886.46</v>
      </c>
      <c r="U2671" s="10">
        <f>SUM(I2671:T2671)</f>
        <v/>
      </c>
    </row>
    <row r="2672">
      <c r="A2672" s="2" t="inlineStr">
        <is>
          <t>SN-3000-3800-3830-3830PU0313</t>
        </is>
      </c>
      <c r="B2672" s="2" t="inlineStr">
        <is>
          <t>3830PU0313</t>
        </is>
      </c>
      <c r="C2672" s="2" t="inlineStr">
        <is>
          <t>Bomba floculante</t>
        </is>
      </c>
      <c r="D2672" s="2" t="n">
        <v>891</v>
      </c>
      <c r="E2672" s="2" t="inlineStr">
        <is>
          <t>CC-3000</t>
        </is>
      </c>
      <c r="F2672" s="2" t="inlineStr">
        <is>
          <t>P01</t>
        </is>
      </c>
      <c r="G2672" s="2" t="n">
        <v>610000</v>
      </c>
      <c r="H2672" s="2" t="inlineStr">
        <is>
          <t>Mano obra interna</t>
        </is>
      </c>
      <c r="I2672" s="9" t="n">
        <v>985.08</v>
      </c>
      <c r="J2672" s="9" t="n">
        <v>971.26</v>
      </c>
      <c r="K2672" s="9" t="n">
        <v>1023.86</v>
      </c>
      <c r="L2672" s="9" t="n">
        <v>1023.36</v>
      </c>
      <c r="M2672" s="9" t="n">
        <v>1011.99</v>
      </c>
      <c r="N2672" s="9" t="n">
        <v>907.73</v>
      </c>
      <c r="O2672" s="9" t="n">
        <v>998.39</v>
      </c>
      <c r="P2672" s="9" t="n">
        <v>1001.14</v>
      </c>
      <c r="Q2672" s="9" t="n">
        <v>870.49</v>
      </c>
      <c r="R2672" s="9" t="n">
        <v>1119.79</v>
      </c>
      <c r="S2672" s="9" t="n">
        <v>989.8</v>
      </c>
      <c r="T2672" s="9" t="n">
        <v>947.38</v>
      </c>
      <c r="U2672" s="10">
        <f>SUM(I2672:T2672)</f>
        <v/>
      </c>
    </row>
    <row r="2673">
      <c r="A2673" s="2" t="inlineStr">
        <is>
          <t>SN-3000-3800-3830-3830PU0313</t>
        </is>
      </c>
      <c r="B2673" s="2" t="inlineStr">
        <is>
          <t>3830PU0313</t>
        </is>
      </c>
      <c r="C2673" s="2" t="inlineStr">
        <is>
          <t>Bomba floculante</t>
        </is>
      </c>
      <c r="D2673" s="2" t="n">
        <v>891</v>
      </c>
      <c r="E2673" s="2" t="inlineStr">
        <is>
          <t>CC-3000</t>
        </is>
      </c>
      <c r="F2673" s="2" t="inlineStr">
        <is>
          <t>P01</t>
        </is>
      </c>
      <c r="G2673" s="2" t="n">
        <v>620000</v>
      </c>
      <c r="H2673" s="2" t="inlineStr">
        <is>
          <t>Materiales</t>
        </is>
      </c>
      <c r="I2673" s="9" t="n">
        <v>1154.25</v>
      </c>
      <c r="J2673" s="9" t="n">
        <v>1064.26</v>
      </c>
      <c r="K2673" s="9" t="n">
        <v>1192.77</v>
      </c>
      <c r="L2673" s="9" t="n">
        <v>1150.68</v>
      </c>
      <c r="M2673" s="9" t="n">
        <v>1108.66</v>
      </c>
      <c r="N2673" s="9" t="n">
        <v>997.9400000000001</v>
      </c>
      <c r="O2673" s="9" t="n">
        <v>1076.98</v>
      </c>
      <c r="P2673" s="9" t="n">
        <v>1080.24</v>
      </c>
      <c r="Q2673" s="9" t="n">
        <v>1055.1</v>
      </c>
      <c r="R2673" s="9" t="n">
        <v>1200.61</v>
      </c>
      <c r="S2673" s="9" t="n">
        <v>987.62</v>
      </c>
      <c r="T2673" s="9" t="n">
        <v>1074.71</v>
      </c>
      <c r="U2673" s="10">
        <f>SUM(I2673:T2673)</f>
        <v/>
      </c>
    </row>
    <row r="2674">
      <c r="A2674" s="2" t="inlineStr">
        <is>
          <t>SN-3000-3800-3830-3830PU0313</t>
        </is>
      </c>
      <c r="B2674" s="2" t="inlineStr">
        <is>
          <t>3830PU0313</t>
        </is>
      </c>
      <c r="C2674" s="2" t="inlineStr">
        <is>
          <t>Bomba floculante</t>
        </is>
      </c>
      <c r="D2674" s="2" t="n">
        <v>891</v>
      </c>
      <c r="E2674" s="2" t="inlineStr">
        <is>
          <t>CC-3000</t>
        </is>
      </c>
      <c r="F2674" s="2" t="inlineStr">
        <is>
          <t>P01</t>
        </is>
      </c>
      <c r="G2674" s="2" t="n">
        <v>630000</v>
      </c>
      <c r="H2674" s="2" t="inlineStr">
        <is>
          <t>Servicios externos</t>
        </is>
      </c>
      <c r="I2674" s="9" t="n">
        <v>1083.68</v>
      </c>
      <c r="J2674" s="9" t="n">
        <v>1046.58</v>
      </c>
      <c r="K2674" s="9" t="n">
        <v>1053.58</v>
      </c>
      <c r="L2674" s="9" t="n">
        <v>981.29</v>
      </c>
      <c r="M2674" s="9" t="n">
        <v>978.6900000000001</v>
      </c>
      <c r="N2674" s="9" t="n">
        <v>939.5</v>
      </c>
      <c r="O2674" s="9" t="n">
        <v>1069.29</v>
      </c>
      <c r="P2674" s="9" t="n">
        <v>969.72</v>
      </c>
      <c r="Q2674" s="9" t="n">
        <v>946.77</v>
      </c>
      <c r="R2674" s="9" t="n">
        <v>1133.16</v>
      </c>
      <c r="S2674" s="9" t="n">
        <v>1063.78</v>
      </c>
      <c r="T2674" s="9" t="n">
        <v>1120.91</v>
      </c>
      <c r="U2674" s="10">
        <f>SUM(I2674:T2674)</f>
        <v/>
      </c>
    </row>
    <row r="2675">
      <c r="A2675" s="2" t="inlineStr">
        <is>
          <t>SN-3000-3800-3830-3830PU0314</t>
        </is>
      </c>
      <c r="B2675" s="2" t="inlineStr">
        <is>
          <t>3830PU0314</t>
        </is>
      </c>
      <c r="C2675" s="2" t="inlineStr">
        <is>
          <t>Bomba floculante</t>
        </is>
      </c>
      <c r="D2675" s="2" t="n">
        <v>892</v>
      </c>
      <c r="E2675" s="2" t="inlineStr">
        <is>
          <t>CC-3000</t>
        </is>
      </c>
      <c r="F2675" s="2" t="inlineStr">
        <is>
          <t>P01</t>
        </is>
      </c>
      <c r="G2675" s="2" t="n">
        <v>610000</v>
      </c>
      <c r="H2675" s="2" t="inlineStr">
        <is>
          <t>Mano obra interna</t>
        </is>
      </c>
      <c r="I2675" s="9" t="n">
        <v>1509.26</v>
      </c>
      <c r="J2675" s="9" t="n">
        <v>1462.4</v>
      </c>
      <c r="K2675" s="9" t="n">
        <v>1534.88</v>
      </c>
      <c r="L2675" s="9" t="n">
        <v>1544.75</v>
      </c>
      <c r="M2675" s="9" t="n">
        <v>1515.97</v>
      </c>
      <c r="N2675" s="9" t="n">
        <v>1353.93</v>
      </c>
      <c r="O2675" s="9" t="n">
        <v>1410.11</v>
      </c>
      <c r="P2675" s="9" t="n">
        <v>1418.46</v>
      </c>
      <c r="Q2675" s="9" t="n">
        <v>1363.81</v>
      </c>
      <c r="R2675" s="9" t="n">
        <v>1608.49</v>
      </c>
      <c r="S2675" s="9" t="n">
        <v>1464.92</v>
      </c>
      <c r="T2675" s="9" t="n">
        <v>1439.61</v>
      </c>
      <c r="U2675" s="10">
        <f>SUM(I2675:T2675)</f>
        <v/>
      </c>
    </row>
    <row r="2676">
      <c r="A2676" s="2" t="inlineStr">
        <is>
          <t>SN-3000-3800-3830-3830PU0314</t>
        </is>
      </c>
      <c r="B2676" s="2" t="inlineStr">
        <is>
          <t>3830PU0314</t>
        </is>
      </c>
      <c r="C2676" s="2" t="inlineStr">
        <is>
          <t>Bomba floculante</t>
        </is>
      </c>
      <c r="D2676" s="2" t="n">
        <v>892</v>
      </c>
      <c r="E2676" s="2" t="inlineStr">
        <is>
          <t>CC-3000</t>
        </is>
      </c>
      <c r="F2676" s="2" t="inlineStr">
        <is>
          <t>P01</t>
        </is>
      </c>
      <c r="G2676" s="2" t="n">
        <v>620000</v>
      </c>
      <c r="H2676" s="2" t="inlineStr">
        <is>
          <t>Materiales</t>
        </is>
      </c>
      <c r="I2676" s="9" t="n">
        <v>1345.61</v>
      </c>
      <c r="J2676" s="9" t="n">
        <v>1153.3</v>
      </c>
      <c r="K2676" s="9" t="n">
        <v>1206.09</v>
      </c>
      <c r="L2676" s="9" t="n">
        <v>1293.58</v>
      </c>
      <c r="M2676" s="9" t="n">
        <v>1148.8</v>
      </c>
      <c r="N2676" s="9" t="n">
        <v>1150.94</v>
      </c>
      <c r="O2676" s="9" t="n">
        <v>1183.41</v>
      </c>
      <c r="P2676" s="9" t="n">
        <v>1157.79</v>
      </c>
      <c r="Q2676" s="9" t="n">
        <v>1153.47</v>
      </c>
      <c r="R2676" s="9" t="n">
        <v>1292.77</v>
      </c>
      <c r="S2676" s="9" t="n">
        <v>1177.28</v>
      </c>
      <c r="T2676" s="9" t="n">
        <v>1181.26</v>
      </c>
      <c r="U2676" s="10">
        <f>SUM(I2676:T2676)</f>
        <v/>
      </c>
    </row>
    <row r="2677">
      <c r="A2677" s="2" t="inlineStr">
        <is>
          <t>SN-3000-3800-3830-3830PU0314</t>
        </is>
      </c>
      <c r="B2677" s="2" t="inlineStr">
        <is>
          <t>3830PU0314</t>
        </is>
      </c>
      <c r="C2677" s="2" t="inlineStr">
        <is>
          <t>Bomba floculante</t>
        </is>
      </c>
      <c r="D2677" s="2" t="n">
        <v>892</v>
      </c>
      <c r="E2677" s="2" t="inlineStr">
        <is>
          <t>CC-3000</t>
        </is>
      </c>
      <c r="F2677" s="2" t="inlineStr">
        <is>
          <t>P01</t>
        </is>
      </c>
      <c r="G2677" s="2" t="n">
        <v>630000</v>
      </c>
      <c r="H2677" s="2" t="inlineStr">
        <is>
          <t>Servicios externos</t>
        </is>
      </c>
      <c r="I2677" s="9" t="n">
        <v>1352.68</v>
      </c>
      <c r="J2677" s="9" t="n">
        <v>1311.02</v>
      </c>
      <c r="K2677" s="9" t="n">
        <v>1352.88</v>
      </c>
      <c r="L2677" s="9" t="n">
        <v>1381</v>
      </c>
      <c r="M2677" s="9" t="n">
        <v>1343.54</v>
      </c>
      <c r="N2677" s="9" t="n">
        <v>1311.75</v>
      </c>
      <c r="O2677" s="9" t="n">
        <v>1468.36</v>
      </c>
      <c r="P2677" s="9" t="n">
        <v>1452.87</v>
      </c>
      <c r="Q2677" s="9" t="n">
        <v>1293.4</v>
      </c>
      <c r="R2677" s="9" t="n">
        <v>1363.99</v>
      </c>
      <c r="S2677" s="9" t="n">
        <v>1345.67</v>
      </c>
      <c r="T2677" s="9" t="n">
        <v>1294.83</v>
      </c>
      <c r="U2677" s="10">
        <f>SUM(I2677:T2677)</f>
        <v/>
      </c>
    </row>
    <row r="2678">
      <c r="A2678" s="2" t="inlineStr">
        <is>
          <t>SN-3000-3800-3830-3830PU0315</t>
        </is>
      </c>
      <c r="B2678" s="2" t="inlineStr">
        <is>
          <t>3830PU0315</t>
        </is>
      </c>
      <c r="C2678" s="2" t="inlineStr">
        <is>
          <t>Bomba floculante</t>
        </is>
      </c>
      <c r="D2678" s="2" t="n">
        <v>893</v>
      </c>
      <c r="E2678" s="2" t="inlineStr">
        <is>
          <t>CC-3000</t>
        </is>
      </c>
      <c r="F2678" s="2" t="inlineStr">
        <is>
          <t>P01</t>
        </is>
      </c>
      <c r="G2678" s="2" t="n">
        <v>610000</v>
      </c>
      <c r="H2678" s="2" t="inlineStr">
        <is>
          <t>Mano obra interna</t>
        </is>
      </c>
      <c r="I2678" s="9" t="n">
        <v>2979.93</v>
      </c>
      <c r="J2678" s="9" t="n">
        <v>3084.46</v>
      </c>
      <c r="K2678" s="9" t="n">
        <v>3282.4</v>
      </c>
      <c r="L2678" s="9" t="n">
        <v>2996.57</v>
      </c>
      <c r="M2678" s="9" t="n">
        <v>2922.05</v>
      </c>
      <c r="N2678" s="9" t="n">
        <v>2881.78</v>
      </c>
      <c r="O2678" s="9" t="n">
        <v>2828.63</v>
      </c>
      <c r="P2678" s="9" t="n">
        <v>3172.13</v>
      </c>
      <c r="Q2678" s="9" t="n">
        <v>2736.3</v>
      </c>
      <c r="R2678" s="9" t="n">
        <v>3033.55</v>
      </c>
      <c r="S2678" s="9" t="n">
        <v>2997.36</v>
      </c>
      <c r="T2678" s="9" t="n">
        <v>2879.95</v>
      </c>
      <c r="U2678" s="10">
        <f>SUM(I2678:T2678)</f>
        <v/>
      </c>
    </row>
    <row r="2679">
      <c r="A2679" s="2" t="inlineStr">
        <is>
          <t>SN-3000-3800-3830-3830PU0315</t>
        </is>
      </c>
      <c r="B2679" s="2" t="inlineStr">
        <is>
          <t>3830PU0315</t>
        </is>
      </c>
      <c r="C2679" s="2" t="inlineStr">
        <is>
          <t>Bomba floculante</t>
        </is>
      </c>
      <c r="D2679" s="2" t="n">
        <v>893</v>
      </c>
      <c r="E2679" s="2" t="inlineStr">
        <is>
          <t>CC-3000</t>
        </is>
      </c>
      <c r="F2679" s="2" t="inlineStr">
        <is>
          <t>P01</t>
        </is>
      </c>
      <c r="G2679" s="2" t="n">
        <v>620000</v>
      </c>
      <c r="H2679" s="2" t="inlineStr">
        <is>
          <t>Materiales</t>
        </is>
      </c>
      <c r="I2679" s="9" t="n">
        <v>2486.08</v>
      </c>
      <c r="J2679" s="9" t="n">
        <v>2439.71</v>
      </c>
      <c r="K2679" s="9" t="n">
        <v>2515.04</v>
      </c>
      <c r="L2679" s="9" t="n">
        <v>2525.92</v>
      </c>
      <c r="M2679" s="9" t="n">
        <v>2239.34</v>
      </c>
      <c r="N2679" s="9" t="n">
        <v>2296.3</v>
      </c>
      <c r="O2679" s="9" t="n">
        <v>2356.97</v>
      </c>
      <c r="P2679" s="9" t="n">
        <v>2591.74</v>
      </c>
      <c r="Q2679" s="9" t="n">
        <v>2082.67</v>
      </c>
      <c r="R2679" s="9" t="n">
        <v>2516.24</v>
      </c>
      <c r="S2679" s="9" t="n">
        <v>2499.08</v>
      </c>
      <c r="T2679" s="9" t="n">
        <v>2636.15</v>
      </c>
      <c r="U2679" s="10">
        <f>SUM(I2679:T2679)</f>
        <v/>
      </c>
    </row>
    <row r="2680">
      <c r="A2680" s="2" t="inlineStr">
        <is>
          <t>SN-3000-3800-3830-3830PU0315</t>
        </is>
      </c>
      <c r="B2680" s="2" t="inlineStr">
        <is>
          <t>3830PU0315</t>
        </is>
      </c>
      <c r="C2680" s="2" t="inlineStr">
        <is>
          <t>Bomba floculante</t>
        </is>
      </c>
      <c r="D2680" s="2" t="n">
        <v>893</v>
      </c>
      <c r="E2680" s="2" t="inlineStr">
        <is>
          <t>CC-3000</t>
        </is>
      </c>
      <c r="F2680" s="2" t="inlineStr">
        <is>
          <t>P01</t>
        </is>
      </c>
      <c r="G2680" s="2" t="n">
        <v>630000</v>
      </c>
      <c r="H2680" s="2" t="inlineStr">
        <is>
          <t>Servicios externos</t>
        </is>
      </c>
      <c r="I2680" s="9" t="n">
        <v>2867.07</v>
      </c>
      <c r="J2680" s="9" t="n">
        <v>2996.43</v>
      </c>
      <c r="K2680" s="9" t="n">
        <v>3058.59</v>
      </c>
      <c r="L2680" s="9" t="n">
        <v>3230.33</v>
      </c>
      <c r="M2680" s="9" t="n">
        <v>2769.47</v>
      </c>
      <c r="N2680" s="9" t="n">
        <v>2740.97</v>
      </c>
      <c r="O2680" s="9" t="n">
        <v>3009.08</v>
      </c>
      <c r="P2680" s="9" t="n">
        <v>2845.76</v>
      </c>
      <c r="Q2680" s="9" t="n">
        <v>2891.14</v>
      </c>
      <c r="R2680" s="9" t="n">
        <v>3415.97</v>
      </c>
      <c r="S2680" s="9" t="n">
        <v>3012.15</v>
      </c>
      <c r="T2680" s="9" t="n">
        <v>3028.45</v>
      </c>
      <c r="U2680" s="10">
        <f>SUM(I2680:T2680)</f>
        <v/>
      </c>
    </row>
    <row r="2681">
      <c r="A2681" s="2" t="inlineStr">
        <is>
          <t>SN-3000-3800-3830-3830PU0316</t>
        </is>
      </c>
      <c r="B2681" s="2" t="inlineStr">
        <is>
          <t>3830PU0316</t>
        </is>
      </c>
      <c r="C2681" s="2" t="inlineStr">
        <is>
          <t>Bomba floculante</t>
        </is>
      </c>
      <c r="D2681" s="2" t="n">
        <v>894</v>
      </c>
      <c r="E2681" s="2" t="inlineStr">
        <is>
          <t>CC-3000</t>
        </is>
      </c>
      <c r="F2681" s="2" t="inlineStr">
        <is>
          <t>P01</t>
        </is>
      </c>
      <c r="G2681" s="2" t="n">
        <v>610000</v>
      </c>
      <c r="H2681" s="2" t="inlineStr">
        <is>
          <t>Mano obra interna</t>
        </is>
      </c>
      <c r="I2681" s="9" t="n">
        <v>2641.24</v>
      </c>
      <c r="J2681" s="9" t="n">
        <v>2601.21</v>
      </c>
      <c r="K2681" s="9" t="n">
        <v>2828.69</v>
      </c>
      <c r="L2681" s="9" t="n">
        <v>2610.06</v>
      </c>
      <c r="M2681" s="9" t="n">
        <v>2542.28</v>
      </c>
      <c r="N2681" s="9" t="n">
        <v>2582.78</v>
      </c>
      <c r="O2681" s="9" t="n">
        <v>2942.92</v>
      </c>
      <c r="P2681" s="9" t="n">
        <v>2923.81</v>
      </c>
      <c r="Q2681" s="9" t="n">
        <v>2542.76</v>
      </c>
      <c r="R2681" s="9" t="n">
        <v>2792.34</v>
      </c>
      <c r="S2681" s="9" t="n">
        <v>2521.88</v>
      </c>
      <c r="T2681" s="9" t="n">
        <v>2732.69</v>
      </c>
      <c r="U2681" s="10">
        <f>SUM(I2681:T2681)</f>
        <v/>
      </c>
    </row>
    <row r="2682">
      <c r="A2682" s="2" t="inlineStr">
        <is>
          <t>SN-3000-3800-3830-3830PU0316</t>
        </is>
      </c>
      <c r="B2682" s="2" t="inlineStr">
        <is>
          <t>3830PU0316</t>
        </is>
      </c>
      <c r="C2682" s="2" t="inlineStr">
        <is>
          <t>Bomba floculante</t>
        </is>
      </c>
      <c r="D2682" s="2" t="n">
        <v>894</v>
      </c>
      <c r="E2682" s="2" t="inlineStr">
        <is>
          <t>CC-3000</t>
        </is>
      </c>
      <c r="F2682" s="2" t="inlineStr">
        <is>
          <t>P01</t>
        </is>
      </c>
      <c r="G2682" s="2" t="n">
        <v>620000</v>
      </c>
      <c r="H2682" s="2" t="inlineStr">
        <is>
          <t>Materiales</t>
        </is>
      </c>
      <c r="I2682" s="9" t="n">
        <v>2034.04</v>
      </c>
      <c r="J2682" s="9" t="n">
        <v>2161.1</v>
      </c>
      <c r="K2682" s="9" t="n">
        <v>2231.22</v>
      </c>
      <c r="L2682" s="9" t="n">
        <v>2109.16</v>
      </c>
      <c r="M2682" s="9" t="n">
        <v>2207.18</v>
      </c>
      <c r="N2682" s="9" t="n">
        <v>2131.29</v>
      </c>
      <c r="O2682" s="9" t="n">
        <v>2132.85</v>
      </c>
      <c r="P2682" s="9" t="n">
        <v>1995.65</v>
      </c>
      <c r="Q2682" s="9" t="n">
        <v>2120.45</v>
      </c>
      <c r="R2682" s="9" t="n">
        <v>2364.53</v>
      </c>
      <c r="S2682" s="9" t="n">
        <v>1983.13</v>
      </c>
      <c r="T2682" s="9" t="n">
        <v>2204.95</v>
      </c>
      <c r="U2682" s="10">
        <f>SUM(I2682:T2682)</f>
        <v/>
      </c>
    </row>
    <row r="2683">
      <c r="A2683" s="2" t="inlineStr">
        <is>
          <t>SN-3000-3800-3830-3830PU0316</t>
        </is>
      </c>
      <c r="B2683" s="2" t="inlineStr">
        <is>
          <t>3830PU0316</t>
        </is>
      </c>
      <c r="C2683" s="2" t="inlineStr">
        <is>
          <t>Bomba floculante</t>
        </is>
      </c>
      <c r="D2683" s="2" t="n">
        <v>894</v>
      </c>
      <c r="E2683" s="2" t="inlineStr">
        <is>
          <t>CC-3000</t>
        </is>
      </c>
      <c r="F2683" s="2" t="inlineStr">
        <is>
          <t>P01</t>
        </is>
      </c>
      <c r="G2683" s="2" t="n">
        <v>630000</v>
      </c>
      <c r="H2683" s="2" t="inlineStr">
        <is>
          <t>Servicios externos</t>
        </is>
      </c>
      <c r="I2683" s="9" t="n">
        <v>2408.8</v>
      </c>
      <c r="J2683" s="9" t="n">
        <v>2265.12</v>
      </c>
      <c r="K2683" s="9" t="n">
        <v>2377.14</v>
      </c>
      <c r="L2683" s="9" t="n">
        <v>2449.6</v>
      </c>
      <c r="M2683" s="9" t="n">
        <v>2327.3</v>
      </c>
      <c r="N2683" s="9" t="n">
        <v>2059.73</v>
      </c>
      <c r="O2683" s="9" t="n">
        <v>2149.96</v>
      </c>
      <c r="P2683" s="9" t="n">
        <v>2235.87</v>
      </c>
      <c r="Q2683" s="9" t="n">
        <v>2125.96</v>
      </c>
      <c r="R2683" s="9" t="n">
        <v>2401.15</v>
      </c>
      <c r="S2683" s="9" t="n">
        <v>2290.02</v>
      </c>
      <c r="T2683" s="9" t="n">
        <v>2229.55</v>
      </c>
      <c r="U2683" s="10">
        <f>SUM(I2683:T2683)</f>
        <v/>
      </c>
    </row>
    <row r="2684">
      <c r="A2684" s="2" t="inlineStr">
        <is>
          <t>SN-3000-3800-3830-3830PU0317</t>
        </is>
      </c>
      <c r="B2684" s="2" t="inlineStr">
        <is>
          <t>3830PU0317</t>
        </is>
      </c>
      <c r="C2684" s="2" t="inlineStr">
        <is>
          <t>Bomba floculante</t>
        </is>
      </c>
      <c r="D2684" s="2" t="n">
        <v>895</v>
      </c>
      <c r="E2684" s="2" t="inlineStr">
        <is>
          <t>CC-3000</t>
        </is>
      </c>
      <c r="F2684" s="2" t="inlineStr">
        <is>
          <t>P01</t>
        </is>
      </c>
      <c r="G2684" s="2" t="n">
        <v>610000</v>
      </c>
      <c r="H2684" s="2" t="inlineStr">
        <is>
          <t>Mano obra interna</t>
        </is>
      </c>
      <c r="I2684" s="9" t="n">
        <v>2887.14</v>
      </c>
      <c r="J2684" s="9" t="n">
        <v>2508.31</v>
      </c>
      <c r="K2684" s="9" t="n">
        <v>2862.95</v>
      </c>
      <c r="L2684" s="9" t="n">
        <v>2973.97</v>
      </c>
      <c r="M2684" s="9" t="n">
        <v>2549.93</v>
      </c>
      <c r="N2684" s="9" t="n">
        <v>2760.37</v>
      </c>
      <c r="O2684" s="9" t="n">
        <v>2756.98</v>
      </c>
      <c r="P2684" s="9" t="n">
        <v>2747.13</v>
      </c>
      <c r="Q2684" s="9" t="n">
        <v>2341.61</v>
      </c>
      <c r="R2684" s="9" t="n">
        <v>3038.37</v>
      </c>
      <c r="S2684" s="9" t="n">
        <v>2614.1</v>
      </c>
      <c r="T2684" s="9" t="n">
        <v>2847.31</v>
      </c>
      <c r="U2684" s="10">
        <f>SUM(I2684:T2684)</f>
        <v/>
      </c>
    </row>
    <row r="2685">
      <c r="A2685" s="2" t="inlineStr">
        <is>
          <t>SN-3000-3800-3830-3830PU0317</t>
        </is>
      </c>
      <c r="B2685" s="2" t="inlineStr">
        <is>
          <t>3830PU0317</t>
        </is>
      </c>
      <c r="C2685" s="2" t="inlineStr">
        <is>
          <t>Bomba floculante</t>
        </is>
      </c>
      <c r="D2685" s="2" t="n">
        <v>895</v>
      </c>
      <c r="E2685" s="2" t="inlineStr">
        <is>
          <t>CC-3000</t>
        </is>
      </c>
      <c r="F2685" s="2" t="inlineStr">
        <is>
          <t>P01</t>
        </is>
      </c>
      <c r="G2685" s="2" t="n">
        <v>620000</v>
      </c>
      <c r="H2685" s="2" t="inlineStr">
        <is>
          <t>Materiales</t>
        </is>
      </c>
      <c r="I2685" s="9" t="n">
        <v>2813.71</v>
      </c>
      <c r="J2685" s="9" t="n">
        <v>2601.96</v>
      </c>
      <c r="K2685" s="9" t="n">
        <v>2670.23</v>
      </c>
      <c r="L2685" s="9" t="n">
        <v>2653.9</v>
      </c>
      <c r="M2685" s="9" t="n">
        <v>2876.94</v>
      </c>
      <c r="N2685" s="9" t="n">
        <v>2467.07</v>
      </c>
      <c r="O2685" s="9" t="n">
        <v>2696.37</v>
      </c>
      <c r="P2685" s="9" t="n">
        <v>2671</v>
      </c>
      <c r="Q2685" s="9" t="n">
        <v>2705.46</v>
      </c>
      <c r="R2685" s="9" t="n">
        <v>2950.58</v>
      </c>
      <c r="S2685" s="9" t="n">
        <v>2869.25</v>
      </c>
      <c r="T2685" s="9" t="n">
        <v>2892.26</v>
      </c>
      <c r="U2685" s="10">
        <f>SUM(I2685:T2685)</f>
        <v/>
      </c>
    </row>
    <row r="2686">
      <c r="A2686" s="2" t="inlineStr">
        <is>
          <t>SN-3000-3800-3830-3830PU0317</t>
        </is>
      </c>
      <c r="B2686" s="2" t="inlineStr">
        <is>
          <t>3830PU0317</t>
        </is>
      </c>
      <c r="C2686" s="2" t="inlineStr">
        <is>
          <t>Bomba floculante</t>
        </is>
      </c>
      <c r="D2686" s="2" t="n">
        <v>895</v>
      </c>
      <c r="E2686" s="2" t="inlineStr">
        <is>
          <t>CC-3000</t>
        </is>
      </c>
      <c r="F2686" s="2" t="inlineStr">
        <is>
          <t>P01</t>
        </is>
      </c>
      <c r="G2686" s="2" t="n">
        <v>630000</v>
      </c>
      <c r="H2686" s="2" t="inlineStr">
        <is>
          <t>Servicios externos</t>
        </is>
      </c>
      <c r="I2686" s="9" t="n">
        <v>2717.8</v>
      </c>
      <c r="J2686" s="9" t="n">
        <v>2691.23</v>
      </c>
      <c r="K2686" s="9" t="n">
        <v>2763.82</v>
      </c>
      <c r="L2686" s="9" t="n">
        <v>2890.79</v>
      </c>
      <c r="M2686" s="9" t="n">
        <v>2913.9</v>
      </c>
      <c r="N2686" s="9" t="n">
        <v>2575.98</v>
      </c>
      <c r="O2686" s="9" t="n">
        <v>2677.86</v>
      </c>
      <c r="P2686" s="9" t="n">
        <v>2895</v>
      </c>
      <c r="Q2686" s="9" t="n">
        <v>2534.06</v>
      </c>
      <c r="R2686" s="9" t="n">
        <v>3057.96</v>
      </c>
      <c r="S2686" s="9" t="n">
        <v>2556.33</v>
      </c>
      <c r="T2686" s="9" t="n">
        <v>2970.67</v>
      </c>
      <c r="U2686" s="10">
        <f>SUM(I2686:T2686)</f>
        <v/>
      </c>
    </row>
    <row r="2687">
      <c r="A2687" s="2" t="inlineStr">
        <is>
          <t>SN-3000-3800-3830-3830PU0333</t>
        </is>
      </c>
      <c r="B2687" s="2" t="inlineStr">
        <is>
          <t>3830PU0333</t>
        </is>
      </c>
      <c r="C2687" s="2" t="inlineStr">
        <is>
          <t>Bomba sumidero floculante</t>
        </is>
      </c>
      <c r="D2687" s="2" t="n">
        <v>896</v>
      </c>
      <c r="E2687" s="2" t="inlineStr">
        <is>
          <t>CC-3000</t>
        </is>
      </c>
      <c r="F2687" s="2" t="inlineStr">
        <is>
          <t>P01</t>
        </is>
      </c>
      <c r="G2687" s="2" t="n">
        <v>610000</v>
      </c>
      <c r="H2687" s="2" t="inlineStr">
        <is>
          <t>Mano obra interna</t>
        </is>
      </c>
      <c r="I2687" s="9" t="n">
        <v>2202.34</v>
      </c>
      <c r="J2687" s="9" t="n">
        <v>2001.15</v>
      </c>
      <c r="K2687" s="9" t="n">
        <v>2097.32</v>
      </c>
      <c r="L2687" s="9" t="n">
        <v>2257.99</v>
      </c>
      <c r="M2687" s="9" t="n">
        <v>2158.8</v>
      </c>
      <c r="N2687" s="9" t="n">
        <v>2040.77</v>
      </c>
      <c r="O2687" s="9" t="n">
        <v>2151.84</v>
      </c>
      <c r="P2687" s="9" t="n">
        <v>1969.29</v>
      </c>
      <c r="Q2687" s="9" t="n">
        <v>2073.78</v>
      </c>
      <c r="R2687" s="9" t="n">
        <v>2371.11</v>
      </c>
      <c r="S2687" s="9" t="n">
        <v>2069.89</v>
      </c>
      <c r="T2687" s="9" t="n">
        <v>2282.21</v>
      </c>
      <c r="U2687" s="10">
        <f>SUM(I2687:T2687)</f>
        <v/>
      </c>
    </row>
    <row r="2688">
      <c r="A2688" s="2" t="inlineStr">
        <is>
          <t>SN-3000-3800-3830-3830PU0333</t>
        </is>
      </c>
      <c r="B2688" s="2" t="inlineStr">
        <is>
          <t>3830PU0333</t>
        </is>
      </c>
      <c r="C2688" s="2" t="inlineStr">
        <is>
          <t>Bomba sumidero floculante</t>
        </is>
      </c>
      <c r="D2688" s="2" t="n">
        <v>896</v>
      </c>
      <c r="E2688" s="2" t="inlineStr">
        <is>
          <t>CC-3000</t>
        </is>
      </c>
      <c r="F2688" s="2" t="inlineStr">
        <is>
          <t>P01</t>
        </is>
      </c>
      <c r="G2688" s="2" t="n">
        <v>620000</v>
      </c>
      <c r="H2688" s="2" t="inlineStr">
        <is>
          <t>Materiales</t>
        </is>
      </c>
      <c r="I2688" s="9" t="n">
        <v>1948.66</v>
      </c>
      <c r="J2688" s="9" t="n">
        <v>1960.67</v>
      </c>
      <c r="K2688" s="9" t="n">
        <v>1854.03</v>
      </c>
      <c r="L2688" s="9" t="n">
        <v>1747.46</v>
      </c>
      <c r="M2688" s="9" t="n">
        <v>1903.27</v>
      </c>
      <c r="N2688" s="9" t="n">
        <v>1632.3</v>
      </c>
      <c r="O2688" s="9" t="n">
        <v>1964.88</v>
      </c>
      <c r="P2688" s="9" t="n">
        <v>1720.64</v>
      </c>
      <c r="Q2688" s="9" t="n">
        <v>1767.56</v>
      </c>
      <c r="R2688" s="9" t="n">
        <v>1959.6</v>
      </c>
      <c r="S2688" s="9" t="n">
        <v>1709.15</v>
      </c>
      <c r="T2688" s="9" t="n">
        <v>2000.89</v>
      </c>
      <c r="U2688" s="10">
        <f>SUM(I2688:T2688)</f>
        <v/>
      </c>
    </row>
    <row r="2689">
      <c r="A2689" s="2" t="inlineStr">
        <is>
          <t>SN-3000-3800-3830-3830PU0333</t>
        </is>
      </c>
      <c r="B2689" s="2" t="inlineStr">
        <is>
          <t>3830PU0333</t>
        </is>
      </c>
      <c r="C2689" s="2" t="inlineStr">
        <is>
          <t>Bomba sumidero floculante</t>
        </is>
      </c>
      <c r="D2689" s="2" t="n">
        <v>896</v>
      </c>
      <c r="E2689" s="2" t="inlineStr">
        <is>
          <t>CC-3000</t>
        </is>
      </c>
      <c r="F2689" s="2" t="inlineStr">
        <is>
          <t>P01</t>
        </is>
      </c>
      <c r="G2689" s="2" t="n">
        <v>630000</v>
      </c>
      <c r="H2689" s="2" t="inlineStr">
        <is>
          <t>Servicios externos</t>
        </is>
      </c>
      <c r="I2689" s="9" t="n">
        <v>2163.88</v>
      </c>
      <c r="J2689" s="9" t="n">
        <v>2068.31</v>
      </c>
      <c r="K2689" s="9" t="n">
        <v>2328.8</v>
      </c>
      <c r="L2689" s="9" t="n">
        <v>2342.9</v>
      </c>
      <c r="M2689" s="9" t="n">
        <v>2227.08</v>
      </c>
      <c r="N2689" s="9" t="n">
        <v>2126.25</v>
      </c>
      <c r="O2689" s="9" t="n">
        <v>2081.48</v>
      </c>
      <c r="P2689" s="9" t="n">
        <v>2296.3</v>
      </c>
      <c r="Q2689" s="9" t="n">
        <v>2105.75</v>
      </c>
      <c r="R2689" s="9" t="n">
        <v>2352.31</v>
      </c>
      <c r="S2689" s="9" t="n">
        <v>2109.66</v>
      </c>
      <c r="T2689" s="9" t="n">
        <v>2231.96</v>
      </c>
      <c r="U2689" s="10">
        <f>SUM(I2689:T2689)</f>
        <v/>
      </c>
    </row>
    <row r="2690">
      <c r="A2690" s="2" t="inlineStr">
        <is>
          <t>SN-3000-3800-3830-3830PU0335</t>
        </is>
      </c>
      <c r="B2690" s="2" t="inlineStr">
        <is>
          <t>3830PU0335</t>
        </is>
      </c>
      <c r="C2690" s="2" t="inlineStr">
        <is>
          <t>Bomba floculante</t>
        </is>
      </c>
      <c r="D2690" s="2" t="n">
        <v>897</v>
      </c>
      <c r="E2690" s="2" t="inlineStr">
        <is>
          <t>CC-3000</t>
        </is>
      </c>
      <c r="F2690" s="2" t="inlineStr">
        <is>
          <t>P01</t>
        </is>
      </c>
      <c r="G2690" s="2" t="n">
        <v>610000</v>
      </c>
      <c r="H2690" s="2" t="inlineStr">
        <is>
          <t>Mano obra interna</t>
        </is>
      </c>
      <c r="I2690" s="9" t="n">
        <v>2442.31</v>
      </c>
      <c r="J2690" s="9" t="n">
        <v>2397.58</v>
      </c>
      <c r="K2690" s="9" t="n">
        <v>2378.81</v>
      </c>
      <c r="L2690" s="9" t="n">
        <v>2400.88</v>
      </c>
      <c r="M2690" s="9" t="n">
        <v>2408.65</v>
      </c>
      <c r="N2690" s="9" t="n">
        <v>2107.67</v>
      </c>
      <c r="O2690" s="9" t="n">
        <v>2283.57</v>
      </c>
      <c r="P2690" s="9" t="n">
        <v>2345.87</v>
      </c>
      <c r="Q2690" s="9" t="n">
        <v>2286.37</v>
      </c>
      <c r="R2690" s="9" t="n">
        <v>2291.38</v>
      </c>
      <c r="S2690" s="9" t="n">
        <v>2127.07</v>
      </c>
      <c r="T2690" s="9" t="n">
        <v>2238.05</v>
      </c>
      <c r="U2690" s="10">
        <f>SUM(I2690:T2690)</f>
        <v/>
      </c>
    </row>
    <row r="2691">
      <c r="A2691" s="2" t="inlineStr">
        <is>
          <t>SN-3000-3800-3830-3830PU0335</t>
        </is>
      </c>
      <c r="B2691" s="2" t="inlineStr">
        <is>
          <t>3830PU0335</t>
        </is>
      </c>
      <c r="C2691" s="2" t="inlineStr">
        <is>
          <t>Bomba floculante</t>
        </is>
      </c>
      <c r="D2691" s="2" t="n">
        <v>897</v>
      </c>
      <c r="E2691" s="2" t="inlineStr">
        <is>
          <t>CC-3000</t>
        </is>
      </c>
      <c r="F2691" s="2" t="inlineStr">
        <is>
          <t>P01</t>
        </is>
      </c>
      <c r="G2691" s="2" t="n">
        <v>620000</v>
      </c>
      <c r="H2691" s="2" t="inlineStr">
        <is>
          <t>Materiales</t>
        </is>
      </c>
      <c r="I2691" s="9" t="n">
        <v>1884.8</v>
      </c>
      <c r="J2691" s="9" t="n">
        <v>1911.31</v>
      </c>
      <c r="K2691" s="9" t="n">
        <v>2095.41</v>
      </c>
      <c r="L2691" s="9" t="n">
        <v>1998.13</v>
      </c>
      <c r="M2691" s="9" t="n">
        <v>1815.02</v>
      </c>
      <c r="N2691" s="9" t="n">
        <v>1935.51</v>
      </c>
      <c r="O2691" s="9" t="n">
        <v>1954.41</v>
      </c>
      <c r="P2691" s="9" t="n">
        <v>1825.72</v>
      </c>
      <c r="Q2691" s="9" t="n">
        <v>1741.45</v>
      </c>
      <c r="R2691" s="9" t="n">
        <v>2158.86</v>
      </c>
      <c r="S2691" s="9" t="n">
        <v>1922.81</v>
      </c>
      <c r="T2691" s="9" t="n">
        <v>1965.3</v>
      </c>
      <c r="U2691" s="10">
        <f>SUM(I2691:T2691)</f>
        <v/>
      </c>
    </row>
    <row r="2692">
      <c r="A2692" s="2" t="inlineStr">
        <is>
          <t>SN-3000-3800-3830-3830PU0335</t>
        </is>
      </c>
      <c r="B2692" s="2" t="inlineStr">
        <is>
          <t>3830PU0335</t>
        </is>
      </c>
      <c r="C2692" s="2" t="inlineStr">
        <is>
          <t>Bomba floculante</t>
        </is>
      </c>
      <c r="D2692" s="2" t="n">
        <v>897</v>
      </c>
      <c r="E2692" s="2" t="inlineStr">
        <is>
          <t>CC-3000</t>
        </is>
      </c>
      <c r="F2692" s="2" t="inlineStr">
        <is>
          <t>P01</t>
        </is>
      </c>
      <c r="G2692" s="2" t="n">
        <v>630000</v>
      </c>
      <c r="H2692" s="2" t="inlineStr">
        <is>
          <t>Servicios externos</t>
        </is>
      </c>
      <c r="I2692" s="9" t="n">
        <v>1967.11</v>
      </c>
      <c r="J2692" s="9" t="n">
        <v>1754.2</v>
      </c>
      <c r="K2692" s="9" t="n">
        <v>1978.3</v>
      </c>
      <c r="L2692" s="9" t="n">
        <v>1922.62</v>
      </c>
      <c r="M2692" s="9" t="n">
        <v>1750.13</v>
      </c>
      <c r="N2692" s="9" t="n">
        <v>1676.16</v>
      </c>
      <c r="O2692" s="9" t="n">
        <v>1730.02</v>
      </c>
      <c r="P2692" s="9" t="n">
        <v>1760.57</v>
      </c>
      <c r="Q2692" s="9" t="n">
        <v>1617.07</v>
      </c>
      <c r="R2692" s="9" t="n">
        <v>2019.01</v>
      </c>
      <c r="S2692" s="9" t="n">
        <v>1807.19</v>
      </c>
      <c r="T2692" s="9" t="n">
        <v>1890.76</v>
      </c>
      <c r="U2692" s="10">
        <f>SUM(I2692:T2692)</f>
        <v/>
      </c>
    </row>
    <row r="2693">
      <c r="A2693" s="2" t="inlineStr">
        <is>
          <t>SN-3000-3800-3830-3830PU0336</t>
        </is>
      </c>
      <c r="B2693" s="2" t="inlineStr">
        <is>
          <t>3830PU0336</t>
        </is>
      </c>
      <c r="C2693" s="2" t="inlineStr">
        <is>
          <t>Bomba floculante</t>
        </is>
      </c>
      <c r="D2693" s="2" t="n">
        <v>898</v>
      </c>
      <c r="E2693" s="2" t="inlineStr">
        <is>
          <t>CC-3000</t>
        </is>
      </c>
      <c r="F2693" s="2" t="inlineStr">
        <is>
          <t>P01</t>
        </is>
      </c>
      <c r="G2693" s="2" t="n">
        <v>610000</v>
      </c>
      <c r="H2693" s="2" t="inlineStr">
        <is>
          <t>Mano obra interna</t>
        </is>
      </c>
      <c r="I2693" s="9" t="n">
        <v>610.72</v>
      </c>
      <c r="J2693" s="9" t="n">
        <v>598.05</v>
      </c>
      <c r="K2693" s="9" t="n">
        <v>562.23</v>
      </c>
      <c r="L2693" s="9" t="n">
        <v>590.29</v>
      </c>
      <c r="M2693" s="9" t="n">
        <v>525.64</v>
      </c>
      <c r="N2693" s="9" t="n">
        <v>511.44</v>
      </c>
      <c r="O2693" s="9" t="n">
        <v>583.89</v>
      </c>
      <c r="P2693" s="9" t="n">
        <v>567.91</v>
      </c>
      <c r="Q2693" s="9" t="n">
        <v>552.11</v>
      </c>
      <c r="R2693" s="9" t="n">
        <v>606.92</v>
      </c>
      <c r="S2693" s="9" t="n">
        <v>518.52</v>
      </c>
      <c r="T2693" s="9" t="n">
        <v>612.4299999999999</v>
      </c>
      <c r="U2693" s="10">
        <f>SUM(I2693:T2693)</f>
        <v/>
      </c>
    </row>
    <row r="2694">
      <c r="A2694" s="2" t="inlineStr">
        <is>
          <t>SN-3000-3800-3830-3830PU0336</t>
        </is>
      </c>
      <c r="B2694" s="2" t="inlineStr">
        <is>
          <t>3830PU0336</t>
        </is>
      </c>
      <c r="C2694" s="2" t="inlineStr">
        <is>
          <t>Bomba floculante</t>
        </is>
      </c>
      <c r="D2694" s="2" t="n">
        <v>898</v>
      </c>
      <c r="E2694" s="2" t="inlineStr">
        <is>
          <t>CC-3000</t>
        </is>
      </c>
      <c r="F2694" s="2" t="inlineStr">
        <is>
          <t>P01</t>
        </is>
      </c>
      <c r="G2694" s="2" t="n">
        <v>620000</v>
      </c>
      <c r="H2694" s="2" t="inlineStr">
        <is>
          <t>Materiales</t>
        </is>
      </c>
      <c r="I2694" s="9" t="n">
        <v>442.73</v>
      </c>
      <c r="J2694" s="9" t="n">
        <v>433.45</v>
      </c>
      <c r="K2694" s="9" t="n">
        <v>508.15</v>
      </c>
      <c r="L2694" s="9" t="n">
        <v>460.26</v>
      </c>
      <c r="M2694" s="9" t="n">
        <v>451.8</v>
      </c>
      <c r="N2694" s="9" t="n">
        <v>455.18</v>
      </c>
      <c r="O2694" s="9" t="n">
        <v>466.57</v>
      </c>
      <c r="P2694" s="9" t="n">
        <v>480.97</v>
      </c>
      <c r="Q2694" s="9" t="n">
        <v>423.93</v>
      </c>
      <c r="R2694" s="9" t="n">
        <v>529.38</v>
      </c>
      <c r="S2694" s="9" t="n">
        <v>462.81</v>
      </c>
      <c r="T2694" s="9" t="n">
        <v>455.87</v>
      </c>
      <c r="U2694" s="10">
        <f>SUM(I2694:T2694)</f>
        <v/>
      </c>
    </row>
    <row r="2695">
      <c r="A2695" s="2" t="inlineStr">
        <is>
          <t>SN-3000-3800-3830-3830PU0336</t>
        </is>
      </c>
      <c r="B2695" s="2" t="inlineStr">
        <is>
          <t>3830PU0336</t>
        </is>
      </c>
      <c r="C2695" s="2" t="inlineStr">
        <is>
          <t>Bomba floculante</t>
        </is>
      </c>
      <c r="D2695" s="2" t="n">
        <v>898</v>
      </c>
      <c r="E2695" s="2" t="inlineStr">
        <is>
          <t>CC-3000</t>
        </is>
      </c>
      <c r="F2695" s="2" t="inlineStr">
        <is>
          <t>P01</t>
        </is>
      </c>
      <c r="G2695" s="2" t="n">
        <v>630000</v>
      </c>
      <c r="H2695" s="2" t="inlineStr">
        <is>
          <t>Servicios externos</t>
        </is>
      </c>
      <c r="I2695" s="9" t="n">
        <v>558.38</v>
      </c>
      <c r="J2695" s="9" t="n">
        <v>518.9299999999999</v>
      </c>
      <c r="K2695" s="9" t="n">
        <v>538.26</v>
      </c>
      <c r="L2695" s="9" t="n">
        <v>544.67</v>
      </c>
      <c r="M2695" s="9" t="n">
        <v>511.45</v>
      </c>
      <c r="N2695" s="9" t="n">
        <v>462.64</v>
      </c>
      <c r="O2695" s="9" t="n">
        <v>497.23</v>
      </c>
      <c r="P2695" s="9" t="n">
        <v>516.17</v>
      </c>
      <c r="Q2695" s="9" t="n">
        <v>439.7</v>
      </c>
      <c r="R2695" s="9" t="n">
        <v>546.42</v>
      </c>
      <c r="S2695" s="9" t="n">
        <v>515.74</v>
      </c>
      <c r="T2695" s="9" t="n">
        <v>491.5</v>
      </c>
      <c r="U2695" s="10">
        <f>SUM(I2695:T2695)</f>
        <v/>
      </c>
    </row>
    <row r="2696">
      <c r="A2696" s="2" t="inlineStr">
        <is>
          <t>SN-3000-3800-3830-3830PU0467</t>
        </is>
      </c>
      <c r="B2696" s="2" t="inlineStr">
        <is>
          <t>3830PU0467</t>
        </is>
      </c>
      <c r="C2696" s="2" t="inlineStr">
        <is>
          <t>Bomba transferencia de floculante</t>
        </is>
      </c>
      <c r="D2696" s="2" t="n">
        <v>899</v>
      </c>
      <c r="E2696" s="2" t="inlineStr">
        <is>
          <t>CC-3000</t>
        </is>
      </c>
      <c r="F2696" s="2" t="inlineStr">
        <is>
          <t>P01</t>
        </is>
      </c>
      <c r="G2696" s="2" t="n">
        <v>610000</v>
      </c>
      <c r="H2696" s="2" t="inlineStr">
        <is>
          <t>Mano obra interna</t>
        </is>
      </c>
      <c r="I2696" s="9" t="n">
        <v>369.98</v>
      </c>
      <c r="J2696" s="9" t="n">
        <v>345.09</v>
      </c>
      <c r="K2696" s="9" t="n">
        <v>336.46</v>
      </c>
      <c r="L2696" s="9" t="n">
        <v>368.75</v>
      </c>
      <c r="M2696" s="9" t="n">
        <v>348.99</v>
      </c>
      <c r="N2696" s="9" t="n">
        <v>320.1</v>
      </c>
      <c r="O2696" s="9" t="n">
        <v>337.28</v>
      </c>
      <c r="P2696" s="9" t="n">
        <v>324.76</v>
      </c>
      <c r="Q2696" s="9" t="n">
        <v>337.34</v>
      </c>
      <c r="R2696" s="9" t="n">
        <v>371.45</v>
      </c>
      <c r="S2696" s="9" t="n">
        <v>335.99</v>
      </c>
      <c r="T2696" s="9" t="n">
        <v>370.46</v>
      </c>
      <c r="U2696" s="10">
        <f>SUM(I2696:T2696)</f>
        <v/>
      </c>
    </row>
    <row r="2697">
      <c r="A2697" s="2" t="inlineStr">
        <is>
          <t>SN-3000-3800-3830-3830PU0467</t>
        </is>
      </c>
      <c r="B2697" s="2" t="inlineStr">
        <is>
          <t>3830PU0467</t>
        </is>
      </c>
      <c r="C2697" s="2" t="inlineStr">
        <is>
          <t>Bomba transferencia de floculante</t>
        </is>
      </c>
      <c r="D2697" s="2" t="n">
        <v>899</v>
      </c>
      <c r="E2697" s="2" t="inlineStr">
        <is>
          <t>CC-3000</t>
        </is>
      </c>
      <c r="F2697" s="2" t="inlineStr">
        <is>
          <t>P01</t>
        </is>
      </c>
      <c r="G2697" s="2" t="n">
        <v>620000</v>
      </c>
      <c r="H2697" s="2" t="inlineStr">
        <is>
          <t>Materiales</t>
        </is>
      </c>
      <c r="I2697" s="9" t="n">
        <v>320.94</v>
      </c>
      <c r="J2697" s="9" t="n">
        <v>314.67</v>
      </c>
      <c r="K2697" s="9" t="n">
        <v>322.28</v>
      </c>
      <c r="L2697" s="9" t="n">
        <v>353.98</v>
      </c>
      <c r="M2697" s="9" t="n">
        <v>341.46</v>
      </c>
      <c r="N2697" s="9" t="n">
        <v>308.01</v>
      </c>
      <c r="O2697" s="9" t="n">
        <v>318.99</v>
      </c>
      <c r="P2697" s="9" t="n">
        <v>318.41</v>
      </c>
      <c r="Q2697" s="9" t="n">
        <v>337.25</v>
      </c>
      <c r="R2697" s="9" t="n">
        <v>375.56</v>
      </c>
      <c r="S2697" s="9" t="n">
        <v>331.48</v>
      </c>
      <c r="T2697" s="9" t="n">
        <v>333.07</v>
      </c>
      <c r="U2697" s="10">
        <f>SUM(I2697:T2697)</f>
        <v/>
      </c>
    </row>
    <row r="2698">
      <c r="A2698" s="2" t="inlineStr">
        <is>
          <t>SN-3000-3800-3830-3830PU0467</t>
        </is>
      </c>
      <c r="B2698" s="2" t="inlineStr">
        <is>
          <t>3830PU0467</t>
        </is>
      </c>
      <c r="C2698" s="2" t="inlineStr">
        <is>
          <t>Bomba transferencia de floculante</t>
        </is>
      </c>
      <c r="D2698" s="2" t="n">
        <v>899</v>
      </c>
      <c r="E2698" s="2" t="inlineStr">
        <is>
          <t>CC-3000</t>
        </is>
      </c>
      <c r="F2698" s="2" t="inlineStr">
        <is>
          <t>P01</t>
        </is>
      </c>
      <c r="G2698" s="2" t="n">
        <v>630000</v>
      </c>
      <c r="H2698" s="2" t="inlineStr">
        <is>
          <t>Servicios externos</t>
        </is>
      </c>
      <c r="I2698" s="9" t="n">
        <v>365.98</v>
      </c>
      <c r="J2698" s="9" t="n">
        <v>408.02</v>
      </c>
      <c r="K2698" s="9" t="n">
        <v>412.01</v>
      </c>
      <c r="L2698" s="9" t="n">
        <v>399.79</v>
      </c>
      <c r="M2698" s="9" t="n">
        <v>385.07</v>
      </c>
      <c r="N2698" s="9" t="n">
        <v>367.11</v>
      </c>
      <c r="O2698" s="9" t="n">
        <v>368.99</v>
      </c>
      <c r="P2698" s="9" t="n">
        <v>366.64</v>
      </c>
      <c r="Q2698" s="9" t="n">
        <v>360.02</v>
      </c>
      <c r="R2698" s="9" t="n">
        <v>385.35</v>
      </c>
      <c r="S2698" s="9" t="n">
        <v>346.17</v>
      </c>
      <c r="T2698" s="9" t="n">
        <v>393.2</v>
      </c>
      <c r="U2698" s="10">
        <f>SUM(I2698:T2698)</f>
        <v/>
      </c>
    </row>
    <row r="2699">
      <c r="A2699" s="2" t="inlineStr">
        <is>
          <t>SN-3000-3800-3830-3830PU0468</t>
        </is>
      </c>
      <c r="B2699" s="2" t="inlineStr">
        <is>
          <t>3830PU0468</t>
        </is>
      </c>
      <c r="C2699" s="2" t="inlineStr">
        <is>
          <t>Bomba transferencia de floculante</t>
        </is>
      </c>
      <c r="D2699" s="2" t="n">
        <v>900</v>
      </c>
      <c r="E2699" s="2" t="inlineStr">
        <is>
          <t>CC-3000</t>
        </is>
      </c>
      <c r="F2699" s="2" t="inlineStr">
        <is>
          <t>P01</t>
        </is>
      </c>
      <c r="G2699" s="2" t="n">
        <v>610000</v>
      </c>
      <c r="H2699" s="2" t="inlineStr">
        <is>
          <t>Mano obra interna</t>
        </is>
      </c>
      <c r="I2699" s="9" t="n">
        <v>912.58</v>
      </c>
      <c r="J2699" s="9" t="n">
        <v>761.05</v>
      </c>
      <c r="K2699" s="9" t="n">
        <v>810.5700000000001</v>
      </c>
      <c r="L2699" s="9" t="n">
        <v>868.24</v>
      </c>
      <c r="M2699" s="9" t="n">
        <v>875.96</v>
      </c>
      <c r="N2699" s="9" t="n">
        <v>859.8200000000001</v>
      </c>
      <c r="O2699" s="9" t="n">
        <v>887.14</v>
      </c>
      <c r="P2699" s="9" t="n">
        <v>861.55</v>
      </c>
      <c r="Q2699" s="9" t="n">
        <v>743.03</v>
      </c>
      <c r="R2699" s="9" t="n">
        <v>842.3</v>
      </c>
      <c r="S2699" s="9" t="n">
        <v>752.84</v>
      </c>
      <c r="T2699" s="9" t="n">
        <v>866.08</v>
      </c>
      <c r="U2699" s="10">
        <f>SUM(I2699:T2699)</f>
        <v/>
      </c>
    </row>
    <row r="2700">
      <c r="A2700" s="2" t="inlineStr">
        <is>
          <t>SN-3000-3800-3830-3830PU0468</t>
        </is>
      </c>
      <c r="B2700" s="2" t="inlineStr">
        <is>
          <t>3830PU0468</t>
        </is>
      </c>
      <c r="C2700" s="2" t="inlineStr">
        <is>
          <t>Bomba transferencia de floculante</t>
        </is>
      </c>
      <c r="D2700" s="2" t="n">
        <v>900</v>
      </c>
      <c r="E2700" s="2" t="inlineStr">
        <is>
          <t>CC-3000</t>
        </is>
      </c>
      <c r="F2700" s="2" t="inlineStr">
        <is>
          <t>P01</t>
        </is>
      </c>
      <c r="G2700" s="2" t="n">
        <v>620000</v>
      </c>
      <c r="H2700" s="2" t="inlineStr">
        <is>
          <t>Materiales</t>
        </is>
      </c>
      <c r="I2700" s="9" t="n">
        <v>652.16</v>
      </c>
      <c r="J2700" s="9" t="n">
        <v>626.5700000000001</v>
      </c>
      <c r="K2700" s="9" t="n">
        <v>592.0599999999999</v>
      </c>
      <c r="L2700" s="9" t="n">
        <v>669.76</v>
      </c>
      <c r="M2700" s="9" t="n">
        <v>611.0599999999999</v>
      </c>
      <c r="N2700" s="9" t="n">
        <v>626.3200000000001</v>
      </c>
      <c r="O2700" s="9" t="n">
        <v>655.12</v>
      </c>
      <c r="P2700" s="9" t="n">
        <v>585.02</v>
      </c>
      <c r="Q2700" s="9" t="n">
        <v>561.8099999999999</v>
      </c>
      <c r="R2700" s="9" t="n">
        <v>624.75</v>
      </c>
      <c r="S2700" s="9" t="n">
        <v>621.84</v>
      </c>
      <c r="T2700" s="9" t="n">
        <v>624.83</v>
      </c>
      <c r="U2700" s="10">
        <f>SUM(I2700:T2700)</f>
        <v/>
      </c>
    </row>
    <row r="2701">
      <c r="A2701" s="2" t="inlineStr">
        <is>
          <t>SN-3000-3800-3830-3830PU0468</t>
        </is>
      </c>
      <c r="B2701" s="2" t="inlineStr">
        <is>
          <t>3830PU0468</t>
        </is>
      </c>
      <c r="C2701" s="2" t="inlineStr">
        <is>
          <t>Bomba transferencia de floculante</t>
        </is>
      </c>
      <c r="D2701" s="2" t="n">
        <v>900</v>
      </c>
      <c r="E2701" s="2" t="inlineStr">
        <is>
          <t>CC-3000</t>
        </is>
      </c>
      <c r="F2701" s="2" t="inlineStr">
        <is>
          <t>P01</t>
        </is>
      </c>
      <c r="G2701" s="2" t="n">
        <v>630000</v>
      </c>
      <c r="H2701" s="2" t="inlineStr">
        <is>
          <t>Servicios externos</t>
        </is>
      </c>
      <c r="I2701" s="9" t="n">
        <v>801.28</v>
      </c>
      <c r="J2701" s="9" t="n">
        <v>835.33</v>
      </c>
      <c r="K2701" s="9" t="n">
        <v>915.9</v>
      </c>
      <c r="L2701" s="9" t="n">
        <v>863.78</v>
      </c>
      <c r="M2701" s="9" t="n">
        <v>758.62</v>
      </c>
      <c r="N2701" s="9" t="n">
        <v>798.3200000000001</v>
      </c>
      <c r="O2701" s="9" t="n">
        <v>781.53</v>
      </c>
      <c r="P2701" s="9" t="n">
        <v>760.9400000000001</v>
      </c>
      <c r="Q2701" s="9" t="n">
        <v>746.21</v>
      </c>
      <c r="R2701" s="9" t="n">
        <v>854.7</v>
      </c>
      <c r="S2701" s="9" t="n">
        <v>833.89</v>
      </c>
      <c r="T2701" s="9" t="n">
        <v>818.6900000000001</v>
      </c>
      <c r="U2701" s="10">
        <f>SUM(I2701:T2701)</f>
        <v/>
      </c>
    </row>
    <row r="2702">
      <c r="A2702" s="2" t="inlineStr">
        <is>
          <t>SN-3000-3800-3830-3830PU0503</t>
        </is>
      </c>
      <c r="B2702" s="2" t="inlineStr">
        <is>
          <t>3830PU0503</t>
        </is>
      </c>
      <c r="C2702" s="2" t="inlineStr">
        <is>
          <t>Bomba floculante</t>
        </is>
      </c>
      <c r="D2702" s="2" t="n">
        <v>901</v>
      </c>
      <c r="E2702" s="2" t="inlineStr">
        <is>
          <t>CC-3000</t>
        </is>
      </c>
      <c r="F2702" s="2" t="inlineStr">
        <is>
          <t>P01</t>
        </is>
      </c>
      <c r="G2702" s="2" t="n">
        <v>610000</v>
      </c>
      <c r="H2702" s="2" t="inlineStr">
        <is>
          <t>Mano obra interna</t>
        </is>
      </c>
      <c r="I2702" s="9" t="n">
        <v>2733.56</v>
      </c>
      <c r="J2702" s="9" t="n">
        <v>2636.54</v>
      </c>
      <c r="K2702" s="9" t="n">
        <v>2768.74</v>
      </c>
      <c r="L2702" s="9" t="n">
        <v>2833.18</v>
      </c>
      <c r="M2702" s="9" t="n">
        <v>2814.46</v>
      </c>
      <c r="N2702" s="9" t="n">
        <v>2822.77</v>
      </c>
      <c r="O2702" s="9" t="n">
        <v>3129.46</v>
      </c>
      <c r="P2702" s="9" t="n">
        <v>2832.67</v>
      </c>
      <c r="Q2702" s="9" t="n">
        <v>2509.69</v>
      </c>
      <c r="R2702" s="9" t="n">
        <v>2977.22</v>
      </c>
      <c r="S2702" s="9" t="n">
        <v>2988.56</v>
      </c>
      <c r="T2702" s="9" t="n">
        <v>3039.45</v>
      </c>
      <c r="U2702" s="10">
        <f>SUM(I2702:T2702)</f>
        <v/>
      </c>
    </row>
    <row r="2703">
      <c r="A2703" s="2" t="inlineStr">
        <is>
          <t>SN-3000-3800-3830-3830PU0503</t>
        </is>
      </c>
      <c r="B2703" s="2" t="inlineStr">
        <is>
          <t>3830PU0503</t>
        </is>
      </c>
      <c r="C2703" s="2" t="inlineStr">
        <is>
          <t>Bomba floculante</t>
        </is>
      </c>
      <c r="D2703" s="2" t="n">
        <v>901</v>
      </c>
      <c r="E2703" s="2" t="inlineStr">
        <is>
          <t>CC-3000</t>
        </is>
      </c>
      <c r="F2703" s="2" t="inlineStr">
        <is>
          <t>P01</t>
        </is>
      </c>
      <c r="G2703" s="2" t="n">
        <v>620000</v>
      </c>
      <c r="H2703" s="2" t="inlineStr">
        <is>
          <t>Materiales</t>
        </is>
      </c>
      <c r="I2703" s="9" t="n">
        <v>2722.72</v>
      </c>
      <c r="J2703" s="9" t="n">
        <v>2631.57</v>
      </c>
      <c r="K2703" s="9" t="n">
        <v>2745.93</v>
      </c>
      <c r="L2703" s="9" t="n">
        <v>3066.07</v>
      </c>
      <c r="M2703" s="9" t="n">
        <v>2678.08</v>
      </c>
      <c r="N2703" s="9" t="n">
        <v>2775.23</v>
      </c>
      <c r="O2703" s="9" t="n">
        <v>2846.39</v>
      </c>
      <c r="P2703" s="9" t="n">
        <v>2855.78</v>
      </c>
      <c r="Q2703" s="9" t="n">
        <v>2512.88</v>
      </c>
      <c r="R2703" s="9" t="n">
        <v>3126.54</v>
      </c>
      <c r="S2703" s="9" t="n">
        <v>2546.31</v>
      </c>
      <c r="T2703" s="9" t="n">
        <v>3107.28</v>
      </c>
      <c r="U2703" s="10">
        <f>SUM(I2703:T2703)</f>
        <v/>
      </c>
    </row>
    <row r="2704">
      <c r="A2704" s="2" t="inlineStr">
        <is>
          <t>SN-3000-3800-3830-3830PU0503</t>
        </is>
      </c>
      <c r="B2704" s="2" t="inlineStr">
        <is>
          <t>3830PU0503</t>
        </is>
      </c>
      <c r="C2704" s="2" t="inlineStr">
        <is>
          <t>Bomba floculante</t>
        </is>
      </c>
      <c r="D2704" s="2" t="n">
        <v>901</v>
      </c>
      <c r="E2704" s="2" t="inlineStr">
        <is>
          <t>CC-3000</t>
        </is>
      </c>
      <c r="F2704" s="2" t="inlineStr">
        <is>
          <t>P01</t>
        </is>
      </c>
      <c r="G2704" s="2" t="n">
        <v>630000</v>
      </c>
      <c r="H2704" s="2" t="inlineStr">
        <is>
          <t>Servicios externos</t>
        </is>
      </c>
      <c r="I2704" s="9" t="n">
        <v>2117.31</v>
      </c>
      <c r="J2704" s="9" t="n">
        <v>2139.34</v>
      </c>
      <c r="K2704" s="9" t="n">
        <v>2427.99</v>
      </c>
      <c r="L2704" s="9" t="n">
        <v>2195.46</v>
      </c>
      <c r="M2704" s="9" t="n">
        <v>2201.88</v>
      </c>
      <c r="N2704" s="9" t="n">
        <v>1971.95</v>
      </c>
      <c r="O2704" s="9" t="n">
        <v>2085.29</v>
      </c>
      <c r="P2704" s="9" t="n">
        <v>2271.84</v>
      </c>
      <c r="Q2704" s="9" t="n">
        <v>1978.71</v>
      </c>
      <c r="R2704" s="9" t="n">
        <v>2485.12</v>
      </c>
      <c r="S2704" s="9" t="n">
        <v>2262.35</v>
      </c>
      <c r="T2704" s="9" t="n">
        <v>2395.25</v>
      </c>
      <c r="U2704" s="10">
        <f>SUM(I2704:T2704)</f>
        <v/>
      </c>
    </row>
    <row r="2705">
      <c r="A2705" s="2" t="inlineStr">
        <is>
          <t>SN-3000-3800-3830-3830SY0034</t>
        </is>
      </c>
      <c r="B2705" s="2" t="inlineStr">
        <is>
          <t>3830SY0034</t>
        </is>
      </c>
      <c r="C2705" s="2" t="inlineStr">
        <is>
          <t>Ducha y lava ojos emergencia</t>
        </is>
      </c>
      <c r="D2705" s="2" t="n">
        <v>902</v>
      </c>
      <c r="E2705" s="2" t="inlineStr">
        <is>
          <t>CC-3000</t>
        </is>
      </c>
      <c r="F2705" s="2" t="inlineStr">
        <is>
          <t>P01</t>
        </is>
      </c>
      <c r="G2705" s="2" t="n">
        <v>610000</v>
      </c>
      <c r="H2705" s="2" t="inlineStr">
        <is>
          <t>Mano obra interna</t>
        </is>
      </c>
      <c r="I2705" s="9" t="n">
        <v>2100.04</v>
      </c>
      <c r="J2705" s="9" t="n">
        <v>2186.5</v>
      </c>
      <c r="K2705" s="9" t="n">
        <v>2230.52</v>
      </c>
      <c r="L2705" s="9" t="n">
        <v>1987.81</v>
      </c>
      <c r="M2705" s="9" t="n">
        <v>2051.3</v>
      </c>
      <c r="N2705" s="9" t="n">
        <v>2114.76</v>
      </c>
      <c r="O2705" s="9" t="n">
        <v>2052.96</v>
      </c>
      <c r="P2705" s="9" t="n">
        <v>2182.13</v>
      </c>
      <c r="Q2705" s="9" t="n">
        <v>1927.41</v>
      </c>
      <c r="R2705" s="9" t="n">
        <v>2093.83</v>
      </c>
      <c r="S2705" s="9" t="n">
        <v>1892.73</v>
      </c>
      <c r="T2705" s="9" t="n">
        <v>1950.16</v>
      </c>
      <c r="U2705" s="10">
        <f>SUM(I2705:T2705)</f>
        <v/>
      </c>
    </row>
    <row r="2706">
      <c r="A2706" s="2" t="inlineStr">
        <is>
          <t>SN-3000-3800-3830-3830SY0034</t>
        </is>
      </c>
      <c r="B2706" s="2" t="inlineStr">
        <is>
          <t>3830SY0034</t>
        </is>
      </c>
      <c r="C2706" s="2" t="inlineStr">
        <is>
          <t>Ducha y lava ojos emergencia</t>
        </is>
      </c>
      <c r="D2706" s="2" t="n">
        <v>902</v>
      </c>
      <c r="E2706" s="2" t="inlineStr">
        <is>
          <t>CC-3000</t>
        </is>
      </c>
      <c r="F2706" s="2" t="inlineStr">
        <is>
          <t>P01</t>
        </is>
      </c>
      <c r="G2706" s="2" t="n">
        <v>620000</v>
      </c>
      <c r="H2706" s="2" t="inlineStr">
        <is>
          <t>Materiales</t>
        </is>
      </c>
      <c r="I2706" s="9" t="n">
        <v>2169.25</v>
      </c>
      <c r="J2706" s="9" t="n">
        <v>2016.1</v>
      </c>
      <c r="K2706" s="9" t="n">
        <v>2141.12</v>
      </c>
      <c r="L2706" s="9" t="n">
        <v>2082.89</v>
      </c>
      <c r="M2706" s="9" t="n">
        <v>1942.46</v>
      </c>
      <c r="N2706" s="9" t="n">
        <v>1824.65</v>
      </c>
      <c r="O2706" s="9" t="n">
        <v>2136.15</v>
      </c>
      <c r="P2706" s="9" t="n">
        <v>2002.3</v>
      </c>
      <c r="Q2706" s="9" t="n">
        <v>1855.24</v>
      </c>
      <c r="R2706" s="9" t="n">
        <v>2326.95</v>
      </c>
      <c r="S2706" s="9" t="n">
        <v>1899.27</v>
      </c>
      <c r="T2706" s="9" t="n">
        <v>2143.68</v>
      </c>
      <c r="U2706" s="10">
        <f>SUM(I2706:T2706)</f>
        <v/>
      </c>
    </row>
    <row r="2707">
      <c r="A2707" s="2" t="inlineStr">
        <is>
          <t>SN-3000-3800-3830-3830SY0034</t>
        </is>
      </c>
      <c r="B2707" s="2" t="inlineStr">
        <is>
          <t>3830SY0034</t>
        </is>
      </c>
      <c r="C2707" s="2" t="inlineStr">
        <is>
          <t>Ducha y lava ojos emergencia</t>
        </is>
      </c>
      <c r="D2707" s="2" t="n">
        <v>902</v>
      </c>
      <c r="E2707" s="2" t="inlineStr">
        <is>
          <t>CC-3000</t>
        </is>
      </c>
      <c r="F2707" s="2" t="inlineStr">
        <is>
          <t>P01</t>
        </is>
      </c>
      <c r="G2707" s="2" t="n">
        <v>630000</v>
      </c>
      <c r="H2707" s="2" t="inlineStr">
        <is>
          <t>Servicios externos</t>
        </is>
      </c>
      <c r="I2707" s="9" t="n">
        <v>2424.32</v>
      </c>
      <c r="J2707" s="9" t="n">
        <v>2284.97</v>
      </c>
      <c r="K2707" s="9" t="n">
        <v>2754.2</v>
      </c>
      <c r="L2707" s="9" t="n">
        <v>2505.56</v>
      </c>
      <c r="M2707" s="9" t="n">
        <v>2259.72</v>
      </c>
      <c r="N2707" s="9" t="n">
        <v>2371.56</v>
      </c>
      <c r="O2707" s="9" t="n">
        <v>2529.43</v>
      </c>
      <c r="P2707" s="9" t="n">
        <v>2588.59</v>
      </c>
      <c r="Q2707" s="9" t="n">
        <v>2473.11</v>
      </c>
      <c r="R2707" s="9" t="n">
        <v>2853.22</v>
      </c>
      <c r="S2707" s="9" t="n">
        <v>2570.83</v>
      </c>
      <c r="T2707" s="9" t="n">
        <v>2329.28</v>
      </c>
      <c r="U2707" s="10">
        <f>SUM(I2707:T2707)</f>
        <v/>
      </c>
    </row>
    <row r="2708">
      <c r="A2708" s="2" t="inlineStr">
        <is>
          <t>SN-3000-3800-3830-3830TA0039</t>
        </is>
      </c>
      <c r="B2708" s="2" t="inlineStr">
        <is>
          <t>3830TA0039</t>
        </is>
      </c>
      <c r="C2708" s="2" t="inlineStr">
        <is>
          <t>Estanque preparación floculante</t>
        </is>
      </c>
      <c r="D2708" s="2" t="n">
        <v>903</v>
      </c>
      <c r="E2708" s="2" t="inlineStr">
        <is>
          <t>CC-3000</t>
        </is>
      </c>
      <c r="F2708" s="2" t="inlineStr">
        <is>
          <t>P01</t>
        </is>
      </c>
      <c r="G2708" s="2" t="n">
        <v>610000</v>
      </c>
      <c r="H2708" s="2" t="inlineStr">
        <is>
          <t>Mano obra interna</t>
        </is>
      </c>
      <c r="I2708" s="9" t="n">
        <v>2541.44</v>
      </c>
      <c r="J2708" s="9" t="n">
        <v>2436.13</v>
      </c>
      <c r="K2708" s="9" t="n">
        <v>2815.21</v>
      </c>
      <c r="L2708" s="9" t="n">
        <v>2625.87</v>
      </c>
      <c r="M2708" s="9" t="n">
        <v>2748.58</v>
      </c>
      <c r="N2708" s="9" t="n">
        <v>2307.12</v>
      </c>
      <c r="O2708" s="9" t="n">
        <v>2730.87</v>
      </c>
      <c r="P2708" s="9" t="n">
        <v>2450.62</v>
      </c>
      <c r="Q2708" s="9" t="n">
        <v>2298.35</v>
      </c>
      <c r="R2708" s="9" t="n">
        <v>2797.78</v>
      </c>
      <c r="S2708" s="9" t="n">
        <v>2478.49</v>
      </c>
      <c r="T2708" s="9" t="n">
        <v>2636.56</v>
      </c>
      <c r="U2708" s="10">
        <f>SUM(I2708:T2708)</f>
        <v/>
      </c>
    </row>
    <row r="2709">
      <c r="A2709" s="2" t="inlineStr">
        <is>
          <t>SN-3000-3800-3830-3830TA0039</t>
        </is>
      </c>
      <c r="B2709" s="2" t="inlineStr">
        <is>
          <t>3830TA0039</t>
        </is>
      </c>
      <c r="C2709" s="2" t="inlineStr">
        <is>
          <t>Estanque preparación floculante</t>
        </is>
      </c>
      <c r="D2709" s="2" t="n">
        <v>903</v>
      </c>
      <c r="E2709" s="2" t="inlineStr">
        <is>
          <t>CC-3000</t>
        </is>
      </c>
      <c r="F2709" s="2" t="inlineStr">
        <is>
          <t>P01</t>
        </is>
      </c>
      <c r="G2709" s="2" t="n">
        <v>620000</v>
      </c>
      <c r="H2709" s="2" t="inlineStr">
        <is>
          <t>Materiales</t>
        </is>
      </c>
      <c r="I2709" s="9" t="n">
        <v>2814.36</v>
      </c>
      <c r="J2709" s="9" t="n">
        <v>2559.6</v>
      </c>
      <c r="K2709" s="9" t="n">
        <v>2629.08</v>
      </c>
      <c r="L2709" s="9" t="n">
        <v>2713.3</v>
      </c>
      <c r="M2709" s="9" t="n">
        <v>2640.77</v>
      </c>
      <c r="N2709" s="9" t="n">
        <v>2612.7</v>
      </c>
      <c r="O2709" s="9" t="n">
        <v>2589.67</v>
      </c>
      <c r="P2709" s="9" t="n">
        <v>2802.18</v>
      </c>
      <c r="Q2709" s="9" t="n">
        <v>2342.46</v>
      </c>
      <c r="R2709" s="9" t="n">
        <v>2928.13</v>
      </c>
      <c r="S2709" s="9" t="n">
        <v>2654.75</v>
      </c>
      <c r="T2709" s="9" t="n">
        <v>2601.09</v>
      </c>
      <c r="U2709" s="10">
        <f>SUM(I2709:T2709)</f>
        <v/>
      </c>
    </row>
    <row r="2710">
      <c r="A2710" s="2" t="inlineStr">
        <is>
          <t>SN-3000-3800-3830-3830TA0039</t>
        </is>
      </c>
      <c r="B2710" s="2" t="inlineStr">
        <is>
          <t>3830TA0039</t>
        </is>
      </c>
      <c r="C2710" s="2" t="inlineStr">
        <is>
          <t>Estanque preparación floculante</t>
        </is>
      </c>
      <c r="D2710" s="2" t="n">
        <v>903</v>
      </c>
      <c r="E2710" s="2" t="inlineStr">
        <is>
          <t>CC-3000</t>
        </is>
      </c>
      <c r="F2710" s="2" t="inlineStr">
        <is>
          <t>P01</t>
        </is>
      </c>
      <c r="G2710" s="2" t="n">
        <v>630000</v>
      </c>
      <c r="H2710" s="2" t="inlineStr">
        <is>
          <t>Servicios externos</t>
        </is>
      </c>
      <c r="I2710" s="9" t="n">
        <v>2658.72</v>
      </c>
      <c r="J2710" s="9" t="n">
        <v>2577.2</v>
      </c>
      <c r="K2710" s="9" t="n">
        <v>2637.16</v>
      </c>
      <c r="L2710" s="9" t="n">
        <v>2784.85</v>
      </c>
      <c r="M2710" s="9" t="n">
        <v>2609.27</v>
      </c>
      <c r="N2710" s="9" t="n">
        <v>2398.63</v>
      </c>
      <c r="O2710" s="9" t="n">
        <v>2451.36</v>
      </c>
      <c r="P2710" s="9" t="n">
        <v>2379.92</v>
      </c>
      <c r="Q2710" s="9" t="n">
        <v>2252.98</v>
      </c>
      <c r="R2710" s="9" t="n">
        <v>2975.14</v>
      </c>
      <c r="S2710" s="9" t="n">
        <v>2438.6</v>
      </c>
      <c r="T2710" s="9" t="n">
        <v>2760.71</v>
      </c>
      <c r="U2710" s="10">
        <f>SUM(I2710:T2710)</f>
        <v/>
      </c>
    </row>
    <row r="2711">
      <c r="A2711" s="2" t="inlineStr">
        <is>
          <t>SN-3000-3800-3830-3830TA0042</t>
        </is>
      </c>
      <c r="B2711" s="2" t="inlineStr">
        <is>
          <t>3830TA0042</t>
        </is>
      </c>
      <c r="C2711" s="2" t="inlineStr">
        <is>
          <t>Estanque floculante</t>
        </is>
      </c>
      <c r="D2711" s="2" t="n">
        <v>904</v>
      </c>
      <c r="E2711" s="2" t="inlineStr">
        <is>
          <t>CC-3000</t>
        </is>
      </c>
      <c r="F2711" s="2" t="inlineStr">
        <is>
          <t>P01</t>
        </is>
      </c>
      <c r="G2711" s="2" t="n">
        <v>610000</v>
      </c>
      <c r="H2711" s="2" t="inlineStr">
        <is>
          <t>Mano obra interna</t>
        </is>
      </c>
      <c r="I2711" s="9" t="n">
        <v>136.43</v>
      </c>
      <c r="J2711" s="9" t="n">
        <v>143.03</v>
      </c>
      <c r="K2711" s="9" t="n">
        <v>130.41</v>
      </c>
      <c r="L2711" s="9" t="n">
        <v>140.32</v>
      </c>
      <c r="M2711" s="9" t="n">
        <v>142.84</v>
      </c>
      <c r="N2711" s="9" t="n">
        <v>138.62</v>
      </c>
      <c r="O2711" s="9" t="n">
        <v>142.81</v>
      </c>
      <c r="P2711" s="9" t="n">
        <v>142.86</v>
      </c>
      <c r="Q2711" s="9" t="n">
        <v>128.98</v>
      </c>
      <c r="R2711" s="9" t="n">
        <v>139.34</v>
      </c>
      <c r="S2711" s="9" t="n">
        <v>135.77</v>
      </c>
      <c r="T2711" s="9" t="n">
        <v>147.77</v>
      </c>
      <c r="U2711" s="10">
        <f>SUM(I2711:T2711)</f>
        <v/>
      </c>
    </row>
    <row r="2712">
      <c r="A2712" s="2" t="inlineStr">
        <is>
          <t>SN-3000-3800-3830-3830TA0042</t>
        </is>
      </c>
      <c r="B2712" s="2" t="inlineStr">
        <is>
          <t>3830TA0042</t>
        </is>
      </c>
      <c r="C2712" s="2" t="inlineStr">
        <is>
          <t>Estanque floculante</t>
        </is>
      </c>
      <c r="D2712" s="2" t="n">
        <v>904</v>
      </c>
      <c r="E2712" s="2" t="inlineStr">
        <is>
          <t>CC-3000</t>
        </is>
      </c>
      <c r="F2712" s="2" t="inlineStr">
        <is>
          <t>P01</t>
        </is>
      </c>
      <c r="G2712" s="2" t="n">
        <v>620000</v>
      </c>
      <c r="H2712" s="2" t="inlineStr">
        <is>
          <t>Materiales</t>
        </is>
      </c>
      <c r="I2712" s="9" t="n">
        <v>148.9</v>
      </c>
      <c r="J2712" s="9" t="n">
        <v>151.13</v>
      </c>
      <c r="K2712" s="9" t="n">
        <v>161.24</v>
      </c>
      <c r="L2712" s="9" t="n">
        <v>147.78</v>
      </c>
      <c r="M2712" s="9" t="n">
        <v>155.37</v>
      </c>
      <c r="N2712" s="9" t="n">
        <v>147.04</v>
      </c>
      <c r="O2712" s="9" t="n">
        <v>154.47</v>
      </c>
      <c r="P2712" s="9" t="n">
        <v>146.85</v>
      </c>
      <c r="Q2712" s="9" t="n">
        <v>133.4</v>
      </c>
      <c r="R2712" s="9" t="n">
        <v>166.8</v>
      </c>
      <c r="S2712" s="9" t="n">
        <v>148.85</v>
      </c>
      <c r="T2712" s="9" t="n">
        <v>149.93</v>
      </c>
      <c r="U2712" s="10">
        <f>SUM(I2712:T2712)</f>
        <v/>
      </c>
    </row>
    <row r="2713">
      <c r="A2713" s="2" t="inlineStr">
        <is>
          <t>SN-3000-3800-3830-3830TA0042</t>
        </is>
      </c>
      <c r="B2713" s="2" t="inlineStr">
        <is>
          <t>3830TA0042</t>
        </is>
      </c>
      <c r="C2713" s="2" t="inlineStr">
        <is>
          <t>Estanque floculante</t>
        </is>
      </c>
      <c r="D2713" s="2" t="n">
        <v>904</v>
      </c>
      <c r="E2713" s="2" t="inlineStr">
        <is>
          <t>CC-3000</t>
        </is>
      </c>
      <c r="F2713" s="2" t="inlineStr">
        <is>
          <t>P01</t>
        </is>
      </c>
      <c r="G2713" s="2" t="n">
        <v>630000</v>
      </c>
      <c r="H2713" s="2" t="inlineStr">
        <is>
          <t>Servicios externos</t>
        </is>
      </c>
      <c r="I2713" s="9" t="n">
        <v>138.36</v>
      </c>
      <c r="J2713" s="9" t="n">
        <v>136.61</v>
      </c>
      <c r="K2713" s="9" t="n">
        <v>154.22</v>
      </c>
      <c r="L2713" s="9" t="n">
        <v>147.98</v>
      </c>
      <c r="M2713" s="9" t="n">
        <v>145.23</v>
      </c>
      <c r="N2713" s="9" t="n">
        <v>132.95</v>
      </c>
      <c r="O2713" s="9" t="n">
        <v>139.57</v>
      </c>
      <c r="P2713" s="9" t="n">
        <v>132.26</v>
      </c>
      <c r="Q2713" s="9" t="n">
        <v>133.9</v>
      </c>
      <c r="R2713" s="9" t="n">
        <v>147.95</v>
      </c>
      <c r="S2713" s="9" t="n">
        <v>139.71</v>
      </c>
      <c r="T2713" s="9" t="n">
        <v>138.94</v>
      </c>
      <c r="U2713" s="10">
        <f>SUM(I2713:T2713)</f>
        <v/>
      </c>
    </row>
    <row r="2714">
      <c r="A2714" s="2" t="inlineStr">
        <is>
          <t>SN-3000-3800-3830-3830XM0068</t>
        </is>
      </c>
      <c r="B2714" s="2" t="inlineStr">
        <is>
          <t>3830XM0068</t>
        </is>
      </c>
      <c r="C2714" s="2" t="inlineStr">
        <is>
          <t>Venturi floculante</t>
        </is>
      </c>
      <c r="D2714" s="2" t="n">
        <v>905</v>
      </c>
      <c r="E2714" s="2" t="inlineStr">
        <is>
          <t>CC-3000</t>
        </is>
      </c>
      <c r="F2714" s="2" t="inlineStr">
        <is>
          <t>P01</t>
        </is>
      </c>
      <c r="G2714" s="2" t="n">
        <v>610000</v>
      </c>
      <c r="H2714" s="2" t="inlineStr">
        <is>
          <t>Mano obra interna</t>
        </is>
      </c>
      <c r="I2714" s="9" t="n">
        <v>348.28</v>
      </c>
      <c r="J2714" s="9" t="n">
        <v>372.23</v>
      </c>
      <c r="K2714" s="9" t="n">
        <v>357.05</v>
      </c>
      <c r="L2714" s="9" t="n">
        <v>354.07</v>
      </c>
      <c r="M2714" s="9" t="n">
        <v>380.76</v>
      </c>
      <c r="N2714" s="9" t="n">
        <v>352.87</v>
      </c>
      <c r="O2714" s="9" t="n">
        <v>337.94</v>
      </c>
      <c r="P2714" s="9" t="n">
        <v>339.22</v>
      </c>
      <c r="Q2714" s="9" t="n">
        <v>322.91</v>
      </c>
      <c r="R2714" s="9" t="n">
        <v>394.08</v>
      </c>
      <c r="S2714" s="9" t="n">
        <v>362.6</v>
      </c>
      <c r="T2714" s="9" t="n">
        <v>352.17</v>
      </c>
      <c r="U2714" s="10">
        <f>SUM(I2714:T2714)</f>
        <v/>
      </c>
    </row>
    <row r="2715">
      <c r="A2715" s="2" t="inlineStr">
        <is>
          <t>SN-3000-3800-3830-3830XM0068</t>
        </is>
      </c>
      <c r="B2715" s="2" t="inlineStr">
        <is>
          <t>3830XM0068</t>
        </is>
      </c>
      <c r="C2715" s="2" t="inlineStr">
        <is>
          <t>Venturi floculante</t>
        </is>
      </c>
      <c r="D2715" s="2" t="n">
        <v>905</v>
      </c>
      <c r="E2715" s="2" t="inlineStr">
        <is>
          <t>CC-3000</t>
        </is>
      </c>
      <c r="F2715" s="2" t="inlineStr">
        <is>
          <t>P01</t>
        </is>
      </c>
      <c r="G2715" s="2" t="n">
        <v>620000</v>
      </c>
      <c r="H2715" s="2" t="inlineStr">
        <is>
          <t>Materiales</t>
        </is>
      </c>
      <c r="I2715" s="9" t="n">
        <v>417.13</v>
      </c>
      <c r="J2715" s="9" t="n">
        <v>409.19</v>
      </c>
      <c r="K2715" s="9" t="n">
        <v>483.51</v>
      </c>
      <c r="L2715" s="9" t="n">
        <v>419.45</v>
      </c>
      <c r="M2715" s="9" t="n">
        <v>458.15</v>
      </c>
      <c r="N2715" s="9" t="n">
        <v>430.32</v>
      </c>
      <c r="O2715" s="9" t="n">
        <v>406.28</v>
      </c>
      <c r="P2715" s="9" t="n">
        <v>434.41</v>
      </c>
      <c r="Q2715" s="9" t="n">
        <v>406.98</v>
      </c>
      <c r="R2715" s="9" t="n">
        <v>502.56</v>
      </c>
      <c r="S2715" s="9" t="n">
        <v>416.63</v>
      </c>
      <c r="T2715" s="9" t="n">
        <v>438.58</v>
      </c>
      <c r="U2715" s="10">
        <f>SUM(I2715:T2715)</f>
        <v/>
      </c>
    </row>
    <row r="2716">
      <c r="A2716" s="2" t="inlineStr">
        <is>
          <t>SN-3000-3800-3830-3830XM0068</t>
        </is>
      </c>
      <c r="B2716" s="2" t="inlineStr">
        <is>
          <t>3830XM0068</t>
        </is>
      </c>
      <c r="C2716" s="2" t="inlineStr">
        <is>
          <t>Venturi floculante</t>
        </is>
      </c>
      <c r="D2716" s="2" t="n">
        <v>905</v>
      </c>
      <c r="E2716" s="2" t="inlineStr">
        <is>
          <t>CC-3000</t>
        </is>
      </c>
      <c r="F2716" s="2" t="inlineStr">
        <is>
          <t>P01</t>
        </is>
      </c>
      <c r="G2716" s="2" t="n">
        <v>630000</v>
      </c>
      <c r="H2716" s="2" t="inlineStr">
        <is>
          <t>Servicios externos</t>
        </is>
      </c>
      <c r="I2716" s="9" t="n">
        <v>370.28</v>
      </c>
      <c r="J2716" s="9" t="n">
        <v>333.28</v>
      </c>
      <c r="K2716" s="9" t="n">
        <v>341.3</v>
      </c>
      <c r="L2716" s="9" t="n">
        <v>391.47</v>
      </c>
      <c r="M2716" s="9" t="n">
        <v>338.2</v>
      </c>
      <c r="N2716" s="9" t="n">
        <v>319.75</v>
      </c>
      <c r="O2716" s="9" t="n">
        <v>366.31</v>
      </c>
      <c r="P2716" s="9" t="n">
        <v>372.8</v>
      </c>
      <c r="Q2716" s="9" t="n">
        <v>307.25</v>
      </c>
      <c r="R2716" s="9" t="n">
        <v>358.48</v>
      </c>
      <c r="S2716" s="9" t="n">
        <v>320.96</v>
      </c>
      <c r="T2716" s="9" t="n">
        <v>333.98</v>
      </c>
      <c r="U2716" s="10">
        <f>SUM(I2716:T2716)</f>
        <v/>
      </c>
    </row>
    <row r="2717">
      <c r="A2717" s="2" t="inlineStr">
        <is>
          <t>SN-3000-3800-3830-3830XP0024</t>
        </is>
      </c>
      <c r="B2717" s="2" t="inlineStr">
        <is>
          <t>3830XP0024</t>
        </is>
      </c>
      <c r="C2717" s="2" t="inlineStr">
        <is>
          <t>Cámara solución floculante</t>
        </is>
      </c>
      <c r="D2717" s="2" t="n">
        <v>906</v>
      </c>
      <c r="E2717" s="2" t="inlineStr">
        <is>
          <t>CC-3000</t>
        </is>
      </c>
      <c r="F2717" s="2" t="inlineStr">
        <is>
          <t>P01</t>
        </is>
      </c>
      <c r="G2717" s="2" t="n">
        <v>610000</v>
      </c>
      <c r="H2717" s="2" t="inlineStr">
        <is>
          <t>Mano obra interna</t>
        </is>
      </c>
      <c r="I2717" s="9" t="n">
        <v>2194.67</v>
      </c>
      <c r="J2717" s="9" t="n">
        <v>2142.19</v>
      </c>
      <c r="K2717" s="9" t="n">
        <v>2188.96</v>
      </c>
      <c r="L2717" s="9" t="n">
        <v>2276.7</v>
      </c>
      <c r="M2717" s="9" t="n">
        <v>2113.64</v>
      </c>
      <c r="N2717" s="9" t="n">
        <v>2162.56</v>
      </c>
      <c r="O2717" s="9" t="n">
        <v>2115.99</v>
      </c>
      <c r="P2717" s="9" t="n">
        <v>2216.83</v>
      </c>
      <c r="Q2717" s="9" t="n">
        <v>1944.12</v>
      </c>
      <c r="R2717" s="9" t="n">
        <v>2262.46</v>
      </c>
      <c r="S2717" s="9" t="n">
        <v>2166.79</v>
      </c>
      <c r="T2717" s="9" t="n">
        <v>2016.32</v>
      </c>
      <c r="U2717" s="10">
        <f>SUM(I2717:T2717)</f>
        <v/>
      </c>
    </row>
    <row r="2718">
      <c r="A2718" s="2" t="inlineStr">
        <is>
          <t>SN-3000-3800-3830-3830XP0024</t>
        </is>
      </c>
      <c r="B2718" s="2" t="inlineStr">
        <is>
          <t>3830XP0024</t>
        </is>
      </c>
      <c r="C2718" s="2" t="inlineStr">
        <is>
          <t>Cámara solución floculante</t>
        </is>
      </c>
      <c r="D2718" s="2" t="n">
        <v>906</v>
      </c>
      <c r="E2718" s="2" t="inlineStr">
        <is>
          <t>CC-3000</t>
        </is>
      </c>
      <c r="F2718" s="2" t="inlineStr">
        <is>
          <t>P01</t>
        </is>
      </c>
      <c r="G2718" s="2" t="n">
        <v>620000</v>
      </c>
      <c r="H2718" s="2" t="inlineStr">
        <is>
          <t>Materiales</t>
        </is>
      </c>
      <c r="I2718" s="9" t="n">
        <v>2144.23</v>
      </c>
      <c r="J2718" s="9" t="n">
        <v>2076.34</v>
      </c>
      <c r="K2718" s="9" t="n">
        <v>2121.79</v>
      </c>
      <c r="L2718" s="9" t="n">
        <v>2054.51</v>
      </c>
      <c r="M2718" s="9" t="n">
        <v>1929.29</v>
      </c>
      <c r="N2718" s="9" t="n">
        <v>2064.94</v>
      </c>
      <c r="O2718" s="9" t="n">
        <v>1985.71</v>
      </c>
      <c r="P2718" s="9" t="n">
        <v>2122.43</v>
      </c>
      <c r="Q2718" s="9" t="n">
        <v>1745.53</v>
      </c>
      <c r="R2718" s="9" t="n">
        <v>2092.34</v>
      </c>
      <c r="S2718" s="9" t="n">
        <v>1913.82</v>
      </c>
      <c r="T2718" s="9" t="n">
        <v>2113.61</v>
      </c>
      <c r="U2718" s="10">
        <f>SUM(I2718:T2718)</f>
        <v/>
      </c>
    </row>
    <row r="2719">
      <c r="A2719" s="2" t="inlineStr">
        <is>
          <t>SN-3000-3800-3830-3830XP0024</t>
        </is>
      </c>
      <c r="B2719" s="2" t="inlineStr">
        <is>
          <t>3830XP0024</t>
        </is>
      </c>
      <c r="C2719" s="2" t="inlineStr">
        <is>
          <t>Cámara solución floculante</t>
        </is>
      </c>
      <c r="D2719" s="2" t="n">
        <v>906</v>
      </c>
      <c r="E2719" s="2" t="inlineStr">
        <is>
          <t>CC-3000</t>
        </is>
      </c>
      <c r="F2719" s="2" t="inlineStr">
        <is>
          <t>P01</t>
        </is>
      </c>
      <c r="G2719" s="2" t="n">
        <v>630000</v>
      </c>
      <c r="H2719" s="2" t="inlineStr">
        <is>
          <t>Servicios externos</t>
        </is>
      </c>
      <c r="I2719" s="9" t="n">
        <v>1806.36</v>
      </c>
      <c r="J2719" s="9" t="n">
        <v>1782.55</v>
      </c>
      <c r="K2719" s="9" t="n">
        <v>1894.11</v>
      </c>
      <c r="L2719" s="9" t="n">
        <v>1850.54</v>
      </c>
      <c r="M2719" s="9" t="n">
        <v>1800.26</v>
      </c>
      <c r="N2719" s="9" t="n">
        <v>1904.27</v>
      </c>
      <c r="O2719" s="9" t="n">
        <v>1883.58</v>
      </c>
      <c r="P2719" s="9" t="n">
        <v>1879.22</v>
      </c>
      <c r="Q2719" s="9" t="n">
        <v>1910.31</v>
      </c>
      <c r="R2719" s="9" t="n">
        <v>2041.8</v>
      </c>
      <c r="S2719" s="9" t="n">
        <v>1975.11</v>
      </c>
      <c r="T2719" s="9" t="n">
        <v>1875.65</v>
      </c>
      <c r="U2719" s="10">
        <f>SUM(I2719:T2719)</f>
        <v/>
      </c>
    </row>
    <row r="2720">
      <c r="A2720" s="2" t="inlineStr">
        <is>
          <t>SN-3000-3800-3840-3840CN0018</t>
        </is>
      </c>
      <c r="B2720" s="2" t="inlineStr">
        <is>
          <t>3840CN0018</t>
        </is>
      </c>
      <c r="C2720" s="2" t="inlineStr">
        <is>
          <t>Puente grúa SBMS</t>
        </is>
      </c>
      <c r="D2720" s="2" t="n">
        <v>907</v>
      </c>
      <c r="E2720" s="2" t="inlineStr">
        <is>
          <t>CC-3000</t>
        </is>
      </c>
      <c r="F2720" s="2" t="inlineStr">
        <is>
          <t>P01</t>
        </is>
      </c>
      <c r="G2720" s="2" t="n">
        <v>610000</v>
      </c>
      <c r="H2720" s="2" t="inlineStr">
        <is>
          <t>Mano obra interna</t>
        </is>
      </c>
      <c r="I2720" s="9" t="n">
        <v>1314.33</v>
      </c>
      <c r="J2720" s="9" t="n">
        <v>1298.9</v>
      </c>
      <c r="K2720" s="9" t="n">
        <v>1368.85</v>
      </c>
      <c r="L2720" s="9" t="n">
        <v>1284.16</v>
      </c>
      <c r="M2720" s="9" t="n">
        <v>1356.54</v>
      </c>
      <c r="N2720" s="9" t="n">
        <v>1251.01</v>
      </c>
      <c r="O2720" s="9" t="n">
        <v>1206.5</v>
      </c>
      <c r="P2720" s="9" t="n">
        <v>1327.36</v>
      </c>
      <c r="Q2720" s="9" t="n">
        <v>1276.84</v>
      </c>
      <c r="R2720" s="9" t="n">
        <v>1355.52</v>
      </c>
      <c r="S2720" s="9" t="n">
        <v>1173.69</v>
      </c>
      <c r="T2720" s="9" t="n">
        <v>1393.96</v>
      </c>
      <c r="U2720" s="10">
        <f>SUM(I2720:T2720)</f>
        <v/>
      </c>
    </row>
    <row r="2721">
      <c r="A2721" s="2" t="inlineStr">
        <is>
          <t>SN-3000-3800-3840-3840CN0018</t>
        </is>
      </c>
      <c r="B2721" s="2" t="inlineStr">
        <is>
          <t>3840CN0018</t>
        </is>
      </c>
      <c r="C2721" s="2" t="inlineStr">
        <is>
          <t>Puente grúa SBMS</t>
        </is>
      </c>
      <c r="D2721" s="2" t="n">
        <v>907</v>
      </c>
      <c r="E2721" s="2" t="inlineStr">
        <is>
          <t>CC-3000</t>
        </is>
      </c>
      <c r="F2721" s="2" t="inlineStr">
        <is>
          <t>P01</t>
        </is>
      </c>
      <c r="G2721" s="2" t="n">
        <v>620000</v>
      </c>
      <c r="H2721" s="2" t="inlineStr">
        <is>
          <t>Materiales</t>
        </is>
      </c>
      <c r="I2721" s="9" t="n">
        <v>1418.14</v>
      </c>
      <c r="J2721" s="9" t="n">
        <v>1570.44</v>
      </c>
      <c r="K2721" s="9" t="n">
        <v>1502.68</v>
      </c>
      <c r="L2721" s="9" t="n">
        <v>1630.56</v>
      </c>
      <c r="M2721" s="9" t="n">
        <v>1509.85</v>
      </c>
      <c r="N2721" s="9" t="n">
        <v>1513.63</v>
      </c>
      <c r="O2721" s="9" t="n">
        <v>1559</v>
      </c>
      <c r="P2721" s="9" t="n">
        <v>1376.58</v>
      </c>
      <c r="Q2721" s="9" t="n">
        <v>1290.69</v>
      </c>
      <c r="R2721" s="9" t="n">
        <v>1613.63</v>
      </c>
      <c r="S2721" s="9" t="n">
        <v>1357.07</v>
      </c>
      <c r="T2721" s="9" t="n">
        <v>1502.84</v>
      </c>
      <c r="U2721" s="10">
        <f>SUM(I2721:T2721)</f>
        <v/>
      </c>
    </row>
    <row r="2722">
      <c r="A2722" s="2" t="inlineStr">
        <is>
          <t>SN-3000-3800-3840-3840CN0018</t>
        </is>
      </c>
      <c r="B2722" s="2" t="inlineStr">
        <is>
          <t>3840CN0018</t>
        </is>
      </c>
      <c r="C2722" s="2" t="inlineStr">
        <is>
          <t>Puente grúa SBMS</t>
        </is>
      </c>
      <c r="D2722" s="2" t="n">
        <v>907</v>
      </c>
      <c r="E2722" s="2" t="inlineStr">
        <is>
          <t>CC-3000</t>
        </is>
      </c>
      <c r="F2722" s="2" t="inlineStr">
        <is>
          <t>P01</t>
        </is>
      </c>
      <c r="G2722" s="2" t="n">
        <v>630000</v>
      </c>
      <c r="H2722" s="2" t="inlineStr">
        <is>
          <t>Servicios externos</t>
        </is>
      </c>
      <c r="I2722" s="9" t="n">
        <v>1447.04</v>
      </c>
      <c r="J2722" s="9" t="n">
        <v>1440.87</v>
      </c>
      <c r="K2722" s="9" t="n">
        <v>1484</v>
      </c>
      <c r="L2722" s="9" t="n">
        <v>1529.05</v>
      </c>
      <c r="M2722" s="9" t="n">
        <v>1379.41</v>
      </c>
      <c r="N2722" s="9" t="n">
        <v>1347.41</v>
      </c>
      <c r="O2722" s="9" t="n">
        <v>1550.46</v>
      </c>
      <c r="P2722" s="9" t="n">
        <v>1537.48</v>
      </c>
      <c r="Q2722" s="9" t="n">
        <v>1427.44</v>
      </c>
      <c r="R2722" s="9" t="n">
        <v>1649.08</v>
      </c>
      <c r="S2722" s="9" t="n">
        <v>1409.61</v>
      </c>
      <c r="T2722" s="9" t="n">
        <v>1541.86</v>
      </c>
      <c r="U2722" s="10">
        <f>SUM(I2722:T2722)</f>
        <v/>
      </c>
    </row>
    <row r="2723">
      <c r="A2723" s="2" t="inlineStr">
        <is>
          <t>SN-3000-3800-3840-3840FE0018</t>
        </is>
      </c>
      <c r="B2723" s="2" t="inlineStr">
        <is>
          <t>3840FE0018</t>
        </is>
      </c>
      <c r="C2723" s="2" t="inlineStr">
        <is>
          <t>Tornillo alimentador sulfato de cobre</t>
        </is>
      </c>
      <c r="D2723" s="2" t="n">
        <v>908</v>
      </c>
      <c r="E2723" s="2" t="inlineStr">
        <is>
          <t>CC-3000</t>
        </is>
      </c>
      <c r="F2723" s="2" t="inlineStr">
        <is>
          <t>P01</t>
        </is>
      </c>
      <c r="G2723" s="2" t="n">
        <v>610000</v>
      </c>
      <c r="H2723" s="2" t="inlineStr">
        <is>
          <t>Mano obra interna</t>
        </is>
      </c>
      <c r="I2723" s="9" t="n">
        <v>1016.61</v>
      </c>
      <c r="J2723" s="9" t="n">
        <v>1029.83</v>
      </c>
      <c r="K2723" s="9" t="n">
        <v>1037.53</v>
      </c>
      <c r="L2723" s="9" t="n">
        <v>1068.27</v>
      </c>
      <c r="M2723" s="9" t="n">
        <v>1018.68</v>
      </c>
      <c r="N2723" s="9" t="n">
        <v>1033.21</v>
      </c>
      <c r="O2723" s="9" t="n">
        <v>1040.71</v>
      </c>
      <c r="P2723" s="9" t="n">
        <v>1097.98</v>
      </c>
      <c r="Q2723" s="9" t="n">
        <v>992.2</v>
      </c>
      <c r="R2723" s="9" t="n">
        <v>1224.24</v>
      </c>
      <c r="S2723" s="9" t="n">
        <v>962.45</v>
      </c>
      <c r="T2723" s="9" t="n">
        <v>1112.03</v>
      </c>
      <c r="U2723" s="10">
        <f>SUM(I2723:T2723)</f>
        <v/>
      </c>
    </row>
    <row r="2724">
      <c r="A2724" s="2" t="inlineStr">
        <is>
          <t>SN-3000-3800-3840-3840FE0018</t>
        </is>
      </c>
      <c r="B2724" s="2" t="inlineStr">
        <is>
          <t>3840FE0018</t>
        </is>
      </c>
      <c r="C2724" s="2" t="inlineStr">
        <is>
          <t>Tornillo alimentador sulfato de cobre</t>
        </is>
      </c>
      <c r="D2724" s="2" t="n">
        <v>908</v>
      </c>
      <c r="E2724" s="2" t="inlineStr">
        <is>
          <t>CC-3000</t>
        </is>
      </c>
      <c r="F2724" s="2" t="inlineStr">
        <is>
          <t>P01</t>
        </is>
      </c>
      <c r="G2724" s="2" t="n">
        <v>620000</v>
      </c>
      <c r="H2724" s="2" t="inlineStr">
        <is>
          <t>Materiales</t>
        </is>
      </c>
      <c r="I2724" s="9" t="n">
        <v>1231.29</v>
      </c>
      <c r="J2724" s="9" t="n">
        <v>1085.23</v>
      </c>
      <c r="K2724" s="9" t="n">
        <v>1124.5</v>
      </c>
      <c r="L2724" s="9" t="n">
        <v>1089.56</v>
      </c>
      <c r="M2724" s="9" t="n">
        <v>1071.58</v>
      </c>
      <c r="N2724" s="9" t="n">
        <v>1075.93</v>
      </c>
      <c r="O2724" s="9" t="n">
        <v>1186.36</v>
      </c>
      <c r="P2724" s="9" t="n">
        <v>1085.39</v>
      </c>
      <c r="Q2724" s="9" t="n">
        <v>989.92</v>
      </c>
      <c r="R2724" s="9" t="n">
        <v>1169.03</v>
      </c>
      <c r="S2724" s="9" t="n">
        <v>1019.56</v>
      </c>
      <c r="T2724" s="9" t="n">
        <v>1219.68</v>
      </c>
      <c r="U2724" s="10">
        <f>SUM(I2724:T2724)</f>
        <v/>
      </c>
    </row>
    <row r="2725">
      <c r="A2725" s="2" t="inlineStr">
        <is>
          <t>SN-3000-3800-3840-3840FE0018</t>
        </is>
      </c>
      <c r="B2725" s="2" t="inlineStr">
        <is>
          <t>3840FE0018</t>
        </is>
      </c>
      <c r="C2725" s="2" t="inlineStr">
        <is>
          <t>Tornillo alimentador sulfato de cobre</t>
        </is>
      </c>
      <c r="D2725" s="2" t="n">
        <v>908</v>
      </c>
      <c r="E2725" s="2" t="inlineStr">
        <is>
          <t>CC-3000</t>
        </is>
      </c>
      <c r="F2725" s="2" t="inlineStr">
        <is>
          <t>P01</t>
        </is>
      </c>
      <c r="G2725" s="2" t="n">
        <v>630000</v>
      </c>
      <c r="H2725" s="2" t="inlineStr">
        <is>
          <t>Servicios externos</t>
        </is>
      </c>
      <c r="I2725" s="9" t="n">
        <v>1178.14</v>
      </c>
      <c r="J2725" s="9" t="n">
        <v>1125.06</v>
      </c>
      <c r="K2725" s="9" t="n">
        <v>1307.9</v>
      </c>
      <c r="L2725" s="9" t="n">
        <v>1119.8</v>
      </c>
      <c r="M2725" s="9" t="n">
        <v>1197.2</v>
      </c>
      <c r="N2725" s="9" t="n">
        <v>1214.02</v>
      </c>
      <c r="O2725" s="9" t="n">
        <v>1192.73</v>
      </c>
      <c r="P2725" s="9" t="n">
        <v>1095.06</v>
      </c>
      <c r="Q2725" s="9" t="n">
        <v>1058.41</v>
      </c>
      <c r="R2725" s="9" t="n">
        <v>1370.71</v>
      </c>
      <c r="S2725" s="9" t="n">
        <v>1063.47</v>
      </c>
      <c r="T2725" s="9" t="n">
        <v>1187.89</v>
      </c>
      <c r="U2725" s="10">
        <f>SUM(I2725:T2725)</f>
        <v/>
      </c>
    </row>
    <row r="2726">
      <c r="A2726" s="2" t="inlineStr">
        <is>
          <t>SN-3000-3800-3840-3840FE0019</t>
        </is>
      </c>
      <c r="B2726" s="2" t="inlineStr">
        <is>
          <t>3840FE0019</t>
        </is>
      </c>
      <c r="C2726" s="2" t="inlineStr">
        <is>
          <t>Tornillo alimentación MBSS</t>
        </is>
      </c>
      <c r="D2726" s="2" t="n">
        <v>909</v>
      </c>
      <c r="E2726" s="2" t="inlineStr">
        <is>
          <t>CC-3000</t>
        </is>
      </c>
      <c r="F2726" s="2" t="inlineStr">
        <is>
          <t>P01</t>
        </is>
      </c>
      <c r="G2726" s="2" t="n">
        <v>610000</v>
      </c>
      <c r="H2726" s="2" t="inlineStr">
        <is>
          <t>Mano obra interna</t>
        </is>
      </c>
      <c r="I2726" s="9" t="n">
        <v>561.91</v>
      </c>
      <c r="J2726" s="9" t="n">
        <v>512.4400000000001</v>
      </c>
      <c r="K2726" s="9" t="n">
        <v>515.65</v>
      </c>
      <c r="L2726" s="9" t="n">
        <v>542.21</v>
      </c>
      <c r="M2726" s="9" t="n">
        <v>497.25</v>
      </c>
      <c r="N2726" s="9" t="n">
        <v>479.7</v>
      </c>
      <c r="O2726" s="9" t="n">
        <v>548.14</v>
      </c>
      <c r="P2726" s="9" t="n">
        <v>492.93</v>
      </c>
      <c r="Q2726" s="9" t="n">
        <v>447.63</v>
      </c>
      <c r="R2726" s="9" t="n">
        <v>548.4299999999999</v>
      </c>
      <c r="S2726" s="9" t="n">
        <v>504.78</v>
      </c>
      <c r="T2726" s="9" t="n">
        <v>547.33</v>
      </c>
      <c r="U2726" s="10">
        <f>SUM(I2726:T2726)</f>
        <v/>
      </c>
    </row>
    <row r="2727">
      <c r="A2727" s="2" t="inlineStr">
        <is>
          <t>SN-3000-3800-3840-3840FE0019</t>
        </is>
      </c>
      <c r="B2727" s="2" t="inlineStr">
        <is>
          <t>3840FE0019</t>
        </is>
      </c>
      <c r="C2727" s="2" t="inlineStr">
        <is>
          <t>Tornillo alimentación MBSS</t>
        </is>
      </c>
      <c r="D2727" s="2" t="n">
        <v>909</v>
      </c>
      <c r="E2727" s="2" t="inlineStr">
        <is>
          <t>CC-3000</t>
        </is>
      </c>
      <c r="F2727" s="2" t="inlineStr">
        <is>
          <t>P01</t>
        </is>
      </c>
      <c r="G2727" s="2" t="n">
        <v>620000</v>
      </c>
      <c r="H2727" s="2" t="inlineStr">
        <is>
          <t>Materiales</t>
        </is>
      </c>
      <c r="I2727" s="9" t="n">
        <v>525.87</v>
      </c>
      <c r="J2727" s="9" t="n">
        <v>504.41</v>
      </c>
      <c r="K2727" s="9" t="n">
        <v>531.62</v>
      </c>
      <c r="L2727" s="9" t="n">
        <v>494.31</v>
      </c>
      <c r="M2727" s="9" t="n">
        <v>487.46</v>
      </c>
      <c r="N2727" s="9" t="n">
        <v>488.89</v>
      </c>
      <c r="O2727" s="9" t="n">
        <v>467.32</v>
      </c>
      <c r="P2727" s="9" t="n">
        <v>485.2</v>
      </c>
      <c r="Q2727" s="9" t="n">
        <v>460.3</v>
      </c>
      <c r="R2727" s="9" t="n">
        <v>544.27</v>
      </c>
      <c r="S2727" s="9" t="n">
        <v>484.92</v>
      </c>
      <c r="T2727" s="9" t="n">
        <v>527.23</v>
      </c>
      <c r="U2727" s="10">
        <f>SUM(I2727:T2727)</f>
        <v/>
      </c>
    </row>
    <row r="2728">
      <c r="A2728" s="2" t="inlineStr">
        <is>
          <t>SN-3000-3800-3840-3840FE0019</t>
        </is>
      </c>
      <c r="B2728" s="2" t="inlineStr">
        <is>
          <t>3840FE0019</t>
        </is>
      </c>
      <c r="C2728" s="2" t="inlineStr">
        <is>
          <t>Tornillo alimentación MBSS</t>
        </is>
      </c>
      <c r="D2728" s="2" t="n">
        <v>909</v>
      </c>
      <c r="E2728" s="2" t="inlineStr">
        <is>
          <t>CC-3000</t>
        </is>
      </c>
      <c r="F2728" s="2" t="inlineStr">
        <is>
          <t>P01</t>
        </is>
      </c>
      <c r="G2728" s="2" t="n">
        <v>630000</v>
      </c>
      <c r="H2728" s="2" t="inlineStr">
        <is>
          <t>Servicios externos</t>
        </is>
      </c>
      <c r="I2728" s="9" t="n">
        <v>504.29</v>
      </c>
      <c r="J2728" s="9" t="n">
        <v>448.22</v>
      </c>
      <c r="K2728" s="9" t="n">
        <v>480.62</v>
      </c>
      <c r="L2728" s="9" t="n">
        <v>436.53</v>
      </c>
      <c r="M2728" s="9" t="n">
        <v>445.27</v>
      </c>
      <c r="N2728" s="9" t="n">
        <v>469.63</v>
      </c>
      <c r="O2728" s="9" t="n">
        <v>451.84</v>
      </c>
      <c r="P2728" s="9" t="n">
        <v>445.34</v>
      </c>
      <c r="Q2728" s="9" t="n">
        <v>434.93</v>
      </c>
      <c r="R2728" s="9" t="n">
        <v>466.66</v>
      </c>
      <c r="S2728" s="9" t="n">
        <v>451.45</v>
      </c>
      <c r="T2728" s="9" t="n">
        <v>456.09</v>
      </c>
      <c r="U2728" s="10">
        <f>SUM(I2728:T2728)</f>
        <v/>
      </c>
    </row>
    <row r="2729">
      <c r="A2729" s="2" t="inlineStr">
        <is>
          <t>SN-3000-3800-3840-3840FP1001</t>
        </is>
      </c>
      <c r="B2729" s="2" t="inlineStr">
        <is>
          <t>3840FP1001</t>
        </is>
      </c>
      <c r="C2729" s="2" t="inlineStr">
        <is>
          <t>Tablero SCI</t>
        </is>
      </c>
      <c r="D2729" s="2" t="n">
        <v>910</v>
      </c>
      <c r="E2729" s="2" t="inlineStr">
        <is>
          <t>CC-3000</t>
        </is>
      </c>
      <c r="F2729" s="2" t="inlineStr">
        <is>
          <t>P01</t>
        </is>
      </c>
      <c r="G2729" s="2" t="n">
        <v>610000</v>
      </c>
      <c r="H2729" s="2" t="inlineStr">
        <is>
          <t>Mano obra interna</t>
        </is>
      </c>
      <c r="I2729" s="9" t="n">
        <v>429.48</v>
      </c>
      <c r="J2729" s="9" t="n">
        <v>406.14</v>
      </c>
      <c r="K2729" s="9" t="n">
        <v>411.11</v>
      </c>
      <c r="L2729" s="9" t="n">
        <v>415.93</v>
      </c>
      <c r="M2729" s="9" t="n">
        <v>414.8</v>
      </c>
      <c r="N2729" s="9" t="n">
        <v>399.42</v>
      </c>
      <c r="O2729" s="9" t="n">
        <v>381.91</v>
      </c>
      <c r="P2729" s="9" t="n">
        <v>388.88</v>
      </c>
      <c r="Q2729" s="9" t="n">
        <v>365.1</v>
      </c>
      <c r="R2729" s="9" t="n">
        <v>411.82</v>
      </c>
      <c r="S2729" s="9" t="n">
        <v>358.76</v>
      </c>
      <c r="T2729" s="9" t="n">
        <v>386.66</v>
      </c>
      <c r="U2729" s="10">
        <f>SUM(I2729:T2729)</f>
        <v/>
      </c>
    </row>
    <row r="2730">
      <c r="A2730" s="2" t="inlineStr">
        <is>
          <t>SN-3000-3800-3840-3840FP1001</t>
        </is>
      </c>
      <c r="B2730" s="2" t="inlineStr">
        <is>
          <t>3840FP1001</t>
        </is>
      </c>
      <c r="C2730" s="2" t="inlineStr">
        <is>
          <t>Tablero SCI</t>
        </is>
      </c>
      <c r="D2730" s="2" t="n">
        <v>910</v>
      </c>
      <c r="E2730" s="2" t="inlineStr">
        <is>
          <t>CC-3000</t>
        </is>
      </c>
      <c r="F2730" s="2" t="inlineStr">
        <is>
          <t>P01</t>
        </is>
      </c>
      <c r="G2730" s="2" t="n">
        <v>620000</v>
      </c>
      <c r="H2730" s="2" t="inlineStr">
        <is>
          <t>Materiales</t>
        </is>
      </c>
      <c r="I2730" s="9" t="n">
        <v>451.79</v>
      </c>
      <c r="J2730" s="9" t="n">
        <v>421.72</v>
      </c>
      <c r="K2730" s="9" t="n">
        <v>461.09</v>
      </c>
      <c r="L2730" s="9" t="n">
        <v>466.25</v>
      </c>
      <c r="M2730" s="9" t="n">
        <v>424.67</v>
      </c>
      <c r="N2730" s="9" t="n">
        <v>417.76</v>
      </c>
      <c r="O2730" s="9" t="n">
        <v>408.89</v>
      </c>
      <c r="P2730" s="9" t="n">
        <v>445.83</v>
      </c>
      <c r="Q2730" s="9" t="n">
        <v>399.57</v>
      </c>
      <c r="R2730" s="9" t="n">
        <v>468.75</v>
      </c>
      <c r="S2730" s="9" t="n">
        <v>420.04</v>
      </c>
      <c r="T2730" s="9" t="n">
        <v>455.31</v>
      </c>
      <c r="U2730" s="10">
        <f>SUM(I2730:T2730)</f>
        <v/>
      </c>
    </row>
    <row r="2731">
      <c r="A2731" s="2" t="inlineStr">
        <is>
          <t>SN-3000-3800-3840-3840FP1001</t>
        </is>
      </c>
      <c r="B2731" s="2" t="inlineStr">
        <is>
          <t>3840FP1001</t>
        </is>
      </c>
      <c r="C2731" s="2" t="inlineStr">
        <is>
          <t>Tablero SCI</t>
        </is>
      </c>
      <c r="D2731" s="2" t="n">
        <v>910</v>
      </c>
      <c r="E2731" s="2" t="inlineStr">
        <is>
          <t>CC-3000</t>
        </is>
      </c>
      <c r="F2731" s="2" t="inlineStr">
        <is>
          <t>P01</t>
        </is>
      </c>
      <c r="G2731" s="2" t="n">
        <v>630000</v>
      </c>
      <c r="H2731" s="2" t="inlineStr">
        <is>
          <t>Servicios externos</t>
        </is>
      </c>
      <c r="I2731" s="9" t="n">
        <v>416.12</v>
      </c>
      <c r="J2731" s="9" t="n">
        <v>375.09</v>
      </c>
      <c r="K2731" s="9" t="n">
        <v>434.06</v>
      </c>
      <c r="L2731" s="9" t="n">
        <v>447.48</v>
      </c>
      <c r="M2731" s="9" t="n">
        <v>426.11</v>
      </c>
      <c r="N2731" s="9" t="n">
        <v>425.04</v>
      </c>
      <c r="O2731" s="9" t="n">
        <v>389.1</v>
      </c>
      <c r="P2731" s="9" t="n">
        <v>394.14</v>
      </c>
      <c r="Q2731" s="9" t="n">
        <v>386.65</v>
      </c>
      <c r="R2731" s="9" t="n">
        <v>426.32</v>
      </c>
      <c r="S2731" s="9" t="n">
        <v>369.82</v>
      </c>
      <c r="T2731" s="9" t="n">
        <v>412.34</v>
      </c>
      <c r="U2731" s="10">
        <f>SUM(I2731:T2731)</f>
        <v/>
      </c>
    </row>
    <row r="2732">
      <c r="A2732" s="2" t="inlineStr">
        <is>
          <t>SN-3000-3800-3840-3840HO0026</t>
        </is>
      </c>
      <c r="B2732" s="2" t="inlineStr">
        <is>
          <t>3840HO0026</t>
        </is>
      </c>
      <c r="C2732" s="2" t="inlineStr">
        <is>
          <t>Tolva sulfato de cobre</t>
        </is>
      </c>
      <c r="D2732" s="2" t="n">
        <v>911</v>
      </c>
      <c r="E2732" s="2" t="inlineStr">
        <is>
          <t>CC-3000</t>
        </is>
      </c>
      <c r="F2732" s="2" t="inlineStr">
        <is>
          <t>P01</t>
        </is>
      </c>
      <c r="G2732" s="2" t="n">
        <v>610000</v>
      </c>
      <c r="H2732" s="2" t="inlineStr">
        <is>
          <t>Mano obra interna</t>
        </is>
      </c>
      <c r="I2732" s="9" t="n">
        <v>1149.8</v>
      </c>
      <c r="J2732" s="9" t="n">
        <v>1236.43</v>
      </c>
      <c r="K2732" s="9" t="n">
        <v>1157.07</v>
      </c>
      <c r="L2732" s="9" t="n">
        <v>1125.44</v>
      </c>
      <c r="M2732" s="9" t="n">
        <v>1089.01</v>
      </c>
      <c r="N2732" s="9" t="n">
        <v>1173.99</v>
      </c>
      <c r="O2732" s="9" t="n">
        <v>1211.35</v>
      </c>
      <c r="P2732" s="9" t="n">
        <v>1100.35</v>
      </c>
      <c r="Q2732" s="9" t="n">
        <v>1040.79</v>
      </c>
      <c r="R2732" s="9" t="n">
        <v>1312.33</v>
      </c>
      <c r="S2732" s="9" t="n">
        <v>1092.32</v>
      </c>
      <c r="T2732" s="9" t="n">
        <v>1279.47</v>
      </c>
      <c r="U2732" s="10">
        <f>SUM(I2732:T2732)</f>
        <v/>
      </c>
    </row>
    <row r="2733">
      <c r="A2733" s="2" t="inlineStr">
        <is>
          <t>SN-3000-3800-3840-3840HO0026</t>
        </is>
      </c>
      <c r="B2733" s="2" t="inlineStr">
        <is>
          <t>3840HO0026</t>
        </is>
      </c>
      <c r="C2733" s="2" t="inlineStr">
        <is>
          <t>Tolva sulfato de cobre</t>
        </is>
      </c>
      <c r="D2733" s="2" t="n">
        <v>911</v>
      </c>
      <c r="E2733" s="2" t="inlineStr">
        <is>
          <t>CC-3000</t>
        </is>
      </c>
      <c r="F2733" s="2" t="inlineStr">
        <is>
          <t>P01</t>
        </is>
      </c>
      <c r="G2733" s="2" t="n">
        <v>620000</v>
      </c>
      <c r="H2733" s="2" t="inlineStr">
        <is>
          <t>Materiales</t>
        </is>
      </c>
      <c r="I2733" s="9" t="n">
        <v>1205.22</v>
      </c>
      <c r="J2733" s="9" t="n">
        <v>1293.21</v>
      </c>
      <c r="K2733" s="9" t="n">
        <v>1244.09</v>
      </c>
      <c r="L2733" s="9" t="n">
        <v>1226.29</v>
      </c>
      <c r="M2733" s="9" t="n">
        <v>1195.03</v>
      </c>
      <c r="N2733" s="9" t="n">
        <v>1238.2</v>
      </c>
      <c r="O2733" s="9" t="n">
        <v>1177.41</v>
      </c>
      <c r="P2733" s="9" t="n">
        <v>1217.41</v>
      </c>
      <c r="Q2733" s="9" t="n">
        <v>1069.19</v>
      </c>
      <c r="R2733" s="9" t="n">
        <v>1409.18</v>
      </c>
      <c r="S2733" s="9" t="n">
        <v>1171.51</v>
      </c>
      <c r="T2733" s="9" t="n">
        <v>1209.46</v>
      </c>
      <c r="U2733" s="10">
        <f>SUM(I2733:T2733)</f>
        <v/>
      </c>
    </row>
    <row r="2734">
      <c r="A2734" s="2" t="inlineStr">
        <is>
          <t>SN-3000-3800-3840-3840HO0026</t>
        </is>
      </c>
      <c r="B2734" s="2" t="inlineStr">
        <is>
          <t>3840HO0026</t>
        </is>
      </c>
      <c r="C2734" s="2" t="inlineStr">
        <is>
          <t>Tolva sulfato de cobre</t>
        </is>
      </c>
      <c r="D2734" s="2" t="n">
        <v>911</v>
      </c>
      <c r="E2734" s="2" t="inlineStr">
        <is>
          <t>CC-3000</t>
        </is>
      </c>
      <c r="F2734" s="2" t="inlineStr">
        <is>
          <t>P01</t>
        </is>
      </c>
      <c r="G2734" s="2" t="n">
        <v>630000</v>
      </c>
      <c r="H2734" s="2" t="inlineStr">
        <is>
          <t>Servicios externos</t>
        </is>
      </c>
      <c r="I2734" s="9" t="n">
        <v>1289.62</v>
      </c>
      <c r="J2734" s="9" t="n">
        <v>1264.95</v>
      </c>
      <c r="K2734" s="9" t="n">
        <v>1231.13</v>
      </c>
      <c r="L2734" s="9" t="n">
        <v>1312.59</v>
      </c>
      <c r="M2734" s="9" t="n">
        <v>1203.71</v>
      </c>
      <c r="N2734" s="9" t="n">
        <v>1094.8</v>
      </c>
      <c r="O2734" s="9" t="n">
        <v>1291.52</v>
      </c>
      <c r="P2734" s="9" t="n">
        <v>1231.57</v>
      </c>
      <c r="Q2734" s="9" t="n">
        <v>1157.28</v>
      </c>
      <c r="R2734" s="9" t="n">
        <v>1411.43</v>
      </c>
      <c r="S2734" s="9" t="n">
        <v>1195.31</v>
      </c>
      <c r="T2734" s="9" t="n">
        <v>1143.13</v>
      </c>
      <c r="U2734" s="10">
        <f>SUM(I2734:T2734)</f>
        <v/>
      </c>
    </row>
    <row r="2735">
      <c r="A2735" s="2" t="inlineStr">
        <is>
          <t>SN-3000-3800-3840-3840HO0028</t>
        </is>
      </c>
      <c r="B2735" s="2" t="inlineStr">
        <is>
          <t>3840HO0028</t>
        </is>
      </c>
      <c r="C2735" s="2" t="inlineStr">
        <is>
          <t>Tolva SMBS</t>
        </is>
      </c>
      <c r="D2735" s="2" t="n">
        <v>912</v>
      </c>
      <c r="E2735" s="2" t="inlineStr">
        <is>
          <t>CC-3000</t>
        </is>
      </c>
      <c r="F2735" s="2" t="inlineStr">
        <is>
          <t>P01</t>
        </is>
      </c>
      <c r="G2735" s="2" t="n">
        <v>610000</v>
      </c>
      <c r="H2735" s="2" t="inlineStr">
        <is>
          <t>Mano obra interna</t>
        </is>
      </c>
      <c r="I2735" s="9" t="n">
        <v>2197.66</v>
      </c>
      <c r="J2735" s="9" t="n">
        <v>2196.43</v>
      </c>
      <c r="K2735" s="9" t="n">
        <v>2191.51</v>
      </c>
      <c r="L2735" s="9" t="n">
        <v>2204.7</v>
      </c>
      <c r="M2735" s="9" t="n">
        <v>2272.4</v>
      </c>
      <c r="N2735" s="9" t="n">
        <v>2107.6</v>
      </c>
      <c r="O2735" s="9" t="n">
        <v>2275.95</v>
      </c>
      <c r="P2735" s="9" t="n">
        <v>2343.24</v>
      </c>
      <c r="Q2735" s="9" t="n">
        <v>2022.59</v>
      </c>
      <c r="R2735" s="9" t="n">
        <v>2430.71</v>
      </c>
      <c r="S2735" s="9" t="n">
        <v>2254.22</v>
      </c>
      <c r="T2735" s="9" t="n">
        <v>2340.55</v>
      </c>
      <c r="U2735" s="10">
        <f>SUM(I2735:T2735)</f>
        <v/>
      </c>
    </row>
    <row r="2736">
      <c r="A2736" s="2" t="inlineStr">
        <is>
          <t>SN-3000-3800-3840-3840HO0028</t>
        </is>
      </c>
      <c r="B2736" s="2" t="inlineStr">
        <is>
          <t>3840HO0028</t>
        </is>
      </c>
      <c r="C2736" s="2" t="inlineStr">
        <is>
          <t>Tolva SMBS</t>
        </is>
      </c>
      <c r="D2736" s="2" t="n">
        <v>912</v>
      </c>
      <c r="E2736" s="2" t="inlineStr">
        <is>
          <t>CC-3000</t>
        </is>
      </c>
      <c r="F2736" s="2" t="inlineStr">
        <is>
          <t>P01</t>
        </is>
      </c>
      <c r="G2736" s="2" t="n">
        <v>620000</v>
      </c>
      <c r="H2736" s="2" t="inlineStr">
        <is>
          <t>Materiales</t>
        </is>
      </c>
      <c r="I2736" s="9" t="n">
        <v>1983.18</v>
      </c>
      <c r="J2736" s="9" t="n">
        <v>1920.8</v>
      </c>
      <c r="K2736" s="9" t="n">
        <v>2020.42</v>
      </c>
      <c r="L2736" s="9" t="n">
        <v>1974.33</v>
      </c>
      <c r="M2736" s="9" t="n">
        <v>2021.55</v>
      </c>
      <c r="N2736" s="9" t="n">
        <v>1779.22</v>
      </c>
      <c r="O2736" s="9" t="n">
        <v>2128.65</v>
      </c>
      <c r="P2736" s="9" t="n">
        <v>2066.45</v>
      </c>
      <c r="Q2736" s="9" t="n">
        <v>1783.28</v>
      </c>
      <c r="R2736" s="9" t="n">
        <v>1978.62</v>
      </c>
      <c r="S2736" s="9" t="n">
        <v>1981.19</v>
      </c>
      <c r="T2736" s="9" t="n">
        <v>2084.35</v>
      </c>
      <c r="U2736" s="10">
        <f>SUM(I2736:T2736)</f>
        <v/>
      </c>
    </row>
    <row r="2737">
      <c r="A2737" s="2" t="inlineStr">
        <is>
          <t>SN-3000-3800-3840-3840HO0028</t>
        </is>
      </c>
      <c r="B2737" s="2" t="inlineStr">
        <is>
          <t>3840HO0028</t>
        </is>
      </c>
      <c r="C2737" s="2" t="inlineStr">
        <is>
          <t>Tolva SMBS</t>
        </is>
      </c>
      <c r="D2737" s="2" t="n">
        <v>912</v>
      </c>
      <c r="E2737" s="2" t="inlineStr">
        <is>
          <t>CC-3000</t>
        </is>
      </c>
      <c r="F2737" s="2" t="inlineStr">
        <is>
          <t>P01</t>
        </is>
      </c>
      <c r="G2737" s="2" t="n">
        <v>630000</v>
      </c>
      <c r="H2737" s="2" t="inlineStr">
        <is>
          <t>Servicios externos</t>
        </is>
      </c>
      <c r="I2737" s="9" t="n">
        <v>2200.37</v>
      </c>
      <c r="J2737" s="9" t="n">
        <v>2062.35</v>
      </c>
      <c r="K2737" s="9" t="n">
        <v>2468.62</v>
      </c>
      <c r="L2737" s="9" t="n">
        <v>2204.77</v>
      </c>
      <c r="M2737" s="9" t="n">
        <v>2299.37</v>
      </c>
      <c r="N2737" s="9" t="n">
        <v>1994.49</v>
      </c>
      <c r="O2737" s="9" t="n">
        <v>2338.48</v>
      </c>
      <c r="P2737" s="9" t="n">
        <v>2108.38</v>
      </c>
      <c r="Q2737" s="9" t="n">
        <v>2154.13</v>
      </c>
      <c r="R2737" s="9" t="n">
        <v>2432.36</v>
      </c>
      <c r="S2737" s="9" t="n">
        <v>2330.51</v>
      </c>
      <c r="T2737" s="9" t="n">
        <v>2108.46</v>
      </c>
      <c r="U2737" s="10">
        <f>SUM(I2737:T2737)</f>
        <v/>
      </c>
    </row>
    <row r="2738">
      <c r="A2738" s="2" t="inlineStr">
        <is>
          <t>SN-3000-3800-3840-3840HT0027</t>
        </is>
      </c>
      <c r="B2738" s="2" t="inlineStr">
        <is>
          <t>3840HT0027</t>
        </is>
      </c>
      <c r="C2738" s="2" t="inlineStr">
        <is>
          <t>Tecle sulfato de cobre</t>
        </is>
      </c>
      <c r="D2738" s="2" t="n">
        <v>913</v>
      </c>
      <c r="E2738" s="2" t="inlineStr">
        <is>
          <t>CC-3000</t>
        </is>
      </c>
      <c r="F2738" s="2" t="inlineStr">
        <is>
          <t>P01</t>
        </is>
      </c>
      <c r="G2738" s="2" t="n">
        <v>610000</v>
      </c>
      <c r="H2738" s="2" t="inlineStr">
        <is>
          <t>Mano obra interna</t>
        </is>
      </c>
      <c r="I2738" s="9" t="n">
        <v>1849.12</v>
      </c>
      <c r="J2738" s="9" t="n">
        <v>2032.14</v>
      </c>
      <c r="K2738" s="9" t="n">
        <v>2037.06</v>
      </c>
      <c r="L2738" s="9" t="n">
        <v>1999.37</v>
      </c>
      <c r="M2738" s="9" t="n">
        <v>1811.71</v>
      </c>
      <c r="N2738" s="9" t="n">
        <v>1856.63</v>
      </c>
      <c r="O2738" s="9" t="n">
        <v>1914.69</v>
      </c>
      <c r="P2738" s="9" t="n">
        <v>1886.6</v>
      </c>
      <c r="Q2738" s="9" t="n">
        <v>1889.75</v>
      </c>
      <c r="R2738" s="9" t="n">
        <v>1950.66</v>
      </c>
      <c r="S2738" s="9" t="n">
        <v>1927.43</v>
      </c>
      <c r="T2738" s="9" t="n">
        <v>2076.27</v>
      </c>
      <c r="U2738" s="10">
        <f>SUM(I2738:T2738)</f>
        <v/>
      </c>
    </row>
    <row r="2739">
      <c r="A2739" s="2" t="inlineStr">
        <is>
          <t>SN-3000-3800-3840-3840HT0027</t>
        </is>
      </c>
      <c r="B2739" s="2" t="inlineStr">
        <is>
          <t>3840HT0027</t>
        </is>
      </c>
      <c r="C2739" s="2" t="inlineStr">
        <is>
          <t>Tecle sulfato de cobre</t>
        </is>
      </c>
      <c r="D2739" s="2" t="n">
        <v>913</v>
      </c>
      <c r="E2739" s="2" t="inlineStr">
        <is>
          <t>CC-3000</t>
        </is>
      </c>
      <c r="F2739" s="2" t="inlineStr">
        <is>
          <t>P01</t>
        </is>
      </c>
      <c r="G2739" s="2" t="n">
        <v>620000</v>
      </c>
      <c r="H2739" s="2" t="inlineStr">
        <is>
          <t>Materiales</t>
        </is>
      </c>
      <c r="I2739" s="9" t="n">
        <v>2419.27</v>
      </c>
      <c r="J2739" s="9" t="n">
        <v>2167.46</v>
      </c>
      <c r="K2739" s="9" t="n">
        <v>2390.13</v>
      </c>
      <c r="L2739" s="9" t="n">
        <v>2196.71</v>
      </c>
      <c r="M2739" s="9" t="n">
        <v>2118.3</v>
      </c>
      <c r="N2739" s="9" t="n">
        <v>2228.33</v>
      </c>
      <c r="O2739" s="9" t="n">
        <v>2409.33</v>
      </c>
      <c r="P2739" s="9" t="n">
        <v>2120.69</v>
      </c>
      <c r="Q2739" s="9" t="n">
        <v>1988.74</v>
      </c>
      <c r="R2739" s="9" t="n">
        <v>2484.78</v>
      </c>
      <c r="S2739" s="9" t="n">
        <v>2107.81</v>
      </c>
      <c r="T2739" s="9" t="n">
        <v>2355.4</v>
      </c>
      <c r="U2739" s="10">
        <f>SUM(I2739:T2739)</f>
        <v/>
      </c>
    </row>
    <row r="2740">
      <c r="A2740" s="2" t="inlineStr">
        <is>
          <t>SN-3000-3800-3840-3840HT0027</t>
        </is>
      </c>
      <c r="B2740" s="2" t="inlineStr">
        <is>
          <t>3840HT0027</t>
        </is>
      </c>
      <c r="C2740" s="2" t="inlineStr">
        <is>
          <t>Tecle sulfato de cobre</t>
        </is>
      </c>
      <c r="D2740" s="2" t="n">
        <v>913</v>
      </c>
      <c r="E2740" s="2" t="inlineStr">
        <is>
          <t>CC-3000</t>
        </is>
      </c>
      <c r="F2740" s="2" t="inlineStr">
        <is>
          <t>P01</t>
        </is>
      </c>
      <c r="G2740" s="2" t="n">
        <v>630000</v>
      </c>
      <c r="H2740" s="2" t="inlineStr">
        <is>
          <t>Servicios externos</t>
        </is>
      </c>
      <c r="I2740" s="9" t="n">
        <v>1746.93</v>
      </c>
      <c r="J2740" s="9" t="n">
        <v>1808.62</v>
      </c>
      <c r="K2740" s="9" t="n">
        <v>1989.81</v>
      </c>
      <c r="L2740" s="9" t="n">
        <v>1918.51</v>
      </c>
      <c r="M2740" s="9" t="n">
        <v>1896.28</v>
      </c>
      <c r="N2740" s="9" t="n">
        <v>1677.87</v>
      </c>
      <c r="O2740" s="9" t="n">
        <v>1936.6</v>
      </c>
      <c r="P2740" s="9" t="n">
        <v>1785.93</v>
      </c>
      <c r="Q2740" s="9" t="n">
        <v>1792.81</v>
      </c>
      <c r="R2740" s="9" t="n">
        <v>1957.04</v>
      </c>
      <c r="S2740" s="9" t="n">
        <v>1699.35</v>
      </c>
      <c r="T2740" s="9" t="n">
        <v>1779.23</v>
      </c>
      <c r="U2740" s="10">
        <f>SUM(I2740:T2740)</f>
        <v/>
      </c>
    </row>
    <row r="2741">
      <c r="A2741" s="2" t="inlineStr">
        <is>
          <t>SN-3000-3800-3840-3840IO0001</t>
        </is>
      </c>
      <c r="B2741" s="2" t="inlineStr">
        <is>
          <t>3840IO0001</t>
        </is>
      </c>
      <c r="C2741" s="2" t="inlineStr">
        <is>
          <t xml:space="preserve">Gabinete RIO  </t>
        </is>
      </c>
      <c r="D2741" s="2" t="n">
        <v>914</v>
      </c>
      <c r="E2741" s="2" t="inlineStr">
        <is>
          <t>CC-3000</t>
        </is>
      </c>
      <c r="F2741" s="2" t="inlineStr">
        <is>
          <t>P01</t>
        </is>
      </c>
      <c r="G2741" s="2" t="n">
        <v>610000</v>
      </c>
      <c r="H2741" s="2" t="inlineStr">
        <is>
          <t>Mano obra interna</t>
        </is>
      </c>
      <c r="I2741" s="9" t="n">
        <v>1994.58</v>
      </c>
      <c r="J2741" s="9" t="n">
        <v>2205.21</v>
      </c>
      <c r="K2741" s="9" t="n">
        <v>2082.22</v>
      </c>
      <c r="L2741" s="9" t="n">
        <v>2084.83</v>
      </c>
      <c r="M2741" s="9" t="n">
        <v>1984.82</v>
      </c>
      <c r="N2741" s="9" t="n">
        <v>1843.65</v>
      </c>
      <c r="O2741" s="9" t="n">
        <v>2160.48</v>
      </c>
      <c r="P2741" s="9" t="n">
        <v>2123.73</v>
      </c>
      <c r="Q2741" s="9" t="n">
        <v>2046.77</v>
      </c>
      <c r="R2741" s="9" t="n">
        <v>2093.34</v>
      </c>
      <c r="S2741" s="9" t="n">
        <v>2167.15</v>
      </c>
      <c r="T2741" s="9" t="n">
        <v>2068.54</v>
      </c>
      <c r="U2741" s="10">
        <f>SUM(I2741:T2741)</f>
        <v/>
      </c>
    </row>
    <row r="2742">
      <c r="A2742" s="2" t="inlineStr">
        <is>
          <t>SN-3000-3800-3840-3840IO0001</t>
        </is>
      </c>
      <c r="B2742" s="2" t="inlineStr">
        <is>
          <t>3840IO0001</t>
        </is>
      </c>
      <c r="C2742" s="2" t="inlineStr">
        <is>
          <t xml:space="preserve">Gabinete RIO  </t>
        </is>
      </c>
      <c r="D2742" s="2" t="n">
        <v>914</v>
      </c>
      <c r="E2742" s="2" t="inlineStr">
        <is>
          <t>CC-3000</t>
        </is>
      </c>
      <c r="F2742" s="2" t="inlineStr">
        <is>
          <t>P01</t>
        </is>
      </c>
      <c r="G2742" s="2" t="n">
        <v>620000</v>
      </c>
      <c r="H2742" s="2" t="inlineStr">
        <is>
          <t>Materiales</t>
        </is>
      </c>
      <c r="I2742" s="9" t="n">
        <v>2131.41</v>
      </c>
      <c r="J2742" s="9" t="n">
        <v>2279.83</v>
      </c>
      <c r="K2742" s="9" t="n">
        <v>2327.61</v>
      </c>
      <c r="L2742" s="9" t="n">
        <v>2225.38</v>
      </c>
      <c r="M2742" s="9" t="n">
        <v>2056.42</v>
      </c>
      <c r="N2742" s="9" t="n">
        <v>2165.75</v>
      </c>
      <c r="O2742" s="9" t="n">
        <v>2060.06</v>
      </c>
      <c r="P2742" s="9" t="n">
        <v>2226.73</v>
      </c>
      <c r="Q2742" s="9" t="n">
        <v>2108.51</v>
      </c>
      <c r="R2742" s="9" t="n">
        <v>2492.05</v>
      </c>
      <c r="S2742" s="9" t="n">
        <v>2326.33</v>
      </c>
      <c r="T2742" s="9" t="n">
        <v>2174.22</v>
      </c>
      <c r="U2742" s="10">
        <f>SUM(I2742:T2742)</f>
        <v/>
      </c>
    </row>
    <row r="2743">
      <c r="A2743" s="2" t="inlineStr">
        <is>
          <t>SN-3000-3800-3840-3840IO0001</t>
        </is>
      </c>
      <c r="B2743" s="2" t="inlineStr">
        <is>
          <t>3840IO0001</t>
        </is>
      </c>
      <c r="C2743" s="2" t="inlineStr">
        <is>
          <t xml:space="preserve">Gabinete RIO  </t>
        </is>
      </c>
      <c r="D2743" s="2" t="n">
        <v>914</v>
      </c>
      <c r="E2743" s="2" t="inlineStr">
        <is>
          <t>CC-3000</t>
        </is>
      </c>
      <c r="F2743" s="2" t="inlineStr">
        <is>
          <t>P01</t>
        </is>
      </c>
      <c r="G2743" s="2" t="n">
        <v>630000</v>
      </c>
      <c r="H2743" s="2" t="inlineStr">
        <is>
          <t>Servicios externos</t>
        </is>
      </c>
      <c r="I2743" s="9" t="n">
        <v>1806.12</v>
      </c>
      <c r="J2743" s="9" t="n">
        <v>1854.14</v>
      </c>
      <c r="K2743" s="9" t="n">
        <v>2002.21</v>
      </c>
      <c r="L2743" s="9" t="n">
        <v>1996.21</v>
      </c>
      <c r="M2743" s="9" t="n">
        <v>1924.75</v>
      </c>
      <c r="N2743" s="9" t="n">
        <v>1840.98</v>
      </c>
      <c r="O2743" s="9" t="n">
        <v>1958.87</v>
      </c>
      <c r="P2743" s="9" t="n">
        <v>1778.02</v>
      </c>
      <c r="Q2743" s="9" t="n">
        <v>1811.11</v>
      </c>
      <c r="R2743" s="9" t="n">
        <v>2039.51</v>
      </c>
      <c r="S2743" s="9" t="n">
        <v>1664.18</v>
      </c>
      <c r="T2743" s="9" t="n">
        <v>1708.35</v>
      </c>
      <c r="U2743" s="10">
        <f>SUM(I2743:T2743)</f>
        <v/>
      </c>
    </row>
    <row r="2744">
      <c r="A2744" s="2" t="inlineStr">
        <is>
          <t>SN-3000-3800-3840-3840PU0318</t>
        </is>
      </c>
      <c r="B2744" s="2" t="inlineStr">
        <is>
          <t>3840PU0318</t>
        </is>
      </c>
      <c r="C2744" s="2" t="inlineStr">
        <is>
          <t>Bomba sulfato de cobre</t>
        </is>
      </c>
      <c r="D2744" s="2" t="n">
        <v>915</v>
      </c>
      <c r="E2744" s="2" t="inlineStr">
        <is>
          <t>CC-3000</t>
        </is>
      </c>
      <c r="F2744" s="2" t="inlineStr">
        <is>
          <t>P01</t>
        </is>
      </c>
      <c r="G2744" s="2" t="n">
        <v>610000</v>
      </c>
      <c r="H2744" s="2" t="inlineStr">
        <is>
          <t>Mano obra interna</t>
        </is>
      </c>
      <c r="I2744" s="9" t="n">
        <v>1364.46</v>
      </c>
      <c r="J2744" s="9" t="n">
        <v>1286.71</v>
      </c>
      <c r="K2744" s="9" t="n">
        <v>1261.8</v>
      </c>
      <c r="L2744" s="9" t="n">
        <v>1358.36</v>
      </c>
      <c r="M2744" s="9" t="n">
        <v>1193.63</v>
      </c>
      <c r="N2744" s="9" t="n">
        <v>1286.31</v>
      </c>
      <c r="O2744" s="9" t="n">
        <v>1340.36</v>
      </c>
      <c r="P2744" s="9" t="n">
        <v>1375.25</v>
      </c>
      <c r="Q2744" s="9" t="n">
        <v>1124.44</v>
      </c>
      <c r="R2744" s="9" t="n">
        <v>1469.65</v>
      </c>
      <c r="S2744" s="9" t="n">
        <v>1207.18</v>
      </c>
      <c r="T2744" s="9" t="n">
        <v>1281.09</v>
      </c>
      <c r="U2744" s="10">
        <f>SUM(I2744:T2744)</f>
        <v/>
      </c>
    </row>
    <row r="2745">
      <c r="A2745" s="2" t="inlineStr">
        <is>
          <t>SN-3000-3800-3840-3840PU0318</t>
        </is>
      </c>
      <c r="B2745" s="2" t="inlineStr">
        <is>
          <t>3840PU0318</t>
        </is>
      </c>
      <c r="C2745" s="2" t="inlineStr">
        <is>
          <t>Bomba sulfato de cobre</t>
        </is>
      </c>
      <c r="D2745" s="2" t="n">
        <v>915</v>
      </c>
      <c r="E2745" s="2" t="inlineStr">
        <is>
          <t>CC-3000</t>
        </is>
      </c>
      <c r="F2745" s="2" t="inlineStr">
        <is>
          <t>P01</t>
        </is>
      </c>
      <c r="G2745" s="2" t="n">
        <v>620000</v>
      </c>
      <c r="H2745" s="2" t="inlineStr">
        <is>
          <t>Materiales</t>
        </is>
      </c>
      <c r="I2745" s="9" t="n">
        <v>1390.41</v>
      </c>
      <c r="J2745" s="9" t="n">
        <v>1418.77</v>
      </c>
      <c r="K2745" s="9" t="n">
        <v>1399.18</v>
      </c>
      <c r="L2745" s="9" t="n">
        <v>1457.49</v>
      </c>
      <c r="M2745" s="9" t="n">
        <v>1269.32</v>
      </c>
      <c r="N2745" s="9" t="n">
        <v>1255.52</v>
      </c>
      <c r="O2745" s="9" t="n">
        <v>1336.48</v>
      </c>
      <c r="P2745" s="9" t="n">
        <v>1296.12</v>
      </c>
      <c r="Q2745" s="9" t="n">
        <v>1337.45</v>
      </c>
      <c r="R2745" s="9" t="n">
        <v>1491.59</v>
      </c>
      <c r="S2745" s="9" t="n">
        <v>1287.91</v>
      </c>
      <c r="T2745" s="9" t="n">
        <v>1409.21</v>
      </c>
      <c r="U2745" s="10">
        <f>SUM(I2745:T2745)</f>
        <v/>
      </c>
    </row>
    <row r="2746">
      <c r="A2746" s="2" t="inlineStr">
        <is>
          <t>SN-3000-3800-3840-3840PU0318</t>
        </is>
      </c>
      <c r="B2746" s="2" t="inlineStr">
        <is>
          <t>3840PU0318</t>
        </is>
      </c>
      <c r="C2746" s="2" t="inlineStr">
        <is>
          <t>Bomba sulfato de cobre</t>
        </is>
      </c>
      <c r="D2746" s="2" t="n">
        <v>915</v>
      </c>
      <c r="E2746" s="2" t="inlineStr">
        <is>
          <t>CC-3000</t>
        </is>
      </c>
      <c r="F2746" s="2" t="inlineStr">
        <is>
          <t>P01</t>
        </is>
      </c>
      <c r="G2746" s="2" t="n">
        <v>630000</v>
      </c>
      <c r="H2746" s="2" t="inlineStr">
        <is>
          <t>Servicios externos</t>
        </is>
      </c>
      <c r="I2746" s="9" t="n">
        <v>1299.92</v>
      </c>
      <c r="J2746" s="9" t="n">
        <v>1368.47</v>
      </c>
      <c r="K2746" s="9" t="n">
        <v>1452.15</v>
      </c>
      <c r="L2746" s="9" t="n">
        <v>1518.99</v>
      </c>
      <c r="M2746" s="9" t="n">
        <v>1265.36</v>
      </c>
      <c r="N2746" s="9" t="n">
        <v>1321.9</v>
      </c>
      <c r="O2746" s="9" t="n">
        <v>1291.83</v>
      </c>
      <c r="P2746" s="9" t="n">
        <v>1301.5</v>
      </c>
      <c r="Q2746" s="9" t="n">
        <v>1307.29</v>
      </c>
      <c r="R2746" s="9" t="n">
        <v>1424.28</v>
      </c>
      <c r="S2746" s="9" t="n">
        <v>1389.16</v>
      </c>
      <c r="T2746" s="9" t="n">
        <v>1403.64</v>
      </c>
      <c r="U2746" s="10">
        <f>SUM(I2746:T2746)</f>
        <v/>
      </c>
    </row>
    <row r="2747">
      <c r="A2747" s="2" t="inlineStr">
        <is>
          <t>SN-3000-3800-3840-3840PU0319</t>
        </is>
      </c>
      <c r="B2747" s="2" t="inlineStr">
        <is>
          <t>3840PU0319</t>
        </is>
      </c>
      <c r="C2747" s="2" t="inlineStr">
        <is>
          <t>Bomba sulfato de cobre</t>
        </is>
      </c>
      <c r="D2747" s="2" t="n">
        <v>916</v>
      </c>
      <c r="E2747" s="2" t="inlineStr">
        <is>
          <t>CC-3000</t>
        </is>
      </c>
      <c r="F2747" s="2" t="inlineStr">
        <is>
          <t>P01</t>
        </is>
      </c>
      <c r="G2747" s="2" t="n">
        <v>610000</v>
      </c>
      <c r="H2747" s="2" t="inlineStr">
        <is>
          <t>Mano obra interna</t>
        </is>
      </c>
      <c r="I2747" s="9" t="n">
        <v>2209.63</v>
      </c>
      <c r="J2747" s="9" t="n">
        <v>1963.45</v>
      </c>
      <c r="K2747" s="9" t="n">
        <v>2364.95</v>
      </c>
      <c r="L2747" s="9" t="n">
        <v>2041.76</v>
      </c>
      <c r="M2747" s="9" t="n">
        <v>1975.11</v>
      </c>
      <c r="N2747" s="9" t="n">
        <v>2108.43</v>
      </c>
      <c r="O2747" s="9" t="n">
        <v>2331.87</v>
      </c>
      <c r="P2747" s="9" t="n">
        <v>2288.34</v>
      </c>
      <c r="Q2747" s="9" t="n">
        <v>1936.87</v>
      </c>
      <c r="R2747" s="9" t="n">
        <v>2223.18</v>
      </c>
      <c r="S2747" s="9" t="n">
        <v>2139.79</v>
      </c>
      <c r="T2747" s="9" t="n">
        <v>2312.34</v>
      </c>
      <c r="U2747" s="10">
        <f>SUM(I2747:T2747)</f>
        <v/>
      </c>
    </row>
    <row r="2748">
      <c r="A2748" s="2" t="inlineStr">
        <is>
          <t>SN-3000-3800-3840-3840PU0319</t>
        </is>
      </c>
      <c r="B2748" s="2" t="inlineStr">
        <is>
          <t>3840PU0319</t>
        </is>
      </c>
      <c r="C2748" s="2" t="inlineStr">
        <is>
          <t>Bomba sulfato de cobre</t>
        </is>
      </c>
      <c r="D2748" s="2" t="n">
        <v>916</v>
      </c>
      <c r="E2748" s="2" t="inlineStr">
        <is>
          <t>CC-3000</t>
        </is>
      </c>
      <c r="F2748" s="2" t="inlineStr">
        <is>
          <t>P01</t>
        </is>
      </c>
      <c r="G2748" s="2" t="n">
        <v>620000</v>
      </c>
      <c r="H2748" s="2" t="inlineStr">
        <is>
          <t>Materiales</t>
        </is>
      </c>
      <c r="I2748" s="9" t="n">
        <v>2283.08</v>
      </c>
      <c r="J2748" s="9" t="n">
        <v>2089.7</v>
      </c>
      <c r="K2748" s="9" t="n">
        <v>2202.9</v>
      </c>
      <c r="L2748" s="9" t="n">
        <v>2336.04</v>
      </c>
      <c r="M2748" s="9" t="n">
        <v>2095.29</v>
      </c>
      <c r="N2748" s="9" t="n">
        <v>2058.55</v>
      </c>
      <c r="O2748" s="9" t="n">
        <v>2165.93</v>
      </c>
      <c r="P2748" s="9" t="n">
        <v>2238.97</v>
      </c>
      <c r="Q2748" s="9" t="n">
        <v>1951.63</v>
      </c>
      <c r="R2748" s="9" t="n">
        <v>2438.15</v>
      </c>
      <c r="S2748" s="9" t="n">
        <v>2338.84</v>
      </c>
      <c r="T2748" s="9" t="n">
        <v>2119.92</v>
      </c>
      <c r="U2748" s="10">
        <f>SUM(I2748:T2748)</f>
        <v/>
      </c>
    </row>
    <row r="2749">
      <c r="A2749" s="2" t="inlineStr">
        <is>
          <t>SN-3000-3800-3840-3840PU0319</t>
        </is>
      </c>
      <c r="B2749" s="2" t="inlineStr">
        <is>
          <t>3840PU0319</t>
        </is>
      </c>
      <c r="C2749" s="2" t="inlineStr">
        <is>
          <t>Bomba sulfato de cobre</t>
        </is>
      </c>
      <c r="D2749" s="2" t="n">
        <v>916</v>
      </c>
      <c r="E2749" s="2" t="inlineStr">
        <is>
          <t>CC-3000</t>
        </is>
      </c>
      <c r="F2749" s="2" t="inlineStr">
        <is>
          <t>P01</t>
        </is>
      </c>
      <c r="G2749" s="2" t="n">
        <v>630000</v>
      </c>
      <c r="H2749" s="2" t="inlineStr">
        <is>
          <t>Servicios externos</t>
        </is>
      </c>
      <c r="I2749" s="9" t="n">
        <v>2574.64</v>
      </c>
      <c r="J2749" s="9" t="n">
        <v>2286.48</v>
      </c>
      <c r="K2749" s="9" t="n">
        <v>2323.61</v>
      </c>
      <c r="L2749" s="9" t="n">
        <v>2267.48</v>
      </c>
      <c r="M2749" s="9" t="n">
        <v>2423.23</v>
      </c>
      <c r="N2749" s="9" t="n">
        <v>2307.43</v>
      </c>
      <c r="O2749" s="9" t="n">
        <v>2290.82</v>
      </c>
      <c r="P2749" s="9" t="n">
        <v>2518.56</v>
      </c>
      <c r="Q2749" s="9" t="n">
        <v>2311.96</v>
      </c>
      <c r="R2749" s="9" t="n">
        <v>2488.83</v>
      </c>
      <c r="S2749" s="9" t="n">
        <v>2410.94</v>
      </c>
      <c r="T2749" s="9" t="n">
        <v>2329.88</v>
      </c>
      <c r="U2749" s="10">
        <f>SUM(I2749:T2749)</f>
        <v/>
      </c>
    </row>
    <row r="2750">
      <c r="A2750" s="2" t="inlineStr">
        <is>
          <t>SN-3000-3800-3840-3840PU0320</t>
        </is>
      </c>
      <c r="B2750" s="2" t="inlineStr">
        <is>
          <t>3840PU0320</t>
        </is>
      </c>
      <c r="C2750" s="2" t="inlineStr">
        <is>
          <t>Bomba sulfato de cobre</t>
        </is>
      </c>
      <c r="D2750" s="2" t="n">
        <v>917</v>
      </c>
      <c r="E2750" s="2" t="inlineStr">
        <is>
          <t>CC-3000</t>
        </is>
      </c>
      <c r="F2750" s="2" t="inlineStr">
        <is>
          <t>P01</t>
        </is>
      </c>
      <c r="G2750" s="2" t="n">
        <v>610000</v>
      </c>
      <c r="H2750" s="2" t="inlineStr">
        <is>
          <t>Mano obra interna</t>
        </is>
      </c>
      <c r="I2750" s="9" t="n">
        <v>1409.2</v>
      </c>
      <c r="J2750" s="9" t="n">
        <v>1492.42</v>
      </c>
      <c r="K2750" s="9" t="n">
        <v>1453.28</v>
      </c>
      <c r="L2750" s="9" t="n">
        <v>1519.98</v>
      </c>
      <c r="M2750" s="9" t="n">
        <v>1378.69</v>
      </c>
      <c r="N2750" s="9" t="n">
        <v>1456.38</v>
      </c>
      <c r="O2750" s="9" t="n">
        <v>1367.48</v>
      </c>
      <c r="P2750" s="9" t="n">
        <v>1390.41</v>
      </c>
      <c r="Q2750" s="9" t="n">
        <v>1299.36</v>
      </c>
      <c r="R2750" s="9" t="n">
        <v>1469.1</v>
      </c>
      <c r="S2750" s="9" t="n">
        <v>1478.99</v>
      </c>
      <c r="T2750" s="9" t="n">
        <v>1606.79</v>
      </c>
      <c r="U2750" s="10">
        <f>SUM(I2750:T2750)</f>
        <v/>
      </c>
    </row>
    <row r="2751">
      <c r="A2751" s="2" t="inlineStr">
        <is>
          <t>SN-3000-3800-3840-3840PU0320</t>
        </is>
      </c>
      <c r="B2751" s="2" t="inlineStr">
        <is>
          <t>3840PU0320</t>
        </is>
      </c>
      <c r="C2751" s="2" t="inlineStr">
        <is>
          <t>Bomba sulfato de cobre</t>
        </is>
      </c>
      <c r="D2751" s="2" t="n">
        <v>917</v>
      </c>
      <c r="E2751" s="2" t="inlineStr">
        <is>
          <t>CC-3000</t>
        </is>
      </c>
      <c r="F2751" s="2" t="inlineStr">
        <is>
          <t>P01</t>
        </is>
      </c>
      <c r="G2751" s="2" t="n">
        <v>620000</v>
      </c>
      <c r="H2751" s="2" t="inlineStr">
        <is>
          <t>Materiales</t>
        </is>
      </c>
      <c r="I2751" s="9" t="n">
        <v>1579.64</v>
      </c>
      <c r="J2751" s="9" t="n">
        <v>1326.94</v>
      </c>
      <c r="K2751" s="9" t="n">
        <v>1416.98</v>
      </c>
      <c r="L2751" s="9" t="n">
        <v>1509.34</v>
      </c>
      <c r="M2751" s="9" t="n">
        <v>1558.54</v>
      </c>
      <c r="N2751" s="9" t="n">
        <v>1434.66</v>
      </c>
      <c r="O2751" s="9" t="n">
        <v>1434.16</v>
      </c>
      <c r="P2751" s="9" t="n">
        <v>1379.11</v>
      </c>
      <c r="Q2751" s="9" t="n">
        <v>1286.2</v>
      </c>
      <c r="R2751" s="9" t="n">
        <v>1543.06</v>
      </c>
      <c r="S2751" s="9" t="n">
        <v>1464.7</v>
      </c>
      <c r="T2751" s="9" t="n">
        <v>1373.47</v>
      </c>
      <c r="U2751" s="10">
        <f>SUM(I2751:T2751)</f>
        <v/>
      </c>
    </row>
    <row r="2752">
      <c r="A2752" s="2" t="inlineStr">
        <is>
          <t>SN-3000-3800-3840-3840PU0320</t>
        </is>
      </c>
      <c r="B2752" s="2" t="inlineStr">
        <is>
          <t>3840PU0320</t>
        </is>
      </c>
      <c r="C2752" s="2" t="inlineStr">
        <is>
          <t>Bomba sulfato de cobre</t>
        </is>
      </c>
      <c r="D2752" s="2" t="n">
        <v>917</v>
      </c>
      <c r="E2752" s="2" t="inlineStr">
        <is>
          <t>CC-3000</t>
        </is>
      </c>
      <c r="F2752" s="2" t="inlineStr">
        <is>
          <t>P01</t>
        </is>
      </c>
      <c r="G2752" s="2" t="n">
        <v>630000</v>
      </c>
      <c r="H2752" s="2" t="inlineStr">
        <is>
          <t>Servicios externos</t>
        </is>
      </c>
      <c r="I2752" s="9" t="n">
        <v>1595.52</v>
      </c>
      <c r="J2752" s="9" t="n">
        <v>1527.14</v>
      </c>
      <c r="K2752" s="9" t="n">
        <v>1605.52</v>
      </c>
      <c r="L2752" s="9" t="n">
        <v>1376.29</v>
      </c>
      <c r="M2752" s="9" t="n">
        <v>1555.15</v>
      </c>
      <c r="N2752" s="9" t="n">
        <v>1365.83</v>
      </c>
      <c r="O2752" s="9" t="n">
        <v>1546.76</v>
      </c>
      <c r="P2752" s="9" t="n">
        <v>1385.62</v>
      </c>
      <c r="Q2752" s="9" t="n">
        <v>1347.27</v>
      </c>
      <c r="R2752" s="9" t="n">
        <v>1459.47</v>
      </c>
      <c r="S2752" s="9" t="n">
        <v>1309.19</v>
      </c>
      <c r="T2752" s="9" t="n">
        <v>1586.55</v>
      </c>
      <c r="U2752" s="10">
        <f>SUM(I2752:T2752)</f>
        <v/>
      </c>
    </row>
    <row r="2753">
      <c r="A2753" s="2" t="inlineStr">
        <is>
          <t>SN-3000-3800-3840-3840PU0321</t>
        </is>
      </c>
      <c r="B2753" s="2" t="inlineStr">
        <is>
          <t>3840PU0321</t>
        </is>
      </c>
      <c r="C2753" s="2" t="inlineStr">
        <is>
          <t>Bomba transferencia SMBS</t>
        </is>
      </c>
      <c r="D2753" s="2" t="n">
        <v>918</v>
      </c>
      <c r="E2753" s="2" t="inlineStr">
        <is>
          <t>CC-3000</t>
        </is>
      </c>
      <c r="F2753" s="2" t="inlineStr">
        <is>
          <t>P01</t>
        </is>
      </c>
      <c r="G2753" s="2" t="n">
        <v>610000</v>
      </c>
      <c r="H2753" s="2" t="inlineStr">
        <is>
          <t>Mano obra interna</t>
        </is>
      </c>
      <c r="I2753" s="9" t="n">
        <v>1782.84</v>
      </c>
      <c r="J2753" s="9" t="n">
        <v>1718.8</v>
      </c>
      <c r="K2753" s="9" t="n">
        <v>1864.51</v>
      </c>
      <c r="L2753" s="9" t="n">
        <v>1731.46</v>
      </c>
      <c r="M2753" s="9" t="n">
        <v>1792.24</v>
      </c>
      <c r="N2753" s="9" t="n">
        <v>1657.8</v>
      </c>
      <c r="O2753" s="9" t="n">
        <v>1777.3</v>
      </c>
      <c r="P2753" s="9" t="n">
        <v>1866.02</v>
      </c>
      <c r="Q2753" s="9" t="n">
        <v>1610.57</v>
      </c>
      <c r="R2753" s="9" t="n">
        <v>1849.98</v>
      </c>
      <c r="S2753" s="9" t="n">
        <v>1791.87</v>
      </c>
      <c r="T2753" s="9" t="n">
        <v>1877.57</v>
      </c>
      <c r="U2753" s="10">
        <f>SUM(I2753:T2753)</f>
        <v/>
      </c>
    </row>
    <row r="2754">
      <c r="A2754" s="2" t="inlineStr">
        <is>
          <t>SN-3000-3800-3840-3840PU0321</t>
        </is>
      </c>
      <c r="B2754" s="2" t="inlineStr">
        <is>
          <t>3840PU0321</t>
        </is>
      </c>
      <c r="C2754" s="2" t="inlineStr">
        <is>
          <t>Bomba transferencia SMBS</t>
        </is>
      </c>
      <c r="D2754" s="2" t="n">
        <v>918</v>
      </c>
      <c r="E2754" s="2" t="inlineStr">
        <is>
          <t>CC-3000</t>
        </is>
      </c>
      <c r="F2754" s="2" t="inlineStr">
        <is>
          <t>P01</t>
        </is>
      </c>
      <c r="G2754" s="2" t="n">
        <v>620000</v>
      </c>
      <c r="H2754" s="2" t="inlineStr">
        <is>
          <t>Materiales</t>
        </is>
      </c>
      <c r="I2754" s="9" t="n">
        <v>1871.33</v>
      </c>
      <c r="J2754" s="9" t="n">
        <v>1746.17</v>
      </c>
      <c r="K2754" s="9" t="n">
        <v>1797.94</v>
      </c>
      <c r="L2754" s="9" t="n">
        <v>1719.88</v>
      </c>
      <c r="M2754" s="9" t="n">
        <v>1864.8</v>
      </c>
      <c r="N2754" s="9" t="n">
        <v>1664.31</v>
      </c>
      <c r="O2754" s="9" t="n">
        <v>1850.19</v>
      </c>
      <c r="P2754" s="9" t="n">
        <v>1938.08</v>
      </c>
      <c r="Q2754" s="9" t="n">
        <v>1814.56</v>
      </c>
      <c r="R2754" s="9" t="n">
        <v>1805.44</v>
      </c>
      <c r="S2754" s="9" t="n">
        <v>1708.74</v>
      </c>
      <c r="T2754" s="9" t="n">
        <v>1944.93</v>
      </c>
      <c r="U2754" s="10">
        <f>SUM(I2754:T2754)</f>
        <v/>
      </c>
    </row>
    <row r="2755">
      <c r="A2755" s="2" t="inlineStr">
        <is>
          <t>SN-3000-3800-3840-3840PU0321</t>
        </is>
      </c>
      <c r="B2755" s="2" t="inlineStr">
        <is>
          <t>3840PU0321</t>
        </is>
      </c>
      <c r="C2755" s="2" t="inlineStr">
        <is>
          <t>Bomba transferencia SMBS</t>
        </is>
      </c>
      <c r="D2755" s="2" t="n">
        <v>918</v>
      </c>
      <c r="E2755" s="2" t="inlineStr">
        <is>
          <t>CC-3000</t>
        </is>
      </c>
      <c r="F2755" s="2" t="inlineStr">
        <is>
          <t>P01</t>
        </is>
      </c>
      <c r="G2755" s="2" t="n">
        <v>630000</v>
      </c>
      <c r="H2755" s="2" t="inlineStr">
        <is>
          <t>Servicios externos</t>
        </is>
      </c>
      <c r="I2755" s="9" t="n">
        <v>1676.79</v>
      </c>
      <c r="J2755" s="9" t="n">
        <v>1628.98</v>
      </c>
      <c r="K2755" s="9" t="n">
        <v>1600.23</v>
      </c>
      <c r="L2755" s="9" t="n">
        <v>1563.93</v>
      </c>
      <c r="M2755" s="9" t="n">
        <v>1538.28</v>
      </c>
      <c r="N2755" s="9" t="n">
        <v>1533.34</v>
      </c>
      <c r="O2755" s="9" t="n">
        <v>1532.94</v>
      </c>
      <c r="P2755" s="9" t="n">
        <v>1633.18</v>
      </c>
      <c r="Q2755" s="9" t="n">
        <v>1551.51</v>
      </c>
      <c r="R2755" s="9" t="n">
        <v>1629.49</v>
      </c>
      <c r="S2755" s="9" t="n">
        <v>1628.28</v>
      </c>
      <c r="T2755" s="9" t="n">
        <v>1619.96</v>
      </c>
      <c r="U2755" s="10">
        <f>SUM(I2755:T2755)</f>
        <v/>
      </c>
    </row>
    <row r="2756">
      <c r="A2756" s="2" t="inlineStr">
        <is>
          <t>SN-3000-3800-3840-3840PU0322</t>
        </is>
      </c>
      <c r="B2756" s="2" t="inlineStr">
        <is>
          <t>3840PU0322</t>
        </is>
      </c>
      <c r="C2756" s="2" t="inlineStr">
        <is>
          <t>Bomba distribución SMBS</t>
        </is>
      </c>
      <c r="D2756" s="2" t="n">
        <v>919</v>
      </c>
      <c r="E2756" s="2" t="inlineStr">
        <is>
          <t>CC-3000</t>
        </is>
      </c>
      <c r="F2756" s="2" t="inlineStr">
        <is>
          <t>P01</t>
        </is>
      </c>
      <c r="G2756" s="2" t="n">
        <v>610000</v>
      </c>
      <c r="H2756" s="2" t="inlineStr">
        <is>
          <t>Mano obra interna</t>
        </is>
      </c>
      <c r="I2756" s="9" t="n">
        <v>669.42</v>
      </c>
      <c r="J2756" s="9" t="n">
        <v>662.1</v>
      </c>
      <c r="K2756" s="9" t="n">
        <v>701.59</v>
      </c>
      <c r="L2756" s="9" t="n">
        <v>692.98</v>
      </c>
      <c r="M2756" s="9" t="n">
        <v>656.5</v>
      </c>
      <c r="N2756" s="9" t="n">
        <v>708.8</v>
      </c>
      <c r="O2756" s="9" t="n">
        <v>691.3200000000001</v>
      </c>
      <c r="P2756" s="9" t="n">
        <v>751.4400000000001</v>
      </c>
      <c r="Q2756" s="9" t="n">
        <v>660.4299999999999</v>
      </c>
      <c r="R2756" s="9" t="n">
        <v>711.34</v>
      </c>
      <c r="S2756" s="9" t="n">
        <v>682.74</v>
      </c>
      <c r="T2756" s="9" t="n">
        <v>766.62</v>
      </c>
      <c r="U2756" s="10">
        <f>SUM(I2756:T2756)</f>
        <v/>
      </c>
    </row>
    <row r="2757">
      <c r="A2757" s="2" t="inlineStr">
        <is>
          <t>SN-3000-3800-3840-3840PU0322</t>
        </is>
      </c>
      <c r="B2757" s="2" t="inlineStr">
        <is>
          <t>3840PU0322</t>
        </is>
      </c>
      <c r="C2757" s="2" t="inlineStr">
        <is>
          <t>Bomba distribución SMBS</t>
        </is>
      </c>
      <c r="D2757" s="2" t="n">
        <v>919</v>
      </c>
      <c r="E2757" s="2" t="inlineStr">
        <is>
          <t>CC-3000</t>
        </is>
      </c>
      <c r="F2757" s="2" t="inlineStr">
        <is>
          <t>P01</t>
        </is>
      </c>
      <c r="G2757" s="2" t="n">
        <v>620000</v>
      </c>
      <c r="H2757" s="2" t="inlineStr">
        <is>
          <t>Materiales</t>
        </is>
      </c>
      <c r="I2757" s="9" t="n">
        <v>584.1799999999999</v>
      </c>
      <c r="J2757" s="9" t="n">
        <v>654.8200000000001</v>
      </c>
      <c r="K2757" s="9" t="n">
        <v>614.27</v>
      </c>
      <c r="L2757" s="9" t="n">
        <v>654.6799999999999</v>
      </c>
      <c r="M2757" s="9" t="n">
        <v>616.86</v>
      </c>
      <c r="N2757" s="9" t="n">
        <v>577.88</v>
      </c>
      <c r="O2757" s="9" t="n">
        <v>600.45</v>
      </c>
      <c r="P2757" s="9" t="n">
        <v>663.97</v>
      </c>
      <c r="Q2757" s="9" t="n">
        <v>616.97</v>
      </c>
      <c r="R2757" s="9" t="n">
        <v>671.98</v>
      </c>
      <c r="S2757" s="9" t="n">
        <v>578.6900000000001</v>
      </c>
      <c r="T2757" s="9" t="n">
        <v>590.89</v>
      </c>
      <c r="U2757" s="10">
        <f>SUM(I2757:T2757)</f>
        <v/>
      </c>
    </row>
    <row r="2758">
      <c r="A2758" s="2" t="inlineStr">
        <is>
          <t>SN-3000-3800-3840-3840PU0322</t>
        </is>
      </c>
      <c r="B2758" s="2" t="inlineStr">
        <is>
          <t>3840PU0322</t>
        </is>
      </c>
      <c r="C2758" s="2" t="inlineStr">
        <is>
          <t>Bomba distribución SMBS</t>
        </is>
      </c>
      <c r="D2758" s="2" t="n">
        <v>919</v>
      </c>
      <c r="E2758" s="2" t="inlineStr">
        <is>
          <t>CC-3000</t>
        </is>
      </c>
      <c r="F2758" s="2" t="inlineStr">
        <is>
          <t>P01</t>
        </is>
      </c>
      <c r="G2758" s="2" t="n">
        <v>630000</v>
      </c>
      <c r="H2758" s="2" t="inlineStr">
        <is>
          <t>Servicios externos</t>
        </is>
      </c>
      <c r="I2758" s="9" t="n">
        <v>553.7</v>
      </c>
      <c r="J2758" s="9" t="n">
        <v>515.92</v>
      </c>
      <c r="K2758" s="9" t="n">
        <v>516.72</v>
      </c>
      <c r="L2758" s="9" t="n">
        <v>548.42</v>
      </c>
      <c r="M2758" s="9" t="n">
        <v>555.95</v>
      </c>
      <c r="N2758" s="9" t="n">
        <v>549.11</v>
      </c>
      <c r="O2758" s="9" t="n">
        <v>548.09</v>
      </c>
      <c r="P2758" s="9" t="n">
        <v>559.36</v>
      </c>
      <c r="Q2758" s="9" t="n">
        <v>492.17</v>
      </c>
      <c r="R2758" s="9" t="n">
        <v>582.51</v>
      </c>
      <c r="S2758" s="9" t="n">
        <v>542.4299999999999</v>
      </c>
      <c r="T2758" s="9" t="n">
        <v>568.48</v>
      </c>
      <c r="U2758" s="10">
        <f>SUM(I2758:T2758)</f>
        <v/>
      </c>
    </row>
    <row r="2759">
      <c r="A2759" s="2" t="inlineStr">
        <is>
          <t>SN-3000-3800-3840-3840PU0323</t>
        </is>
      </c>
      <c r="B2759" s="2" t="inlineStr">
        <is>
          <t>3840PU0323</t>
        </is>
      </c>
      <c r="C2759" s="2" t="inlineStr">
        <is>
          <t>Bomba distribución SMBS</t>
        </is>
      </c>
      <c r="D2759" s="2" t="n">
        <v>920</v>
      </c>
      <c r="E2759" s="2" t="inlineStr">
        <is>
          <t>CC-3000</t>
        </is>
      </c>
      <c r="F2759" s="2" t="inlineStr">
        <is>
          <t>P01</t>
        </is>
      </c>
      <c r="G2759" s="2" t="n">
        <v>610000</v>
      </c>
      <c r="H2759" s="2" t="inlineStr">
        <is>
          <t>Mano obra interna</t>
        </is>
      </c>
      <c r="I2759" s="9" t="n">
        <v>837.51</v>
      </c>
      <c r="J2759" s="9" t="n">
        <v>856.8</v>
      </c>
      <c r="K2759" s="9" t="n">
        <v>858.25</v>
      </c>
      <c r="L2759" s="9" t="n">
        <v>851.67</v>
      </c>
      <c r="M2759" s="9" t="n">
        <v>843.01</v>
      </c>
      <c r="N2759" s="9" t="n">
        <v>730.97</v>
      </c>
      <c r="O2759" s="9" t="n">
        <v>818.0700000000001</v>
      </c>
      <c r="P2759" s="9" t="n">
        <v>873.95</v>
      </c>
      <c r="Q2759" s="9" t="n">
        <v>741.62</v>
      </c>
      <c r="R2759" s="9" t="n">
        <v>849.78</v>
      </c>
      <c r="S2759" s="9" t="n">
        <v>801.47</v>
      </c>
      <c r="T2759" s="9" t="n">
        <v>789.92</v>
      </c>
      <c r="U2759" s="10">
        <f>SUM(I2759:T2759)</f>
        <v/>
      </c>
    </row>
    <row r="2760">
      <c r="A2760" s="2" t="inlineStr">
        <is>
          <t>SN-3000-3800-3840-3840PU0323</t>
        </is>
      </c>
      <c r="B2760" s="2" t="inlineStr">
        <is>
          <t>3840PU0323</t>
        </is>
      </c>
      <c r="C2760" s="2" t="inlineStr">
        <is>
          <t>Bomba distribución SMBS</t>
        </is>
      </c>
      <c r="D2760" s="2" t="n">
        <v>920</v>
      </c>
      <c r="E2760" s="2" t="inlineStr">
        <is>
          <t>CC-3000</t>
        </is>
      </c>
      <c r="F2760" s="2" t="inlineStr">
        <is>
          <t>P01</t>
        </is>
      </c>
      <c r="G2760" s="2" t="n">
        <v>620000</v>
      </c>
      <c r="H2760" s="2" t="inlineStr">
        <is>
          <t>Materiales</t>
        </is>
      </c>
      <c r="I2760" s="9" t="n">
        <v>807.9299999999999</v>
      </c>
      <c r="J2760" s="9" t="n">
        <v>835.4299999999999</v>
      </c>
      <c r="K2760" s="9" t="n">
        <v>878.24</v>
      </c>
      <c r="L2760" s="9" t="n">
        <v>844.87</v>
      </c>
      <c r="M2760" s="9" t="n">
        <v>813.37</v>
      </c>
      <c r="N2760" s="9" t="n">
        <v>768.17</v>
      </c>
      <c r="O2760" s="9" t="n">
        <v>815.29</v>
      </c>
      <c r="P2760" s="9" t="n">
        <v>836.74</v>
      </c>
      <c r="Q2760" s="9" t="n">
        <v>748.21</v>
      </c>
      <c r="R2760" s="9" t="n">
        <v>944.15</v>
      </c>
      <c r="S2760" s="9" t="n">
        <v>837.95</v>
      </c>
      <c r="T2760" s="9" t="n">
        <v>818.64</v>
      </c>
      <c r="U2760" s="10">
        <f>SUM(I2760:T2760)</f>
        <v/>
      </c>
    </row>
    <row r="2761">
      <c r="A2761" s="2" t="inlineStr">
        <is>
          <t>SN-3000-3800-3840-3840PU0323</t>
        </is>
      </c>
      <c r="B2761" s="2" t="inlineStr">
        <is>
          <t>3840PU0323</t>
        </is>
      </c>
      <c r="C2761" s="2" t="inlineStr">
        <is>
          <t>Bomba distribución SMBS</t>
        </is>
      </c>
      <c r="D2761" s="2" t="n">
        <v>920</v>
      </c>
      <c r="E2761" s="2" t="inlineStr">
        <is>
          <t>CC-3000</t>
        </is>
      </c>
      <c r="F2761" s="2" t="inlineStr">
        <is>
          <t>P01</t>
        </is>
      </c>
      <c r="G2761" s="2" t="n">
        <v>630000</v>
      </c>
      <c r="H2761" s="2" t="inlineStr">
        <is>
          <t>Servicios externos</t>
        </is>
      </c>
      <c r="I2761" s="9" t="n">
        <v>684.11</v>
      </c>
      <c r="J2761" s="9" t="n">
        <v>728.47</v>
      </c>
      <c r="K2761" s="9" t="n">
        <v>716.74</v>
      </c>
      <c r="L2761" s="9" t="n">
        <v>686.39</v>
      </c>
      <c r="M2761" s="9" t="n">
        <v>704.61</v>
      </c>
      <c r="N2761" s="9" t="n">
        <v>747.87</v>
      </c>
      <c r="O2761" s="9" t="n">
        <v>750.87</v>
      </c>
      <c r="P2761" s="9" t="n">
        <v>769.51</v>
      </c>
      <c r="Q2761" s="9" t="n">
        <v>639.5</v>
      </c>
      <c r="R2761" s="9" t="n">
        <v>731.89</v>
      </c>
      <c r="S2761" s="9" t="n">
        <v>650.02</v>
      </c>
      <c r="T2761" s="9" t="n">
        <v>793.1</v>
      </c>
      <c r="U2761" s="10">
        <f>SUM(I2761:T2761)</f>
        <v/>
      </c>
    </row>
    <row r="2762">
      <c r="A2762" s="2" t="inlineStr">
        <is>
          <t>SN-3000-3800-3840-3840PU0324</t>
        </is>
      </c>
      <c r="B2762" s="2" t="inlineStr">
        <is>
          <t>3840PU0324</t>
        </is>
      </c>
      <c r="C2762" s="2" t="inlineStr">
        <is>
          <t>Bomba sumidero SMBS</t>
        </is>
      </c>
      <c r="D2762" s="2" t="n">
        <v>921</v>
      </c>
      <c r="E2762" s="2" t="inlineStr">
        <is>
          <t>CC-3000</t>
        </is>
      </c>
      <c r="F2762" s="2" t="inlineStr">
        <is>
          <t>P01</t>
        </is>
      </c>
      <c r="G2762" s="2" t="n">
        <v>610000</v>
      </c>
      <c r="H2762" s="2" t="inlineStr">
        <is>
          <t>Mano obra interna</t>
        </is>
      </c>
      <c r="I2762" s="9" t="n">
        <v>1909.17</v>
      </c>
      <c r="J2762" s="9" t="n">
        <v>1822.59</v>
      </c>
      <c r="K2762" s="9" t="n">
        <v>2013.55</v>
      </c>
      <c r="L2762" s="9" t="n">
        <v>1865.38</v>
      </c>
      <c r="M2762" s="9" t="n">
        <v>1873.48</v>
      </c>
      <c r="N2762" s="9" t="n">
        <v>1942.39</v>
      </c>
      <c r="O2762" s="9" t="n">
        <v>1866.38</v>
      </c>
      <c r="P2762" s="9" t="n">
        <v>1896.41</v>
      </c>
      <c r="Q2762" s="9" t="n">
        <v>1752.98</v>
      </c>
      <c r="R2762" s="9" t="n">
        <v>2128.49</v>
      </c>
      <c r="S2762" s="9" t="n">
        <v>1754.29</v>
      </c>
      <c r="T2762" s="9" t="n">
        <v>1809.6</v>
      </c>
      <c r="U2762" s="10">
        <f>SUM(I2762:T2762)</f>
        <v/>
      </c>
    </row>
    <row r="2763">
      <c r="A2763" s="2" t="inlineStr">
        <is>
          <t>SN-3000-3800-3840-3840PU0324</t>
        </is>
      </c>
      <c r="B2763" s="2" t="inlineStr">
        <is>
          <t>3840PU0324</t>
        </is>
      </c>
      <c r="C2763" s="2" t="inlineStr">
        <is>
          <t>Bomba sumidero SMBS</t>
        </is>
      </c>
      <c r="D2763" s="2" t="n">
        <v>921</v>
      </c>
      <c r="E2763" s="2" t="inlineStr">
        <is>
          <t>CC-3000</t>
        </is>
      </c>
      <c r="F2763" s="2" t="inlineStr">
        <is>
          <t>P01</t>
        </is>
      </c>
      <c r="G2763" s="2" t="n">
        <v>620000</v>
      </c>
      <c r="H2763" s="2" t="inlineStr">
        <is>
          <t>Materiales</t>
        </is>
      </c>
      <c r="I2763" s="9" t="n">
        <v>2100.13</v>
      </c>
      <c r="J2763" s="9" t="n">
        <v>2189.78</v>
      </c>
      <c r="K2763" s="9" t="n">
        <v>2201.01</v>
      </c>
      <c r="L2763" s="9" t="n">
        <v>2153.32</v>
      </c>
      <c r="M2763" s="9" t="n">
        <v>1921.99</v>
      </c>
      <c r="N2763" s="9" t="n">
        <v>2067.29</v>
      </c>
      <c r="O2763" s="9" t="n">
        <v>2148.45</v>
      </c>
      <c r="P2763" s="9" t="n">
        <v>2130.55</v>
      </c>
      <c r="Q2763" s="9" t="n">
        <v>1869.16</v>
      </c>
      <c r="R2763" s="9" t="n">
        <v>2409.7</v>
      </c>
      <c r="S2763" s="9" t="n">
        <v>1961.19</v>
      </c>
      <c r="T2763" s="9" t="n">
        <v>1998.6</v>
      </c>
      <c r="U2763" s="10">
        <f>SUM(I2763:T2763)</f>
        <v/>
      </c>
    </row>
    <row r="2764">
      <c r="A2764" s="2" t="inlineStr">
        <is>
          <t>SN-3000-3800-3840-3840PU0324</t>
        </is>
      </c>
      <c r="B2764" s="2" t="inlineStr">
        <is>
          <t>3840PU0324</t>
        </is>
      </c>
      <c r="C2764" s="2" t="inlineStr">
        <is>
          <t>Bomba sumidero SMBS</t>
        </is>
      </c>
      <c r="D2764" s="2" t="n">
        <v>921</v>
      </c>
      <c r="E2764" s="2" t="inlineStr">
        <is>
          <t>CC-3000</t>
        </is>
      </c>
      <c r="F2764" s="2" t="inlineStr">
        <is>
          <t>P01</t>
        </is>
      </c>
      <c r="G2764" s="2" t="n">
        <v>630000</v>
      </c>
      <c r="H2764" s="2" t="inlineStr">
        <is>
          <t>Servicios externos</t>
        </is>
      </c>
      <c r="I2764" s="9" t="n">
        <v>2366.46</v>
      </c>
      <c r="J2764" s="9" t="n">
        <v>2166.55</v>
      </c>
      <c r="K2764" s="9" t="n">
        <v>2461.32</v>
      </c>
      <c r="L2764" s="9" t="n">
        <v>2130.31</v>
      </c>
      <c r="M2764" s="9" t="n">
        <v>2061.58</v>
      </c>
      <c r="N2764" s="9" t="n">
        <v>2194.54</v>
      </c>
      <c r="O2764" s="9" t="n">
        <v>2116.31</v>
      </c>
      <c r="P2764" s="9" t="n">
        <v>2377.35</v>
      </c>
      <c r="Q2764" s="9" t="n">
        <v>2189.17</v>
      </c>
      <c r="R2764" s="9" t="n">
        <v>2330.66</v>
      </c>
      <c r="S2764" s="9" t="n">
        <v>2293.37</v>
      </c>
      <c r="T2764" s="9" t="n">
        <v>2097.84</v>
      </c>
      <c r="U2764" s="10">
        <f>SUM(I2764:T2764)</f>
        <v/>
      </c>
    </row>
    <row r="2765">
      <c r="A2765" s="2" t="inlineStr">
        <is>
          <t>SN-3000-3800-3840-3840PU0502</t>
        </is>
      </c>
      <c r="B2765" s="2" t="inlineStr">
        <is>
          <t>3840PU0502</t>
        </is>
      </c>
      <c r="C2765" s="2" t="inlineStr">
        <is>
          <t>Bomba sumidero sulfato de cobre</t>
        </is>
      </c>
      <c r="D2765" s="2" t="n">
        <v>922</v>
      </c>
      <c r="E2765" s="2" t="inlineStr">
        <is>
          <t>CC-3000</t>
        </is>
      </c>
      <c r="F2765" s="2" t="inlineStr">
        <is>
          <t>P01</t>
        </is>
      </c>
      <c r="G2765" s="2" t="n">
        <v>610000</v>
      </c>
      <c r="H2765" s="2" t="inlineStr">
        <is>
          <t>Mano obra interna</t>
        </is>
      </c>
      <c r="I2765" s="9" t="n">
        <v>342.71</v>
      </c>
      <c r="J2765" s="9" t="n">
        <v>326.67</v>
      </c>
      <c r="K2765" s="9" t="n">
        <v>316.32</v>
      </c>
      <c r="L2765" s="9" t="n">
        <v>304.49</v>
      </c>
      <c r="M2765" s="9" t="n">
        <v>296.21</v>
      </c>
      <c r="N2765" s="9" t="n">
        <v>300.75</v>
      </c>
      <c r="O2765" s="9" t="n">
        <v>318.85</v>
      </c>
      <c r="P2765" s="9" t="n">
        <v>290.17</v>
      </c>
      <c r="Q2765" s="9" t="n">
        <v>288.11</v>
      </c>
      <c r="R2765" s="9" t="n">
        <v>356.35</v>
      </c>
      <c r="S2765" s="9" t="n">
        <v>301.11</v>
      </c>
      <c r="T2765" s="9" t="n">
        <v>301.64</v>
      </c>
      <c r="U2765" s="10">
        <f>SUM(I2765:T2765)</f>
        <v/>
      </c>
    </row>
    <row r="2766">
      <c r="A2766" s="2" t="inlineStr">
        <is>
          <t>SN-3000-3800-3840-3840PU0502</t>
        </is>
      </c>
      <c r="B2766" s="2" t="inlineStr">
        <is>
          <t>3840PU0502</t>
        </is>
      </c>
      <c r="C2766" s="2" t="inlineStr">
        <is>
          <t>Bomba sumidero sulfato de cobre</t>
        </is>
      </c>
      <c r="D2766" s="2" t="n">
        <v>922</v>
      </c>
      <c r="E2766" s="2" t="inlineStr">
        <is>
          <t>CC-3000</t>
        </is>
      </c>
      <c r="F2766" s="2" t="inlineStr">
        <is>
          <t>P01</t>
        </is>
      </c>
      <c r="G2766" s="2" t="n">
        <v>620000</v>
      </c>
      <c r="H2766" s="2" t="inlineStr">
        <is>
          <t>Materiales</t>
        </is>
      </c>
      <c r="I2766" s="9" t="n">
        <v>335.12</v>
      </c>
      <c r="J2766" s="9" t="n">
        <v>351.91</v>
      </c>
      <c r="K2766" s="9" t="n">
        <v>334.59</v>
      </c>
      <c r="L2766" s="9" t="n">
        <v>344.27</v>
      </c>
      <c r="M2766" s="9" t="n">
        <v>336.99</v>
      </c>
      <c r="N2766" s="9" t="n">
        <v>326.08</v>
      </c>
      <c r="O2766" s="9" t="n">
        <v>342.09</v>
      </c>
      <c r="P2766" s="9" t="n">
        <v>325.78</v>
      </c>
      <c r="Q2766" s="9" t="n">
        <v>318.27</v>
      </c>
      <c r="R2766" s="9" t="n">
        <v>366.7</v>
      </c>
      <c r="S2766" s="9" t="n">
        <v>314.76</v>
      </c>
      <c r="T2766" s="9" t="n">
        <v>373.13</v>
      </c>
      <c r="U2766" s="10">
        <f>SUM(I2766:T2766)</f>
        <v/>
      </c>
    </row>
    <row r="2767">
      <c r="A2767" s="2" t="inlineStr">
        <is>
          <t>SN-3000-3800-3840-3840PU0502</t>
        </is>
      </c>
      <c r="B2767" s="2" t="inlineStr">
        <is>
          <t>3840PU0502</t>
        </is>
      </c>
      <c r="C2767" s="2" t="inlineStr">
        <is>
          <t>Bomba sumidero sulfato de cobre</t>
        </is>
      </c>
      <c r="D2767" s="2" t="n">
        <v>922</v>
      </c>
      <c r="E2767" s="2" t="inlineStr">
        <is>
          <t>CC-3000</t>
        </is>
      </c>
      <c r="F2767" s="2" t="inlineStr">
        <is>
          <t>P01</t>
        </is>
      </c>
      <c r="G2767" s="2" t="n">
        <v>630000</v>
      </c>
      <c r="H2767" s="2" t="inlineStr">
        <is>
          <t>Servicios externos</t>
        </is>
      </c>
      <c r="I2767" s="9" t="n">
        <v>357.38</v>
      </c>
      <c r="J2767" s="9" t="n">
        <v>334.29</v>
      </c>
      <c r="K2767" s="9" t="n">
        <v>321.56</v>
      </c>
      <c r="L2767" s="9" t="n">
        <v>340.58</v>
      </c>
      <c r="M2767" s="9" t="n">
        <v>343.01</v>
      </c>
      <c r="N2767" s="9" t="n">
        <v>291.9</v>
      </c>
      <c r="O2767" s="9" t="n">
        <v>329.57</v>
      </c>
      <c r="P2767" s="9" t="n">
        <v>323.92</v>
      </c>
      <c r="Q2767" s="9" t="n">
        <v>292.72</v>
      </c>
      <c r="R2767" s="9" t="n">
        <v>348.57</v>
      </c>
      <c r="S2767" s="9" t="n">
        <v>343.8</v>
      </c>
      <c r="T2767" s="9" t="n">
        <v>346.48</v>
      </c>
      <c r="U2767" s="10">
        <f>SUM(I2767:T2767)</f>
        <v/>
      </c>
    </row>
    <row r="2768">
      <c r="A2768" s="2" t="inlineStr">
        <is>
          <t>SN-3000-3800-3840-3840PU0532</t>
        </is>
      </c>
      <c r="B2768" s="2" t="inlineStr">
        <is>
          <t>3840PU0532</t>
        </is>
      </c>
      <c r="C2768" s="2" t="inlineStr">
        <is>
          <t>Bomba transferencia MBSS</t>
        </is>
      </c>
      <c r="D2768" s="2" t="n">
        <v>923</v>
      </c>
      <c r="E2768" s="2" t="inlineStr">
        <is>
          <t>CC-3000</t>
        </is>
      </c>
      <c r="F2768" s="2" t="inlineStr">
        <is>
          <t>P01</t>
        </is>
      </c>
      <c r="G2768" s="2" t="n">
        <v>610000</v>
      </c>
      <c r="H2768" s="2" t="inlineStr">
        <is>
          <t>Mano obra interna</t>
        </is>
      </c>
      <c r="I2768" s="9" t="n">
        <v>1197.82</v>
      </c>
      <c r="J2768" s="9" t="n">
        <v>1090.37</v>
      </c>
      <c r="K2768" s="9" t="n">
        <v>1211.53</v>
      </c>
      <c r="L2768" s="9" t="n">
        <v>1254.1</v>
      </c>
      <c r="M2768" s="9" t="n">
        <v>1152.37</v>
      </c>
      <c r="N2768" s="9" t="n">
        <v>1144.41</v>
      </c>
      <c r="O2768" s="9" t="n">
        <v>1145.81</v>
      </c>
      <c r="P2768" s="9" t="n">
        <v>1157.5</v>
      </c>
      <c r="Q2768" s="9" t="n">
        <v>1107.67</v>
      </c>
      <c r="R2768" s="9" t="n">
        <v>1306.61</v>
      </c>
      <c r="S2768" s="9" t="n">
        <v>1145.56</v>
      </c>
      <c r="T2768" s="9" t="n">
        <v>1260.51</v>
      </c>
      <c r="U2768" s="10">
        <f>SUM(I2768:T2768)</f>
        <v/>
      </c>
    </row>
    <row r="2769">
      <c r="A2769" s="2" t="inlineStr">
        <is>
          <t>SN-3000-3800-3840-3840PU0532</t>
        </is>
      </c>
      <c r="B2769" s="2" t="inlineStr">
        <is>
          <t>3840PU0532</t>
        </is>
      </c>
      <c r="C2769" s="2" t="inlineStr">
        <is>
          <t>Bomba transferencia MBSS</t>
        </is>
      </c>
      <c r="D2769" s="2" t="n">
        <v>923</v>
      </c>
      <c r="E2769" s="2" t="inlineStr">
        <is>
          <t>CC-3000</t>
        </is>
      </c>
      <c r="F2769" s="2" t="inlineStr">
        <is>
          <t>P01</t>
        </is>
      </c>
      <c r="G2769" s="2" t="n">
        <v>620000</v>
      </c>
      <c r="H2769" s="2" t="inlineStr">
        <is>
          <t>Materiales</t>
        </is>
      </c>
      <c r="I2769" s="9" t="n">
        <v>1431.93</v>
      </c>
      <c r="J2769" s="9" t="n">
        <v>1395.83</v>
      </c>
      <c r="K2769" s="9" t="n">
        <v>1337.12</v>
      </c>
      <c r="L2769" s="9" t="n">
        <v>1357.81</v>
      </c>
      <c r="M2769" s="9" t="n">
        <v>1342.94</v>
      </c>
      <c r="N2769" s="9" t="n">
        <v>1276.39</v>
      </c>
      <c r="O2769" s="9" t="n">
        <v>1418.44</v>
      </c>
      <c r="P2769" s="9" t="n">
        <v>1240.57</v>
      </c>
      <c r="Q2769" s="9" t="n">
        <v>1192.11</v>
      </c>
      <c r="R2769" s="9" t="n">
        <v>1536.93</v>
      </c>
      <c r="S2769" s="9" t="n">
        <v>1208.51</v>
      </c>
      <c r="T2769" s="9" t="n">
        <v>1303.53</v>
      </c>
      <c r="U2769" s="10">
        <f>SUM(I2769:T2769)</f>
        <v/>
      </c>
    </row>
    <row r="2770">
      <c r="A2770" s="2" t="inlineStr">
        <is>
          <t>SN-3000-3800-3840-3840PU0532</t>
        </is>
      </c>
      <c r="B2770" s="2" t="inlineStr">
        <is>
          <t>3840PU0532</t>
        </is>
      </c>
      <c r="C2770" s="2" t="inlineStr">
        <is>
          <t>Bomba transferencia MBSS</t>
        </is>
      </c>
      <c r="D2770" s="2" t="n">
        <v>923</v>
      </c>
      <c r="E2770" s="2" t="inlineStr">
        <is>
          <t>CC-3000</t>
        </is>
      </c>
      <c r="F2770" s="2" t="inlineStr">
        <is>
          <t>P01</t>
        </is>
      </c>
      <c r="G2770" s="2" t="n">
        <v>630000</v>
      </c>
      <c r="H2770" s="2" t="inlineStr">
        <is>
          <t>Servicios externos</t>
        </is>
      </c>
      <c r="I2770" s="9" t="n">
        <v>1247.65</v>
      </c>
      <c r="J2770" s="9" t="n">
        <v>1168.38</v>
      </c>
      <c r="K2770" s="9" t="n">
        <v>1300.38</v>
      </c>
      <c r="L2770" s="9" t="n">
        <v>1148.65</v>
      </c>
      <c r="M2770" s="9" t="n">
        <v>1232.11</v>
      </c>
      <c r="N2770" s="9" t="n">
        <v>1084.39</v>
      </c>
      <c r="O2770" s="9" t="n">
        <v>1127.69</v>
      </c>
      <c r="P2770" s="9" t="n">
        <v>1173.85</v>
      </c>
      <c r="Q2770" s="9" t="n">
        <v>1018.77</v>
      </c>
      <c r="R2770" s="9" t="n">
        <v>1243.73</v>
      </c>
      <c r="S2770" s="9" t="n">
        <v>1111.24</v>
      </c>
      <c r="T2770" s="9" t="n">
        <v>1127.63</v>
      </c>
      <c r="U2770" s="10">
        <f>SUM(I2770:T2770)</f>
        <v/>
      </c>
    </row>
    <row r="2771">
      <c r="A2771" s="2" t="inlineStr">
        <is>
          <t>SN-3000-3800-3840-3840SK0003</t>
        </is>
      </c>
      <c r="B2771" s="2" t="inlineStr">
        <is>
          <t>3840SK0003</t>
        </is>
      </c>
      <c r="C2771" s="2" t="inlineStr">
        <is>
          <t>Lavador de gases</t>
        </is>
      </c>
      <c r="D2771" s="2" t="n">
        <v>924</v>
      </c>
      <c r="E2771" s="2" t="inlineStr">
        <is>
          <t>CC-3000</t>
        </is>
      </c>
      <c r="F2771" s="2" t="inlineStr">
        <is>
          <t>P01</t>
        </is>
      </c>
      <c r="G2771" s="2" t="n">
        <v>610000</v>
      </c>
      <c r="H2771" s="2" t="inlineStr">
        <is>
          <t>Mano obra interna</t>
        </is>
      </c>
      <c r="I2771" s="9" t="n">
        <v>1230.19</v>
      </c>
      <c r="J2771" s="9" t="n">
        <v>1302.11</v>
      </c>
      <c r="K2771" s="9" t="n">
        <v>1347.31</v>
      </c>
      <c r="L2771" s="9" t="n">
        <v>1193.28</v>
      </c>
      <c r="M2771" s="9" t="n">
        <v>1215.78</v>
      </c>
      <c r="N2771" s="9" t="n">
        <v>1192.67</v>
      </c>
      <c r="O2771" s="9" t="n">
        <v>1290.71</v>
      </c>
      <c r="P2771" s="9" t="n">
        <v>1302.25</v>
      </c>
      <c r="Q2771" s="9" t="n">
        <v>1165.31</v>
      </c>
      <c r="R2771" s="9" t="n">
        <v>1225.29</v>
      </c>
      <c r="S2771" s="9" t="n">
        <v>1184.72</v>
      </c>
      <c r="T2771" s="9" t="n">
        <v>1322.4</v>
      </c>
      <c r="U2771" s="10">
        <f>SUM(I2771:T2771)</f>
        <v/>
      </c>
    </row>
    <row r="2772">
      <c r="A2772" s="2" t="inlineStr">
        <is>
          <t>SN-3000-3800-3840-3840SK0003</t>
        </is>
      </c>
      <c r="B2772" s="2" t="inlineStr">
        <is>
          <t>3840SK0003</t>
        </is>
      </c>
      <c r="C2772" s="2" t="inlineStr">
        <is>
          <t>Lavador de gases</t>
        </is>
      </c>
      <c r="D2772" s="2" t="n">
        <v>924</v>
      </c>
      <c r="E2772" s="2" t="inlineStr">
        <is>
          <t>CC-3000</t>
        </is>
      </c>
      <c r="F2772" s="2" t="inlineStr">
        <is>
          <t>P01</t>
        </is>
      </c>
      <c r="G2772" s="2" t="n">
        <v>620000</v>
      </c>
      <c r="H2772" s="2" t="inlineStr">
        <is>
          <t>Materiales</t>
        </is>
      </c>
      <c r="I2772" s="9" t="n">
        <v>1257.13</v>
      </c>
      <c r="J2772" s="9" t="n">
        <v>1176.89</v>
      </c>
      <c r="K2772" s="9" t="n">
        <v>1111.89</v>
      </c>
      <c r="L2772" s="9" t="n">
        <v>1277.21</v>
      </c>
      <c r="M2772" s="9" t="n">
        <v>1227.53</v>
      </c>
      <c r="N2772" s="9" t="n">
        <v>1045.12</v>
      </c>
      <c r="O2772" s="9" t="n">
        <v>1091.05</v>
      </c>
      <c r="P2772" s="9" t="n">
        <v>1169</v>
      </c>
      <c r="Q2772" s="9" t="n">
        <v>1126.75</v>
      </c>
      <c r="R2772" s="9" t="n">
        <v>1230.15</v>
      </c>
      <c r="S2772" s="9" t="n">
        <v>1060</v>
      </c>
      <c r="T2772" s="9" t="n">
        <v>1181.86</v>
      </c>
      <c r="U2772" s="10">
        <f>SUM(I2772:T2772)</f>
        <v/>
      </c>
    </row>
    <row r="2773">
      <c r="A2773" s="2" t="inlineStr">
        <is>
          <t>SN-3000-3800-3840-3840SK0003</t>
        </is>
      </c>
      <c r="B2773" s="2" t="inlineStr">
        <is>
          <t>3840SK0003</t>
        </is>
      </c>
      <c r="C2773" s="2" t="inlineStr">
        <is>
          <t>Lavador de gases</t>
        </is>
      </c>
      <c r="D2773" s="2" t="n">
        <v>924</v>
      </c>
      <c r="E2773" s="2" t="inlineStr">
        <is>
          <t>CC-3000</t>
        </is>
      </c>
      <c r="F2773" s="2" t="inlineStr">
        <is>
          <t>P01</t>
        </is>
      </c>
      <c r="G2773" s="2" t="n">
        <v>630000</v>
      </c>
      <c r="H2773" s="2" t="inlineStr">
        <is>
          <t>Servicios externos</t>
        </is>
      </c>
      <c r="I2773" s="9" t="n">
        <v>1021.59</v>
      </c>
      <c r="J2773" s="9" t="n">
        <v>1032.94</v>
      </c>
      <c r="K2773" s="9" t="n">
        <v>1122.72</v>
      </c>
      <c r="L2773" s="9" t="n">
        <v>1057.46</v>
      </c>
      <c r="M2773" s="9" t="n">
        <v>1044.89</v>
      </c>
      <c r="N2773" s="9" t="n">
        <v>1005.09</v>
      </c>
      <c r="O2773" s="9" t="n">
        <v>1033.9</v>
      </c>
      <c r="P2773" s="9" t="n">
        <v>993.26</v>
      </c>
      <c r="Q2773" s="9" t="n">
        <v>935.53</v>
      </c>
      <c r="R2773" s="9" t="n">
        <v>1072.84</v>
      </c>
      <c r="S2773" s="9" t="n">
        <v>1058.59</v>
      </c>
      <c r="T2773" s="9" t="n">
        <v>1094.63</v>
      </c>
      <c r="U2773" s="10">
        <f>SUM(I2773:T2773)</f>
        <v/>
      </c>
    </row>
    <row r="2774">
      <c r="A2774" s="2" t="inlineStr">
        <is>
          <t>SN-3000-3800-3840-3840SY0020</t>
        </is>
      </c>
      <c r="B2774" s="2" t="inlineStr">
        <is>
          <t>3840SY0020</t>
        </is>
      </c>
      <c r="C2774" s="2" t="inlineStr">
        <is>
          <t>Ducha y lava ojos emergencia</t>
        </is>
      </c>
      <c r="D2774" s="2" t="n">
        <v>925</v>
      </c>
      <c r="E2774" s="2" t="inlineStr">
        <is>
          <t>CC-3000</t>
        </is>
      </c>
      <c r="F2774" s="2" t="inlineStr">
        <is>
          <t>P01</t>
        </is>
      </c>
      <c r="G2774" s="2" t="n">
        <v>610000</v>
      </c>
      <c r="H2774" s="2" t="inlineStr">
        <is>
          <t>Mano obra interna</t>
        </is>
      </c>
      <c r="I2774" s="9" t="n">
        <v>2040.92</v>
      </c>
      <c r="J2774" s="9" t="n">
        <v>1961.34</v>
      </c>
      <c r="K2774" s="9" t="n">
        <v>2067.29</v>
      </c>
      <c r="L2774" s="9" t="n">
        <v>1831.55</v>
      </c>
      <c r="M2774" s="9" t="n">
        <v>1920.73</v>
      </c>
      <c r="N2774" s="9" t="n">
        <v>1824.48</v>
      </c>
      <c r="O2774" s="9" t="n">
        <v>1946.59</v>
      </c>
      <c r="P2774" s="9" t="n">
        <v>1803.18</v>
      </c>
      <c r="Q2774" s="9" t="n">
        <v>1800.31</v>
      </c>
      <c r="R2774" s="9" t="n">
        <v>1993.45</v>
      </c>
      <c r="S2774" s="9" t="n">
        <v>1912.69</v>
      </c>
      <c r="T2774" s="9" t="n">
        <v>1993.33</v>
      </c>
      <c r="U2774" s="10">
        <f>SUM(I2774:T2774)</f>
        <v/>
      </c>
    </row>
    <row r="2775">
      <c r="A2775" s="2" t="inlineStr">
        <is>
          <t>SN-3000-3800-3840-3840SY0020</t>
        </is>
      </c>
      <c r="B2775" s="2" t="inlineStr">
        <is>
          <t>3840SY0020</t>
        </is>
      </c>
      <c r="C2775" s="2" t="inlineStr">
        <is>
          <t>Ducha y lava ojos emergencia</t>
        </is>
      </c>
      <c r="D2775" s="2" t="n">
        <v>925</v>
      </c>
      <c r="E2775" s="2" t="inlineStr">
        <is>
          <t>CC-3000</t>
        </is>
      </c>
      <c r="F2775" s="2" t="inlineStr">
        <is>
          <t>P01</t>
        </is>
      </c>
      <c r="G2775" s="2" t="n">
        <v>620000</v>
      </c>
      <c r="H2775" s="2" t="inlineStr">
        <is>
          <t>Materiales</t>
        </is>
      </c>
      <c r="I2775" s="9" t="n">
        <v>1605.28</v>
      </c>
      <c r="J2775" s="9" t="n">
        <v>1688.03</v>
      </c>
      <c r="K2775" s="9" t="n">
        <v>1722.49</v>
      </c>
      <c r="L2775" s="9" t="n">
        <v>1708.29</v>
      </c>
      <c r="M2775" s="9" t="n">
        <v>1705.37</v>
      </c>
      <c r="N2775" s="9" t="n">
        <v>1673.45</v>
      </c>
      <c r="O2775" s="9" t="n">
        <v>1587.82</v>
      </c>
      <c r="P2775" s="9" t="n">
        <v>1669.75</v>
      </c>
      <c r="Q2775" s="9" t="n">
        <v>1622.94</v>
      </c>
      <c r="R2775" s="9" t="n">
        <v>1892.71</v>
      </c>
      <c r="S2775" s="9" t="n">
        <v>1548.85</v>
      </c>
      <c r="T2775" s="9" t="n">
        <v>1574.41</v>
      </c>
      <c r="U2775" s="10">
        <f>SUM(I2775:T2775)</f>
        <v/>
      </c>
    </row>
    <row r="2776">
      <c r="A2776" s="2" t="inlineStr">
        <is>
          <t>SN-3000-3800-3840-3840SY0020</t>
        </is>
      </c>
      <c r="B2776" s="2" t="inlineStr">
        <is>
          <t>3840SY0020</t>
        </is>
      </c>
      <c r="C2776" s="2" t="inlineStr">
        <is>
          <t>Ducha y lava ojos emergencia</t>
        </is>
      </c>
      <c r="D2776" s="2" t="n">
        <v>925</v>
      </c>
      <c r="E2776" s="2" t="inlineStr">
        <is>
          <t>CC-3000</t>
        </is>
      </c>
      <c r="F2776" s="2" t="inlineStr">
        <is>
          <t>P01</t>
        </is>
      </c>
      <c r="G2776" s="2" t="n">
        <v>630000</v>
      </c>
      <c r="H2776" s="2" t="inlineStr">
        <is>
          <t>Servicios externos</t>
        </is>
      </c>
      <c r="I2776" s="9" t="n">
        <v>1856.52</v>
      </c>
      <c r="J2776" s="9" t="n">
        <v>1661.86</v>
      </c>
      <c r="K2776" s="9" t="n">
        <v>1728.5</v>
      </c>
      <c r="L2776" s="9" t="n">
        <v>1599.86</v>
      </c>
      <c r="M2776" s="9" t="n">
        <v>1559.35</v>
      </c>
      <c r="N2776" s="9" t="n">
        <v>1666.83</v>
      </c>
      <c r="O2776" s="9" t="n">
        <v>1722.78</v>
      </c>
      <c r="P2776" s="9" t="n">
        <v>1716.83</v>
      </c>
      <c r="Q2776" s="9" t="n">
        <v>1481.73</v>
      </c>
      <c r="R2776" s="9" t="n">
        <v>1787.4</v>
      </c>
      <c r="S2776" s="9" t="n">
        <v>1725.52</v>
      </c>
      <c r="T2776" s="9" t="n">
        <v>1633.2</v>
      </c>
      <c r="U2776" s="10">
        <f>SUM(I2776:T2776)</f>
        <v/>
      </c>
    </row>
    <row r="2777">
      <c r="A2777" s="2" t="inlineStr">
        <is>
          <t>SN-3000-3800-3840-3840SY0035</t>
        </is>
      </c>
      <c r="B2777" s="2" t="inlineStr">
        <is>
          <t>3840SY0035</t>
        </is>
      </c>
      <c r="C2777" s="2" t="inlineStr">
        <is>
          <t>Lava ojos emergencia</t>
        </is>
      </c>
      <c r="D2777" s="2" t="n">
        <v>926</v>
      </c>
      <c r="E2777" s="2" t="inlineStr">
        <is>
          <t>CC-3000</t>
        </is>
      </c>
      <c r="F2777" s="2" t="inlineStr">
        <is>
          <t>P01</t>
        </is>
      </c>
      <c r="G2777" s="2" t="n">
        <v>610000</v>
      </c>
      <c r="H2777" s="2" t="inlineStr">
        <is>
          <t>Mano obra interna</t>
        </is>
      </c>
      <c r="I2777" s="9" t="n">
        <v>1521.66</v>
      </c>
      <c r="J2777" s="9" t="n">
        <v>1479.94</v>
      </c>
      <c r="K2777" s="9" t="n">
        <v>1631.06</v>
      </c>
      <c r="L2777" s="9" t="n">
        <v>1737.2</v>
      </c>
      <c r="M2777" s="9" t="n">
        <v>1527.45</v>
      </c>
      <c r="N2777" s="9" t="n">
        <v>1555.38</v>
      </c>
      <c r="O2777" s="9" t="n">
        <v>1609.92</v>
      </c>
      <c r="P2777" s="9" t="n">
        <v>1496.62</v>
      </c>
      <c r="Q2777" s="9" t="n">
        <v>1417.5</v>
      </c>
      <c r="R2777" s="9" t="n">
        <v>1828.89</v>
      </c>
      <c r="S2777" s="9" t="n">
        <v>1458.56</v>
      </c>
      <c r="T2777" s="9" t="n">
        <v>1660.49</v>
      </c>
      <c r="U2777" s="10">
        <f>SUM(I2777:T2777)</f>
        <v/>
      </c>
    </row>
    <row r="2778">
      <c r="A2778" s="2" t="inlineStr">
        <is>
          <t>SN-3000-3800-3840-3840SY0035</t>
        </is>
      </c>
      <c r="B2778" s="2" t="inlineStr">
        <is>
          <t>3840SY0035</t>
        </is>
      </c>
      <c r="C2778" s="2" t="inlineStr">
        <is>
          <t>Lava ojos emergencia</t>
        </is>
      </c>
      <c r="D2778" s="2" t="n">
        <v>926</v>
      </c>
      <c r="E2778" s="2" t="inlineStr">
        <is>
          <t>CC-3000</t>
        </is>
      </c>
      <c r="F2778" s="2" t="inlineStr">
        <is>
          <t>P01</t>
        </is>
      </c>
      <c r="G2778" s="2" t="n">
        <v>620000</v>
      </c>
      <c r="H2778" s="2" t="inlineStr">
        <is>
          <t>Materiales</t>
        </is>
      </c>
      <c r="I2778" s="9" t="n">
        <v>1524.34</v>
      </c>
      <c r="J2778" s="9" t="n">
        <v>1540.67</v>
      </c>
      <c r="K2778" s="9" t="n">
        <v>1567.87</v>
      </c>
      <c r="L2778" s="9" t="n">
        <v>1552.66</v>
      </c>
      <c r="M2778" s="9" t="n">
        <v>1477.63</v>
      </c>
      <c r="N2778" s="9" t="n">
        <v>1556.53</v>
      </c>
      <c r="O2778" s="9" t="n">
        <v>1653.43</v>
      </c>
      <c r="P2778" s="9" t="n">
        <v>1633.76</v>
      </c>
      <c r="Q2778" s="9" t="n">
        <v>1580.67</v>
      </c>
      <c r="R2778" s="9" t="n">
        <v>1617.5</v>
      </c>
      <c r="S2778" s="9" t="n">
        <v>1494.86</v>
      </c>
      <c r="T2778" s="9" t="n">
        <v>1573.49</v>
      </c>
      <c r="U2778" s="10">
        <f>SUM(I2778:T2778)</f>
        <v/>
      </c>
    </row>
    <row r="2779">
      <c r="A2779" s="2" t="inlineStr">
        <is>
          <t>SN-3000-3800-3840-3840SY0035</t>
        </is>
      </c>
      <c r="B2779" s="2" t="inlineStr">
        <is>
          <t>3840SY0035</t>
        </is>
      </c>
      <c r="C2779" s="2" t="inlineStr">
        <is>
          <t>Lava ojos emergencia</t>
        </is>
      </c>
      <c r="D2779" s="2" t="n">
        <v>926</v>
      </c>
      <c r="E2779" s="2" t="inlineStr">
        <is>
          <t>CC-3000</t>
        </is>
      </c>
      <c r="F2779" s="2" t="inlineStr">
        <is>
          <t>P01</t>
        </is>
      </c>
      <c r="G2779" s="2" t="n">
        <v>630000</v>
      </c>
      <c r="H2779" s="2" t="inlineStr">
        <is>
          <t>Servicios externos</t>
        </is>
      </c>
      <c r="I2779" s="9" t="n">
        <v>1193.35</v>
      </c>
      <c r="J2779" s="9" t="n">
        <v>1218.59</v>
      </c>
      <c r="K2779" s="9" t="n">
        <v>1347.65</v>
      </c>
      <c r="L2779" s="9" t="n">
        <v>1359.46</v>
      </c>
      <c r="M2779" s="9" t="n">
        <v>1154.36</v>
      </c>
      <c r="N2779" s="9" t="n">
        <v>1246.79</v>
      </c>
      <c r="O2779" s="9" t="n">
        <v>1304.95</v>
      </c>
      <c r="P2779" s="9" t="n">
        <v>1217.03</v>
      </c>
      <c r="Q2779" s="9" t="n">
        <v>1082.23</v>
      </c>
      <c r="R2779" s="9" t="n">
        <v>1442.05</v>
      </c>
      <c r="S2779" s="9" t="n">
        <v>1230.25</v>
      </c>
      <c r="T2779" s="9" t="n">
        <v>1355.46</v>
      </c>
      <c r="U2779" s="10">
        <f>SUM(I2779:T2779)</f>
        <v/>
      </c>
    </row>
    <row r="2780">
      <c r="A2780" s="2" t="inlineStr">
        <is>
          <t>SN-3000-3800-3840-3840TA0032</t>
        </is>
      </c>
      <c r="B2780" s="2" t="inlineStr">
        <is>
          <t>3840TA0032</t>
        </is>
      </c>
      <c r="C2780" s="2" t="inlineStr">
        <is>
          <t>Estanque preparación SMBS</t>
        </is>
      </c>
      <c r="D2780" s="2" t="n">
        <v>927</v>
      </c>
      <c r="E2780" s="2" t="inlineStr">
        <is>
          <t>CC-3000</t>
        </is>
      </c>
      <c r="F2780" s="2" t="inlineStr">
        <is>
          <t>P01</t>
        </is>
      </c>
      <c r="G2780" s="2" t="n">
        <v>610000</v>
      </c>
      <c r="H2780" s="2" t="inlineStr">
        <is>
          <t>Mano obra interna</t>
        </is>
      </c>
      <c r="I2780" s="9" t="n">
        <v>2181.87</v>
      </c>
      <c r="J2780" s="9" t="n">
        <v>2054.25</v>
      </c>
      <c r="K2780" s="9" t="n">
        <v>2416.06</v>
      </c>
      <c r="L2780" s="9" t="n">
        <v>2133.98</v>
      </c>
      <c r="M2780" s="9" t="n">
        <v>1987.36</v>
      </c>
      <c r="N2780" s="9" t="n">
        <v>2082.42</v>
      </c>
      <c r="O2780" s="9" t="n">
        <v>2131.97</v>
      </c>
      <c r="P2780" s="9" t="n">
        <v>2089.21</v>
      </c>
      <c r="Q2780" s="9" t="n">
        <v>2067.09</v>
      </c>
      <c r="R2780" s="9" t="n">
        <v>2293.34</v>
      </c>
      <c r="S2780" s="9" t="n">
        <v>2071.43</v>
      </c>
      <c r="T2780" s="9" t="n">
        <v>2037.69</v>
      </c>
      <c r="U2780" s="10">
        <f>SUM(I2780:T2780)</f>
        <v/>
      </c>
    </row>
    <row r="2781">
      <c r="A2781" s="2" t="inlineStr">
        <is>
          <t>SN-3000-3800-3840-3840TA0032</t>
        </is>
      </c>
      <c r="B2781" s="2" t="inlineStr">
        <is>
          <t>3840TA0032</t>
        </is>
      </c>
      <c r="C2781" s="2" t="inlineStr">
        <is>
          <t>Estanque preparación SMBS</t>
        </is>
      </c>
      <c r="D2781" s="2" t="n">
        <v>927</v>
      </c>
      <c r="E2781" s="2" t="inlineStr">
        <is>
          <t>CC-3000</t>
        </is>
      </c>
      <c r="F2781" s="2" t="inlineStr">
        <is>
          <t>P01</t>
        </is>
      </c>
      <c r="G2781" s="2" t="n">
        <v>620000</v>
      </c>
      <c r="H2781" s="2" t="inlineStr">
        <is>
          <t>Materiales</t>
        </is>
      </c>
      <c r="I2781" s="9" t="n">
        <v>2067.96</v>
      </c>
      <c r="J2781" s="9" t="n">
        <v>2026.23</v>
      </c>
      <c r="K2781" s="9" t="n">
        <v>2301.61</v>
      </c>
      <c r="L2781" s="9" t="n">
        <v>2137.8</v>
      </c>
      <c r="M2781" s="9" t="n">
        <v>2018.83</v>
      </c>
      <c r="N2781" s="9" t="n">
        <v>2086.93</v>
      </c>
      <c r="O2781" s="9" t="n">
        <v>2058.69</v>
      </c>
      <c r="P2781" s="9" t="n">
        <v>2075.56</v>
      </c>
      <c r="Q2781" s="9" t="n">
        <v>2046.04</v>
      </c>
      <c r="R2781" s="9" t="n">
        <v>2414.45</v>
      </c>
      <c r="S2781" s="9" t="n">
        <v>2167.29</v>
      </c>
      <c r="T2781" s="9" t="n">
        <v>2181.91</v>
      </c>
      <c r="U2781" s="10">
        <f>SUM(I2781:T2781)</f>
        <v/>
      </c>
    </row>
    <row r="2782">
      <c r="A2782" s="2" t="inlineStr">
        <is>
          <t>SN-3000-3800-3840-3840TA0032</t>
        </is>
      </c>
      <c r="B2782" s="2" t="inlineStr">
        <is>
          <t>3840TA0032</t>
        </is>
      </c>
      <c r="C2782" s="2" t="inlineStr">
        <is>
          <t>Estanque preparación SMBS</t>
        </is>
      </c>
      <c r="D2782" s="2" t="n">
        <v>927</v>
      </c>
      <c r="E2782" s="2" t="inlineStr">
        <is>
          <t>CC-3000</t>
        </is>
      </c>
      <c r="F2782" s="2" t="inlineStr">
        <is>
          <t>P01</t>
        </is>
      </c>
      <c r="G2782" s="2" t="n">
        <v>630000</v>
      </c>
      <c r="H2782" s="2" t="inlineStr">
        <is>
          <t>Servicios externos</t>
        </is>
      </c>
      <c r="I2782" s="9" t="n">
        <v>2203.09</v>
      </c>
      <c r="J2782" s="9" t="n">
        <v>1932.12</v>
      </c>
      <c r="K2782" s="9" t="n">
        <v>2009.99</v>
      </c>
      <c r="L2782" s="9" t="n">
        <v>2164.2</v>
      </c>
      <c r="M2782" s="9" t="n">
        <v>2012.25</v>
      </c>
      <c r="N2782" s="9" t="n">
        <v>2038.79</v>
      </c>
      <c r="O2782" s="9" t="n">
        <v>1983.7</v>
      </c>
      <c r="P2782" s="9" t="n">
        <v>2003.84</v>
      </c>
      <c r="Q2782" s="9" t="n">
        <v>2042.43</v>
      </c>
      <c r="R2782" s="9" t="n">
        <v>2197.07</v>
      </c>
      <c r="S2782" s="9" t="n">
        <v>2026.33</v>
      </c>
      <c r="T2782" s="9" t="n">
        <v>1962.02</v>
      </c>
      <c r="U2782" s="10">
        <f>SUM(I2782:T2782)</f>
        <v/>
      </c>
    </row>
    <row r="2783">
      <c r="A2783" s="2" t="inlineStr">
        <is>
          <t>SN-3000-3800-3840-3840TA0034</t>
        </is>
      </c>
      <c r="B2783" s="2" t="inlineStr">
        <is>
          <t>3840TA0034</t>
        </is>
      </c>
      <c r="C2783" s="2" t="inlineStr">
        <is>
          <t>Estanque preparación sulfato de cobre</t>
        </is>
      </c>
      <c r="D2783" s="2" t="n">
        <v>928</v>
      </c>
      <c r="E2783" s="2" t="inlineStr">
        <is>
          <t>CC-3000</t>
        </is>
      </c>
      <c r="F2783" s="2" t="inlineStr">
        <is>
          <t>P01</t>
        </is>
      </c>
      <c r="G2783" s="2" t="n">
        <v>610000</v>
      </c>
      <c r="H2783" s="2" t="inlineStr">
        <is>
          <t>Mano obra interna</t>
        </is>
      </c>
      <c r="I2783" s="9" t="n">
        <v>2310.79</v>
      </c>
      <c r="J2783" s="9" t="n">
        <v>2379.02</v>
      </c>
      <c r="K2783" s="9" t="n">
        <v>2719.88</v>
      </c>
      <c r="L2783" s="9" t="n">
        <v>2648.58</v>
      </c>
      <c r="M2783" s="9" t="n">
        <v>2471.35</v>
      </c>
      <c r="N2783" s="9" t="n">
        <v>2472.83</v>
      </c>
      <c r="O2783" s="9" t="n">
        <v>2483.15</v>
      </c>
      <c r="P2783" s="9" t="n">
        <v>2392.05</v>
      </c>
      <c r="Q2783" s="9" t="n">
        <v>2157.27</v>
      </c>
      <c r="R2783" s="9" t="n">
        <v>2701.52</v>
      </c>
      <c r="S2783" s="9" t="n">
        <v>2250.84</v>
      </c>
      <c r="T2783" s="9" t="n">
        <v>2448.7</v>
      </c>
      <c r="U2783" s="10">
        <f>SUM(I2783:T2783)</f>
        <v/>
      </c>
    </row>
    <row r="2784">
      <c r="A2784" s="2" t="inlineStr">
        <is>
          <t>SN-3000-3800-3840-3840TA0034</t>
        </is>
      </c>
      <c r="B2784" s="2" t="inlineStr">
        <is>
          <t>3840TA0034</t>
        </is>
      </c>
      <c r="C2784" s="2" t="inlineStr">
        <is>
          <t>Estanque preparación sulfato de cobre</t>
        </is>
      </c>
      <c r="D2784" s="2" t="n">
        <v>928</v>
      </c>
      <c r="E2784" s="2" t="inlineStr">
        <is>
          <t>CC-3000</t>
        </is>
      </c>
      <c r="F2784" s="2" t="inlineStr">
        <is>
          <t>P01</t>
        </is>
      </c>
      <c r="G2784" s="2" t="n">
        <v>620000</v>
      </c>
      <c r="H2784" s="2" t="inlineStr">
        <is>
          <t>Materiales</t>
        </is>
      </c>
      <c r="I2784" s="9" t="n">
        <v>2810.24</v>
      </c>
      <c r="J2784" s="9" t="n">
        <v>2711.07</v>
      </c>
      <c r="K2784" s="9" t="n">
        <v>2885.93</v>
      </c>
      <c r="L2784" s="9" t="n">
        <v>3015.82</v>
      </c>
      <c r="M2784" s="9" t="n">
        <v>2781.14</v>
      </c>
      <c r="N2784" s="9" t="n">
        <v>2799.33</v>
      </c>
      <c r="O2784" s="9" t="n">
        <v>2835.02</v>
      </c>
      <c r="P2784" s="9" t="n">
        <v>2927.19</v>
      </c>
      <c r="Q2784" s="9" t="n">
        <v>2627.25</v>
      </c>
      <c r="R2784" s="9" t="n">
        <v>3398.35</v>
      </c>
      <c r="S2784" s="9" t="n">
        <v>2829.7</v>
      </c>
      <c r="T2784" s="9" t="n">
        <v>3085.69</v>
      </c>
      <c r="U2784" s="10">
        <f>SUM(I2784:T2784)</f>
        <v/>
      </c>
    </row>
    <row r="2785">
      <c r="A2785" s="2" t="inlineStr">
        <is>
          <t>SN-3000-3800-3840-3840TA0034</t>
        </is>
      </c>
      <c r="B2785" s="2" t="inlineStr">
        <is>
          <t>3840TA0034</t>
        </is>
      </c>
      <c r="C2785" s="2" t="inlineStr">
        <is>
          <t>Estanque preparación sulfato de cobre</t>
        </is>
      </c>
      <c r="D2785" s="2" t="n">
        <v>928</v>
      </c>
      <c r="E2785" s="2" t="inlineStr">
        <is>
          <t>CC-3000</t>
        </is>
      </c>
      <c r="F2785" s="2" t="inlineStr">
        <is>
          <t>P01</t>
        </is>
      </c>
      <c r="G2785" s="2" t="n">
        <v>630000</v>
      </c>
      <c r="H2785" s="2" t="inlineStr">
        <is>
          <t>Servicios externos</t>
        </is>
      </c>
      <c r="I2785" s="9" t="n">
        <v>2904.92</v>
      </c>
      <c r="J2785" s="9" t="n">
        <v>2689.48</v>
      </c>
      <c r="K2785" s="9" t="n">
        <v>2945.12</v>
      </c>
      <c r="L2785" s="9" t="n">
        <v>2997.07</v>
      </c>
      <c r="M2785" s="9" t="n">
        <v>2802.34</v>
      </c>
      <c r="N2785" s="9" t="n">
        <v>2542.44</v>
      </c>
      <c r="O2785" s="9" t="n">
        <v>2631.3</v>
      </c>
      <c r="P2785" s="9" t="n">
        <v>2769.35</v>
      </c>
      <c r="Q2785" s="9" t="n">
        <v>2504.44</v>
      </c>
      <c r="R2785" s="9" t="n">
        <v>3273.15</v>
      </c>
      <c r="S2785" s="9" t="n">
        <v>2615.79</v>
      </c>
      <c r="T2785" s="9" t="n">
        <v>2843.3</v>
      </c>
      <c r="U2785" s="10">
        <f>SUM(I2785:T2785)</f>
        <v/>
      </c>
    </row>
    <row r="2786">
      <c r="A2786" s="2" t="inlineStr">
        <is>
          <t>SN-3000-3800-3840-3840TK0035</t>
        </is>
      </c>
      <c r="B2786" s="2" t="inlineStr">
        <is>
          <t>3840TK0035</t>
        </is>
      </c>
      <c r="C2786" s="2" t="inlineStr">
        <is>
          <t>Estanque distribución SMBS</t>
        </is>
      </c>
      <c r="D2786" s="2" t="n">
        <v>929</v>
      </c>
      <c r="E2786" s="2" t="inlineStr">
        <is>
          <t>CC-3000</t>
        </is>
      </c>
      <c r="F2786" s="2" t="inlineStr">
        <is>
          <t>P01</t>
        </is>
      </c>
      <c r="G2786" s="2" t="n">
        <v>610000</v>
      </c>
      <c r="H2786" s="2" t="inlineStr">
        <is>
          <t>Mano obra interna</t>
        </is>
      </c>
      <c r="I2786" s="9" t="n">
        <v>1453.88</v>
      </c>
      <c r="J2786" s="9" t="n">
        <v>1330.48</v>
      </c>
      <c r="K2786" s="9" t="n">
        <v>1327.31</v>
      </c>
      <c r="L2786" s="9" t="n">
        <v>1334.86</v>
      </c>
      <c r="M2786" s="9" t="n">
        <v>1324.35</v>
      </c>
      <c r="N2786" s="9" t="n">
        <v>1268.12</v>
      </c>
      <c r="O2786" s="9" t="n">
        <v>1323.54</v>
      </c>
      <c r="P2786" s="9" t="n">
        <v>1274.95</v>
      </c>
      <c r="Q2786" s="9" t="n">
        <v>1345.51</v>
      </c>
      <c r="R2786" s="9" t="n">
        <v>1352.09</v>
      </c>
      <c r="S2786" s="9" t="n">
        <v>1299.87</v>
      </c>
      <c r="T2786" s="9" t="n">
        <v>1481.63</v>
      </c>
      <c r="U2786" s="10">
        <f>SUM(I2786:T2786)</f>
        <v/>
      </c>
    </row>
    <row r="2787">
      <c r="A2787" s="2" t="inlineStr">
        <is>
          <t>SN-3000-3800-3840-3840TK0035</t>
        </is>
      </c>
      <c r="B2787" s="2" t="inlineStr">
        <is>
          <t>3840TK0035</t>
        </is>
      </c>
      <c r="C2787" s="2" t="inlineStr">
        <is>
          <t>Estanque distribución SMBS</t>
        </is>
      </c>
      <c r="D2787" s="2" t="n">
        <v>929</v>
      </c>
      <c r="E2787" s="2" t="inlineStr">
        <is>
          <t>CC-3000</t>
        </is>
      </c>
      <c r="F2787" s="2" t="inlineStr">
        <is>
          <t>P01</t>
        </is>
      </c>
      <c r="G2787" s="2" t="n">
        <v>620000</v>
      </c>
      <c r="H2787" s="2" t="inlineStr">
        <is>
          <t>Materiales</t>
        </is>
      </c>
      <c r="I2787" s="9" t="n">
        <v>1269.36</v>
      </c>
      <c r="J2787" s="9" t="n">
        <v>1182.63</v>
      </c>
      <c r="K2787" s="9" t="n">
        <v>1410.63</v>
      </c>
      <c r="L2787" s="9" t="n">
        <v>1199.78</v>
      </c>
      <c r="M2787" s="9" t="n">
        <v>1296.28</v>
      </c>
      <c r="N2787" s="9" t="n">
        <v>1290.98</v>
      </c>
      <c r="O2787" s="9" t="n">
        <v>1176.71</v>
      </c>
      <c r="P2787" s="9" t="n">
        <v>1317.76</v>
      </c>
      <c r="Q2787" s="9" t="n">
        <v>1279.47</v>
      </c>
      <c r="R2787" s="9" t="n">
        <v>1403.38</v>
      </c>
      <c r="S2787" s="9" t="n">
        <v>1215.41</v>
      </c>
      <c r="T2787" s="9" t="n">
        <v>1369.17</v>
      </c>
      <c r="U2787" s="10">
        <f>SUM(I2787:T2787)</f>
        <v/>
      </c>
    </row>
    <row r="2788">
      <c r="A2788" s="2" t="inlineStr">
        <is>
          <t>SN-3000-3800-3840-3840TK0035</t>
        </is>
      </c>
      <c r="B2788" s="2" t="inlineStr">
        <is>
          <t>3840TK0035</t>
        </is>
      </c>
      <c r="C2788" s="2" t="inlineStr">
        <is>
          <t>Estanque distribución SMBS</t>
        </is>
      </c>
      <c r="D2788" s="2" t="n">
        <v>929</v>
      </c>
      <c r="E2788" s="2" t="inlineStr">
        <is>
          <t>CC-3000</t>
        </is>
      </c>
      <c r="F2788" s="2" t="inlineStr">
        <is>
          <t>P01</t>
        </is>
      </c>
      <c r="G2788" s="2" t="n">
        <v>630000</v>
      </c>
      <c r="H2788" s="2" t="inlineStr">
        <is>
          <t>Servicios externos</t>
        </is>
      </c>
      <c r="I2788" s="9" t="n">
        <v>1347.4</v>
      </c>
      <c r="J2788" s="9" t="n">
        <v>1267.57</v>
      </c>
      <c r="K2788" s="9" t="n">
        <v>1212.66</v>
      </c>
      <c r="L2788" s="9" t="n">
        <v>1237.67</v>
      </c>
      <c r="M2788" s="9" t="n">
        <v>1171.44</v>
      </c>
      <c r="N2788" s="9" t="n">
        <v>1137.11</v>
      </c>
      <c r="O2788" s="9" t="n">
        <v>1171.35</v>
      </c>
      <c r="P2788" s="9" t="n">
        <v>1252.28</v>
      </c>
      <c r="Q2788" s="9" t="n">
        <v>1120.75</v>
      </c>
      <c r="R2788" s="9" t="n">
        <v>1446.67</v>
      </c>
      <c r="S2788" s="9" t="n">
        <v>1277.85</v>
      </c>
      <c r="T2788" s="9" t="n">
        <v>1303.16</v>
      </c>
      <c r="U2788" s="10">
        <f>SUM(I2788:T2788)</f>
        <v/>
      </c>
    </row>
    <row r="2789">
      <c r="A2789" s="2" t="inlineStr">
        <is>
          <t>SN-3000-3800-3840-3840TK0036</t>
        </is>
      </c>
      <c r="B2789" s="2" t="inlineStr">
        <is>
          <t>3840TK0036</t>
        </is>
      </c>
      <c r="C2789" s="2" t="inlineStr">
        <is>
          <t>Estanque distribución sulfato de cobre</t>
        </is>
      </c>
      <c r="D2789" s="2" t="n">
        <v>930</v>
      </c>
      <c r="E2789" s="2" t="inlineStr">
        <is>
          <t>CC-3000</t>
        </is>
      </c>
      <c r="F2789" s="2" t="inlineStr">
        <is>
          <t>P01</t>
        </is>
      </c>
      <c r="G2789" s="2" t="n">
        <v>610000</v>
      </c>
      <c r="H2789" s="2" t="inlineStr">
        <is>
          <t>Mano obra interna</t>
        </is>
      </c>
      <c r="I2789" s="9" t="n">
        <v>2464.96</v>
      </c>
      <c r="J2789" s="9" t="n">
        <v>2464.81</v>
      </c>
      <c r="K2789" s="9" t="n">
        <v>2650.86</v>
      </c>
      <c r="L2789" s="9" t="n">
        <v>2684.14</v>
      </c>
      <c r="M2789" s="9" t="n">
        <v>2320.34</v>
      </c>
      <c r="N2789" s="9" t="n">
        <v>2482.51</v>
      </c>
      <c r="O2789" s="9" t="n">
        <v>2611.54</v>
      </c>
      <c r="P2789" s="9" t="n">
        <v>2534.59</v>
      </c>
      <c r="Q2789" s="9" t="n">
        <v>2232.17</v>
      </c>
      <c r="R2789" s="9" t="n">
        <v>2726.83</v>
      </c>
      <c r="S2789" s="9" t="n">
        <v>2433.58</v>
      </c>
      <c r="T2789" s="9" t="n">
        <v>2540.17</v>
      </c>
      <c r="U2789" s="10">
        <f>SUM(I2789:T2789)</f>
        <v/>
      </c>
    </row>
    <row r="2790">
      <c r="A2790" s="2" t="inlineStr">
        <is>
          <t>SN-3000-3800-3840-3840TK0036</t>
        </is>
      </c>
      <c r="B2790" s="2" t="inlineStr">
        <is>
          <t>3840TK0036</t>
        </is>
      </c>
      <c r="C2790" s="2" t="inlineStr">
        <is>
          <t>Estanque distribución sulfato de cobre</t>
        </is>
      </c>
      <c r="D2790" s="2" t="n">
        <v>930</v>
      </c>
      <c r="E2790" s="2" t="inlineStr">
        <is>
          <t>CC-3000</t>
        </is>
      </c>
      <c r="F2790" s="2" t="inlineStr">
        <is>
          <t>P01</t>
        </is>
      </c>
      <c r="G2790" s="2" t="n">
        <v>620000</v>
      </c>
      <c r="H2790" s="2" t="inlineStr">
        <is>
          <t>Materiales</t>
        </is>
      </c>
      <c r="I2790" s="9" t="n">
        <v>2366.85</v>
      </c>
      <c r="J2790" s="9" t="n">
        <v>2311.49</v>
      </c>
      <c r="K2790" s="9" t="n">
        <v>2386.37</v>
      </c>
      <c r="L2790" s="9" t="n">
        <v>2422.86</v>
      </c>
      <c r="M2790" s="9" t="n">
        <v>2354.3</v>
      </c>
      <c r="N2790" s="9" t="n">
        <v>2267.44</v>
      </c>
      <c r="O2790" s="9" t="n">
        <v>2359.19</v>
      </c>
      <c r="P2790" s="9" t="n">
        <v>2563.69</v>
      </c>
      <c r="Q2790" s="9" t="n">
        <v>2418.88</v>
      </c>
      <c r="R2790" s="9" t="n">
        <v>2592.62</v>
      </c>
      <c r="S2790" s="9" t="n">
        <v>2318.89</v>
      </c>
      <c r="T2790" s="9" t="n">
        <v>2647.3</v>
      </c>
      <c r="U2790" s="10">
        <f>SUM(I2790:T2790)</f>
        <v/>
      </c>
    </row>
    <row r="2791">
      <c r="A2791" s="2" t="inlineStr">
        <is>
          <t>SN-3000-3800-3840-3840TK0036</t>
        </is>
      </c>
      <c r="B2791" s="2" t="inlineStr">
        <is>
          <t>3840TK0036</t>
        </is>
      </c>
      <c r="C2791" s="2" t="inlineStr">
        <is>
          <t>Estanque distribución sulfato de cobre</t>
        </is>
      </c>
      <c r="D2791" s="2" t="n">
        <v>930</v>
      </c>
      <c r="E2791" s="2" t="inlineStr">
        <is>
          <t>CC-3000</t>
        </is>
      </c>
      <c r="F2791" s="2" t="inlineStr">
        <is>
          <t>P01</t>
        </is>
      </c>
      <c r="G2791" s="2" t="n">
        <v>630000</v>
      </c>
      <c r="H2791" s="2" t="inlineStr">
        <is>
          <t>Servicios externos</t>
        </is>
      </c>
      <c r="I2791" s="9" t="n">
        <v>2495.25</v>
      </c>
      <c r="J2791" s="9" t="n">
        <v>2574.65</v>
      </c>
      <c r="K2791" s="9" t="n">
        <v>2542.98</v>
      </c>
      <c r="L2791" s="9" t="n">
        <v>2619.34</v>
      </c>
      <c r="M2791" s="9" t="n">
        <v>2698.88</v>
      </c>
      <c r="N2791" s="9" t="n">
        <v>2340.06</v>
      </c>
      <c r="O2791" s="9" t="n">
        <v>2703.19</v>
      </c>
      <c r="P2791" s="9" t="n">
        <v>2453.47</v>
      </c>
      <c r="Q2791" s="9" t="n">
        <v>2368.27</v>
      </c>
      <c r="R2791" s="9" t="n">
        <v>2708.63</v>
      </c>
      <c r="S2791" s="9" t="n">
        <v>2557.98</v>
      </c>
      <c r="T2791" s="9" t="n">
        <v>2385.22</v>
      </c>
      <c r="U2791" s="10">
        <f>SUM(I2791:T2791)</f>
        <v/>
      </c>
    </row>
    <row r="2792">
      <c r="A2792" s="2" t="inlineStr">
        <is>
          <t>SN-3000-3900-3910-3910BX0027</t>
        </is>
      </c>
      <c r="B2792" s="2" t="inlineStr">
        <is>
          <t>3910BX0027</t>
        </is>
      </c>
      <c r="C2792" s="2" t="inlineStr">
        <is>
          <t>Cajón residuos de laboratorio</t>
        </is>
      </c>
      <c r="D2792" s="2" t="n">
        <v>931</v>
      </c>
      <c r="E2792" s="2" t="inlineStr">
        <is>
          <t>CC-3000</t>
        </is>
      </c>
      <c r="F2792" s="2" t="inlineStr">
        <is>
          <t>P01</t>
        </is>
      </c>
      <c r="G2792" s="2" t="n">
        <v>610000</v>
      </c>
      <c r="H2792" s="2" t="inlineStr">
        <is>
          <t>Mano obra interna</t>
        </is>
      </c>
      <c r="I2792" s="9" t="n">
        <v>2211.9</v>
      </c>
      <c r="J2792" s="9" t="n">
        <v>2039.36</v>
      </c>
      <c r="K2792" s="9" t="n">
        <v>2010.28</v>
      </c>
      <c r="L2792" s="9" t="n">
        <v>2039.03</v>
      </c>
      <c r="M2792" s="9" t="n">
        <v>2117.64</v>
      </c>
      <c r="N2792" s="9" t="n">
        <v>2114.42</v>
      </c>
      <c r="O2792" s="9" t="n">
        <v>2054.82</v>
      </c>
      <c r="P2792" s="9" t="n">
        <v>2098.52</v>
      </c>
      <c r="Q2792" s="9" t="n">
        <v>1852.06</v>
      </c>
      <c r="R2792" s="9" t="n">
        <v>2211.6</v>
      </c>
      <c r="S2792" s="9" t="n">
        <v>1960.97</v>
      </c>
      <c r="T2792" s="9" t="n">
        <v>2163.39</v>
      </c>
      <c r="U2792" s="10">
        <f>SUM(I2792:T2792)</f>
        <v/>
      </c>
    </row>
    <row r="2793">
      <c r="A2793" s="2" t="inlineStr">
        <is>
          <t>SN-3000-3900-3910-3910BX0027</t>
        </is>
      </c>
      <c r="B2793" s="2" t="inlineStr">
        <is>
          <t>3910BX0027</t>
        </is>
      </c>
      <c r="C2793" s="2" t="inlineStr">
        <is>
          <t>Cajón residuos de laboratorio</t>
        </is>
      </c>
      <c r="D2793" s="2" t="n">
        <v>931</v>
      </c>
      <c r="E2793" s="2" t="inlineStr">
        <is>
          <t>CC-3000</t>
        </is>
      </c>
      <c r="F2793" s="2" t="inlineStr">
        <is>
          <t>P01</t>
        </is>
      </c>
      <c r="G2793" s="2" t="n">
        <v>620000</v>
      </c>
      <c r="H2793" s="2" t="inlineStr">
        <is>
          <t>Materiales</t>
        </is>
      </c>
      <c r="I2793" s="9" t="n">
        <v>2407.36</v>
      </c>
      <c r="J2793" s="9" t="n">
        <v>2102.7</v>
      </c>
      <c r="K2793" s="9" t="n">
        <v>2345.48</v>
      </c>
      <c r="L2793" s="9" t="n">
        <v>2135.91</v>
      </c>
      <c r="M2793" s="9" t="n">
        <v>2132.41</v>
      </c>
      <c r="N2793" s="9" t="n">
        <v>2034.38</v>
      </c>
      <c r="O2793" s="9" t="n">
        <v>2187.53</v>
      </c>
      <c r="P2793" s="9" t="n">
        <v>2308.15</v>
      </c>
      <c r="Q2793" s="9" t="n">
        <v>2090.2</v>
      </c>
      <c r="R2793" s="9" t="n">
        <v>2589.49</v>
      </c>
      <c r="S2793" s="9" t="n">
        <v>2074</v>
      </c>
      <c r="T2793" s="9" t="n">
        <v>2229.46</v>
      </c>
      <c r="U2793" s="10">
        <f>SUM(I2793:T2793)</f>
        <v/>
      </c>
    </row>
    <row r="2794">
      <c r="A2794" s="2" t="inlineStr">
        <is>
          <t>SN-3000-3900-3910-3910BX0027</t>
        </is>
      </c>
      <c r="B2794" s="2" t="inlineStr">
        <is>
          <t>3910BX0027</t>
        </is>
      </c>
      <c r="C2794" s="2" t="inlineStr">
        <is>
          <t>Cajón residuos de laboratorio</t>
        </is>
      </c>
      <c r="D2794" s="2" t="n">
        <v>931</v>
      </c>
      <c r="E2794" s="2" t="inlineStr">
        <is>
          <t>CC-3000</t>
        </is>
      </c>
      <c r="F2794" s="2" t="inlineStr">
        <is>
          <t>P01</t>
        </is>
      </c>
      <c r="G2794" s="2" t="n">
        <v>630000</v>
      </c>
      <c r="H2794" s="2" t="inlineStr">
        <is>
          <t>Servicios externos</t>
        </is>
      </c>
      <c r="I2794" s="9" t="n">
        <v>1801.8</v>
      </c>
      <c r="J2794" s="9" t="n">
        <v>1958.17</v>
      </c>
      <c r="K2794" s="9" t="n">
        <v>1866.87</v>
      </c>
      <c r="L2794" s="9" t="n">
        <v>2016.24</v>
      </c>
      <c r="M2794" s="9" t="n">
        <v>1791.84</v>
      </c>
      <c r="N2794" s="9" t="n">
        <v>1678.49</v>
      </c>
      <c r="O2794" s="9" t="n">
        <v>1731.37</v>
      </c>
      <c r="P2794" s="9" t="n">
        <v>1946.25</v>
      </c>
      <c r="Q2794" s="9" t="n">
        <v>1587.05</v>
      </c>
      <c r="R2794" s="9" t="n">
        <v>2135.06</v>
      </c>
      <c r="S2794" s="9" t="n">
        <v>1760.66</v>
      </c>
      <c r="T2794" s="9" t="n">
        <v>1794.63</v>
      </c>
      <c r="U2794" s="10">
        <f>SUM(I2794:T2794)</f>
        <v/>
      </c>
    </row>
    <row r="2795">
      <c r="A2795" s="2" t="inlineStr">
        <is>
          <t>SN-3000-3900-3910-3910HT0031</t>
        </is>
      </c>
      <c r="B2795" s="2" t="inlineStr">
        <is>
          <t>3910HT0031</t>
        </is>
      </c>
      <c r="C2795" s="2" t="inlineStr">
        <is>
          <t>Tecle manual bomba</t>
        </is>
      </c>
      <c r="D2795" s="2" t="n">
        <v>932</v>
      </c>
      <c r="E2795" s="2" t="inlineStr">
        <is>
          <t>CC-3000</t>
        </is>
      </c>
      <c r="F2795" s="2" t="inlineStr">
        <is>
          <t>P01</t>
        </is>
      </c>
      <c r="G2795" s="2" t="n">
        <v>610000</v>
      </c>
      <c r="H2795" s="2" t="inlineStr">
        <is>
          <t>Mano obra interna</t>
        </is>
      </c>
      <c r="I2795" s="9" t="n">
        <v>2343.11</v>
      </c>
      <c r="J2795" s="9" t="n">
        <v>2237.16</v>
      </c>
      <c r="K2795" s="9" t="n">
        <v>2647.58</v>
      </c>
      <c r="L2795" s="9" t="n">
        <v>2462.21</v>
      </c>
      <c r="M2795" s="9" t="n">
        <v>2420.32</v>
      </c>
      <c r="N2795" s="9" t="n">
        <v>2210.76</v>
      </c>
      <c r="O2795" s="9" t="n">
        <v>2268.4</v>
      </c>
      <c r="P2795" s="9" t="n">
        <v>2385.12</v>
      </c>
      <c r="Q2795" s="9" t="n">
        <v>2272.17</v>
      </c>
      <c r="R2795" s="9" t="n">
        <v>2741.41</v>
      </c>
      <c r="S2795" s="9" t="n">
        <v>2361.01</v>
      </c>
      <c r="T2795" s="9" t="n">
        <v>2586.55</v>
      </c>
      <c r="U2795" s="10">
        <f>SUM(I2795:T2795)</f>
        <v/>
      </c>
    </row>
    <row r="2796">
      <c r="A2796" s="2" t="inlineStr">
        <is>
          <t>SN-3000-3900-3910-3910HT0031</t>
        </is>
      </c>
      <c r="B2796" s="2" t="inlineStr">
        <is>
          <t>3910HT0031</t>
        </is>
      </c>
      <c r="C2796" s="2" t="inlineStr">
        <is>
          <t>Tecle manual bomba</t>
        </is>
      </c>
      <c r="D2796" s="2" t="n">
        <v>932</v>
      </c>
      <c r="E2796" s="2" t="inlineStr">
        <is>
          <t>CC-3000</t>
        </is>
      </c>
      <c r="F2796" s="2" t="inlineStr">
        <is>
          <t>P01</t>
        </is>
      </c>
      <c r="G2796" s="2" t="n">
        <v>620000</v>
      </c>
      <c r="H2796" s="2" t="inlineStr">
        <is>
          <t>Materiales</t>
        </is>
      </c>
      <c r="I2796" s="9" t="n">
        <v>1905.75</v>
      </c>
      <c r="J2796" s="9" t="n">
        <v>1868.57</v>
      </c>
      <c r="K2796" s="9" t="n">
        <v>2160.44</v>
      </c>
      <c r="L2796" s="9" t="n">
        <v>2136.19</v>
      </c>
      <c r="M2796" s="9" t="n">
        <v>1872.12</v>
      </c>
      <c r="N2796" s="9" t="n">
        <v>1774.69</v>
      </c>
      <c r="O2796" s="9" t="n">
        <v>2067.27</v>
      </c>
      <c r="P2796" s="9" t="n">
        <v>2119.33</v>
      </c>
      <c r="Q2796" s="9" t="n">
        <v>1944.07</v>
      </c>
      <c r="R2796" s="9" t="n">
        <v>2061.31</v>
      </c>
      <c r="S2796" s="9" t="n">
        <v>1968.79</v>
      </c>
      <c r="T2796" s="9" t="n">
        <v>2120.5</v>
      </c>
      <c r="U2796" s="10">
        <f>SUM(I2796:T2796)</f>
        <v/>
      </c>
    </row>
    <row r="2797">
      <c r="A2797" s="2" t="inlineStr">
        <is>
          <t>SN-3000-3900-3910-3910HT0031</t>
        </is>
      </c>
      <c r="B2797" s="2" t="inlineStr">
        <is>
          <t>3910HT0031</t>
        </is>
      </c>
      <c r="C2797" s="2" t="inlineStr">
        <is>
          <t>Tecle manual bomba</t>
        </is>
      </c>
      <c r="D2797" s="2" t="n">
        <v>932</v>
      </c>
      <c r="E2797" s="2" t="inlineStr">
        <is>
          <t>CC-3000</t>
        </is>
      </c>
      <c r="F2797" s="2" t="inlineStr">
        <is>
          <t>P01</t>
        </is>
      </c>
      <c r="G2797" s="2" t="n">
        <v>630000</v>
      </c>
      <c r="H2797" s="2" t="inlineStr">
        <is>
          <t>Servicios externos</t>
        </is>
      </c>
      <c r="I2797" s="9" t="n">
        <v>2160.53</v>
      </c>
      <c r="J2797" s="9" t="n">
        <v>2013.56</v>
      </c>
      <c r="K2797" s="9" t="n">
        <v>2078.3</v>
      </c>
      <c r="L2797" s="9" t="n">
        <v>2315.33</v>
      </c>
      <c r="M2797" s="9" t="n">
        <v>2222.93</v>
      </c>
      <c r="N2797" s="9" t="n">
        <v>1996.99</v>
      </c>
      <c r="O2797" s="9" t="n">
        <v>1985.52</v>
      </c>
      <c r="P2797" s="9" t="n">
        <v>2182.27</v>
      </c>
      <c r="Q2797" s="9" t="n">
        <v>1884.76</v>
      </c>
      <c r="R2797" s="9" t="n">
        <v>2151.8</v>
      </c>
      <c r="S2797" s="9" t="n">
        <v>2001.11</v>
      </c>
      <c r="T2797" s="9" t="n">
        <v>2148.57</v>
      </c>
      <c r="U2797" s="10">
        <f>SUM(I2797:T2797)</f>
        <v/>
      </c>
    </row>
    <row r="2798">
      <c r="A2798" s="2" t="inlineStr">
        <is>
          <t>SN-3000-3900-3910-3910HT0034</t>
        </is>
      </c>
      <c r="B2798" s="2" t="inlineStr">
        <is>
          <t>3910HT0034</t>
        </is>
      </c>
      <c r="C2798" s="2" t="inlineStr">
        <is>
          <t>Tecle manual bomba</t>
        </is>
      </c>
      <c r="D2798" s="2" t="n">
        <v>933</v>
      </c>
      <c r="E2798" s="2" t="inlineStr">
        <is>
          <t>CC-3000</t>
        </is>
      </c>
      <c r="F2798" s="2" t="inlineStr">
        <is>
          <t>P01</t>
        </is>
      </c>
      <c r="G2798" s="2" t="n">
        <v>610000</v>
      </c>
      <c r="H2798" s="2" t="inlineStr">
        <is>
          <t>Mano obra interna</t>
        </is>
      </c>
      <c r="I2798" s="9" t="n">
        <v>1257.09</v>
      </c>
      <c r="J2798" s="9" t="n">
        <v>1106.03</v>
      </c>
      <c r="K2798" s="9" t="n">
        <v>1334.71</v>
      </c>
      <c r="L2798" s="9" t="n">
        <v>1328.05</v>
      </c>
      <c r="M2798" s="9" t="n">
        <v>1249.78</v>
      </c>
      <c r="N2798" s="9" t="n">
        <v>1157.73</v>
      </c>
      <c r="O2798" s="9" t="n">
        <v>1170.23</v>
      </c>
      <c r="P2798" s="9" t="n">
        <v>1264.05</v>
      </c>
      <c r="Q2798" s="9" t="n">
        <v>1211.59</v>
      </c>
      <c r="R2798" s="9" t="n">
        <v>1241.19</v>
      </c>
      <c r="S2798" s="9" t="n">
        <v>1172.12</v>
      </c>
      <c r="T2798" s="9" t="n">
        <v>1199</v>
      </c>
      <c r="U2798" s="10">
        <f>SUM(I2798:T2798)</f>
        <v/>
      </c>
    </row>
    <row r="2799">
      <c r="A2799" s="2" t="inlineStr">
        <is>
          <t>SN-3000-3900-3910-3910HT0034</t>
        </is>
      </c>
      <c r="B2799" s="2" t="inlineStr">
        <is>
          <t>3910HT0034</t>
        </is>
      </c>
      <c r="C2799" s="2" t="inlineStr">
        <is>
          <t>Tecle manual bomba</t>
        </is>
      </c>
      <c r="D2799" s="2" t="n">
        <v>933</v>
      </c>
      <c r="E2799" s="2" t="inlineStr">
        <is>
          <t>CC-3000</t>
        </is>
      </c>
      <c r="F2799" s="2" t="inlineStr">
        <is>
          <t>P01</t>
        </is>
      </c>
      <c r="G2799" s="2" t="n">
        <v>620000</v>
      </c>
      <c r="H2799" s="2" t="inlineStr">
        <is>
          <t>Materiales</t>
        </is>
      </c>
      <c r="I2799" s="9" t="n">
        <v>1289.46</v>
      </c>
      <c r="J2799" s="9" t="n">
        <v>1354.35</v>
      </c>
      <c r="K2799" s="9" t="n">
        <v>1271.96</v>
      </c>
      <c r="L2799" s="9" t="n">
        <v>1309.21</v>
      </c>
      <c r="M2799" s="9" t="n">
        <v>1360.89</v>
      </c>
      <c r="N2799" s="9" t="n">
        <v>1221.43</v>
      </c>
      <c r="O2799" s="9" t="n">
        <v>1357.69</v>
      </c>
      <c r="P2799" s="9" t="n">
        <v>1191.04</v>
      </c>
      <c r="Q2799" s="9" t="n">
        <v>1280.35</v>
      </c>
      <c r="R2799" s="9" t="n">
        <v>1313.9</v>
      </c>
      <c r="S2799" s="9" t="n">
        <v>1336.85</v>
      </c>
      <c r="T2799" s="9" t="n">
        <v>1233.95</v>
      </c>
      <c r="U2799" s="10">
        <f>SUM(I2799:T2799)</f>
        <v/>
      </c>
    </row>
    <row r="2800">
      <c r="A2800" s="2" t="inlineStr">
        <is>
          <t>SN-3000-3900-3910-3910HT0034</t>
        </is>
      </c>
      <c r="B2800" s="2" t="inlineStr">
        <is>
          <t>3910HT0034</t>
        </is>
      </c>
      <c r="C2800" s="2" t="inlineStr">
        <is>
          <t>Tecle manual bomba</t>
        </is>
      </c>
      <c r="D2800" s="2" t="n">
        <v>933</v>
      </c>
      <c r="E2800" s="2" t="inlineStr">
        <is>
          <t>CC-3000</t>
        </is>
      </c>
      <c r="F2800" s="2" t="inlineStr">
        <is>
          <t>P01</t>
        </is>
      </c>
      <c r="G2800" s="2" t="n">
        <v>630000</v>
      </c>
      <c r="H2800" s="2" t="inlineStr">
        <is>
          <t>Servicios externos</t>
        </is>
      </c>
      <c r="I2800" s="9" t="n">
        <v>1314.63</v>
      </c>
      <c r="J2800" s="9" t="n">
        <v>1294.37</v>
      </c>
      <c r="K2800" s="9" t="n">
        <v>1315.79</v>
      </c>
      <c r="L2800" s="9" t="n">
        <v>1458.83</v>
      </c>
      <c r="M2800" s="9" t="n">
        <v>1273.85</v>
      </c>
      <c r="N2800" s="9" t="n">
        <v>1301.25</v>
      </c>
      <c r="O2800" s="9" t="n">
        <v>1251.97</v>
      </c>
      <c r="P2800" s="9" t="n">
        <v>1396.37</v>
      </c>
      <c r="Q2800" s="9" t="n">
        <v>1245.04</v>
      </c>
      <c r="R2800" s="9" t="n">
        <v>1542.55</v>
      </c>
      <c r="S2800" s="9" t="n">
        <v>1270.27</v>
      </c>
      <c r="T2800" s="9" t="n">
        <v>1282.49</v>
      </c>
      <c r="U2800" s="10">
        <f>SUM(I2800:T2800)</f>
        <v/>
      </c>
    </row>
    <row r="2801">
      <c r="A2801" s="2" t="inlineStr">
        <is>
          <t>SN-3000-3900-3910-3910NP0001</t>
        </is>
      </c>
      <c r="B2801" s="2" t="inlineStr">
        <is>
          <t>3910NP0001</t>
        </is>
      </c>
      <c r="C2801" s="2" t="inlineStr">
        <is>
          <t>Piscina WSF Norte</t>
        </is>
      </c>
      <c r="D2801" s="2" t="n">
        <v>934</v>
      </c>
      <c r="E2801" s="2" t="inlineStr">
        <is>
          <t>CC-3000</t>
        </is>
      </c>
      <c r="F2801" s="2" t="inlineStr">
        <is>
          <t>P01</t>
        </is>
      </c>
      <c r="G2801" s="2" t="n">
        <v>610000</v>
      </c>
      <c r="H2801" s="2" t="inlineStr">
        <is>
          <t>Mano obra interna</t>
        </is>
      </c>
      <c r="I2801" s="9" t="n">
        <v>2166.87</v>
      </c>
      <c r="J2801" s="9" t="n">
        <v>2065.39</v>
      </c>
      <c r="K2801" s="9" t="n">
        <v>2203.75</v>
      </c>
      <c r="L2801" s="9" t="n">
        <v>1947.52</v>
      </c>
      <c r="M2801" s="9" t="n">
        <v>2049.95</v>
      </c>
      <c r="N2801" s="9" t="n">
        <v>2090.43</v>
      </c>
      <c r="O2801" s="9" t="n">
        <v>1917.65</v>
      </c>
      <c r="P2801" s="9" t="n">
        <v>1910.91</v>
      </c>
      <c r="Q2801" s="9" t="n">
        <v>1969.69</v>
      </c>
      <c r="R2801" s="9" t="n">
        <v>2140.25</v>
      </c>
      <c r="S2801" s="9" t="n">
        <v>2030</v>
      </c>
      <c r="T2801" s="9" t="n">
        <v>2090.52</v>
      </c>
      <c r="U2801" s="10">
        <f>SUM(I2801:T2801)</f>
        <v/>
      </c>
    </row>
    <row r="2802">
      <c r="A2802" s="2" t="inlineStr">
        <is>
          <t>SN-3000-3900-3910-3910NP0001</t>
        </is>
      </c>
      <c r="B2802" s="2" t="inlineStr">
        <is>
          <t>3910NP0001</t>
        </is>
      </c>
      <c r="C2802" s="2" t="inlineStr">
        <is>
          <t>Piscina WSF Norte</t>
        </is>
      </c>
      <c r="D2802" s="2" t="n">
        <v>934</v>
      </c>
      <c r="E2802" s="2" t="inlineStr">
        <is>
          <t>CC-3000</t>
        </is>
      </c>
      <c r="F2802" s="2" t="inlineStr">
        <is>
          <t>P01</t>
        </is>
      </c>
      <c r="G2802" s="2" t="n">
        <v>620000</v>
      </c>
      <c r="H2802" s="2" t="inlineStr">
        <is>
          <t>Materiales</t>
        </is>
      </c>
      <c r="I2802" s="9" t="n">
        <v>2584.25</v>
      </c>
      <c r="J2802" s="9" t="n">
        <v>2413.92</v>
      </c>
      <c r="K2802" s="9" t="n">
        <v>2364.79</v>
      </c>
      <c r="L2802" s="9" t="n">
        <v>2342.89</v>
      </c>
      <c r="M2802" s="9" t="n">
        <v>2502.73</v>
      </c>
      <c r="N2802" s="9" t="n">
        <v>2309.55</v>
      </c>
      <c r="O2802" s="9" t="n">
        <v>2494.57</v>
      </c>
      <c r="P2802" s="9" t="n">
        <v>2362.25</v>
      </c>
      <c r="Q2802" s="9" t="n">
        <v>2077.52</v>
      </c>
      <c r="R2802" s="9" t="n">
        <v>2501.23</v>
      </c>
      <c r="S2802" s="9" t="n">
        <v>2181.95</v>
      </c>
      <c r="T2802" s="9" t="n">
        <v>2527.58</v>
      </c>
      <c r="U2802" s="10">
        <f>SUM(I2802:T2802)</f>
        <v/>
      </c>
    </row>
    <row r="2803">
      <c r="A2803" s="2" t="inlineStr">
        <is>
          <t>SN-3000-3900-3910-3910NP0001</t>
        </is>
      </c>
      <c r="B2803" s="2" t="inlineStr">
        <is>
          <t>3910NP0001</t>
        </is>
      </c>
      <c r="C2803" s="2" t="inlineStr">
        <is>
          <t>Piscina WSF Norte</t>
        </is>
      </c>
      <c r="D2803" s="2" t="n">
        <v>934</v>
      </c>
      <c r="E2803" s="2" t="inlineStr">
        <is>
          <t>CC-3000</t>
        </is>
      </c>
      <c r="F2803" s="2" t="inlineStr">
        <is>
          <t>P01</t>
        </is>
      </c>
      <c r="G2803" s="2" t="n">
        <v>630000</v>
      </c>
      <c r="H2803" s="2" t="inlineStr">
        <is>
          <t>Servicios externos</t>
        </is>
      </c>
      <c r="I2803" s="9" t="n">
        <v>2056.81</v>
      </c>
      <c r="J2803" s="9" t="n">
        <v>2165.44</v>
      </c>
      <c r="K2803" s="9" t="n">
        <v>2358.29</v>
      </c>
      <c r="L2803" s="9" t="n">
        <v>2274.01</v>
      </c>
      <c r="M2803" s="9" t="n">
        <v>2138.33</v>
      </c>
      <c r="N2803" s="9" t="n">
        <v>2000.02</v>
      </c>
      <c r="O2803" s="9" t="n">
        <v>2291.47</v>
      </c>
      <c r="P2803" s="9" t="n">
        <v>2128.62</v>
      </c>
      <c r="Q2803" s="9" t="n">
        <v>2121.93</v>
      </c>
      <c r="R2803" s="9" t="n">
        <v>2431.32</v>
      </c>
      <c r="S2803" s="9" t="n">
        <v>2193.61</v>
      </c>
      <c r="T2803" s="9" t="n">
        <v>2360.41</v>
      </c>
      <c r="U2803" s="10">
        <f>SUM(I2803:T2803)</f>
        <v/>
      </c>
    </row>
    <row r="2804">
      <c r="A2804" s="2" t="inlineStr">
        <is>
          <t>SN-3000-3900-3910-3910PU0355</t>
        </is>
      </c>
      <c r="B2804" s="2" t="inlineStr">
        <is>
          <t>3910PU0355</t>
        </is>
      </c>
      <c r="C2804" s="2" t="inlineStr">
        <is>
          <t>Bomba móvil sumergible planta</t>
        </is>
      </c>
      <c r="D2804" s="2" t="n">
        <v>935</v>
      </c>
      <c r="E2804" s="2" t="inlineStr">
        <is>
          <t>CC-3000</t>
        </is>
      </c>
      <c r="F2804" s="2" t="inlineStr">
        <is>
          <t>P01</t>
        </is>
      </c>
      <c r="G2804" s="2" t="n">
        <v>610000</v>
      </c>
      <c r="H2804" s="2" t="inlineStr">
        <is>
          <t>Mano obra interna</t>
        </is>
      </c>
      <c r="I2804" s="9" t="n">
        <v>2303.57</v>
      </c>
      <c r="J2804" s="9" t="n">
        <v>2288.22</v>
      </c>
      <c r="K2804" s="9" t="n">
        <v>2328.4</v>
      </c>
      <c r="L2804" s="9" t="n">
        <v>2368.43</v>
      </c>
      <c r="M2804" s="9" t="n">
        <v>2243.77</v>
      </c>
      <c r="N2804" s="9" t="n">
        <v>2331.8</v>
      </c>
      <c r="O2804" s="9" t="n">
        <v>2255.28</v>
      </c>
      <c r="P2804" s="9" t="n">
        <v>2425.81</v>
      </c>
      <c r="Q2804" s="9" t="n">
        <v>2414.62</v>
      </c>
      <c r="R2804" s="9" t="n">
        <v>2734.13</v>
      </c>
      <c r="S2804" s="9" t="n">
        <v>2528.12</v>
      </c>
      <c r="T2804" s="9" t="n">
        <v>2366.3</v>
      </c>
      <c r="U2804" s="10">
        <f>SUM(I2804:T2804)</f>
        <v/>
      </c>
    </row>
    <row r="2805">
      <c r="A2805" s="2" t="inlineStr">
        <is>
          <t>SN-3000-3900-3910-3910PU0355</t>
        </is>
      </c>
      <c r="B2805" s="2" t="inlineStr">
        <is>
          <t>3910PU0355</t>
        </is>
      </c>
      <c r="C2805" s="2" t="inlineStr">
        <is>
          <t>Bomba móvil sumergible planta</t>
        </is>
      </c>
      <c r="D2805" s="2" t="n">
        <v>935</v>
      </c>
      <c r="E2805" s="2" t="inlineStr">
        <is>
          <t>CC-3000</t>
        </is>
      </c>
      <c r="F2805" s="2" t="inlineStr">
        <is>
          <t>P01</t>
        </is>
      </c>
      <c r="G2805" s="2" t="n">
        <v>620000</v>
      </c>
      <c r="H2805" s="2" t="inlineStr">
        <is>
          <t>Materiales</t>
        </is>
      </c>
      <c r="I2805" s="9" t="n">
        <v>2170</v>
      </c>
      <c r="J2805" s="9" t="n">
        <v>2153.95</v>
      </c>
      <c r="K2805" s="9" t="n">
        <v>2279.13</v>
      </c>
      <c r="L2805" s="9" t="n">
        <v>2071.45</v>
      </c>
      <c r="M2805" s="9" t="n">
        <v>2074.12</v>
      </c>
      <c r="N2805" s="9" t="n">
        <v>2161.63</v>
      </c>
      <c r="O2805" s="9" t="n">
        <v>2285.87</v>
      </c>
      <c r="P2805" s="9" t="n">
        <v>2211.91</v>
      </c>
      <c r="Q2805" s="9" t="n">
        <v>1963.18</v>
      </c>
      <c r="R2805" s="9" t="n">
        <v>2325.07</v>
      </c>
      <c r="S2805" s="9" t="n">
        <v>1982.34</v>
      </c>
      <c r="T2805" s="9" t="n">
        <v>2382.83</v>
      </c>
      <c r="U2805" s="10">
        <f>SUM(I2805:T2805)</f>
        <v/>
      </c>
    </row>
    <row r="2806">
      <c r="A2806" s="2" t="inlineStr">
        <is>
          <t>SN-3000-3900-3910-3910PU0355</t>
        </is>
      </c>
      <c r="B2806" s="2" t="inlineStr">
        <is>
          <t>3910PU0355</t>
        </is>
      </c>
      <c r="C2806" s="2" t="inlineStr">
        <is>
          <t>Bomba móvil sumergible planta</t>
        </is>
      </c>
      <c r="D2806" s="2" t="n">
        <v>935</v>
      </c>
      <c r="E2806" s="2" t="inlineStr">
        <is>
          <t>CC-3000</t>
        </is>
      </c>
      <c r="F2806" s="2" t="inlineStr">
        <is>
          <t>P01</t>
        </is>
      </c>
      <c r="G2806" s="2" t="n">
        <v>630000</v>
      </c>
      <c r="H2806" s="2" t="inlineStr">
        <is>
          <t>Servicios externos</t>
        </is>
      </c>
      <c r="I2806" s="9" t="n">
        <v>2297.78</v>
      </c>
      <c r="J2806" s="9" t="n">
        <v>2255.24</v>
      </c>
      <c r="K2806" s="9" t="n">
        <v>2527.91</v>
      </c>
      <c r="L2806" s="9" t="n">
        <v>2366.48</v>
      </c>
      <c r="M2806" s="9" t="n">
        <v>2560.36</v>
      </c>
      <c r="N2806" s="9" t="n">
        <v>2407.3</v>
      </c>
      <c r="O2806" s="9" t="n">
        <v>2332.3</v>
      </c>
      <c r="P2806" s="9" t="n">
        <v>2226.17</v>
      </c>
      <c r="Q2806" s="9" t="n">
        <v>2359.67</v>
      </c>
      <c r="R2806" s="9" t="n">
        <v>2577.02</v>
      </c>
      <c r="S2806" s="9" t="n">
        <v>2395.08</v>
      </c>
      <c r="T2806" s="9" t="n">
        <v>2371.23</v>
      </c>
      <c r="U2806" s="10">
        <f>SUM(I2806:T2806)</f>
        <v/>
      </c>
    </row>
    <row r="2807">
      <c r="A2807" s="2" t="inlineStr">
        <is>
          <t>SN-3000-3900-3910-3910PU0470</t>
        </is>
      </c>
      <c r="B2807" s="2" t="inlineStr">
        <is>
          <t>3910PU0470</t>
        </is>
      </c>
      <c r="C2807" s="2" t="inlineStr">
        <is>
          <t>Bomba portátil agua contactada diesel</t>
        </is>
      </c>
      <c r="D2807" s="2" t="n">
        <v>936</v>
      </c>
      <c r="E2807" s="2" t="inlineStr">
        <is>
          <t>CC-3000</t>
        </is>
      </c>
      <c r="F2807" s="2" t="inlineStr">
        <is>
          <t>P01</t>
        </is>
      </c>
      <c r="G2807" s="2" t="n">
        <v>610000</v>
      </c>
      <c r="H2807" s="2" t="inlineStr">
        <is>
          <t>Mano obra interna</t>
        </is>
      </c>
      <c r="I2807" s="9" t="n">
        <v>1415.1</v>
      </c>
      <c r="J2807" s="9" t="n">
        <v>1317.41</v>
      </c>
      <c r="K2807" s="9" t="n">
        <v>1332.1</v>
      </c>
      <c r="L2807" s="9" t="n">
        <v>1298.2</v>
      </c>
      <c r="M2807" s="9" t="n">
        <v>1351.61</v>
      </c>
      <c r="N2807" s="9" t="n">
        <v>1335.66</v>
      </c>
      <c r="O2807" s="9" t="n">
        <v>1302.34</v>
      </c>
      <c r="P2807" s="9" t="n">
        <v>1398.06</v>
      </c>
      <c r="Q2807" s="9" t="n">
        <v>1191.54</v>
      </c>
      <c r="R2807" s="9" t="n">
        <v>1416.53</v>
      </c>
      <c r="S2807" s="9" t="n">
        <v>1356.46</v>
      </c>
      <c r="T2807" s="9" t="n">
        <v>1403.46</v>
      </c>
      <c r="U2807" s="10">
        <f>SUM(I2807:T2807)</f>
        <v/>
      </c>
    </row>
    <row r="2808">
      <c r="A2808" s="2" t="inlineStr">
        <is>
          <t>SN-3000-3900-3910-3910PU0470</t>
        </is>
      </c>
      <c r="B2808" s="2" t="inlineStr">
        <is>
          <t>3910PU0470</t>
        </is>
      </c>
      <c r="C2808" s="2" t="inlineStr">
        <is>
          <t>Bomba portátil agua contactada diesel</t>
        </is>
      </c>
      <c r="D2808" s="2" t="n">
        <v>936</v>
      </c>
      <c r="E2808" s="2" t="inlineStr">
        <is>
          <t>CC-3000</t>
        </is>
      </c>
      <c r="F2808" s="2" t="inlineStr">
        <is>
          <t>P01</t>
        </is>
      </c>
      <c r="G2808" s="2" t="n">
        <v>620000</v>
      </c>
      <c r="H2808" s="2" t="inlineStr">
        <is>
          <t>Materiales</t>
        </is>
      </c>
      <c r="I2808" s="9" t="n">
        <v>1339</v>
      </c>
      <c r="J2808" s="9" t="n">
        <v>1274.27</v>
      </c>
      <c r="K2808" s="9" t="n">
        <v>1518.1</v>
      </c>
      <c r="L2808" s="9" t="n">
        <v>1329.84</v>
      </c>
      <c r="M2808" s="9" t="n">
        <v>1296.48</v>
      </c>
      <c r="N2808" s="9" t="n">
        <v>1278.72</v>
      </c>
      <c r="O2808" s="9" t="n">
        <v>1384.55</v>
      </c>
      <c r="P2808" s="9" t="n">
        <v>1459.7</v>
      </c>
      <c r="Q2808" s="9" t="n">
        <v>1247.05</v>
      </c>
      <c r="R2808" s="9" t="n">
        <v>1516.03</v>
      </c>
      <c r="S2808" s="9" t="n">
        <v>1262.9</v>
      </c>
      <c r="T2808" s="9" t="n">
        <v>1408.74</v>
      </c>
      <c r="U2808" s="10">
        <f>SUM(I2808:T2808)</f>
        <v/>
      </c>
    </row>
    <row r="2809">
      <c r="A2809" s="2" t="inlineStr">
        <is>
          <t>SN-3000-3900-3910-3910PU0470</t>
        </is>
      </c>
      <c r="B2809" s="2" t="inlineStr">
        <is>
          <t>3910PU0470</t>
        </is>
      </c>
      <c r="C2809" s="2" t="inlineStr">
        <is>
          <t>Bomba portátil agua contactada diesel</t>
        </is>
      </c>
      <c r="D2809" s="2" t="n">
        <v>936</v>
      </c>
      <c r="E2809" s="2" t="inlineStr">
        <is>
          <t>CC-3000</t>
        </is>
      </c>
      <c r="F2809" s="2" t="inlineStr">
        <is>
          <t>P01</t>
        </is>
      </c>
      <c r="G2809" s="2" t="n">
        <v>630000</v>
      </c>
      <c r="H2809" s="2" t="inlineStr">
        <is>
          <t>Servicios externos</t>
        </is>
      </c>
      <c r="I2809" s="9" t="n">
        <v>1280.07</v>
      </c>
      <c r="J2809" s="9" t="n">
        <v>1267.19</v>
      </c>
      <c r="K2809" s="9" t="n">
        <v>1413</v>
      </c>
      <c r="L2809" s="9" t="n">
        <v>1396.12</v>
      </c>
      <c r="M2809" s="9" t="n">
        <v>1283.39</v>
      </c>
      <c r="N2809" s="9" t="n">
        <v>1180.24</v>
      </c>
      <c r="O2809" s="9" t="n">
        <v>1269.13</v>
      </c>
      <c r="P2809" s="9" t="n">
        <v>1314.83</v>
      </c>
      <c r="Q2809" s="9" t="n">
        <v>1296.14</v>
      </c>
      <c r="R2809" s="9" t="n">
        <v>1524.01</v>
      </c>
      <c r="S2809" s="9" t="n">
        <v>1300.69</v>
      </c>
      <c r="T2809" s="9" t="n">
        <v>1302.33</v>
      </c>
      <c r="U2809" s="10">
        <f>SUM(I2809:T2809)</f>
        <v/>
      </c>
    </row>
    <row r="2810">
      <c r="A2810" s="2" t="inlineStr">
        <is>
          <t>SN-3000-3900-3910-3910RW0001</t>
        </is>
      </c>
      <c r="B2810" s="2" t="inlineStr">
        <is>
          <t>3910RW0001</t>
        </is>
      </c>
      <c r="C2810" s="2" t="inlineStr">
        <is>
          <t>Piscina almacenamiento agua recuperada</t>
        </is>
      </c>
      <c r="D2810" s="2" t="n">
        <v>937</v>
      </c>
      <c r="E2810" s="2" t="inlineStr">
        <is>
          <t>CC-3000</t>
        </is>
      </c>
      <c r="F2810" s="2" t="inlineStr">
        <is>
          <t>P01</t>
        </is>
      </c>
      <c r="G2810" s="2" t="n">
        <v>610000</v>
      </c>
      <c r="H2810" s="2" t="inlineStr">
        <is>
          <t>Mano obra interna</t>
        </is>
      </c>
      <c r="I2810" s="9" t="n">
        <v>156.36</v>
      </c>
      <c r="J2810" s="9" t="n">
        <v>158.02</v>
      </c>
      <c r="K2810" s="9" t="n">
        <v>155.61</v>
      </c>
      <c r="L2810" s="9" t="n">
        <v>154.76</v>
      </c>
      <c r="M2810" s="9" t="n">
        <v>145.08</v>
      </c>
      <c r="N2810" s="9" t="n">
        <v>148.46</v>
      </c>
      <c r="O2810" s="9" t="n">
        <v>160.34</v>
      </c>
      <c r="P2810" s="9" t="n">
        <v>164.43</v>
      </c>
      <c r="Q2810" s="9" t="n">
        <v>153.69</v>
      </c>
      <c r="R2810" s="9" t="n">
        <v>182.99</v>
      </c>
      <c r="S2810" s="9" t="n">
        <v>142.22</v>
      </c>
      <c r="T2810" s="9" t="n">
        <v>159.45</v>
      </c>
      <c r="U2810" s="10">
        <f>SUM(I2810:T2810)</f>
        <v/>
      </c>
    </row>
    <row r="2811">
      <c r="A2811" s="2" t="inlineStr">
        <is>
          <t>SN-3000-3900-3910-3910RW0001</t>
        </is>
      </c>
      <c r="B2811" s="2" t="inlineStr">
        <is>
          <t>3910RW0001</t>
        </is>
      </c>
      <c r="C2811" s="2" t="inlineStr">
        <is>
          <t>Piscina almacenamiento agua recuperada</t>
        </is>
      </c>
      <c r="D2811" s="2" t="n">
        <v>937</v>
      </c>
      <c r="E2811" s="2" t="inlineStr">
        <is>
          <t>CC-3000</t>
        </is>
      </c>
      <c r="F2811" s="2" t="inlineStr">
        <is>
          <t>P01</t>
        </is>
      </c>
      <c r="G2811" s="2" t="n">
        <v>620000</v>
      </c>
      <c r="H2811" s="2" t="inlineStr">
        <is>
          <t>Materiales</t>
        </is>
      </c>
      <c r="I2811" s="9" t="n">
        <v>155.25</v>
      </c>
      <c r="J2811" s="9" t="n">
        <v>137.48</v>
      </c>
      <c r="K2811" s="9" t="n">
        <v>139.3</v>
      </c>
      <c r="L2811" s="9" t="n">
        <v>143.8</v>
      </c>
      <c r="M2811" s="9" t="n">
        <v>154.63</v>
      </c>
      <c r="N2811" s="9" t="n">
        <v>147.51</v>
      </c>
      <c r="O2811" s="9" t="n">
        <v>142.65</v>
      </c>
      <c r="P2811" s="9" t="n">
        <v>153.63</v>
      </c>
      <c r="Q2811" s="9" t="n">
        <v>124.9</v>
      </c>
      <c r="R2811" s="9" t="n">
        <v>151.74</v>
      </c>
      <c r="S2811" s="9" t="n">
        <v>145.48</v>
      </c>
      <c r="T2811" s="9" t="n">
        <v>140.61</v>
      </c>
      <c r="U2811" s="10">
        <f>SUM(I2811:T2811)</f>
        <v/>
      </c>
    </row>
    <row r="2812">
      <c r="A2812" s="2" t="inlineStr">
        <is>
          <t>SN-3000-3900-3910-3910RW0001</t>
        </is>
      </c>
      <c r="B2812" s="2" t="inlineStr">
        <is>
          <t>3910RW0001</t>
        </is>
      </c>
      <c r="C2812" s="2" t="inlineStr">
        <is>
          <t>Piscina almacenamiento agua recuperada</t>
        </is>
      </c>
      <c r="D2812" s="2" t="n">
        <v>937</v>
      </c>
      <c r="E2812" s="2" t="inlineStr">
        <is>
          <t>CC-3000</t>
        </is>
      </c>
      <c r="F2812" s="2" t="inlineStr">
        <is>
          <t>P01</t>
        </is>
      </c>
      <c r="G2812" s="2" t="n">
        <v>630000</v>
      </c>
      <c r="H2812" s="2" t="inlineStr">
        <is>
          <t>Servicios externos</t>
        </is>
      </c>
      <c r="I2812" s="9" t="n">
        <v>141.48</v>
      </c>
      <c r="J2812" s="9" t="n">
        <v>131.42</v>
      </c>
      <c r="K2812" s="9" t="n">
        <v>145.73</v>
      </c>
      <c r="L2812" s="9" t="n">
        <v>126.07</v>
      </c>
      <c r="M2812" s="9" t="n">
        <v>126.67</v>
      </c>
      <c r="N2812" s="9" t="n">
        <v>121.47</v>
      </c>
      <c r="O2812" s="9" t="n">
        <v>139.04</v>
      </c>
      <c r="P2812" s="9" t="n">
        <v>125.78</v>
      </c>
      <c r="Q2812" s="9" t="n">
        <v>119.09</v>
      </c>
      <c r="R2812" s="9" t="n">
        <v>133.21</v>
      </c>
      <c r="S2812" s="9" t="n">
        <v>132.41</v>
      </c>
      <c r="T2812" s="9" t="n">
        <v>127.37</v>
      </c>
      <c r="U2812" s="10">
        <f>SUM(I2812:T2812)</f>
        <v/>
      </c>
    </row>
    <row r="2813">
      <c r="A2813" s="2" t="inlineStr">
        <is>
          <t>SN-3000-3900-3910-3910SP0001</t>
        </is>
      </c>
      <c r="B2813" s="2" t="inlineStr">
        <is>
          <t>3910SP0001</t>
        </is>
      </c>
      <c r="C2813" s="2" t="inlineStr">
        <is>
          <t>Piscina almacenamiento agua TSF</t>
        </is>
      </c>
      <c r="D2813" s="2" t="n">
        <v>938</v>
      </c>
      <c r="E2813" s="2" t="inlineStr">
        <is>
          <t>CC-3000</t>
        </is>
      </c>
      <c r="F2813" s="2" t="inlineStr">
        <is>
          <t>P01</t>
        </is>
      </c>
      <c r="G2813" s="2" t="n">
        <v>610000</v>
      </c>
      <c r="H2813" s="2" t="inlineStr">
        <is>
          <t>Mano obra interna</t>
        </is>
      </c>
      <c r="I2813" s="9" t="n">
        <v>1288.96</v>
      </c>
      <c r="J2813" s="9" t="n">
        <v>1234.75</v>
      </c>
      <c r="K2813" s="9" t="n">
        <v>1248.36</v>
      </c>
      <c r="L2813" s="9" t="n">
        <v>1227.57</v>
      </c>
      <c r="M2813" s="9" t="n">
        <v>1342.81</v>
      </c>
      <c r="N2813" s="9" t="n">
        <v>1135.49</v>
      </c>
      <c r="O2813" s="9" t="n">
        <v>1194.63</v>
      </c>
      <c r="P2813" s="9" t="n">
        <v>1222.93</v>
      </c>
      <c r="Q2813" s="9" t="n">
        <v>1273.75</v>
      </c>
      <c r="R2813" s="9" t="n">
        <v>1284.67</v>
      </c>
      <c r="S2813" s="9" t="n">
        <v>1297.59</v>
      </c>
      <c r="T2813" s="9" t="n">
        <v>1376.05</v>
      </c>
      <c r="U2813" s="10">
        <f>SUM(I2813:T2813)</f>
        <v/>
      </c>
    </row>
    <row r="2814">
      <c r="A2814" s="2" t="inlineStr">
        <is>
          <t>SN-3000-3900-3910-3910SP0001</t>
        </is>
      </c>
      <c r="B2814" s="2" t="inlineStr">
        <is>
          <t>3910SP0001</t>
        </is>
      </c>
      <c r="C2814" s="2" t="inlineStr">
        <is>
          <t>Piscina almacenamiento agua TSF</t>
        </is>
      </c>
      <c r="D2814" s="2" t="n">
        <v>938</v>
      </c>
      <c r="E2814" s="2" t="inlineStr">
        <is>
          <t>CC-3000</t>
        </is>
      </c>
      <c r="F2814" s="2" t="inlineStr">
        <is>
          <t>P01</t>
        </is>
      </c>
      <c r="G2814" s="2" t="n">
        <v>620000</v>
      </c>
      <c r="H2814" s="2" t="inlineStr">
        <is>
          <t>Materiales</t>
        </is>
      </c>
      <c r="I2814" s="9" t="n">
        <v>1341.31</v>
      </c>
      <c r="J2814" s="9" t="n">
        <v>1376.13</v>
      </c>
      <c r="K2814" s="9" t="n">
        <v>1447.17</v>
      </c>
      <c r="L2814" s="9" t="n">
        <v>1450.89</v>
      </c>
      <c r="M2814" s="9" t="n">
        <v>1415.8</v>
      </c>
      <c r="N2814" s="9" t="n">
        <v>1250.9</v>
      </c>
      <c r="O2814" s="9" t="n">
        <v>1400.01</v>
      </c>
      <c r="P2814" s="9" t="n">
        <v>1278.4</v>
      </c>
      <c r="Q2814" s="9" t="n">
        <v>1266.98</v>
      </c>
      <c r="R2814" s="9" t="n">
        <v>1491.75</v>
      </c>
      <c r="S2814" s="9" t="n">
        <v>1244.15</v>
      </c>
      <c r="T2814" s="9" t="n">
        <v>1285.47</v>
      </c>
      <c r="U2814" s="10">
        <f>SUM(I2814:T2814)</f>
        <v/>
      </c>
    </row>
    <row r="2815">
      <c r="A2815" s="2" t="inlineStr">
        <is>
          <t>SN-3000-3900-3910-3910SP0001</t>
        </is>
      </c>
      <c r="B2815" s="2" t="inlineStr">
        <is>
          <t>3910SP0001</t>
        </is>
      </c>
      <c r="C2815" s="2" t="inlineStr">
        <is>
          <t>Piscina almacenamiento agua TSF</t>
        </is>
      </c>
      <c r="D2815" s="2" t="n">
        <v>938</v>
      </c>
      <c r="E2815" s="2" t="inlineStr">
        <is>
          <t>CC-3000</t>
        </is>
      </c>
      <c r="F2815" s="2" t="inlineStr">
        <is>
          <t>P01</t>
        </is>
      </c>
      <c r="G2815" s="2" t="n">
        <v>630000</v>
      </c>
      <c r="H2815" s="2" t="inlineStr">
        <is>
          <t>Servicios externos</t>
        </is>
      </c>
      <c r="I2815" s="9" t="n">
        <v>1289.89</v>
      </c>
      <c r="J2815" s="9" t="n">
        <v>1338.65</v>
      </c>
      <c r="K2815" s="9" t="n">
        <v>1327.05</v>
      </c>
      <c r="L2815" s="9" t="n">
        <v>1360.03</v>
      </c>
      <c r="M2815" s="9" t="n">
        <v>1200.54</v>
      </c>
      <c r="N2815" s="9" t="n">
        <v>1146.45</v>
      </c>
      <c r="O2815" s="9" t="n">
        <v>1227.05</v>
      </c>
      <c r="P2815" s="9" t="n">
        <v>1240.78</v>
      </c>
      <c r="Q2815" s="9" t="n">
        <v>1200.52</v>
      </c>
      <c r="R2815" s="9" t="n">
        <v>1464.37</v>
      </c>
      <c r="S2815" s="9" t="n">
        <v>1224.29</v>
      </c>
      <c r="T2815" s="9" t="n">
        <v>1302.72</v>
      </c>
      <c r="U2815" s="10">
        <f>SUM(I2815:T2815)</f>
        <v/>
      </c>
    </row>
    <row r="2816">
      <c r="A2816" s="2" t="inlineStr">
        <is>
          <t>SN-3000-3900-3910-3910SP0002</t>
        </is>
      </c>
      <c r="B2816" s="2" t="inlineStr">
        <is>
          <t>3910SP0002</t>
        </is>
      </c>
      <c r="C2816" s="2" t="inlineStr">
        <is>
          <t>Piscina WSF Sur</t>
        </is>
      </c>
      <c r="D2816" s="2" t="n">
        <v>939</v>
      </c>
      <c r="E2816" s="2" t="inlineStr">
        <is>
          <t>CC-3000</t>
        </is>
      </c>
      <c r="F2816" s="2" t="inlineStr">
        <is>
          <t>P01</t>
        </is>
      </c>
      <c r="G2816" s="2" t="n">
        <v>610000</v>
      </c>
      <c r="H2816" s="2" t="inlineStr">
        <is>
          <t>Mano obra interna</t>
        </is>
      </c>
      <c r="I2816" s="9" t="n">
        <v>1425.89</v>
      </c>
      <c r="J2816" s="9" t="n">
        <v>1387.62</v>
      </c>
      <c r="K2816" s="9" t="n">
        <v>1606.83</v>
      </c>
      <c r="L2816" s="9" t="n">
        <v>1539.35</v>
      </c>
      <c r="M2816" s="9" t="n">
        <v>1420.48</v>
      </c>
      <c r="N2816" s="9" t="n">
        <v>1464.55</v>
      </c>
      <c r="O2816" s="9" t="n">
        <v>1520.95</v>
      </c>
      <c r="P2816" s="9" t="n">
        <v>1409.12</v>
      </c>
      <c r="Q2816" s="9" t="n">
        <v>1436.71</v>
      </c>
      <c r="R2816" s="9" t="n">
        <v>1697.45</v>
      </c>
      <c r="S2816" s="9" t="n">
        <v>1411.37</v>
      </c>
      <c r="T2816" s="9" t="n">
        <v>1577.85</v>
      </c>
      <c r="U2816" s="10">
        <f>SUM(I2816:T2816)</f>
        <v/>
      </c>
    </row>
    <row r="2817">
      <c r="A2817" s="2" t="inlineStr">
        <is>
          <t>SN-3000-3900-3910-3910SP0002</t>
        </is>
      </c>
      <c r="B2817" s="2" t="inlineStr">
        <is>
          <t>3910SP0002</t>
        </is>
      </c>
      <c r="C2817" s="2" t="inlineStr">
        <is>
          <t>Piscina WSF Sur</t>
        </is>
      </c>
      <c r="D2817" s="2" t="n">
        <v>939</v>
      </c>
      <c r="E2817" s="2" t="inlineStr">
        <is>
          <t>CC-3000</t>
        </is>
      </c>
      <c r="F2817" s="2" t="inlineStr">
        <is>
          <t>P01</t>
        </is>
      </c>
      <c r="G2817" s="2" t="n">
        <v>620000</v>
      </c>
      <c r="H2817" s="2" t="inlineStr">
        <is>
          <t>Materiales</t>
        </is>
      </c>
      <c r="I2817" s="9" t="n">
        <v>1660.1</v>
      </c>
      <c r="J2817" s="9" t="n">
        <v>1639.74</v>
      </c>
      <c r="K2817" s="9" t="n">
        <v>1596.48</v>
      </c>
      <c r="L2817" s="9" t="n">
        <v>1531.24</v>
      </c>
      <c r="M2817" s="9" t="n">
        <v>1520.95</v>
      </c>
      <c r="N2817" s="9" t="n">
        <v>1433.7</v>
      </c>
      <c r="O2817" s="9" t="n">
        <v>1438.04</v>
      </c>
      <c r="P2817" s="9" t="n">
        <v>1598.45</v>
      </c>
      <c r="Q2817" s="9" t="n">
        <v>1347.64</v>
      </c>
      <c r="R2817" s="9" t="n">
        <v>1606.49</v>
      </c>
      <c r="S2817" s="9" t="n">
        <v>1565.98</v>
      </c>
      <c r="T2817" s="9" t="n">
        <v>1627.27</v>
      </c>
      <c r="U2817" s="10">
        <f>SUM(I2817:T2817)</f>
        <v/>
      </c>
    </row>
    <row r="2818">
      <c r="A2818" s="2" t="inlineStr">
        <is>
          <t>SN-3000-3900-3910-3910SP0002</t>
        </is>
      </c>
      <c r="B2818" s="2" t="inlineStr">
        <is>
          <t>3910SP0002</t>
        </is>
      </c>
      <c r="C2818" s="2" t="inlineStr">
        <is>
          <t>Piscina WSF Sur</t>
        </is>
      </c>
      <c r="D2818" s="2" t="n">
        <v>939</v>
      </c>
      <c r="E2818" s="2" t="inlineStr">
        <is>
          <t>CC-3000</t>
        </is>
      </c>
      <c r="F2818" s="2" t="inlineStr">
        <is>
          <t>P01</t>
        </is>
      </c>
      <c r="G2818" s="2" t="n">
        <v>630000</v>
      </c>
      <c r="H2818" s="2" t="inlineStr">
        <is>
          <t>Servicios externos</t>
        </is>
      </c>
      <c r="I2818" s="9" t="n">
        <v>1525.79</v>
      </c>
      <c r="J2818" s="9" t="n">
        <v>1534.12</v>
      </c>
      <c r="K2818" s="9" t="n">
        <v>1401.07</v>
      </c>
      <c r="L2818" s="9" t="n">
        <v>1469.34</v>
      </c>
      <c r="M2818" s="9" t="n">
        <v>1495.18</v>
      </c>
      <c r="N2818" s="9" t="n">
        <v>1430.68</v>
      </c>
      <c r="O2818" s="9" t="n">
        <v>1394.17</v>
      </c>
      <c r="P2818" s="9" t="n">
        <v>1377.72</v>
      </c>
      <c r="Q2818" s="9" t="n">
        <v>1418.27</v>
      </c>
      <c r="R2818" s="9" t="n">
        <v>1686.33</v>
      </c>
      <c r="S2818" s="9" t="n">
        <v>1471.17</v>
      </c>
      <c r="T2818" s="9" t="n">
        <v>1588.56</v>
      </c>
      <c r="U2818" s="10">
        <f>SUM(I2818:T2818)</f>
        <v/>
      </c>
    </row>
    <row r="2819">
      <c r="A2819" s="2" t="inlineStr">
        <is>
          <t>SN-3000-3900-3910-3910TK0079</t>
        </is>
      </c>
      <c r="B2819" s="2" t="inlineStr">
        <is>
          <t>3910TK0079</t>
        </is>
      </c>
      <c r="C2819" s="2" t="inlineStr">
        <is>
          <t>Estanque residuos de laboratorio</t>
        </is>
      </c>
      <c r="D2819" s="2" t="n">
        <v>940</v>
      </c>
      <c r="E2819" s="2" t="inlineStr">
        <is>
          <t>CC-3000</t>
        </is>
      </c>
      <c r="F2819" s="2" t="inlineStr">
        <is>
          <t>P01</t>
        </is>
      </c>
      <c r="G2819" s="2" t="n">
        <v>610000</v>
      </c>
      <c r="H2819" s="2" t="inlineStr">
        <is>
          <t>Mano obra interna</t>
        </is>
      </c>
      <c r="I2819" s="9" t="n">
        <v>1080.2</v>
      </c>
      <c r="J2819" s="9" t="n">
        <v>1004.88</v>
      </c>
      <c r="K2819" s="9" t="n">
        <v>1088.32</v>
      </c>
      <c r="L2819" s="9" t="n">
        <v>957.1900000000001</v>
      </c>
      <c r="M2819" s="9" t="n">
        <v>1029.39</v>
      </c>
      <c r="N2819" s="9" t="n">
        <v>900.73</v>
      </c>
      <c r="O2819" s="9" t="n">
        <v>915.71</v>
      </c>
      <c r="P2819" s="9" t="n">
        <v>992.2</v>
      </c>
      <c r="Q2819" s="9" t="n">
        <v>894.91</v>
      </c>
      <c r="R2819" s="9" t="n">
        <v>989.83</v>
      </c>
      <c r="S2819" s="9" t="n">
        <v>1032.2</v>
      </c>
      <c r="T2819" s="9" t="n">
        <v>1031.63</v>
      </c>
      <c r="U2819" s="10">
        <f>SUM(I2819:T2819)</f>
        <v/>
      </c>
    </row>
    <row r="2820">
      <c r="A2820" s="2" t="inlineStr">
        <is>
          <t>SN-3000-3900-3910-3910TK0079</t>
        </is>
      </c>
      <c r="B2820" s="2" t="inlineStr">
        <is>
          <t>3910TK0079</t>
        </is>
      </c>
      <c r="C2820" s="2" t="inlineStr">
        <is>
          <t>Estanque residuos de laboratorio</t>
        </is>
      </c>
      <c r="D2820" s="2" t="n">
        <v>940</v>
      </c>
      <c r="E2820" s="2" t="inlineStr">
        <is>
          <t>CC-3000</t>
        </is>
      </c>
      <c r="F2820" s="2" t="inlineStr">
        <is>
          <t>P01</t>
        </is>
      </c>
      <c r="G2820" s="2" t="n">
        <v>620000</v>
      </c>
      <c r="H2820" s="2" t="inlineStr">
        <is>
          <t>Materiales</t>
        </is>
      </c>
      <c r="I2820" s="9" t="n">
        <v>1163.87</v>
      </c>
      <c r="J2820" s="9" t="n">
        <v>1021.84</v>
      </c>
      <c r="K2820" s="9" t="n">
        <v>1046.46</v>
      </c>
      <c r="L2820" s="9" t="n">
        <v>1024.49</v>
      </c>
      <c r="M2820" s="9" t="n">
        <v>1047.42</v>
      </c>
      <c r="N2820" s="9" t="n">
        <v>1026.55</v>
      </c>
      <c r="O2820" s="9" t="n">
        <v>1051.61</v>
      </c>
      <c r="P2820" s="9" t="n">
        <v>1035.98</v>
      </c>
      <c r="Q2820" s="9" t="n">
        <v>930.65</v>
      </c>
      <c r="R2820" s="9" t="n">
        <v>1128.01</v>
      </c>
      <c r="S2820" s="9" t="n">
        <v>954.25</v>
      </c>
      <c r="T2820" s="9" t="n">
        <v>1134.06</v>
      </c>
      <c r="U2820" s="10">
        <f>SUM(I2820:T2820)</f>
        <v/>
      </c>
    </row>
    <row r="2821">
      <c r="A2821" s="2" t="inlineStr">
        <is>
          <t>SN-3000-3900-3910-3910TK0079</t>
        </is>
      </c>
      <c r="B2821" s="2" t="inlineStr">
        <is>
          <t>3910TK0079</t>
        </is>
      </c>
      <c r="C2821" s="2" t="inlineStr">
        <is>
          <t>Estanque residuos de laboratorio</t>
        </is>
      </c>
      <c r="D2821" s="2" t="n">
        <v>940</v>
      </c>
      <c r="E2821" s="2" t="inlineStr">
        <is>
          <t>CC-3000</t>
        </is>
      </c>
      <c r="F2821" s="2" t="inlineStr">
        <is>
          <t>P01</t>
        </is>
      </c>
      <c r="G2821" s="2" t="n">
        <v>630000</v>
      </c>
      <c r="H2821" s="2" t="inlineStr">
        <is>
          <t>Servicios externos</t>
        </is>
      </c>
      <c r="I2821" s="9" t="n">
        <v>817.1799999999999</v>
      </c>
      <c r="J2821" s="9" t="n">
        <v>752.3</v>
      </c>
      <c r="K2821" s="9" t="n">
        <v>878.9400000000001</v>
      </c>
      <c r="L2821" s="9" t="n">
        <v>809.08</v>
      </c>
      <c r="M2821" s="9" t="n">
        <v>757.64</v>
      </c>
      <c r="N2821" s="9" t="n">
        <v>784.16</v>
      </c>
      <c r="O2821" s="9" t="n">
        <v>870.83</v>
      </c>
      <c r="P2821" s="9" t="n">
        <v>868.79</v>
      </c>
      <c r="Q2821" s="9" t="n">
        <v>729.24</v>
      </c>
      <c r="R2821" s="9" t="n">
        <v>911.01</v>
      </c>
      <c r="S2821" s="9" t="n">
        <v>730.64</v>
      </c>
      <c r="T2821" s="9" t="n">
        <v>779.41</v>
      </c>
      <c r="U2821" s="10">
        <f>SUM(I2821:T2821)</f>
        <v/>
      </c>
    </row>
    <row r="2822">
      <c r="A2822" s="2" t="inlineStr">
        <is>
          <t>SN-4000-4100-4100-4100CP0001</t>
        </is>
      </c>
      <c r="B2822" s="2" t="inlineStr">
        <is>
          <t>4100CP0001</t>
        </is>
      </c>
      <c r="C2822" s="2" t="inlineStr">
        <is>
          <t>Gabinete PLC planta agua</t>
        </is>
      </c>
      <c r="D2822" s="2" t="n">
        <v>941</v>
      </c>
      <c r="E2822" s="2" t="inlineStr">
        <is>
          <t>CC-4000</t>
        </is>
      </c>
      <c r="F2822" s="2" t="inlineStr">
        <is>
          <t>P01</t>
        </is>
      </c>
      <c r="G2822" s="2" t="n">
        <v>610000</v>
      </c>
      <c r="H2822" s="2" t="inlineStr">
        <is>
          <t>Mano obra interna</t>
        </is>
      </c>
      <c r="I2822" s="9" t="n">
        <v>2613.27</v>
      </c>
      <c r="J2822" s="9" t="n">
        <v>2761.29</v>
      </c>
      <c r="K2822" s="9" t="n">
        <v>2951.13</v>
      </c>
      <c r="L2822" s="9" t="n">
        <v>2518.13</v>
      </c>
      <c r="M2822" s="9" t="n">
        <v>2535.19</v>
      </c>
      <c r="N2822" s="9" t="n">
        <v>2533.73</v>
      </c>
      <c r="O2822" s="9" t="n">
        <v>2704.27</v>
      </c>
      <c r="P2822" s="9" t="n">
        <v>2851.98</v>
      </c>
      <c r="Q2822" s="9" t="n">
        <v>2647.26</v>
      </c>
      <c r="R2822" s="9" t="n">
        <v>2949.25</v>
      </c>
      <c r="S2822" s="9" t="n">
        <v>2490.02</v>
      </c>
      <c r="T2822" s="9" t="n">
        <v>2838.87</v>
      </c>
      <c r="U2822" s="10">
        <f>SUM(I2822:T2822)</f>
        <v/>
      </c>
    </row>
    <row r="2823">
      <c r="A2823" s="2" t="inlineStr">
        <is>
          <t>SN-4000-4100-4100-4100CP0001</t>
        </is>
      </c>
      <c r="B2823" s="2" t="inlineStr">
        <is>
          <t>4100CP0001</t>
        </is>
      </c>
      <c r="C2823" s="2" t="inlineStr">
        <is>
          <t>Gabinete PLC planta agua</t>
        </is>
      </c>
      <c r="D2823" s="2" t="n">
        <v>941</v>
      </c>
      <c r="E2823" s="2" t="inlineStr">
        <is>
          <t>CC-4000</t>
        </is>
      </c>
      <c r="F2823" s="2" t="inlineStr">
        <is>
          <t>P01</t>
        </is>
      </c>
      <c r="G2823" s="2" t="n">
        <v>620000</v>
      </c>
      <c r="H2823" s="2" t="inlineStr">
        <is>
          <t>Materiales</t>
        </is>
      </c>
      <c r="I2823" s="9" t="n">
        <v>2595.57</v>
      </c>
      <c r="J2823" s="9" t="n">
        <v>2146.34</v>
      </c>
      <c r="K2823" s="9" t="n">
        <v>2468.57</v>
      </c>
      <c r="L2823" s="9" t="n">
        <v>2259.33</v>
      </c>
      <c r="M2823" s="9" t="n">
        <v>2307.34</v>
      </c>
      <c r="N2823" s="9" t="n">
        <v>2311.32</v>
      </c>
      <c r="O2823" s="9" t="n">
        <v>2439.33</v>
      </c>
      <c r="P2823" s="9" t="n">
        <v>2472.72</v>
      </c>
      <c r="Q2823" s="9" t="n">
        <v>2235.76</v>
      </c>
      <c r="R2823" s="9" t="n">
        <v>2450.49</v>
      </c>
      <c r="S2823" s="9" t="n">
        <v>2433.54</v>
      </c>
      <c r="T2823" s="9" t="n">
        <v>2521.12</v>
      </c>
      <c r="U2823" s="10">
        <f>SUM(I2823:T2823)</f>
        <v/>
      </c>
    </row>
    <row r="2824">
      <c r="A2824" s="2" t="inlineStr">
        <is>
          <t>SN-4000-4100-4100-4100CP0001</t>
        </is>
      </c>
      <c r="B2824" s="2" t="inlineStr">
        <is>
          <t>4100CP0001</t>
        </is>
      </c>
      <c r="C2824" s="2" t="inlineStr">
        <is>
          <t>Gabinete PLC planta agua</t>
        </is>
      </c>
      <c r="D2824" s="2" t="n">
        <v>941</v>
      </c>
      <c r="E2824" s="2" t="inlineStr">
        <is>
          <t>CC-4000</t>
        </is>
      </c>
      <c r="F2824" s="2" t="inlineStr">
        <is>
          <t>P01</t>
        </is>
      </c>
      <c r="G2824" s="2" t="n">
        <v>630000</v>
      </c>
      <c r="H2824" s="2" t="inlineStr">
        <is>
          <t>Servicios externos</t>
        </is>
      </c>
      <c r="I2824" s="9" t="n">
        <v>2483.06</v>
      </c>
      <c r="J2824" s="9" t="n">
        <v>2448.75</v>
      </c>
      <c r="K2824" s="9" t="n">
        <v>2437.09</v>
      </c>
      <c r="L2824" s="9" t="n">
        <v>2280.07</v>
      </c>
      <c r="M2824" s="9" t="n">
        <v>2326.7</v>
      </c>
      <c r="N2824" s="9" t="n">
        <v>2154.36</v>
      </c>
      <c r="O2824" s="9" t="n">
        <v>2377.74</v>
      </c>
      <c r="P2824" s="9" t="n">
        <v>2326.42</v>
      </c>
      <c r="Q2824" s="9" t="n">
        <v>2299.67</v>
      </c>
      <c r="R2824" s="9" t="n">
        <v>2539.91</v>
      </c>
      <c r="S2824" s="9" t="n">
        <v>2135.36</v>
      </c>
      <c r="T2824" s="9" t="n">
        <v>2430.41</v>
      </c>
      <c r="U2824" s="10">
        <f>SUM(I2824:T2824)</f>
        <v/>
      </c>
    </row>
    <row r="2825">
      <c r="A2825" s="2" t="inlineStr">
        <is>
          <t>SN-4000-4100-4100-4100CT0001</t>
        </is>
      </c>
      <c r="B2825" s="2" t="inlineStr">
        <is>
          <t>4100CT0001</t>
        </is>
      </c>
      <c r="C2825" s="2" t="inlineStr">
        <is>
          <t>Sistema CCTV Agua fresca &amp; agua potable</t>
        </is>
      </c>
      <c r="D2825" s="2" t="n">
        <v>942</v>
      </c>
      <c r="E2825" s="2" t="inlineStr">
        <is>
          <t>CC-4000</t>
        </is>
      </c>
      <c r="F2825" s="2" t="inlineStr">
        <is>
          <t>P01</t>
        </is>
      </c>
      <c r="G2825" s="2" t="n">
        <v>610000</v>
      </c>
      <c r="H2825" s="2" t="inlineStr">
        <is>
          <t>Mano obra interna</t>
        </is>
      </c>
      <c r="I2825" s="9" t="n">
        <v>1633.37</v>
      </c>
      <c r="J2825" s="9" t="n">
        <v>1607.02</v>
      </c>
      <c r="K2825" s="9" t="n">
        <v>1579.27</v>
      </c>
      <c r="L2825" s="9" t="n">
        <v>1824.48</v>
      </c>
      <c r="M2825" s="9" t="n">
        <v>1651.81</v>
      </c>
      <c r="N2825" s="9" t="n">
        <v>1657</v>
      </c>
      <c r="O2825" s="9" t="n">
        <v>1596.87</v>
      </c>
      <c r="P2825" s="9" t="n">
        <v>1724.71</v>
      </c>
      <c r="Q2825" s="9" t="n">
        <v>1562.32</v>
      </c>
      <c r="R2825" s="9" t="n">
        <v>1768.97</v>
      </c>
      <c r="S2825" s="9" t="n">
        <v>1728.51</v>
      </c>
      <c r="T2825" s="9" t="n">
        <v>1683.48</v>
      </c>
      <c r="U2825" s="10">
        <f>SUM(I2825:T2825)</f>
        <v/>
      </c>
    </row>
    <row r="2826">
      <c r="A2826" s="2" t="inlineStr">
        <is>
          <t>SN-4000-4100-4100-4100CT0001</t>
        </is>
      </c>
      <c r="B2826" s="2" t="inlineStr">
        <is>
          <t>4100CT0001</t>
        </is>
      </c>
      <c r="C2826" s="2" t="inlineStr">
        <is>
          <t>Sistema CCTV Agua fresca &amp; agua potable</t>
        </is>
      </c>
      <c r="D2826" s="2" t="n">
        <v>942</v>
      </c>
      <c r="E2826" s="2" t="inlineStr">
        <is>
          <t>CC-4000</t>
        </is>
      </c>
      <c r="F2826" s="2" t="inlineStr">
        <is>
          <t>P01</t>
        </is>
      </c>
      <c r="G2826" s="2" t="n">
        <v>620000</v>
      </c>
      <c r="H2826" s="2" t="inlineStr">
        <is>
          <t>Materiales</t>
        </is>
      </c>
      <c r="I2826" s="9" t="n">
        <v>1694.59</v>
      </c>
      <c r="J2826" s="9" t="n">
        <v>1715.98</v>
      </c>
      <c r="K2826" s="9" t="n">
        <v>1971.93</v>
      </c>
      <c r="L2826" s="9" t="n">
        <v>1915.41</v>
      </c>
      <c r="M2826" s="9" t="n">
        <v>1791.39</v>
      </c>
      <c r="N2826" s="9" t="n">
        <v>1830.63</v>
      </c>
      <c r="O2826" s="9" t="n">
        <v>1796.38</v>
      </c>
      <c r="P2826" s="9" t="n">
        <v>1817.32</v>
      </c>
      <c r="Q2826" s="9" t="n">
        <v>1643.55</v>
      </c>
      <c r="R2826" s="9" t="n">
        <v>1977.93</v>
      </c>
      <c r="S2826" s="9" t="n">
        <v>1691.61</v>
      </c>
      <c r="T2826" s="9" t="n">
        <v>1792.79</v>
      </c>
      <c r="U2826" s="10">
        <f>SUM(I2826:T2826)</f>
        <v/>
      </c>
    </row>
    <row r="2827">
      <c r="A2827" s="2" t="inlineStr">
        <is>
          <t>SN-4000-4100-4100-4100CT0001</t>
        </is>
      </c>
      <c r="B2827" s="2" t="inlineStr">
        <is>
          <t>4100CT0001</t>
        </is>
      </c>
      <c r="C2827" s="2" t="inlineStr">
        <is>
          <t>Sistema CCTV Agua fresca &amp; agua potable</t>
        </is>
      </c>
      <c r="D2827" s="2" t="n">
        <v>942</v>
      </c>
      <c r="E2827" s="2" t="inlineStr">
        <is>
          <t>CC-4000</t>
        </is>
      </c>
      <c r="F2827" s="2" t="inlineStr">
        <is>
          <t>P01</t>
        </is>
      </c>
      <c r="G2827" s="2" t="n">
        <v>630000</v>
      </c>
      <c r="H2827" s="2" t="inlineStr">
        <is>
          <t>Servicios externos</t>
        </is>
      </c>
      <c r="I2827" s="9" t="n">
        <v>1913.51</v>
      </c>
      <c r="J2827" s="9" t="n">
        <v>1844.15</v>
      </c>
      <c r="K2827" s="9" t="n">
        <v>1911.31</v>
      </c>
      <c r="L2827" s="9" t="n">
        <v>1983.98</v>
      </c>
      <c r="M2827" s="9" t="n">
        <v>1945.86</v>
      </c>
      <c r="N2827" s="9" t="n">
        <v>1786.95</v>
      </c>
      <c r="O2827" s="9" t="n">
        <v>2015.36</v>
      </c>
      <c r="P2827" s="9" t="n">
        <v>2023.87</v>
      </c>
      <c r="Q2827" s="9" t="n">
        <v>1935.31</v>
      </c>
      <c r="R2827" s="9" t="n">
        <v>2319.64</v>
      </c>
      <c r="S2827" s="9" t="n">
        <v>1971.86</v>
      </c>
      <c r="T2827" s="9" t="n">
        <v>1902.38</v>
      </c>
      <c r="U2827" s="10">
        <f>SUM(I2827:T2827)</f>
        <v/>
      </c>
    </row>
    <row r="2828">
      <c r="A2828" s="2" t="inlineStr">
        <is>
          <t>SN-4000-4100-4100-4100PR0001</t>
        </is>
      </c>
      <c r="B2828" s="2" t="inlineStr">
        <is>
          <t>4100PR0001</t>
        </is>
      </c>
      <c r="C2828" s="2" t="inlineStr">
        <is>
          <t>Tablero de enchufes</t>
        </is>
      </c>
      <c r="D2828" s="2" t="n">
        <v>943</v>
      </c>
      <c r="E2828" s="2" t="inlineStr">
        <is>
          <t>CC-4000</t>
        </is>
      </c>
      <c r="F2828" s="2" t="inlineStr">
        <is>
          <t>P01</t>
        </is>
      </c>
      <c r="G2828" s="2" t="n">
        <v>610000</v>
      </c>
      <c r="H2828" s="2" t="inlineStr">
        <is>
          <t>Mano obra interna</t>
        </is>
      </c>
      <c r="I2828" s="9" t="n">
        <v>303.27</v>
      </c>
      <c r="J2828" s="9" t="n">
        <v>286.88</v>
      </c>
      <c r="K2828" s="9" t="n">
        <v>277.58</v>
      </c>
      <c r="L2828" s="9" t="n">
        <v>279.25</v>
      </c>
      <c r="M2828" s="9" t="n">
        <v>292.78</v>
      </c>
      <c r="N2828" s="9" t="n">
        <v>274.83</v>
      </c>
      <c r="O2828" s="9" t="n">
        <v>288.45</v>
      </c>
      <c r="P2828" s="9" t="n">
        <v>271.05</v>
      </c>
      <c r="Q2828" s="9" t="n">
        <v>270.25</v>
      </c>
      <c r="R2828" s="9" t="n">
        <v>320.04</v>
      </c>
      <c r="S2828" s="9" t="n">
        <v>292.34</v>
      </c>
      <c r="T2828" s="9" t="n">
        <v>299.61</v>
      </c>
      <c r="U2828" s="10">
        <f>SUM(I2828:T2828)</f>
        <v/>
      </c>
    </row>
    <row r="2829">
      <c r="A2829" s="2" t="inlineStr">
        <is>
          <t>SN-4000-4100-4100-4100PR0001</t>
        </is>
      </c>
      <c r="B2829" s="2" t="inlineStr">
        <is>
          <t>4100PR0001</t>
        </is>
      </c>
      <c r="C2829" s="2" t="inlineStr">
        <is>
          <t>Tablero de enchufes</t>
        </is>
      </c>
      <c r="D2829" s="2" t="n">
        <v>943</v>
      </c>
      <c r="E2829" s="2" t="inlineStr">
        <is>
          <t>CC-4000</t>
        </is>
      </c>
      <c r="F2829" s="2" t="inlineStr">
        <is>
          <t>P01</t>
        </is>
      </c>
      <c r="G2829" s="2" t="n">
        <v>620000</v>
      </c>
      <c r="H2829" s="2" t="inlineStr">
        <is>
          <t>Materiales</t>
        </is>
      </c>
      <c r="I2829" s="9" t="n">
        <v>336.56</v>
      </c>
      <c r="J2829" s="9" t="n">
        <v>315.18</v>
      </c>
      <c r="K2829" s="9" t="n">
        <v>316.48</v>
      </c>
      <c r="L2829" s="9" t="n">
        <v>347.92</v>
      </c>
      <c r="M2829" s="9" t="n">
        <v>319.13</v>
      </c>
      <c r="N2829" s="9" t="n">
        <v>311.33</v>
      </c>
      <c r="O2829" s="9" t="n">
        <v>346.11</v>
      </c>
      <c r="P2829" s="9" t="n">
        <v>345.43</v>
      </c>
      <c r="Q2829" s="9" t="n">
        <v>302.74</v>
      </c>
      <c r="R2829" s="9" t="n">
        <v>320.16</v>
      </c>
      <c r="S2829" s="9" t="n">
        <v>305.39</v>
      </c>
      <c r="T2829" s="9" t="n">
        <v>348.34</v>
      </c>
      <c r="U2829" s="10">
        <f>SUM(I2829:T2829)</f>
        <v/>
      </c>
    </row>
    <row r="2830">
      <c r="A2830" s="2" t="inlineStr">
        <is>
          <t>SN-4000-4100-4100-4100PR0001</t>
        </is>
      </c>
      <c r="B2830" s="2" t="inlineStr">
        <is>
          <t>4100PR0001</t>
        </is>
      </c>
      <c r="C2830" s="2" t="inlineStr">
        <is>
          <t>Tablero de enchufes</t>
        </is>
      </c>
      <c r="D2830" s="2" t="n">
        <v>943</v>
      </c>
      <c r="E2830" s="2" t="inlineStr">
        <is>
          <t>CC-4000</t>
        </is>
      </c>
      <c r="F2830" s="2" t="inlineStr">
        <is>
          <t>P01</t>
        </is>
      </c>
      <c r="G2830" s="2" t="n">
        <v>630000</v>
      </c>
      <c r="H2830" s="2" t="inlineStr">
        <is>
          <t>Servicios externos</t>
        </is>
      </c>
      <c r="I2830" s="9" t="n">
        <v>326.97</v>
      </c>
      <c r="J2830" s="9" t="n">
        <v>272.68</v>
      </c>
      <c r="K2830" s="9" t="n">
        <v>309.32</v>
      </c>
      <c r="L2830" s="9" t="n">
        <v>303.88</v>
      </c>
      <c r="M2830" s="9" t="n">
        <v>282.04</v>
      </c>
      <c r="N2830" s="9" t="n">
        <v>303.92</v>
      </c>
      <c r="O2830" s="9" t="n">
        <v>302.39</v>
      </c>
      <c r="P2830" s="9" t="n">
        <v>283.58</v>
      </c>
      <c r="Q2830" s="9" t="n">
        <v>270.97</v>
      </c>
      <c r="R2830" s="9" t="n">
        <v>331.18</v>
      </c>
      <c r="S2830" s="9" t="n">
        <v>277.83</v>
      </c>
      <c r="T2830" s="9" t="n">
        <v>319.28</v>
      </c>
      <c r="U2830" s="10">
        <f>SUM(I2830:T2830)</f>
        <v/>
      </c>
    </row>
    <row r="2831">
      <c r="A2831" s="2" t="inlineStr">
        <is>
          <t>SN-4000-4100-4100-4100PU0036</t>
        </is>
      </c>
      <c r="B2831" s="2" t="inlineStr">
        <is>
          <t>4100PU0036</t>
        </is>
      </c>
      <c r="C2831" s="2" t="inlineStr">
        <is>
          <t>Bomba duchas de emergencia</t>
        </is>
      </c>
      <c r="D2831" s="2" t="n">
        <v>944</v>
      </c>
      <c r="E2831" s="2" t="inlineStr">
        <is>
          <t>CC-4000</t>
        </is>
      </c>
      <c r="F2831" s="2" t="inlineStr">
        <is>
          <t>P01</t>
        </is>
      </c>
      <c r="G2831" s="2" t="n">
        <v>610000</v>
      </c>
      <c r="H2831" s="2" t="inlineStr">
        <is>
          <t>Mano obra interna</t>
        </is>
      </c>
      <c r="I2831" s="9" t="n">
        <v>1971.44</v>
      </c>
      <c r="J2831" s="9" t="n">
        <v>1864.12</v>
      </c>
      <c r="K2831" s="9" t="n">
        <v>1939.18</v>
      </c>
      <c r="L2831" s="9" t="n">
        <v>1985.5</v>
      </c>
      <c r="M2831" s="9" t="n">
        <v>2144.66</v>
      </c>
      <c r="N2831" s="9" t="n">
        <v>1794.1</v>
      </c>
      <c r="O2831" s="9" t="n">
        <v>1915.51</v>
      </c>
      <c r="P2831" s="9" t="n">
        <v>1932.02</v>
      </c>
      <c r="Q2831" s="9" t="n">
        <v>1903.68</v>
      </c>
      <c r="R2831" s="9" t="n">
        <v>2249.13</v>
      </c>
      <c r="S2831" s="9" t="n">
        <v>2021.01</v>
      </c>
      <c r="T2831" s="9" t="n">
        <v>1876.48</v>
      </c>
      <c r="U2831" s="10">
        <f>SUM(I2831:T2831)</f>
        <v/>
      </c>
    </row>
    <row r="2832">
      <c r="A2832" s="2" t="inlineStr">
        <is>
          <t>SN-4000-4100-4100-4100PU0036</t>
        </is>
      </c>
      <c r="B2832" s="2" t="inlineStr">
        <is>
          <t>4100PU0036</t>
        </is>
      </c>
      <c r="C2832" s="2" t="inlineStr">
        <is>
          <t>Bomba duchas de emergencia</t>
        </is>
      </c>
      <c r="D2832" s="2" t="n">
        <v>944</v>
      </c>
      <c r="E2832" s="2" t="inlineStr">
        <is>
          <t>CC-4000</t>
        </is>
      </c>
      <c r="F2832" s="2" t="inlineStr">
        <is>
          <t>P01</t>
        </is>
      </c>
      <c r="G2832" s="2" t="n">
        <v>620000</v>
      </c>
      <c r="H2832" s="2" t="inlineStr">
        <is>
          <t>Materiales</t>
        </is>
      </c>
      <c r="I2832" s="9" t="n">
        <v>2312.57</v>
      </c>
      <c r="J2832" s="9" t="n">
        <v>2191.51</v>
      </c>
      <c r="K2832" s="9" t="n">
        <v>2244.9</v>
      </c>
      <c r="L2832" s="9" t="n">
        <v>2375.78</v>
      </c>
      <c r="M2832" s="9" t="n">
        <v>2141.13</v>
      </c>
      <c r="N2832" s="9" t="n">
        <v>2029.81</v>
      </c>
      <c r="O2832" s="9" t="n">
        <v>2152.49</v>
      </c>
      <c r="P2832" s="9" t="n">
        <v>2195.87</v>
      </c>
      <c r="Q2832" s="9" t="n">
        <v>1971.05</v>
      </c>
      <c r="R2832" s="9" t="n">
        <v>2434.14</v>
      </c>
      <c r="S2832" s="9" t="n">
        <v>2280.12</v>
      </c>
      <c r="T2832" s="9" t="n">
        <v>2286.27</v>
      </c>
      <c r="U2832" s="10">
        <f>SUM(I2832:T2832)</f>
        <v/>
      </c>
    </row>
    <row r="2833">
      <c r="A2833" s="2" t="inlineStr">
        <is>
          <t>SN-4000-4100-4100-4100PU0036</t>
        </is>
      </c>
      <c r="B2833" s="2" t="inlineStr">
        <is>
          <t>4100PU0036</t>
        </is>
      </c>
      <c r="C2833" s="2" t="inlineStr">
        <is>
          <t>Bomba duchas de emergencia</t>
        </is>
      </c>
      <c r="D2833" s="2" t="n">
        <v>944</v>
      </c>
      <c r="E2833" s="2" t="inlineStr">
        <is>
          <t>CC-4000</t>
        </is>
      </c>
      <c r="F2833" s="2" t="inlineStr">
        <is>
          <t>P01</t>
        </is>
      </c>
      <c r="G2833" s="2" t="n">
        <v>630000</v>
      </c>
      <c r="H2833" s="2" t="inlineStr">
        <is>
          <t>Servicios externos</t>
        </is>
      </c>
      <c r="I2833" s="9" t="n">
        <v>2243.47</v>
      </c>
      <c r="J2833" s="9" t="n">
        <v>2148.24</v>
      </c>
      <c r="K2833" s="9" t="n">
        <v>2118.35</v>
      </c>
      <c r="L2833" s="9" t="n">
        <v>2179.99</v>
      </c>
      <c r="M2833" s="9" t="n">
        <v>2152.66</v>
      </c>
      <c r="N2833" s="9" t="n">
        <v>1924.15</v>
      </c>
      <c r="O2833" s="9" t="n">
        <v>2054.04</v>
      </c>
      <c r="P2833" s="9" t="n">
        <v>1964.2</v>
      </c>
      <c r="Q2833" s="9" t="n">
        <v>2105.37</v>
      </c>
      <c r="R2833" s="9" t="n">
        <v>2112.63</v>
      </c>
      <c r="S2833" s="9" t="n">
        <v>1923.31</v>
      </c>
      <c r="T2833" s="9" t="n">
        <v>2122.28</v>
      </c>
      <c r="U2833" s="10">
        <f>SUM(I2833:T2833)</f>
        <v/>
      </c>
    </row>
    <row r="2834">
      <c r="A2834" s="2" t="inlineStr">
        <is>
          <t>SN-4000-4100-4100-4100PU0343</t>
        </is>
      </c>
      <c r="B2834" s="2" t="inlineStr">
        <is>
          <t>4100PU0343</t>
        </is>
      </c>
      <c r="C2834" s="2" t="inlineStr">
        <is>
          <t>Bomba agua mina</t>
        </is>
      </c>
      <c r="D2834" s="2" t="n">
        <v>945</v>
      </c>
      <c r="E2834" s="2" t="inlineStr">
        <is>
          <t>CC-4000</t>
        </is>
      </c>
      <c r="F2834" s="2" t="inlineStr">
        <is>
          <t>P01</t>
        </is>
      </c>
      <c r="G2834" s="2" t="n">
        <v>610000</v>
      </c>
      <c r="H2834" s="2" t="inlineStr">
        <is>
          <t>Mano obra interna</t>
        </is>
      </c>
      <c r="I2834" s="9" t="n">
        <v>2049.64</v>
      </c>
      <c r="J2834" s="9" t="n">
        <v>2111.04</v>
      </c>
      <c r="K2834" s="9" t="n">
        <v>2179.92</v>
      </c>
      <c r="L2834" s="9" t="n">
        <v>2147.08</v>
      </c>
      <c r="M2834" s="9" t="n">
        <v>2146.2</v>
      </c>
      <c r="N2834" s="9" t="n">
        <v>1812.15</v>
      </c>
      <c r="O2834" s="9" t="n">
        <v>2197.29</v>
      </c>
      <c r="P2834" s="9" t="n">
        <v>2161.82</v>
      </c>
      <c r="Q2834" s="9" t="n">
        <v>2047.15</v>
      </c>
      <c r="R2834" s="9" t="n">
        <v>2320.46</v>
      </c>
      <c r="S2834" s="9" t="n">
        <v>2110.06</v>
      </c>
      <c r="T2834" s="9" t="n">
        <v>1986.6</v>
      </c>
      <c r="U2834" s="10">
        <f>SUM(I2834:T2834)</f>
        <v/>
      </c>
    </row>
    <row r="2835">
      <c r="A2835" s="2" t="inlineStr">
        <is>
          <t>SN-4000-4100-4100-4100PU0343</t>
        </is>
      </c>
      <c r="B2835" s="2" t="inlineStr">
        <is>
          <t>4100PU0343</t>
        </is>
      </c>
      <c r="C2835" s="2" t="inlineStr">
        <is>
          <t>Bomba agua mina</t>
        </is>
      </c>
      <c r="D2835" s="2" t="n">
        <v>945</v>
      </c>
      <c r="E2835" s="2" t="inlineStr">
        <is>
          <t>CC-4000</t>
        </is>
      </c>
      <c r="F2835" s="2" t="inlineStr">
        <is>
          <t>P01</t>
        </is>
      </c>
      <c r="G2835" s="2" t="n">
        <v>620000</v>
      </c>
      <c r="H2835" s="2" t="inlineStr">
        <is>
          <t>Materiales</t>
        </is>
      </c>
      <c r="I2835" s="9" t="n">
        <v>1713.5</v>
      </c>
      <c r="J2835" s="9" t="n">
        <v>1596.94</v>
      </c>
      <c r="K2835" s="9" t="n">
        <v>1849.92</v>
      </c>
      <c r="L2835" s="9" t="n">
        <v>1664.87</v>
      </c>
      <c r="M2835" s="9" t="n">
        <v>1589.2</v>
      </c>
      <c r="N2835" s="9" t="n">
        <v>1726.54</v>
      </c>
      <c r="O2835" s="9" t="n">
        <v>1842.47</v>
      </c>
      <c r="P2835" s="9" t="n">
        <v>1801.4</v>
      </c>
      <c r="Q2835" s="9" t="n">
        <v>1693.9</v>
      </c>
      <c r="R2835" s="9" t="n">
        <v>1893.84</v>
      </c>
      <c r="S2835" s="9" t="n">
        <v>1778.29</v>
      </c>
      <c r="T2835" s="9" t="n">
        <v>1754.4</v>
      </c>
      <c r="U2835" s="10">
        <f>SUM(I2835:T2835)</f>
        <v/>
      </c>
    </row>
    <row r="2836">
      <c r="A2836" s="2" t="inlineStr">
        <is>
          <t>SN-4000-4100-4100-4100PU0343</t>
        </is>
      </c>
      <c r="B2836" s="2" t="inlineStr">
        <is>
          <t>4100PU0343</t>
        </is>
      </c>
      <c r="C2836" s="2" t="inlineStr">
        <is>
          <t>Bomba agua mina</t>
        </is>
      </c>
      <c r="D2836" s="2" t="n">
        <v>945</v>
      </c>
      <c r="E2836" s="2" t="inlineStr">
        <is>
          <t>CC-4000</t>
        </is>
      </c>
      <c r="F2836" s="2" t="inlineStr">
        <is>
          <t>P01</t>
        </is>
      </c>
      <c r="G2836" s="2" t="n">
        <v>630000</v>
      </c>
      <c r="H2836" s="2" t="inlineStr">
        <is>
          <t>Servicios externos</t>
        </is>
      </c>
      <c r="I2836" s="9" t="n">
        <v>2038.17</v>
      </c>
      <c r="J2836" s="9" t="n">
        <v>2203.41</v>
      </c>
      <c r="K2836" s="9" t="n">
        <v>2249.04</v>
      </c>
      <c r="L2836" s="9" t="n">
        <v>2206.94</v>
      </c>
      <c r="M2836" s="9" t="n">
        <v>2186</v>
      </c>
      <c r="N2836" s="9" t="n">
        <v>2149.14</v>
      </c>
      <c r="O2836" s="9" t="n">
        <v>2256.63</v>
      </c>
      <c r="P2836" s="9" t="n">
        <v>2019.59</v>
      </c>
      <c r="Q2836" s="9" t="n">
        <v>1888.27</v>
      </c>
      <c r="R2836" s="9" t="n">
        <v>2121.04</v>
      </c>
      <c r="S2836" s="9" t="n">
        <v>1942.18</v>
      </c>
      <c r="T2836" s="9" t="n">
        <v>2081.75</v>
      </c>
      <c r="U2836" s="10">
        <f>SUM(I2836:T2836)</f>
        <v/>
      </c>
    </row>
    <row r="2837">
      <c r="A2837" s="2" t="inlineStr">
        <is>
          <t>SN-4000-4100-4100-4100PU0346</t>
        </is>
      </c>
      <c r="B2837" s="2" t="inlineStr">
        <is>
          <t>4100PU0346</t>
        </is>
      </c>
      <c r="C2837" s="2" t="inlineStr">
        <is>
          <t>Bomba agua caminos</t>
        </is>
      </c>
      <c r="D2837" s="2" t="n">
        <v>946</v>
      </c>
      <c r="E2837" s="2" t="inlineStr">
        <is>
          <t>CC-4000</t>
        </is>
      </c>
      <c r="F2837" s="2" t="inlineStr">
        <is>
          <t>P01</t>
        </is>
      </c>
      <c r="G2837" s="2" t="n">
        <v>610000</v>
      </c>
      <c r="H2837" s="2" t="inlineStr">
        <is>
          <t>Mano obra interna</t>
        </is>
      </c>
      <c r="I2837" s="9" t="n">
        <v>1623.5</v>
      </c>
      <c r="J2837" s="9" t="n">
        <v>1637.25</v>
      </c>
      <c r="K2837" s="9" t="n">
        <v>1643.51</v>
      </c>
      <c r="L2837" s="9" t="n">
        <v>1646.25</v>
      </c>
      <c r="M2837" s="9" t="n">
        <v>1481.7</v>
      </c>
      <c r="N2837" s="9" t="n">
        <v>1593.94</v>
      </c>
      <c r="O2837" s="9" t="n">
        <v>1663.23</v>
      </c>
      <c r="P2837" s="9" t="n">
        <v>1546.23</v>
      </c>
      <c r="Q2837" s="9" t="n">
        <v>1445.42</v>
      </c>
      <c r="R2837" s="9" t="n">
        <v>1644.53</v>
      </c>
      <c r="S2837" s="9" t="n">
        <v>1623.16</v>
      </c>
      <c r="T2837" s="9" t="n">
        <v>1684.28</v>
      </c>
      <c r="U2837" s="10">
        <f>SUM(I2837:T2837)</f>
        <v/>
      </c>
    </row>
    <row r="2838">
      <c r="A2838" s="2" t="inlineStr">
        <is>
          <t>SN-4000-4100-4100-4100PU0346</t>
        </is>
      </c>
      <c r="B2838" s="2" t="inlineStr">
        <is>
          <t>4100PU0346</t>
        </is>
      </c>
      <c r="C2838" s="2" t="inlineStr">
        <is>
          <t>Bomba agua caminos</t>
        </is>
      </c>
      <c r="D2838" s="2" t="n">
        <v>946</v>
      </c>
      <c r="E2838" s="2" t="inlineStr">
        <is>
          <t>CC-4000</t>
        </is>
      </c>
      <c r="F2838" s="2" t="inlineStr">
        <is>
          <t>P01</t>
        </is>
      </c>
      <c r="G2838" s="2" t="n">
        <v>620000</v>
      </c>
      <c r="H2838" s="2" t="inlineStr">
        <is>
          <t>Materiales</t>
        </is>
      </c>
      <c r="I2838" s="9" t="n">
        <v>1513.31</v>
      </c>
      <c r="J2838" s="9" t="n">
        <v>1443.64</v>
      </c>
      <c r="K2838" s="9" t="n">
        <v>1481.16</v>
      </c>
      <c r="L2838" s="9" t="n">
        <v>1466.21</v>
      </c>
      <c r="M2838" s="9" t="n">
        <v>1454.41</v>
      </c>
      <c r="N2838" s="9" t="n">
        <v>1384.56</v>
      </c>
      <c r="O2838" s="9" t="n">
        <v>1561.65</v>
      </c>
      <c r="P2838" s="9" t="n">
        <v>1510.8</v>
      </c>
      <c r="Q2838" s="9" t="n">
        <v>1427.43</v>
      </c>
      <c r="R2838" s="9" t="n">
        <v>1693.5</v>
      </c>
      <c r="S2838" s="9" t="n">
        <v>1535.77</v>
      </c>
      <c r="T2838" s="9" t="n">
        <v>1607.26</v>
      </c>
      <c r="U2838" s="10">
        <f>SUM(I2838:T2838)</f>
        <v/>
      </c>
    </row>
    <row r="2839">
      <c r="A2839" s="2" t="inlineStr">
        <is>
          <t>SN-4000-4100-4100-4100PU0346</t>
        </is>
      </c>
      <c r="B2839" s="2" t="inlineStr">
        <is>
          <t>4100PU0346</t>
        </is>
      </c>
      <c r="C2839" s="2" t="inlineStr">
        <is>
          <t>Bomba agua caminos</t>
        </is>
      </c>
      <c r="D2839" s="2" t="n">
        <v>946</v>
      </c>
      <c r="E2839" s="2" t="inlineStr">
        <is>
          <t>CC-4000</t>
        </is>
      </c>
      <c r="F2839" s="2" t="inlineStr">
        <is>
          <t>P01</t>
        </is>
      </c>
      <c r="G2839" s="2" t="n">
        <v>630000</v>
      </c>
      <c r="H2839" s="2" t="inlineStr">
        <is>
          <t>Servicios externos</t>
        </is>
      </c>
      <c r="I2839" s="9" t="n">
        <v>1449.46</v>
      </c>
      <c r="J2839" s="9" t="n">
        <v>1421.4</v>
      </c>
      <c r="K2839" s="9" t="n">
        <v>1354.55</v>
      </c>
      <c r="L2839" s="9" t="n">
        <v>1275.83</v>
      </c>
      <c r="M2839" s="9" t="n">
        <v>1424.35</v>
      </c>
      <c r="N2839" s="9" t="n">
        <v>1381.06</v>
      </c>
      <c r="O2839" s="9" t="n">
        <v>1256.21</v>
      </c>
      <c r="P2839" s="9" t="n">
        <v>1244.76</v>
      </c>
      <c r="Q2839" s="9" t="n">
        <v>1323.08</v>
      </c>
      <c r="R2839" s="9" t="n">
        <v>1412.59</v>
      </c>
      <c r="S2839" s="9" t="n">
        <v>1396.51</v>
      </c>
      <c r="T2839" s="9" t="n">
        <v>1310.7</v>
      </c>
      <c r="U2839" s="10">
        <f>SUM(I2839:T2839)</f>
        <v/>
      </c>
    </row>
    <row r="2840">
      <c r="A2840" s="2" t="inlineStr">
        <is>
          <t>SN-4000-4100-4100-4100PU0347</t>
        </is>
      </c>
      <c r="B2840" s="2" t="inlineStr">
        <is>
          <t>4100PU0347</t>
        </is>
      </c>
      <c r="C2840" s="2" t="inlineStr">
        <is>
          <t>Bomba agua potable</t>
        </is>
      </c>
      <c r="D2840" s="2" t="n">
        <v>947</v>
      </c>
      <c r="E2840" s="2" t="inlineStr">
        <is>
          <t>CC-4000</t>
        </is>
      </c>
      <c r="F2840" s="2" t="inlineStr">
        <is>
          <t>P01</t>
        </is>
      </c>
      <c r="G2840" s="2" t="n">
        <v>610000</v>
      </c>
      <c r="H2840" s="2" t="inlineStr">
        <is>
          <t>Mano obra interna</t>
        </is>
      </c>
      <c r="I2840" s="9" t="n">
        <v>1641.97</v>
      </c>
      <c r="J2840" s="9" t="n">
        <v>1636.36</v>
      </c>
      <c r="K2840" s="9" t="n">
        <v>1917.27</v>
      </c>
      <c r="L2840" s="9" t="n">
        <v>1689.83</v>
      </c>
      <c r="M2840" s="9" t="n">
        <v>1609.42</v>
      </c>
      <c r="N2840" s="9" t="n">
        <v>1746.15</v>
      </c>
      <c r="O2840" s="9" t="n">
        <v>1622.77</v>
      </c>
      <c r="P2840" s="9" t="n">
        <v>1615.2</v>
      </c>
      <c r="Q2840" s="9" t="n">
        <v>1562.82</v>
      </c>
      <c r="R2840" s="9" t="n">
        <v>1903.52</v>
      </c>
      <c r="S2840" s="9" t="n">
        <v>1728.9</v>
      </c>
      <c r="T2840" s="9" t="n">
        <v>1860.29</v>
      </c>
      <c r="U2840" s="10">
        <f>SUM(I2840:T2840)</f>
        <v/>
      </c>
    </row>
    <row r="2841">
      <c r="A2841" s="2" t="inlineStr">
        <is>
          <t>SN-4000-4100-4100-4100PU0347</t>
        </is>
      </c>
      <c r="B2841" s="2" t="inlineStr">
        <is>
          <t>4100PU0347</t>
        </is>
      </c>
      <c r="C2841" s="2" t="inlineStr">
        <is>
          <t>Bomba agua potable</t>
        </is>
      </c>
      <c r="D2841" s="2" t="n">
        <v>947</v>
      </c>
      <c r="E2841" s="2" t="inlineStr">
        <is>
          <t>CC-4000</t>
        </is>
      </c>
      <c r="F2841" s="2" t="inlineStr">
        <is>
          <t>P01</t>
        </is>
      </c>
      <c r="G2841" s="2" t="n">
        <v>620000</v>
      </c>
      <c r="H2841" s="2" t="inlineStr">
        <is>
          <t>Materiales</t>
        </is>
      </c>
      <c r="I2841" s="9" t="n">
        <v>1508.13</v>
      </c>
      <c r="J2841" s="9" t="n">
        <v>1446.78</v>
      </c>
      <c r="K2841" s="9" t="n">
        <v>1636.59</v>
      </c>
      <c r="L2841" s="9" t="n">
        <v>1591.11</v>
      </c>
      <c r="M2841" s="9" t="n">
        <v>1583.91</v>
      </c>
      <c r="N2841" s="9" t="n">
        <v>1543.63</v>
      </c>
      <c r="O2841" s="9" t="n">
        <v>1455.54</v>
      </c>
      <c r="P2841" s="9" t="n">
        <v>1508.98</v>
      </c>
      <c r="Q2841" s="9" t="n">
        <v>1428.59</v>
      </c>
      <c r="R2841" s="9" t="n">
        <v>1533.66</v>
      </c>
      <c r="S2841" s="9" t="n">
        <v>1350.99</v>
      </c>
      <c r="T2841" s="9" t="n">
        <v>1615.03</v>
      </c>
      <c r="U2841" s="10">
        <f>SUM(I2841:T2841)</f>
        <v/>
      </c>
    </row>
    <row r="2842">
      <c r="A2842" s="2" t="inlineStr">
        <is>
          <t>SN-4000-4100-4100-4100PU0347</t>
        </is>
      </c>
      <c r="B2842" s="2" t="inlineStr">
        <is>
          <t>4100PU0347</t>
        </is>
      </c>
      <c r="C2842" s="2" t="inlineStr">
        <is>
          <t>Bomba agua potable</t>
        </is>
      </c>
      <c r="D2842" s="2" t="n">
        <v>947</v>
      </c>
      <c r="E2842" s="2" t="inlineStr">
        <is>
          <t>CC-4000</t>
        </is>
      </c>
      <c r="F2842" s="2" t="inlineStr">
        <is>
          <t>P01</t>
        </is>
      </c>
      <c r="G2842" s="2" t="n">
        <v>630000</v>
      </c>
      <c r="H2842" s="2" t="inlineStr">
        <is>
          <t>Servicios externos</t>
        </is>
      </c>
      <c r="I2842" s="9" t="n">
        <v>1530.99</v>
      </c>
      <c r="J2842" s="9" t="n">
        <v>1473.32</v>
      </c>
      <c r="K2842" s="9" t="n">
        <v>1592.27</v>
      </c>
      <c r="L2842" s="9" t="n">
        <v>1429.66</v>
      </c>
      <c r="M2842" s="9" t="n">
        <v>1494.38</v>
      </c>
      <c r="N2842" s="9" t="n">
        <v>1410.87</v>
      </c>
      <c r="O2842" s="9" t="n">
        <v>1577.84</v>
      </c>
      <c r="P2842" s="9" t="n">
        <v>1486.48</v>
      </c>
      <c r="Q2842" s="9" t="n">
        <v>1478.26</v>
      </c>
      <c r="R2842" s="9" t="n">
        <v>1561.69</v>
      </c>
      <c r="S2842" s="9" t="n">
        <v>1542.82</v>
      </c>
      <c r="T2842" s="9" t="n">
        <v>1595.29</v>
      </c>
      <c r="U2842" s="10">
        <f>SUM(I2842:T2842)</f>
        <v/>
      </c>
    </row>
    <row r="2843">
      <c r="A2843" s="2" t="inlineStr">
        <is>
          <t>SN-4000-4100-4100-4100PU0361</t>
        </is>
      </c>
      <c r="B2843" s="2" t="inlineStr">
        <is>
          <t>4100PU0361</t>
        </is>
      </c>
      <c r="C2843" s="2" t="inlineStr">
        <is>
          <t>Bomba agua fresca</t>
        </is>
      </c>
      <c r="D2843" s="2" t="n">
        <v>948</v>
      </c>
      <c r="E2843" s="2" t="inlineStr">
        <is>
          <t>CC-4000</t>
        </is>
      </c>
      <c r="F2843" s="2" t="inlineStr">
        <is>
          <t>P01</t>
        </is>
      </c>
      <c r="G2843" s="2" t="n">
        <v>610000</v>
      </c>
      <c r="H2843" s="2" t="inlineStr">
        <is>
          <t>Mano obra interna</t>
        </is>
      </c>
      <c r="I2843" s="9" t="n">
        <v>2389.75</v>
      </c>
      <c r="J2843" s="9" t="n">
        <v>2313.9</v>
      </c>
      <c r="K2843" s="9" t="n">
        <v>2580.83</v>
      </c>
      <c r="L2843" s="9" t="n">
        <v>2481.51</v>
      </c>
      <c r="M2843" s="9" t="n">
        <v>2334.91</v>
      </c>
      <c r="N2843" s="9" t="n">
        <v>2341.64</v>
      </c>
      <c r="O2843" s="9" t="n">
        <v>2487.64</v>
      </c>
      <c r="P2843" s="9" t="n">
        <v>2212.42</v>
      </c>
      <c r="Q2843" s="9" t="n">
        <v>2084.94</v>
      </c>
      <c r="R2843" s="9" t="n">
        <v>2417.33</v>
      </c>
      <c r="S2843" s="9" t="n">
        <v>2220.98</v>
      </c>
      <c r="T2843" s="9" t="n">
        <v>2404.23</v>
      </c>
      <c r="U2843" s="10">
        <f>SUM(I2843:T2843)</f>
        <v/>
      </c>
    </row>
    <row r="2844">
      <c r="A2844" s="2" t="inlineStr">
        <is>
          <t>SN-4000-4100-4100-4100PU0361</t>
        </is>
      </c>
      <c r="B2844" s="2" t="inlineStr">
        <is>
          <t>4100PU0361</t>
        </is>
      </c>
      <c r="C2844" s="2" t="inlineStr">
        <is>
          <t>Bomba agua fresca</t>
        </is>
      </c>
      <c r="D2844" s="2" t="n">
        <v>948</v>
      </c>
      <c r="E2844" s="2" t="inlineStr">
        <is>
          <t>CC-4000</t>
        </is>
      </c>
      <c r="F2844" s="2" t="inlineStr">
        <is>
          <t>P01</t>
        </is>
      </c>
      <c r="G2844" s="2" t="n">
        <v>620000</v>
      </c>
      <c r="H2844" s="2" t="inlineStr">
        <is>
          <t>Materiales</t>
        </is>
      </c>
      <c r="I2844" s="9" t="n">
        <v>2416.94</v>
      </c>
      <c r="J2844" s="9" t="n">
        <v>2204.23</v>
      </c>
      <c r="K2844" s="9" t="n">
        <v>2495.45</v>
      </c>
      <c r="L2844" s="9" t="n">
        <v>2675.8</v>
      </c>
      <c r="M2844" s="9" t="n">
        <v>2342.3</v>
      </c>
      <c r="N2844" s="9" t="n">
        <v>2489.95</v>
      </c>
      <c r="O2844" s="9" t="n">
        <v>2271.69</v>
      </c>
      <c r="P2844" s="9" t="n">
        <v>2296.79</v>
      </c>
      <c r="Q2844" s="9" t="n">
        <v>2338.68</v>
      </c>
      <c r="R2844" s="9" t="n">
        <v>2616.09</v>
      </c>
      <c r="S2844" s="9" t="n">
        <v>2447.51</v>
      </c>
      <c r="T2844" s="9" t="n">
        <v>2604.55</v>
      </c>
      <c r="U2844" s="10">
        <f>SUM(I2844:T2844)</f>
        <v/>
      </c>
    </row>
    <row r="2845">
      <c r="A2845" s="2" t="inlineStr">
        <is>
          <t>SN-4000-4100-4100-4100PU0361</t>
        </is>
      </c>
      <c r="B2845" s="2" t="inlineStr">
        <is>
          <t>4100PU0361</t>
        </is>
      </c>
      <c r="C2845" s="2" t="inlineStr">
        <is>
          <t>Bomba agua fresca</t>
        </is>
      </c>
      <c r="D2845" s="2" t="n">
        <v>948</v>
      </c>
      <c r="E2845" s="2" t="inlineStr">
        <is>
          <t>CC-4000</t>
        </is>
      </c>
      <c r="F2845" s="2" t="inlineStr">
        <is>
          <t>P01</t>
        </is>
      </c>
      <c r="G2845" s="2" t="n">
        <v>630000</v>
      </c>
      <c r="H2845" s="2" t="inlineStr">
        <is>
          <t>Servicios externos</t>
        </is>
      </c>
      <c r="I2845" s="9" t="n">
        <v>2173.64</v>
      </c>
      <c r="J2845" s="9" t="n">
        <v>2072.49</v>
      </c>
      <c r="K2845" s="9" t="n">
        <v>2257.65</v>
      </c>
      <c r="L2845" s="9" t="n">
        <v>2090.7</v>
      </c>
      <c r="M2845" s="9" t="n">
        <v>1900.55</v>
      </c>
      <c r="N2845" s="9" t="n">
        <v>2001.33</v>
      </c>
      <c r="O2845" s="9" t="n">
        <v>2221.63</v>
      </c>
      <c r="P2845" s="9" t="n">
        <v>1906.66</v>
      </c>
      <c r="Q2845" s="9" t="n">
        <v>1845.71</v>
      </c>
      <c r="R2845" s="9" t="n">
        <v>2165.33</v>
      </c>
      <c r="S2845" s="9" t="n">
        <v>2087.85</v>
      </c>
      <c r="T2845" s="9" t="n">
        <v>2040.09</v>
      </c>
      <c r="U2845" s="10">
        <f>SUM(I2845:T2845)</f>
        <v/>
      </c>
    </row>
    <row r="2846">
      <c r="A2846" s="2" t="inlineStr">
        <is>
          <t>SN-4000-4100-4100-4100PU0495</t>
        </is>
      </c>
      <c r="B2846" s="2" t="inlineStr">
        <is>
          <t>4100PU0495</t>
        </is>
      </c>
      <c r="C2846" s="2" t="inlineStr">
        <is>
          <t>Bomba agua potable</t>
        </is>
      </c>
      <c r="D2846" s="2" t="n">
        <v>949</v>
      </c>
      <c r="E2846" s="2" t="inlineStr">
        <is>
          <t>CC-4000</t>
        </is>
      </c>
      <c r="F2846" s="2" t="inlineStr">
        <is>
          <t>P01</t>
        </is>
      </c>
      <c r="G2846" s="2" t="n">
        <v>610000</v>
      </c>
      <c r="H2846" s="2" t="inlineStr">
        <is>
          <t>Mano obra interna</t>
        </is>
      </c>
      <c r="I2846" s="9" t="n">
        <v>202.86</v>
      </c>
      <c r="J2846" s="9" t="n">
        <v>177.29</v>
      </c>
      <c r="K2846" s="9" t="n">
        <v>189.7</v>
      </c>
      <c r="L2846" s="9" t="n">
        <v>195.47</v>
      </c>
      <c r="M2846" s="9" t="n">
        <v>187.66</v>
      </c>
      <c r="N2846" s="9" t="n">
        <v>181.04</v>
      </c>
      <c r="O2846" s="9" t="n">
        <v>182.03</v>
      </c>
      <c r="P2846" s="9" t="n">
        <v>189.64</v>
      </c>
      <c r="Q2846" s="9" t="n">
        <v>189.31</v>
      </c>
      <c r="R2846" s="9" t="n">
        <v>206.45</v>
      </c>
      <c r="S2846" s="9" t="n">
        <v>190.5</v>
      </c>
      <c r="T2846" s="9" t="n">
        <v>186.39</v>
      </c>
      <c r="U2846" s="10">
        <f>SUM(I2846:T2846)</f>
        <v/>
      </c>
    </row>
    <row r="2847">
      <c r="A2847" s="2" t="inlineStr">
        <is>
          <t>SN-4000-4100-4100-4100PU0495</t>
        </is>
      </c>
      <c r="B2847" s="2" t="inlineStr">
        <is>
          <t>4100PU0495</t>
        </is>
      </c>
      <c r="C2847" s="2" t="inlineStr">
        <is>
          <t>Bomba agua potable</t>
        </is>
      </c>
      <c r="D2847" s="2" t="n">
        <v>949</v>
      </c>
      <c r="E2847" s="2" t="inlineStr">
        <is>
          <t>CC-4000</t>
        </is>
      </c>
      <c r="F2847" s="2" t="inlineStr">
        <is>
          <t>P01</t>
        </is>
      </c>
      <c r="G2847" s="2" t="n">
        <v>620000</v>
      </c>
      <c r="H2847" s="2" t="inlineStr">
        <is>
          <t>Materiales</t>
        </is>
      </c>
      <c r="I2847" s="9" t="n">
        <v>184.63</v>
      </c>
      <c r="J2847" s="9" t="n">
        <v>163.38</v>
      </c>
      <c r="K2847" s="9" t="n">
        <v>171.68</v>
      </c>
      <c r="L2847" s="9" t="n">
        <v>184.78</v>
      </c>
      <c r="M2847" s="9" t="n">
        <v>174.34</v>
      </c>
      <c r="N2847" s="9" t="n">
        <v>169.69</v>
      </c>
      <c r="O2847" s="9" t="n">
        <v>175.54</v>
      </c>
      <c r="P2847" s="9" t="n">
        <v>159.62</v>
      </c>
      <c r="Q2847" s="9" t="n">
        <v>170.34</v>
      </c>
      <c r="R2847" s="9" t="n">
        <v>195.9</v>
      </c>
      <c r="S2847" s="9" t="n">
        <v>158.08</v>
      </c>
      <c r="T2847" s="9" t="n">
        <v>181.44</v>
      </c>
      <c r="U2847" s="10">
        <f>SUM(I2847:T2847)</f>
        <v/>
      </c>
    </row>
    <row r="2848">
      <c r="A2848" s="2" t="inlineStr">
        <is>
          <t>SN-4000-4100-4100-4100PU0495</t>
        </is>
      </c>
      <c r="B2848" s="2" t="inlineStr">
        <is>
          <t>4100PU0495</t>
        </is>
      </c>
      <c r="C2848" s="2" t="inlineStr">
        <is>
          <t>Bomba agua potable</t>
        </is>
      </c>
      <c r="D2848" s="2" t="n">
        <v>949</v>
      </c>
      <c r="E2848" s="2" t="inlineStr">
        <is>
          <t>CC-4000</t>
        </is>
      </c>
      <c r="F2848" s="2" t="inlineStr">
        <is>
          <t>P01</t>
        </is>
      </c>
      <c r="G2848" s="2" t="n">
        <v>630000</v>
      </c>
      <c r="H2848" s="2" t="inlineStr">
        <is>
          <t>Servicios externos</t>
        </is>
      </c>
      <c r="I2848" s="9" t="n">
        <v>205.29</v>
      </c>
      <c r="J2848" s="9" t="n">
        <v>182.11</v>
      </c>
      <c r="K2848" s="9" t="n">
        <v>202.78</v>
      </c>
      <c r="L2848" s="9" t="n">
        <v>187.74</v>
      </c>
      <c r="M2848" s="9" t="n">
        <v>194.46</v>
      </c>
      <c r="N2848" s="9" t="n">
        <v>179.11</v>
      </c>
      <c r="O2848" s="9" t="n">
        <v>193.96</v>
      </c>
      <c r="P2848" s="9" t="n">
        <v>200.46</v>
      </c>
      <c r="Q2848" s="9" t="n">
        <v>192.83</v>
      </c>
      <c r="R2848" s="9" t="n">
        <v>199.4</v>
      </c>
      <c r="S2848" s="9" t="n">
        <v>201.02</v>
      </c>
      <c r="T2848" s="9" t="n">
        <v>194.77</v>
      </c>
      <c r="U2848" s="10">
        <f>SUM(I2848:T2848)</f>
        <v/>
      </c>
    </row>
    <row r="2849">
      <c r="A2849" s="2" t="inlineStr">
        <is>
          <t>SN-4000-4100-4100-4100PU0524</t>
        </is>
      </c>
      <c r="B2849" s="2" t="inlineStr">
        <is>
          <t>4100PU0524</t>
        </is>
      </c>
      <c r="C2849" s="2" t="inlineStr">
        <is>
          <t>Bomba agua mina</t>
        </is>
      </c>
      <c r="D2849" s="2" t="n">
        <v>950</v>
      </c>
      <c r="E2849" s="2" t="inlineStr">
        <is>
          <t>CC-4000</t>
        </is>
      </c>
      <c r="F2849" s="2" t="inlineStr">
        <is>
          <t>P01</t>
        </is>
      </c>
      <c r="G2849" s="2" t="n">
        <v>610000</v>
      </c>
      <c r="H2849" s="2" t="inlineStr">
        <is>
          <t>Mano obra interna</t>
        </is>
      </c>
      <c r="I2849" s="9" t="n">
        <v>781.39</v>
      </c>
      <c r="J2849" s="9" t="n">
        <v>795.9299999999999</v>
      </c>
      <c r="K2849" s="9" t="n">
        <v>808.6</v>
      </c>
      <c r="L2849" s="9" t="n">
        <v>781.83</v>
      </c>
      <c r="M2849" s="9" t="n">
        <v>733.3200000000001</v>
      </c>
      <c r="N2849" s="9" t="n">
        <v>785.13</v>
      </c>
      <c r="O2849" s="9" t="n">
        <v>801.04</v>
      </c>
      <c r="P2849" s="9" t="n">
        <v>748.8200000000001</v>
      </c>
      <c r="Q2849" s="9" t="n">
        <v>673.1799999999999</v>
      </c>
      <c r="R2849" s="9" t="n">
        <v>860.66</v>
      </c>
      <c r="S2849" s="9" t="n">
        <v>797.47</v>
      </c>
      <c r="T2849" s="9" t="n">
        <v>747.83</v>
      </c>
      <c r="U2849" s="10">
        <f>SUM(I2849:T2849)</f>
        <v/>
      </c>
    </row>
    <row r="2850">
      <c r="A2850" s="2" t="inlineStr">
        <is>
          <t>SN-4000-4100-4100-4100PU0524</t>
        </is>
      </c>
      <c r="B2850" s="2" t="inlineStr">
        <is>
          <t>4100PU0524</t>
        </is>
      </c>
      <c r="C2850" s="2" t="inlineStr">
        <is>
          <t>Bomba agua mina</t>
        </is>
      </c>
      <c r="D2850" s="2" t="n">
        <v>950</v>
      </c>
      <c r="E2850" s="2" t="inlineStr">
        <is>
          <t>CC-4000</t>
        </is>
      </c>
      <c r="F2850" s="2" t="inlineStr">
        <is>
          <t>P01</t>
        </is>
      </c>
      <c r="G2850" s="2" t="n">
        <v>620000</v>
      </c>
      <c r="H2850" s="2" t="inlineStr">
        <is>
          <t>Materiales</t>
        </is>
      </c>
      <c r="I2850" s="9" t="n">
        <v>723.74</v>
      </c>
      <c r="J2850" s="9" t="n">
        <v>796.48</v>
      </c>
      <c r="K2850" s="9" t="n">
        <v>808.5700000000001</v>
      </c>
      <c r="L2850" s="9" t="n">
        <v>751.87</v>
      </c>
      <c r="M2850" s="9" t="n">
        <v>723.03</v>
      </c>
      <c r="N2850" s="9" t="n">
        <v>737.58</v>
      </c>
      <c r="O2850" s="9" t="n">
        <v>765.79</v>
      </c>
      <c r="P2850" s="9" t="n">
        <v>804.11</v>
      </c>
      <c r="Q2850" s="9" t="n">
        <v>731.9400000000001</v>
      </c>
      <c r="R2850" s="9" t="n">
        <v>818.5599999999999</v>
      </c>
      <c r="S2850" s="9" t="n">
        <v>780.02</v>
      </c>
      <c r="T2850" s="9" t="n">
        <v>776.72</v>
      </c>
      <c r="U2850" s="10">
        <f>SUM(I2850:T2850)</f>
        <v/>
      </c>
    </row>
    <row r="2851">
      <c r="A2851" s="2" t="inlineStr">
        <is>
          <t>SN-4000-4100-4100-4100PU0524</t>
        </is>
      </c>
      <c r="B2851" s="2" t="inlineStr">
        <is>
          <t>4100PU0524</t>
        </is>
      </c>
      <c r="C2851" s="2" t="inlineStr">
        <is>
          <t>Bomba agua mina</t>
        </is>
      </c>
      <c r="D2851" s="2" t="n">
        <v>950</v>
      </c>
      <c r="E2851" s="2" t="inlineStr">
        <is>
          <t>CC-4000</t>
        </is>
      </c>
      <c r="F2851" s="2" t="inlineStr">
        <is>
          <t>P01</t>
        </is>
      </c>
      <c r="G2851" s="2" t="n">
        <v>630000</v>
      </c>
      <c r="H2851" s="2" t="inlineStr">
        <is>
          <t>Servicios externos</t>
        </is>
      </c>
      <c r="I2851" s="9" t="n">
        <v>813.61</v>
      </c>
      <c r="J2851" s="9" t="n">
        <v>794.25</v>
      </c>
      <c r="K2851" s="9" t="n">
        <v>725.75</v>
      </c>
      <c r="L2851" s="9" t="n">
        <v>782.79</v>
      </c>
      <c r="M2851" s="9" t="n">
        <v>744.17</v>
      </c>
      <c r="N2851" s="9" t="n">
        <v>721.48</v>
      </c>
      <c r="O2851" s="9" t="n">
        <v>751.26</v>
      </c>
      <c r="P2851" s="9" t="n">
        <v>795.99</v>
      </c>
      <c r="Q2851" s="9" t="n">
        <v>683.09</v>
      </c>
      <c r="R2851" s="9" t="n">
        <v>810.1900000000001</v>
      </c>
      <c r="S2851" s="9" t="n">
        <v>696.6</v>
      </c>
      <c r="T2851" s="9" t="n">
        <v>736.53</v>
      </c>
      <c r="U2851" s="10">
        <f>SUM(I2851:T2851)</f>
        <v/>
      </c>
    </row>
    <row r="2852">
      <c r="A2852" s="2" t="inlineStr">
        <is>
          <t>SN-4000-4100-4100-4100PU0525</t>
        </is>
      </c>
      <c r="B2852" s="2" t="inlineStr">
        <is>
          <t>4100PU0525</t>
        </is>
      </c>
      <c r="C2852" s="2" t="inlineStr">
        <is>
          <t>Bomba agua caminos</t>
        </is>
      </c>
      <c r="D2852" s="2" t="n">
        <v>951</v>
      </c>
      <c r="E2852" s="2" t="inlineStr">
        <is>
          <t>CC-4000</t>
        </is>
      </c>
      <c r="F2852" s="2" t="inlineStr">
        <is>
          <t>P01</t>
        </is>
      </c>
      <c r="G2852" s="2" t="n">
        <v>610000</v>
      </c>
      <c r="H2852" s="2" t="inlineStr">
        <is>
          <t>Mano obra interna</t>
        </is>
      </c>
      <c r="I2852" s="9" t="n">
        <v>1490.62</v>
      </c>
      <c r="J2852" s="9" t="n">
        <v>1455.44</v>
      </c>
      <c r="K2852" s="9" t="n">
        <v>1611.93</v>
      </c>
      <c r="L2852" s="9" t="n">
        <v>1473.76</v>
      </c>
      <c r="M2852" s="9" t="n">
        <v>1447.54</v>
      </c>
      <c r="N2852" s="9" t="n">
        <v>1573.64</v>
      </c>
      <c r="O2852" s="9" t="n">
        <v>1642.41</v>
      </c>
      <c r="P2852" s="9" t="n">
        <v>1516.5</v>
      </c>
      <c r="Q2852" s="9" t="n">
        <v>1412.78</v>
      </c>
      <c r="R2852" s="9" t="n">
        <v>1794.67</v>
      </c>
      <c r="S2852" s="9" t="n">
        <v>1391.6</v>
      </c>
      <c r="T2852" s="9" t="n">
        <v>1598.89</v>
      </c>
      <c r="U2852" s="10">
        <f>SUM(I2852:T2852)</f>
        <v/>
      </c>
    </row>
    <row r="2853">
      <c r="A2853" s="2" t="inlineStr">
        <is>
          <t>SN-4000-4100-4100-4100PU0525</t>
        </is>
      </c>
      <c r="B2853" s="2" t="inlineStr">
        <is>
          <t>4100PU0525</t>
        </is>
      </c>
      <c r="C2853" s="2" t="inlineStr">
        <is>
          <t>Bomba agua caminos</t>
        </is>
      </c>
      <c r="D2853" s="2" t="n">
        <v>951</v>
      </c>
      <c r="E2853" s="2" t="inlineStr">
        <is>
          <t>CC-4000</t>
        </is>
      </c>
      <c r="F2853" s="2" t="inlineStr">
        <is>
          <t>P01</t>
        </is>
      </c>
      <c r="G2853" s="2" t="n">
        <v>620000</v>
      </c>
      <c r="H2853" s="2" t="inlineStr">
        <is>
          <t>Materiales</t>
        </is>
      </c>
      <c r="I2853" s="9" t="n">
        <v>1541.79</v>
      </c>
      <c r="J2853" s="9" t="n">
        <v>1524.72</v>
      </c>
      <c r="K2853" s="9" t="n">
        <v>1455.13</v>
      </c>
      <c r="L2853" s="9" t="n">
        <v>1460.95</v>
      </c>
      <c r="M2853" s="9" t="n">
        <v>1468.03</v>
      </c>
      <c r="N2853" s="9" t="n">
        <v>1483.57</v>
      </c>
      <c r="O2853" s="9" t="n">
        <v>1534.77</v>
      </c>
      <c r="P2853" s="9" t="n">
        <v>1481.29</v>
      </c>
      <c r="Q2853" s="9" t="n">
        <v>1420.71</v>
      </c>
      <c r="R2853" s="9" t="n">
        <v>1453.7</v>
      </c>
      <c r="S2853" s="9" t="n">
        <v>1370.21</v>
      </c>
      <c r="T2853" s="9" t="n">
        <v>1351.09</v>
      </c>
      <c r="U2853" s="10">
        <f>SUM(I2853:T2853)</f>
        <v/>
      </c>
    </row>
    <row r="2854">
      <c r="A2854" s="2" t="inlineStr">
        <is>
          <t>SN-4000-4100-4100-4100PU0525</t>
        </is>
      </c>
      <c r="B2854" s="2" t="inlineStr">
        <is>
          <t>4100PU0525</t>
        </is>
      </c>
      <c r="C2854" s="2" t="inlineStr">
        <is>
          <t>Bomba agua caminos</t>
        </is>
      </c>
      <c r="D2854" s="2" t="n">
        <v>951</v>
      </c>
      <c r="E2854" s="2" t="inlineStr">
        <is>
          <t>CC-4000</t>
        </is>
      </c>
      <c r="F2854" s="2" t="inlineStr">
        <is>
          <t>P01</t>
        </is>
      </c>
      <c r="G2854" s="2" t="n">
        <v>630000</v>
      </c>
      <c r="H2854" s="2" t="inlineStr">
        <is>
          <t>Servicios externos</t>
        </is>
      </c>
      <c r="I2854" s="9" t="n">
        <v>1326.99</v>
      </c>
      <c r="J2854" s="9" t="n">
        <v>1331.39</v>
      </c>
      <c r="K2854" s="9" t="n">
        <v>1341.5</v>
      </c>
      <c r="L2854" s="9" t="n">
        <v>1335.56</v>
      </c>
      <c r="M2854" s="9" t="n">
        <v>1180.26</v>
      </c>
      <c r="N2854" s="9" t="n">
        <v>1249.48</v>
      </c>
      <c r="O2854" s="9" t="n">
        <v>1264.58</v>
      </c>
      <c r="P2854" s="9" t="n">
        <v>1303.19</v>
      </c>
      <c r="Q2854" s="9" t="n">
        <v>1152.33</v>
      </c>
      <c r="R2854" s="9" t="n">
        <v>1391.07</v>
      </c>
      <c r="S2854" s="9" t="n">
        <v>1217.67</v>
      </c>
      <c r="T2854" s="9" t="n">
        <v>1304.34</v>
      </c>
      <c r="U2854" s="10">
        <f>SUM(I2854:T2854)</f>
        <v/>
      </c>
    </row>
    <row r="2855">
      <c r="A2855" s="2" t="inlineStr">
        <is>
          <t>SN-4000-4100-4100-4100PU0535</t>
        </is>
      </c>
      <c r="B2855" s="2" t="inlineStr">
        <is>
          <t>4100PU0535</t>
        </is>
      </c>
      <c r="C2855" s="2" t="inlineStr">
        <is>
          <t>Bomba sumidero</t>
        </is>
      </c>
      <c r="D2855" s="2" t="n">
        <v>952</v>
      </c>
      <c r="E2855" s="2" t="inlineStr">
        <is>
          <t>CC-4000</t>
        </is>
      </c>
      <c r="F2855" s="2" t="inlineStr">
        <is>
          <t>P01</t>
        </is>
      </c>
      <c r="G2855" s="2" t="n">
        <v>610000</v>
      </c>
      <c r="H2855" s="2" t="inlineStr">
        <is>
          <t>Mano obra interna</t>
        </is>
      </c>
      <c r="I2855" s="9" t="n">
        <v>1524.05</v>
      </c>
      <c r="J2855" s="9" t="n">
        <v>1465.17</v>
      </c>
      <c r="K2855" s="9" t="n">
        <v>1625.51</v>
      </c>
      <c r="L2855" s="9" t="n">
        <v>1602.95</v>
      </c>
      <c r="M2855" s="9" t="n">
        <v>1600.82</v>
      </c>
      <c r="N2855" s="9" t="n">
        <v>1482.2</v>
      </c>
      <c r="O2855" s="9" t="n">
        <v>1473.85</v>
      </c>
      <c r="P2855" s="9" t="n">
        <v>1585.85</v>
      </c>
      <c r="Q2855" s="9" t="n">
        <v>1412.61</v>
      </c>
      <c r="R2855" s="9" t="n">
        <v>1557.01</v>
      </c>
      <c r="S2855" s="9" t="n">
        <v>1527.93</v>
      </c>
      <c r="T2855" s="9" t="n">
        <v>1450.19</v>
      </c>
      <c r="U2855" s="10">
        <f>SUM(I2855:T2855)</f>
        <v/>
      </c>
    </row>
    <row r="2856">
      <c r="A2856" s="2" t="inlineStr">
        <is>
          <t>SN-4000-4100-4100-4100PU0535</t>
        </is>
      </c>
      <c r="B2856" s="2" t="inlineStr">
        <is>
          <t>4100PU0535</t>
        </is>
      </c>
      <c r="C2856" s="2" t="inlineStr">
        <is>
          <t>Bomba sumidero</t>
        </is>
      </c>
      <c r="D2856" s="2" t="n">
        <v>952</v>
      </c>
      <c r="E2856" s="2" t="inlineStr">
        <is>
          <t>CC-4000</t>
        </is>
      </c>
      <c r="F2856" s="2" t="inlineStr">
        <is>
          <t>P01</t>
        </is>
      </c>
      <c r="G2856" s="2" t="n">
        <v>620000</v>
      </c>
      <c r="H2856" s="2" t="inlineStr">
        <is>
          <t>Materiales</t>
        </is>
      </c>
      <c r="I2856" s="9" t="n">
        <v>1554.01</v>
      </c>
      <c r="J2856" s="9" t="n">
        <v>1501.85</v>
      </c>
      <c r="K2856" s="9" t="n">
        <v>1578.17</v>
      </c>
      <c r="L2856" s="9" t="n">
        <v>1444.58</v>
      </c>
      <c r="M2856" s="9" t="n">
        <v>1531.49</v>
      </c>
      <c r="N2856" s="9" t="n">
        <v>1447.33</v>
      </c>
      <c r="O2856" s="9" t="n">
        <v>1540.57</v>
      </c>
      <c r="P2856" s="9" t="n">
        <v>1509.42</v>
      </c>
      <c r="Q2856" s="9" t="n">
        <v>1378.05</v>
      </c>
      <c r="R2856" s="9" t="n">
        <v>1477.88</v>
      </c>
      <c r="S2856" s="9" t="n">
        <v>1462.84</v>
      </c>
      <c r="T2856" s="9" t="n">
        <v>1528.67</v>
      </c>
      <c r="U2856" s="10">
        <f>SUM(I2856:T2856)</f>
        <v/>
      </c>
    </row>
    <row r="2857">
      <c r="A2857" s="2" t="inlineStr">
        <is>
          <t>SN-4000-4100-4100-4100PU0535</t>
        </is>
      </c>
      <c r="B2857" s="2" t="inlineStr">
        <is>
          <t>4100PU0535</t>
        </is>
      </c>
      <c r="C2857" s="2" t="inlineStr">
        <is>
          <t>Bomba sumidero</t>
        </is>
      </c>
      <c r="D2857" s="2" t="n">
        <v>952</v>
      </c>
      <c r="E2857" s="2" t="inlineStr">
        <is>
          <t>CC-4000</t>
        </is>
      </c>
      <c r="F2857" s="2" t="inlineStr">
        <is>
          <t>P01</t>
        </is>
      </c>
      <c r="G2857" s="2" t="n">
        <v>630000</v>
      </c>
      <c r="H2857" s="2" t="inlineStr">
        <is>
          <t>Servicios externos</t>
        </is>
      </c>
      <c r="I2857" s="9" t="n">
        <v>1666.01</v>
      </c>
      <c r="J2857" s="9" t="n">
        <v>1561.34</v>
      </c>
      <c r="K2857" s="9" t="n">
        <v>1637.84</v>
      </c>
      <c r="L2857" s="9" t="n">
        <v>1573.27</v>
      </c>
      <c r="M2857" s="9" t="n">
        <v>1460.96</v>
      </c>
      <c r="N2857" s="9" t="n">
        <v>1435.47</v>
      </c>
      <c r="O2857" s="9" t="n">
        <v>1641.04</v>
      </c>
      <c r="P2857" s="9" t="n">
        <v>1514.01</v>
      </c>
      <c r="Q2857" s="9" t="n">
        <v>1347.36</v>
      </c>
      <c r="R2857" s="9" t="n">
        <v>1830.86</v>
      </c>
      <c r="S2857" s="9" t="n">
        <v>1451.95</v>
      </c>
      <c r="T2857" s="9" t="n">
        <v>1635.68</v>
      </c>
      <c r="U2857" s="10">
        <f>SUM(I2857:T2857)</f>
        <v/>
      </c>
    </row>
    <row r="2858">
      <c r="A2858" s="2" t="inlineStr">
        <is>
          <t>SN-4000-4100-4100-4100SY0036</t>
        </is>
      </c>
      <c r="B2858" s="2" t="inlineStr">
        <is>
          <t>4100SY0036</t>
        </is>
      </c>
      <c r="C2858" s="2" t="inlineStr">
        <is>
          <t>Ducha y lava ojos emergencia</t>
        </is>
      </c>
      <c r="D2858" s="2" t="n">
        <v>953</v>
      </c>
      <c r="E2858" s="2" t="inlineStr">
        <is>
          <t>CC-4000</t>
        </is>
      </c>
      <c r="F2858" s="2" t="inlineStr">
        <is>
          <t>P01</t>
        </is>
      </c>
      <c r="G2858" s="2" t="n">
        <v>610000</v>
      </c>
      <c r="H2858" s="2" t="inlineStr">
        <is>
          <t>Mano obra interna</t>
        </is>
      </c>
      <c r="I2858" s="9" t="n">
        <v>1360.66</v>
      </c>
      <c r="J2858" s="9" t="n">
        <v>1353.9</v>
      </c>
      <c r="K2858" s="9" t="n">
        <v>1456.61</v>
      </c>
      <c r="L2858" s="9" t="n">
        <v>1418.18</v>
      </c>
      <c r="M2858" s="9" t="n">
        <v>1310.4</v>
      </c>
      <c r="N2858" s="9" t="n">
        <v>1226.95</v>
      </c>
      <c r="O2858" s="9" t="n">
        <v>1308.85</v>
      </c>
      <c r="P2858" s="9" t="n">
        <v>1382.66</v>
      </c>
      <c r="Q2858" s="9" t="n">
        <v>1290.3</v>
      </c>
      <c r="R2858" s="9" t="n">
        <v>1493.12</v>
      </c>
      <c r="S2858" s="9" t="n">
        <v>1289.8</v>
      </c>
      <c r="T2858" s="9" t="n">
        <v>1326.51</v>
      </c>
      <c r="U2858" s="10">
        <f>SUM(I2858:T2858)</f>
        <v/>
      </c>
    </row>
    <row r="2859">
      <c r="A2859" s="2" t="inlineStr">
        <is>
          <t>SN-4000-4100-4100-4100SY0036</t>
        </is>
      </c>
      <c r="B2859" s="2" t="inlineStr">
        <is>
          <t>4100SY0036</t>
        </is>
      </c>
      <c r="C2859" s="2" t="inlineStr">
        <is>
          <t>Ducha y lava ojos emergencia</t>
        </is>
      </c>
      <c r="D2859" s="2" t="n">
        <v>953</v>
      </c>
      <c r="E2859" s="2" t="inlineStr">
        <is>
          <t>CC-4000</t>
        </is>
      </c>
      <c r="F2859" s="2" t="inlineStr">
        <is>
          <t>P01</t>
        </is>
      </c>
      <c r="G2859" s="2" t="n">
        <v>620000</v>
      </c>
      <c r="H2859" s="2" t="inlineStr">
        <is>
          <t>Materiales</t>
        </is>
      </c>
      <c r="I2859" s="9" t="n">
        <v>1040.26</v>
      </c>
      <c r="J2859" s="9" t="n">
        <v>1136.36</v>
      </c>
      <c r="K2859" s="9" t="n">
        <v>1101.26</v>
      </c>
      <c r="L2859" s="9" t="n">
        <v>1100.55</v>
      </c>
      <c r="M2859" s="9" t="n">
        <v>1155.74</v>
      </c>
      <c r="N2859" s="9" t="n">
        <v>982.53</v>
      </c>
      <c r="O2859" s="9" t="n">
        <v>1183.26</v>
      </c>
      <c r="P2859" s="9" t="n">
        <v>1017.9</v>
      </c>
      <c r="Q2859" s="9" t="n">
        <v>1102.87</v>
      </c>
      <c r="R2859" s="9" t="n">
        <v>1185.16</v>
      </c>
      <c r="S2859" s="9" t="n">
        <v>1003.41</v>
      </c>
      <c r="T2859" s="9" t="n">
        <v>1154.72</v>
      </c>
      <c r="U2859" s="10">
        <f>SUM(I2859:T2859)</f>
        <v/>
      </c>
    </row>
    <row r="2860">
      <c r="A2860" s="2" t="inlineStr">
        <is>
          <t>SN-4000-4100-4100-4100SY0036</t>
        </is>
      </c>
      <c r="B2860" s="2" t="inlineStr">
        <is>
          <t>4100SY0036</t>
        </is>
      </c>
      <c r="C2860" s="2" t="inlineStr">
        <is>
          <t>Ducha y lava ojos emergencia</t>
        </is>
      </c>
      <c r="D2860" s="2" t="n">
        <v>953</v>
      </c>
      <c r="E2860" s="2" t="inlineStr">
        <is>
          <t>CC-4000</t>
        </is>
      </c>
      <c r="F2860" s="2" t="inlineStr">
        <is>
          <t>P01</t>
        </is>
      </c>
      <c r="G2860" s="2" t="n">
        <v>630000</v>
      </c>
      <c r="H2860" s="2" t="inlineStr">
        <is>
          <t>Servicios externos</t>
        </is>
      </c>
      <c r="I2860" s="9" t="n">
        <v>1326.61</v>
      </c>
      <c r="J2860" s="9" t="n">
        <v>1332.23</v>
      </c>
      <c r="K2860" s="9" t="n">
        <v>1457.91</v>
      </c>
      <c r="L2860" s="9" t="n">
        <v>1285.81</v>
      </c>
      <c r="M2860" s="9" t="n">
        <v>1365.55</v>
      </c>
      <c r="N2860" s="9" t="n">
        <v>1213.75</v>
      </c>
      <c r="O2860" s="9" t="n">
        <v>1297.65</v>
      </c>
      <c r="P2860" s="9" t="n">
        <v>1265.75</v>
      </c>
      <c r="Q2860" s="9" t="n">
        <v>1211.25</v>
      </c>
      <c r="R2860" s="9" t="n">
        <v>1303.38</v>
      </c>
      <c r="S2860" s="9" t="n">
        <v>1230.65</v>
      </c>
      <c r="T2860" s="9" t="n">
        <v>1320.36</v>
      </c>
      <c r="U2860" s="10">
        <f>SUM(I2860:T2860)</f>
        <v/>
      </c>
    </row>
    <row r="2861">
      <c r="A2861" s="2" t="inlineStr">
        <is>
          <t>SN-4000-4100-4100-4100TK0037</t>
        </is>
      </c>
      <c r="B2861" s="2" t="inlineStr">
        <is>
          <t>4100TK0037</t>
        </is>
      </c>
      <c r="C2861" s="2" t="inlineStr">
        <is>
          <t>Estanque agua potable planta filtros</t>
        </is>
      </c>
      <c r="D2861" s="2" t="n">
        <v>954</v>
      </c>
      <c r="E2861" s="2" t="inlineStr">
        <is>
          <t>CC-4000</t>
        </is>
      </c>
      <c r="F2861" s="2" t="inlineStr">
        <is>
          <t>P01</t>
        </is>
      </c>
      <c r="G2861" s="2" t="n">
        <v>610000</v>
      </c>
      <c r="H2861" s="2" t="inlineStr">
        <is>
          <t>Mano obra interna</t>
        </is>
      </c>
      <c r="I2861" s="9" t="n">
        <v>1659.55</v>
      </c>
      <c r="J2861" s="9" t="n">
        <v>1587.62</v>
      </c>
      <c r="K2861" s="9" t="n">
        <v>1586.69</v>
      </c>
      <c r="L2861" s="9" t="n">
        <v>1742.15</v>
      </c>
      <c r="M2861" s="9" t="n">
        <v>1547.04</v>
      </c>
      <c r="N2861" s="9" t="n">
        <v>1451.93</v>
      </c>
      <c r="O2861" s="9" t="n">
        <v>1605.3</v>
      </c>
      <c r="P2861" s="9" t="n">
        <v>1652.82</v>
      </c>
      <c r="Q2861" s="9" t="n">
        <v>1365.19</v>
      </c>
      <c r="R2861" s="9" t="n">
        <v>1654.07</v>
      </c>
      <c r="S2861" s="9" t="n">
        <v>1619.97</v>
      </c>
      <c r="T2861" s="9" t="n">
        <v>1616.13</v>
      </c>
      <c r="U2861" s="10">
        <f>SUM(I2861:T2861)</f>
        <v/>
      </c>
    </row>
    <row r="2862">
      <c r="A2862" s="2" t="inlineStr">
        <is>
          <t>SN-4000-4100-4100-4100TK0037</t>
        </is>
      </c>
      <c r="B2862" s="2" t="inlineStr">
        <is>
          <t>4100TK0037</t>
        </is>
      </c>
      <c r="C2862" s="2" t="inlineStr">
        <is>
          <t>Estanque agua potable planta filtros</t>
        </is>
      </c>
      <c r="D2862" s="2" t="n">
        <v>954</v>
      </c>
      <c r="E2862" s="2" t="inlineStr">
        <is>
          <t>CC-4000</t>
        </is>
      </c>
      <c r="F2862" s="2" t="inlineStr">
        <is>
          <t>P01</t>
        </is>
      </c>
      <c r="G2862" s="2" t="n">
        <v>620000</v>
      </c>
      <c r="H2862" s="2" t="inlineStr">
        <is>
          <t>Materiales</t>
        </is>
      </c>
      <c r="I2862" s="9" t="n">
        <v>1583.58</v>
      </c>
      <c r="J2862" s="9" t="n">
        <v>1335.35</v>
      </c>
      <c r="K2862" s="9" t="n">
        <v>1524.79</v>
      </c>
      <c r="L2862" s="9" t="n">
        <v>1445.73</v>
      </c>
      <c r="M2862" s="9" t="n">
        <v>1337.56</v>
      </c>
      <c r="N2862" s="9" t="n">
        <v>1323.89</v>
      </c>
      <c r="O2862" s="9" t="n">
        <v>1481.56</v>
      </c>
      <c r="P2862" s="9" t="n">
        <v>1340.66</v>
      </c>
      <c r="Q2862" s="9" t="n">
        <v>1370.82</v>
      </c>
      <c r="R2862" s="9" t="n">
        <v>1679.39</v>
      </c>
      <c r="S2862" s="9" t="n">
        <v>1471.17</v>
      </c>
      <c r="T2862" s="9" t="n">
        <v>1436.35</v>
      </c>
      <c r="U2862" s="10">
        <f>SUM(I2862:T2862)</f>
        <v/>
      </c>
    </row>
    <row r="2863">
      <c r="A2863" s="2" t="inlineStr">
        <is>
          <t>SN-4000-4100-4100-4100TK0037</t>
        </is>
      </c>
      <c r="B2863" s="2" t="inlineStr">
        <is>
          <t>4100TK0037</t>
        </is>
      </c>
      <c r="C2863" s="2" t="inlineStr">
        <is>
          <t>Estanque agua potable planta filtros</t>
        </is>
      </c>
      <c r="D2863" s="2" t="n">
        <v>954</v>
      </c>
      <c r="E2863" s="2" t="inlineStr">
        <is>
          <t>CC-4000</t>
        </is>
      </c>
      <c r="F2863" s="2" t="inlineStr">
        <is>
          <t>P01</t>
        </is>
      </c>
      <c r="G2863" s="2" t="n">
        <v>630000</v>
      </c>
      <c r="H2863" s="2" t="inlineStr">
        <is>
          <t>Servicios externos</t>
        </is>
      </c>
      <c r="I2863" s="9" t="n">
        <v>1320.44</v>
      </c>
      <c r="J2863" s="9" t="n">
        <v>1259.11</v>
      </c>
      <c r="K2863" s="9" t="n">
        <v>1443.19</v>
      </c>
      <c r="L2863" s="9" t="n">
        <v>1433.63</v>
      </c>
      <c r="M2863" s="9" t="n">
        <v>1268.88</v>
      </c>
      <c r="N2863" s="9" t="n">
        <v>1173.72</v>
      </c>
      <c r="O2863" s="9" t="n">
        <v>1386.83</v>
      </c>
      <c r="P2863" s="9" t="n">
        <v>1360.83</v>
      </c>
      <c r="Q2863" s="9" t="n">
        <v>1213.02</v>
      </c>
      <c r="R2863" s="9" t="n">
        <v>1372.54</v>
      </c>
      <c r="S2863" s="9" t="n">
        <v>1248.77</v>
      </c>
      <c r="T2863" s="9" t="n">
        <v>1404.95</v>
      </c>
      <c r="U2863" s="10">
        <f>SUM(I2863:T2863)</f>
        <v/>
      </c>
    </row>
    <row r="2864">
      <c r="A2864" s="2" t="inlineStr">
        <is>
          <t>SN-4000-4100-4100-4100TK0041</t>
        </is>
      </c>
      <c r="B2864" s="2" t="inlineStr">
        <is>
          <t>4100TK0041</t>
        </is>
      </c>
      <c r="C2864" s="2" t="inlineStr">
        <is>
          <t>Estanque agua mina</t>
        </is>
      </c>
      <c r="D2864" s="2" t="n">
        <v>955</v>
      </c>
      <c r="E2864" s="2" t="inlineStr">
        <is>
          <t>CC-4000</t>
        </is>
      </c>
      <c r="F2864" s="2" t="inlineStr">
        <is>
          <t>P01</t>
        </is>
      </c>
      <c r="G2864" s="2" t="n">
        <v>610000</v>
      </c>
      <c r="H2864" s="2" t="inlineStr">
        <is>
          <t>Mano obra interna</t>
        </is>
      </c>
      <c r="I2864" s="9" t="n">
        <v>1119.49</v>
      </c>
      <c r="J2864" s="9" t="n">
        <v>950.13</v>
      </c>
      <c r="K2864" s="9" t="n">
        <v>1150.97</v>
      </c>
      <c r="L2864" s="9" t="n">
        <v>1068.42</v>
      </c>
      <c r="M2864" s="9" t="n">
        <v>989.28</v>
      </c>
      <c r="N2864" s="9" t="n">
        <v>919.91</v>
      </c>
      <c r="O2864" s="9" t="n">
        <v>1055.76</v>
      </c>
      <c r="P2864" s="9" t="n">
        <v>1001.84</v>
      </c>
      <c r="Q2864" s="9" t="n">
        <v>993.5</v>
      </c>
      <c r="R2864" s="9" t="n">
        <v>1087.83</v>
      </c>
      <c r="S2864" s="9" t="n">
        <v>945.24</v>
      </c>
      <c r="T2864" s="9" t="n">
        <v>1061.7</v>
      </c>
      <c r="U2864" s="10">
        <f>SUM(I2864:T2864)</f>
        <v/>
      </c>
    </row>
    <row r="2865">
      <c r="A2865" s="2" t="inlineStr">
        <is>
          <t>SN-4000-4100-4100-4100TK0041</t>
        </is>
      </c>
      <c r="B2865" s="2" t="inlineStr">
        <is>
          <t>4100TK0041</t>
        </is>
      </c>
      <c r="C2865" s="2" t="inlineStr">
        <is>
          <t>Estanque agua mina</t>
        </is>
      </c>
      <c r="D2865" s="2" t="n">
        <v>955</v>
      </c>
      <c r="E2865" s="2" t="inlineStr">
        <is>
          <t>CC-4000</t>
        </is>
      </c>
      <c r="F2865" s="2" t="inlineStr">
        <is>
          <t>P01</t>
        </is>
      </c>
      <c r="G2865" s="2" t="n">
        <v>620000</v>
      </c>
      <c r="H2865" s="2" t="inlineStr">
        <is>
          <t>Materiales</t>
        </is>
      </c>
      <c r="I2865" s="9" t="n">
        <v>1150.22</v>
      </c>
      <c r="J2865" s="9" t="n">
        <v>1110.65</v>
      </c>
      <c r="K2865" s="9" t="n">
        <v>1188.07</v>
      </c>
      <c r="L2865" s="9" t="n">
        <v>1165.27</v>
      </c>
      <c r="M2865" s="9" t="n">
        <v>1057.55</v>
      </c>
      <c r="N2865" s="9" t="n">
        <v>1032.86</v>
      </c>
      <c r="O2865" s="9" t="n">
        <v>1070.76</v>
      </c>
      <c r="P2865" s="9" t="n">
        <v>1169.59</v>
      </c>
      <c r="Q2865" s="9" t="n">
        <v>1061.7</v>
      </c>
      <c r="R2865" s="9" t="n">
        <v>1210.64</v>
      </c>
      <c r="S2865" s="9" t="n">
        <v>1151.55</v>
      </c>
      <c r="T2865" s="9" t="n">
        <v>1120.09</v>
      </c>
      <c r="U2865" s="10">
        <f>SUM(I2865:T2865)</f>
        <v/>
      </c>
    </row>
    <row r="2866">
      <c r="A2866" s="2" t="inlineStr">
        <is>
          <t>SN-4000-4100-4100-4100TK0041</t>
        </is>
      </c>
      <c r="B2866" s="2" t="inlineStr">
        <is>
          <t>4100TK0041</t>
        </is>
      </c>
      <c r="C2866" s="2" t="inlineStr">
        <is>
          <t>Estanque agua mina</t>
        </is>
      </c>
      <c r="D2866" s="2" t="n">
        <v>955</v>
      </c>
      <c r="E2866" s="2" t="inlineStr">
        <is>
          <t>CC-4000</t>
        </is>
      </c>
      <c r="F2866" s="2" t="inlineStr">
        <is>
          <t>P01</t>
        </is>
      </c>
      <c r="G2866" s="2" t="n">
        <v>630000</v>
      </c>
      <c r="H2866" s="2" t="inlineStr">
        <is>
          <t>Servicios externos</t>
        </is>
      </c>
      <c r="I2866" s="9" t="n">
        <v>1044.07</v>
      </c>
      <c r="J2866" s="9" t="n">
        <v>1123.13</v>
      </c>
      <c r="K2866" s="9" t="n">
        <v>1167.57</v>
      </c>
      <c r="L2866" s="9" t="n">
        <v>1175.94</v>
      </c>
      <c r="M2866" s="9" t="n">
        <v>1152.94</v>
      </c>
      <c r="N2866" s="9" t="n">
        <v>1092.58</v>
      </c>
      <c r="O2866" s="9" t="n">
        <v>1158.5</v>
      </c>
      <c r="P2866" s="9" t="n">
        <v>1069.58</v>
      </c>
      <c r="Q2866" s="9" t="n">
        <v>996.01</v>
      </c>
      <c r="R2866" s="9" t="n">
        <v>1267.69</v>
      </c>
      <c r="S2866" s="9" t="n">
        <v>1132.9</v>
      </c>
      <c r="T2866" s="9" t="n">
        <v>1122.42</v>
      </c>
      <c r="U2866" s="10">
        <f>SUM(I2866:T2866)</f>
        <v/>
      </c>
    </row>
    <row r="2867">
      <c r="A2867" s="2" t="inlineStr">
        <is>
          <t>SN-4000-4100-4100-4100TK0042</t>
        </is>
      </c>
      <c r="B2867" s="2" t="inlineStr">
        <is>
          <t>4100TK0042</t>
        </is>
      </c>
      <c r="C2867" s="2" t="inlineStr">
        <is>
          <t>Estanque agua fresca</t>
        </is>
      </c>
      <c r="D2867" s="2" t="n">
        <v>956</v>
      </c>
      <c r="E2867" s="2" t="inlineStr">
        <is>
          <t>CC-4000</t>
        </is>
      </c>
      <c r="F2867" s="2" t="inlineStr">
        <is>
          <t>P01</t>
        </is>
      </c>
      <c r="G2867" s="2" t="n">
        <v>610000</v>
      </c>
      <c r="H2867" s="2" t="inlineStr">
        <is>
          <t>Mano obra interna</t>
        </is>
      </c>
      <c r="I2867" s="9" t="n">
        <v>849.0599999999999</v>
      </c>
      <c r="J2867" s="9" t="n">
        <v>751.95</v>
      </c>
      <c r="K2867" s="9" t="n">
        <v>765.65</v>
      </c>
      <c r="L2867" s="9" t="n">
        <v>820.95</v>
      </c>
      <c r="M2867" s="9" t="n">
        <v>720.6799999999999</v>
      </c>
      <c r="N2867" s="9" t="n">
        <v>736.66</v>
      </c>
      <c r="O2867" s="9" t="n">
        <v>824.76</v>
      </c>
      <c r="P2867" s="9" t="n">
        <v>759.4</v>
      </c>
      <c r="Q2867" s="9" t="n">
        <v>781.87</v>
      </c>
      <c r="R2867" s="9" t="n">
        <v>909.12</v>
      </c>
      <c r="S2867" s="9" t="n">
        <v>799.05</v>
      </c>
      <c r="T2867" s="9" t="n">
        <v>859.59</v>
      </c>
      <c r="U2867" s="10">
        <f>SUM(I2867:T2867)</f>
        <v/>
      </c>
    </row>
    <row r="2868">
      <c r="A2868" s="2" t="inlineStr">
        <is>
          <t>SN-4000-4100-4100-4100TK0042</t>
        </is>
      </c>
      <c r="B2868" s="2" t="inlineStr">
        <is>
          <t>4100TK0042</t>
        </is>
      </c>
      <c r="C2868" s="2" t="inlineStr">
        <is>
          <t>Estanque agua fresca</t>
        </is>
      </c>
      <c r="D2868" s="2" t="n">
        <v>956</v>
      </c>
      <c r="E2868" s="2" t="inlineStr">
        <is>
          <t>CC-4000</t>
        </is>
      </c>
      <c r="F2868" s="2" t="inlineStr">
        <is>
          <t>P01</t>
        </is>
      </c>
      <c r="G2868" s="2" t="n">
        <v>620000</v>
      </c>
      <c r="H2868" s="2" t="inlineStr">
        <is>
          <t>Materiales</t>
        </is>
      </c>
      <c r="I2868" s="9" t="n">
        <v>829.72</v>
      </c>
      <c r="J2868" s="9" t="n">
        <v>834.29</v>
      </c>
      <c r="K2868" s="9" t="n">
        <v>828.36</v>
      </c>
      <c r="L2868" s="9" t="n">
        <v>809.34</v>
      </c>
      <c r="M2868" s="9" t="n">
        <v>810.17</v>
      </c>
      <c r="N2868" s="9" t="n">
        <v>787.95</v>
      </c>
      <c r="O2868" s="9" t="n">
        <v>836.53</v>
      </c>
      <c r="P2868" s="9" t="n">
        <v>824.9</v>
      </c>
      <c r="Q2868" s="9" t="n">
        <v>777.73</v>
      </c>
      <c r="R2868" s="9" t="n">
        <v>891.14</v>
      </c>
      <c r="S2868" s="9" t="n">
        <v>775.77</v>
      </c>
      <c r="T2868" s="9" t="n">
        <v>768.16</v>
      </c>
      <c r="U2868" s="10">
        <f>SUM(I2868:T2868)</f>
        <v/>
      </c>
    </row>
    <row r="2869">
      <c r="A2869" s="2" t="inlineStr">
        <is>
          <t>SN-4000-4100-4100-4100TK0042</t>
        </is>
      </c>
      <c r="B2869" s="2" t="inlineStr">
        <is>
          <t>4100TK0042</t>
        </is>
      </c>
      <c r="C2869" s="2" t="inlineStr">
        <is>
          <t>Estanque agua fresca</t>
        </is>
      </c>
      <c r="D2869" s="2" t="n">
        <v>956</v>
      </c>
      <c r="E2869" s="2" t="inlineStr">
        <is>
          <t>CC-4000</t>
        </is>
      </c>
      <c r="F2869" s="2" t="inlineStr">
        <is>
          <t>P01</t>
        </is>
      </c>
      <c r="G2869" s="2" t="n">
        <v>630000</v>
      </c>
      <c r="H2869" s="2" t="inlineStr">
        <is>
          <t>Servicios externos</t>
        </is>
      </c>
      <c r="I2869" s="9" t="n">
        <v>820.96</v>
      </c>
      <c r="J2869" s="9" t="n">
        <v>923.79</v>
      </c>
      <c r="K2869" s="9" t="n">
        <v>944.13</v>
      </c>
      <c r="L2869" s="9" t="n">
        <v>912.9400000000001</v>
      </c>
      <c r="M2869" s="9" t="n">
        <v>924.72</v>
      </c>
      <c r="N2869" s="9" t="n">
        <v>846.24</v>
      </c>
      <c r="O2869" s="9" t="n">
        <v>808.13</v>
      </c>
      <c r="P2869" s="9" t="n">
        <v>877.08</v>
      </c>
      <c r="Q2869" s="9" t="n">
        <v>780.52</v>
      </c>
      <c r="R2869" s="9" t="n">
        <v>918.08</v>
      </c>
      <c r="S2869" s="9" t="n">
        <v>836.26</v>
      </c>
      <c r="T2869" s="9" t="n">
        <v>921.15</v>
      </c>
      <c r="U2869" s="10">
        <f>SUM(I2869:T2869)</f>
        <v/>
      </c>
    </row>
    <row r="2870">
      <c r="A2870" s="2" t="inlineStr">
        <is>
          <t>SN-4000-4100-4100-4100TK0044</t>
        </is>
      </c>
      <c r="B2870" s="2" t="inlineStr">
        <is>
          <t>4100TK0044</t>
        </is>
      </c>
      <c r="C2870" s="2" t="inlineStr">
        <is>
          <t>Estanque agua potable</t>
        </is>
      </c>
      <c r="D2870" s="2" t="n">
        <v>957</v>
      </c>
      <c r="E2870" s="2" t="inlineStr">
        <is>
          <t>CC-4000</t>
        </is>
      </c>
      <c r="F2870" s="2" t="inlineStr">
        <is>
          <t>P01</t>
        </is>
      </c>
      <c r="G2870" s="2" t="n">
        <v>610000</v>
      </c>
      <c r="H2870" s="2" t="inlineStr">
        <is>
          <t>Mano obra interna</t>
        </is>
      </c>
      <c r="I2870" s="9" t="n">
        <v>1309.74</v>
      </c>
      <c r="J2870" s="9" t="n">
        <v>1228.51</v>
      </c>
      <c r="K2870" s="9" t="n">
        <v>1337.46</v>
      </c>
      <c r="L2870" s="9" t="n">
        <v>1263.61</v>
      </c>
      <c r="M2870" s="9" t="n">
        <v>1226.14</v>
      </c>
      <c r="N2870" s="9" t="n">
        <v>1282.32</v>
      </c>
      <c r="O2870" s="9" t="n">
        <v>1256.33</v>
      </c>
      <c r="P2870" s="9" t="n">
        <v>1194.86</v>
      </c>
      <c r="Q2870" s="9" t="n">
        <v>1169.18</v>
      </c>
      <c r="R2870" s="9" t="n">
        <v>1420.05</v>
      </c>
      <c r="S2870" s="9" t="n">
        <v>1309.73</v>
      </c>
      <c r="T2870" s="9" t="n">
        <v>1403.97</v>
      </c>
      <c r="U2870" s="10">
        <f>SUM(I2870:T2870)</f>
        <v/>
      </c>
    </row>
    <row r="2871">
      <c r="A2871" s="2" t="inlineStr">
        <is>
          <t>SN-4000-4100-4100-4100TK0044</t>
        </is>
      </c>
      <c r="B2871" s="2" t="inlineStr">
        <is>
          <t>4100TK0044</t>
        </is>
      </c>
      <c r="C2871" s="2" t="inlineStr">
        <is>
          <t>Estanque agua potable</t>
        </is>
      </c>
      <c r="D2871" s="2" t="n">
        <v>957</v>
      </c>
      <c r="E2871" s="2" t="inlineStr">
        <is>
          <t>CC-4000</t>
        </is>
      </c>
      <c r="F2871" s="2" t="inlineStr">
        <is>
          <t>P01</t>
        </is>
      </c>
      <c r="G2871" s="2" t="n">
        <v>620000</v>
      </c>
      <c r="H2871" s="2" t="inlineStr">
        <is>
          <t>Materiales</t>
        </is>
      </c>
      <c r="I2871" s="9" t="n">
        <v>1364.95</v>
      </c>
      <c r="J2871" s="9" t="n">
        <v>1289.18</v>
      </c>
      <c r="K2871" s="9" t="n">
        <v>1312.58</v>
      </c>
      <c r="L2871" s="9" t="n">
        <v>1410.52</v>
      </c>
      <c r="M2871" s="9" t="n">
        <v>1340.6</v>
      </c>
      <c r="N2871" s="9" t="n">
        <v>1329.82</v>
      </c>
      <c r="O2871" s="9" t="n">
        <v>1296.17</v>
      </c>
      <c r="P2871" s="9" t="n">
        <v>1313.32</v>
      </c>
      <c r="Q2871" s="9" t="n">
        <v>1217.1</v>
      </c>
      <c r="R2871" s="9" t="n">
        <v>1528</v>
      </c>
      <c r="S2871" s="9" t="n">
        <v>1240.4</v>
      </c>
      <c r="T2871" s="9" t="n">
        <v>1396.37</v>
      </c>
      <c r="U2871" s="10">
        <f>SUM(I2871:T2871)</f>
        <v/>
      </c>
    </row>
    <row r="2872">
      <c r="A2872" s="2" t="inlineStr">
        <is>
          <t>SN-4000-4100-4100-4100TK0044</t>
        </is>
      </c>
      <c r="B2872" s="2" t="inlineStr">
        <is>
          <t>4100TK0044</t>
        </is>
      </c>
      <c r="C2872" s="2" t="inlineStr">
        <is>
          <t>Estanque agua potable</t>
        </is>
      </c>
      <c r="D2872" s="2" t="n">
        <v>957</v>
      </c>
      <c r="E2872" s="2" t="inlineStr">
        <is>
          <t>CC-4000</t>
        </is>
      </c>
      <c r="F2872" s="2" t="inlineStr">
        <is>
          <t>P01</t>
        </is>
      </c>
      <c r="G2872" s="2" t="n">
        <v>630000</v>
      </c>
      <c r="H2872" s="2" t="inlineStr">
        <is>
          <t>Servicios externos</t>
        </is>
      </c>
      <c r="I2872" s="9" t="n">
        <v>1133.63</v>
      </c>
      <c r="J2872" s="9" t="n">
        <v>1009.36</v>
      </c>
      <c r="K2872" s="9" t="n">
        <v>1077.67</v>
      </c>
      <c r="L2872" s="9" t="n">
        <v>1056.32</v>
      </c>
      <c r="M2872" s="9" t="n">
        <v>1063.61</v>
      </c>
      <c r="N2872" s="9" t="n">
        <v>1027.01</v>
      </c>
      <c r="O2872" s="9" t="n">
        <v>1159.81</v>
      </c>
      <c r="P2872" s="9" t="n">
        <v>1052.61</v>
      </c>
      <c r="Q2872" s="9" t="n">
        <v>957.72</v>
      </c>
      <c r="R2872" s="9" t="n">
        <v>1207.83</v>
      </c>
      <c r="S2872" s="9" t="n">
        <v>1098.55</v>
      </c>
      <c r="T2872" s="9" t="n">
        <v>1081.4</v>
      </c>
      <c r="U2872" s="10">
        <f>SUM(I2872:T2872)</f>
        <v/>
      </c>
    </row>
    <row r="2873">
      <c r="A2873" s="2" t="inlineStr">
        <is>
          <t>SN-4000-4100-4100-4100TK0045</t>
        </is>
      </c>
      <c r="B2873" s="2" t="inlineStr">
        <is>
          <t>4100TK0045</t>
        </is>
      </c>
      <c r="C2873" s="2" t="inlineStr">
        <is>
          <t>Estanque agua incendio</t>
        </is>
      </c>
      <c r="D2873" s="2" t="n">
        <v>958</v>
      </c>
      <c r="E2873" s="2" t="inlineStr">
        <is>
          <t>CC-4000</t>
        </is>
      </c>
      <c r="F2873" s="2" t="inlineStr">
        <is>
          <t>P01</t>
        </is>
      </c>
      <c r="G2873" s="2" t="n">
        <v>610000</v>
      </c>
      <c r="H2873" s="2" t="inlineStr">
        <is>
          <t>Mano obra interna</t>
        </is>
      </c>
      <c r="I2873" s="9" t="n">
        <v>1815.21</v>
      </c>
      <c r="J2873" s="9" t="n">
        <v>1636.23</v>
      </c>
      <c r="K2873" s="9" t="n">
        <v>1763.93</v>
      </c>
      <c r="L2873" s="9" t="n">
        <v>1642.06</v>
      </c>
      <c r="M2873" s="9" t="n">
        <v>1556.86</v>
      </c>
      <c r="N2873" s="9" t="n">
        <v>1753.5</v>
      </c>
      <c r="O2873" s="9" t="n">
        <v>1649.1</v>
      </c>
      <c r="P2873" s="9" t="n">
        <v>1641.45</v>
      </c>
      <c r="Q2873" s="9" t="n">
        <v>1705.24</v>
      </c>
      <c r="R2873" s="9" t="n">
        <v>1903.54</v>
      </c>
      <c r="S2873" s="9" t="n">
        <v>1671.04</v>
      </c>
      <c r="T2873" s="9" t="n">
        <v>1783.32</v>
      </c>
      <c r="U2873" s="10">
        <f>SUM(I2873:T2873)</f>
        <v/>
      </c>
    </row>
    <row r="2874">
      <c r="A2874" s="2" t="inlineStr">
        <is>
          <t>SN-4000-4100-4100-4100TK0045</t>
        </is>
      </c>
      <c r="B2874" s="2" t="inlineStr">
        <is>
          <t>4100TK0045</t>
        </is>
      </c>
      <c r="C2874" s="2" t="inlineStr">
        <is>
          <t>Estanque agua incendio</t>
        </is>
      </c>
      <c r="D2874" s="2" t="n">
        <v>958</v>
      </c>
      <c r="E2874" s="2" t="inlineStr">
        <is>
          <t>CC-4000</t>
        </is>
      </c>
      <c r="F2874" s="2" t="inlineStr">
        <is>
          <t>P01</t>
        </is>
      </c>
      <c r="G2874" s="2" t="n">
        <v>620000</v>
      </c>
      <c r="H2874" s="2" t="inlineStr">
        <is>
          <t>Materiales</t>
        </is>
      </c>
      <c r="I2874" s="9" t="n">
        <v>1839.73</v>
      </c>
      <c r="J2874" s="9" t="n">
        <v>1585.18</v>
      </c>
      <c r="K2874" s="9" t="n">
        <v>1759.14</v>
      </c>
      <c r="L2874" s="9" t="n">
        <v>1709.49</v>
      </c>
      <c r="M2874" s="9" t="n">
        <v>1593.83</v>
      </c>
      <c r="N2874" s="9" t="n">
        <v>1630.21</v>
      </c>
      <c r="O2874" s="9" t="n">
        <v>1762.24</v>
      </c>
      <c r="P2874" s="9" t="n">
        <v>1639.12</v>
      </c>
      <c r="Q2874" s="9" t="n">
        <v>1559.55</v>
      </c>
      <c r="R2874" s="9" t="n">
        <v>1906.45</v>
      </c>
      <c r="S2874" s="9" t="n">
        <v>1695.32</v>
      </c>
      <c r="T2874" s="9" t="n">
        <v>1858.53</v>
      </c>
      <c r="U2874" s="10">
        <f>SUM(I2874:T2874)</f>
        <v/>
      </c>
    </row>
    <row r="2875">
      <c r="A2875" s="2" t="inlineStr">
        <is>
          <t>SN-4000-4100-4100-4100TK0045</t>
        </is>
      </c>
      <c r="B2875" s="2" t="inlineStr">
        <is>
          <t>4100TK0045</t>
        </is>
      </c>
      <c r="C2875" s="2" t="inlineStr">
        <is>
          <t>Estanque agua incendio</t>
        </is>
      </c>
      <c r="D2875" s="2" t="n">
        <v>958</v>
      </c>
      <c r="E2875" s="2" t="inlineStr">
        <is>
          <t>CC-4000</t>
        </is>
      </c>
      <c r="F2875" s="2" t="inlineStr">
        <is>
          <t>P01</t>
        </is>
      </c>
      <c r="G2875" s="2" t="n">
        <v>630000</v>
      </c>
      <c r="H2875" s="2" t="inlineStr">
        <is>
          <t>Servicios externos</t>
        </is>
      </c>
      <c r="I2875" s="9" t="n">
        <v>1869.22</v>
      </c>
      <c r="J2875" s="9" t="n">
        <v>1704.4</v>
      </c>
      <c r="K2875" s="9" t="n">
        <v>1813.85</v>
      </c>
      <c r="L2875" s="9" t="n">
        <v>1842.13</v>
      </c>
      <c r="M2875" s="9" t="n">
        <v>1778.22</v>
      </c>
      <c r="N2875" s="9" t="n">
        <v>1686.25</v>
      </c>
      <c r="O2875" s="9" t="n">
        <v>1704.94</v>
      </c>
      <c r="P2875" s="9" t="n">
        <v>1641.04</v>
      </c>
      <c r="Q2875" s="9" t="n">
        <v>1682.05</v>
      </c>
      <c r="R2875" s="9" t="n">
        <v>1919.1</v>
      </c>
      <c r="S2875" s="9" t="n">
        <v>1738.87</v>
      </c>
      <c r="T2875" s="9" t="n">
        <v>1630.01</v>
      </c>
      <c r="U2875" s="10">
        <f>SUM(I2875:T2875)</f>
        <v/>
      </c>
    </row>
    <row r="2876">
      <c r="A2876" s="2" t="inlineStr">
        <is>
          <t>SN-4000-4100-4100-4100TK0064</t>
        </is>
      </c>
      <c r="B2876" s="2" t="inlineStr">
        <is>
          <t>4100TK0064</t>
        </is>
      </c>
      <c r="C2876" s="2" t="inlineStr">
        <is>
          <t>Estanque duchas de emergencia</t>
        </is>
      </c>
      <c r="D2876" s="2" t="n">
        <v>959</v>
      </c>
      <c r="E2876" s="2" t="inlineStr">
        <is>
          <t>CC-4000</t>
        </is>
      </c>
      <c r="F2876" s="2" t="inlineStr">
        <is>
          <t>P01</t>
        </is>
      </c>
      <c r="G2876" s="2" t="n">
        <v>610000</v>
      </c>
      <c r="H2876" s="2" t="inlineStr">
        <is>
          <t>Mano obra interna</t>
        </is>
      </c>
      <c r="I2876" s="9" t="n">
        <v>2468.9</v>
      </c>
      <c r="J2876" s="9" t="n">
        <v>2541.35</v>
      </c>
      <c r="K2876" s="9" t="n">
        <v>2684.11</v>
      </c>
      <c r="L2876" s="9" t="n">
        <v>2415.76</v>
      </c>
      <c r="M2876" s="9" t="n">
        <v>2494.85</v>
      </c>
      <c r="N2876" s="9" t="n">
        <v>2182.27</v>
      </c>
      <c r="O2876" s="9" t="n">
        <v>2413.58</v>
      </c>
      <c r="P2876" s="9" t="n">
        <v>2440.86</v>
      </c>
      <c r="Q2876" s="9" t="n">
        <v>2375.54</v>
      </c>
      <c r="R2876" s="9" t="n">
        <v>2805.44</v>
      </c>
      <c r="S2876" s="9" t="n">
        <v>2308.03</v>
      </c>
      <c r="T2876" s="9" t="n">
        <v>2495.27</v>
      </c>
      <c r="U2876" s="10">
        <f>SUM(I2876:T2876)</f>
        <v/>
      </c>
    </row>
    <row r="2877">
      <c r="A2877" s="2" t="inlineStr">
        <is>
          <t>SN-4000-4100-4100-4100TK0064</t>
        </is>
      </c>
      <c r="B2877" s="2" t="inlineStr">
        <is>
          <t>4100TK0064</t>
        </is>
      </c>
      <c r="C2877" s="2" t="inlineStr">
        <is>
          <t>Estanque duchas de emergencia</t>
        </is>
      </c>
      <c r="D2877" s="2" t="n">
        <v>959</v>
      </c>
      <c r="E2877" s="2" t="inlineStr">
        <is>
          <t>CC-4000</t>
        </is>
      </c>
      <c r="F2877" s="2" t="inlineStr">
        <is>
          <t>P01</t>
        </is>
      </c>
      <c r="G2877" s="2" t="n">
        <v>620000</v>
      </c>
      <c r="H2877" s="2" t="inlineStr">
        <is>
          <t>Materiales</t>
        </is>
      </c>
      <c r="I2877" s="9" t="n">
        <v>2595.42</v>
      </c>
      <c r="J2877" s="9" t="n">
        <v>2774.5</v>
      </c>
      <c r="K2877" s="9" t="n">
        <v>2858.93</v>
      </c>
      <c r="L2877" s="9" t="n">
        <v>2584.67</v>
      </c>
      <c r="M2877" s="9" t="n">
        <v>2590.33</v>
      </c>
      <c r="N2877" s="9" t="n">
        <v>2391.61</v>
      </c>
      <c r="O2877" s="9" t="n">
        <v>2621.33</v>
      </c>
      <c r="P2877" s="9" t="n">
        <v>2688.75</v>
      </c>
      <c r="Q2877" s="9" t="n">
        <v>2272.01</v>
      </c>
      <c r="R2877" s="9" t="n">
        <v>2986.03</v>
      </c>
      <c r="S2877" s="9" t="n">
        <v>2568.55</v>
      </c>
      <c r="T2877" s="9" t="n">
        <v>2860.71</v>
      </c>
      <c r="U2877" s="10">
        <f>SUM(I2877:T2877)</f>
        <v/>
      </c>
    </row>
    <row r="2878">
      <c r="A2878" s="2" t="inlineStr">
        <is>
          <t>SN-4000-4100-4100-4100TK0064</t>
        </is>
      </c>
      <c r="B2878" s="2" t="inlineStr">
        <is>
          <t>4100TK0064</t>
        </is>
      </c>
      <c r="C2878" s="2" t="inlineStr">
        <is>
          <t>Estanque duchas de emergencia</t>
        </is>
      </c>
      <c r="D2878" s="2" t="n">
        <v>959</v>
      </c>
      <c r="E2878" s="2" t="inlineStr">
        <is>
          <t>CC-4000</t>
        </is>
      </c>
      <c r="F2878" s="2" t="inlineStr">
        <is>
          <t>P01</t>
        </is>
      </c>
      <c r="G2878" s="2" t="n">
        <v>630000</v>
      </c>
      <c r="H2878" s="2" t="inlineStr">
        <is>
          <t>Servicios externos</t>
        </is>
      </c>
      <c r="I2878" s="9" t="n">
        <v>2320.23</v>
      </c>
      <c r="J2878" s="9" t="n">
        <v>2224.98</v>
      </c>
      <c r="K2878" s="9" t="n">
        <v>2095.86</v>
      </c>
      <c r="L2878" s="9" t="n">
        <v>2147.82</v>
      </c>
      <c r="M2878" s="9" t="n">
        <v>2267.55</v>
      </c>
      <c r="N2878" s="9" t="n">
        <v>2069.64</v>
      </c>
      <c r="O2878" s="9" t="n">
        <v>2125.24</v>
      </c>
      <c r="P2878" s="9" t="n">
        <v>2296.68</v>
      </c>
      <c r="Q2878" s="9" t="n">
        <v>1878.45</v>
      </c>
      <c r="R2878" s="9" t="n">
        <v>2317.63</v>
      </c>
      <c r="S2878" s="9" t="n">
        <v>2140.38</v>
      </c>
      <c r="T2878" s="9" t="n">
        <v>2228.45</v>
      </c>
      <c r="U2878" s="10">
        <f>SUM(I2878:T2878)</f>
        <v/>
      </c>
    </row>
    <row r="2879">
      <c r="A2879" s="2" t="inlineStr">
        <is>
          <t>SN-4000-4100-4100-4100WT0002</t>
        </is>
      </c>
      <c r="B2879" s="2" t="inlineStr">
        <is>
          <t>4100WT0002</t>
        </is>
      </c>
      <c r="C2879" s="2" t="inlineStr">
        <is>
          <t>Unidad potabilización agua fresca</t>
        </is>
      </c>
      <c r="D2879" s="2" t="n">
        <v>960</v>
      </c>
      <c r="E2879" s="2" t="inlineStr">
        <is>
          <t>CC-4000</t>
        </is>
      </c>
      <c r="F2879" s="2" t="inlineStr">
        <is>
          <t>P01</t>
        </is>
      </c>
      <c r="G2879" s="2" t="n">
        <v>610000</v>
      </c>
      <c r="H2879" s="2" t="inlineStr">
        <is>
          <t>Mano obra interna</t>
        </is>
      </c>
      <c r="I2879" s="9" t="n">
        <v>2293.86</v>
      </c>
      <c r="J2879" s="9" t="n">
        <v>2263.91</v>
      </c>
      <c r="K2879" s="9" t="n">
        <v>2326.04</v>
      </c>
      <c r="L2879" s="9" t="n">
        <v>2340.63</v>
      </c>
      <c r="M2879" s="9" t="n">
        <v>2115.56</v>
      </c>
      <c r="N2879" s="9" t="n">
        <v>2240.02</v>
      </c>
      <c r="O2879" s="9" t="n">
        <v>2207.58</v>
      </c>
      <c r="P2879" s="9" t="n">
        <v>2396.11</v>
      </c>
      <c r="Q2879" s="9" t="n">
        <v>1912.78</v>
      </c>
      <c r="R2879" s="9" t="n">
        <v>2353.01</v>
      </c>
      <c r="S2879" s="9" t="n">
        <v>2043.35</v>
      </c>
      <c r="T2879" s="9" t="n">
        <v>2277.6</v>
      </c>
      <c r="U2879" s="10">
        <f>SUM(I2879:T2879)</f>
        <v/>
      </c>
    </row>
    <row r="2880">
      <c r="A2880" s="2" t="inlineStr">
        <is>
          <t>SN-4000-4100-4100-4100WT0002</t>
        </is>
      </c>
      <c r="B2880" s="2" t="inlineStr">
        <is>
          <t>4100WT0002</t>
        </is>
      </c>
      <c r="C2880" s="2" t="inlineStr">
        <is>
          <t>Unidad potabilización agua fresca</t>
        </is>
      </c>
      <c r="D2880" s="2" t="n">
        <v>960</v>
      </c>
      <c r="E2880" s="2" t="inlineStr">
        <is>
          <t>CC-4000</t>
        </is>
      </c>
      <c r="F2880" s="2" t="inlineStr">
        <is>
          <t>P01</t>
        </is>
      </c>
      <c r="G2880" s="2" t="n">
        <v>620000</v>
      </c>
      <c r="H2880" s="2" t="inlineStr">
        <is>
          <t>Materiales</t>
        </is>
      </c>
      <c r="I2880" s="9" t="n">
        <v>2289.47</v>
      </c>
      <c r="J2880" s="9" t="n">
        <v>2257.92</v>
      </c>
      <c r="K2880" s="9" t="n">
        <v>2125.88</v>
      </c>
      <c r="L2880" s="9" t="n">
        <v>2088.36</v>
      </c>
      <c r="M2880" s="9" t="n">
        <v>2266.69</v>
      </c>
      <c r="N2880" s="9" t="n">
        <v>2019.85</v>
      </c>
      <c r="O2880" s="9" t="n">
        <v>2138.97</v>
      </c>
      <c r="P2880" s="9" t="n">
        <v>2062.62</v>
      </c>
      <c r="Q2880" s="9" t="n">
        <v>1987.24</v>
      </c>
      <c r="R2880" s="9" t="n">
        <v>2229.9</v>
      </c>
      <c r="S2880" s="9" t="n">
        <v>2147.15</v>
      </c>
      <c r="T2880" s="9" t="n">
        <v>2192.31</v>
      </c>
      <c r="U2880" s="10">
        <f>SUM(I2880:T2880)</f>
        <v/>
      </c>
    </row>
    <row r="2881">
      <c r="A2881" s="2" t="inlineStr">
        <is>
          <t>SN-4000-4100-4100-4100WT0002</t>
        </is>
      </c>
      <c r="B2881" s="2" t="inlineStr">
        <is>
          <t>4100WT0002</t>
        </is>
      </c>
      <c r="C2881" s="2" t="inlineStr">
        <is>
          <t>Unidad potabilización agua fresca</t>
        </is>
      </c>
      <c r="D2881" s="2" t="n">
        <v>960</v>
      </c>
      <c r="E2881" s="2" t="inlineStr">
        <is>
          <t>CC-4000</t>
        </is>
      </c>
      <c r="F2881" s="2" t="inlineStr">
        <is>
          <t>P01</t>
        </is>
      </c>
      <c r="G2881" s="2" t="n">
        <v>630000</v>
      </c>
      <c r="H2881" s="2" t="inlineStr">
        <is>
          <t>Servicios externos</t>
        </is>
      </c>
      <c r="I2881" s="9" t="n">
        <v>2542.02</v>
      </c>
      <c r="J2881" s="9" t="n">
        <v>2530.43</v>
      </c>
      <c r="K2881" s="9" t="n">
        <v>2546.36</v>
      </c>
      <c r="L2881" s="9" t="n">
        <v>2806.01</v>
      </c>
      <c r="M2881" s="9" t="n">
        <v>2549.4</v>
      </c>
      <c r="N2881" s="9" t="n">
        <v>2326.03</v>
      </c>
      <c r="O2881" s="9" t="n">
        <v>2474.82</v>
      </c>
      <c r="P2881" s="9" t="n">
        <v>2393.93</v>
      </c>
      <c r="Q2881" s="9" t="n">
        <v>2209.06</v>
      </c>
      <c r="R2881" s="9" t="n">
        <v>2779.84</v>
      </c>
      <c r="S2881" s="9" t="n">
        <v>2420.29</v>
      </c>
      <c r="T2881" s="9" t="n">
        <v>2798.46</v>
      </c>
      <c r="U2881" s="10">
        <f>SUM(I2881:T2881)</f>
        <v/>
      </c>
    </row>
    <row r="2882">
      <c r="A2882" s="2" t="inlineStr">
        <is>
          <t>SN-4000-4100-4100-4100WT0003</t>
        </is>
      </c>
      <c r="B2882" s="2" t="inlineStr">
        <is>
          <t>4100WT0003</t>
        </is>
      </c>
      <c r="C2882" s="2" t="inlineStr">
        <is>
          <t>Unidad repotabilizadora agua potable</t>
        </is>
      </c>
      <c r="D2882" s="2" t="n">
        <v>961</v>
      </c>
      <c r="E2882" s="2" t="inlineStr">
        <is>
          <t>CC-4000</t>
        </is>
      </c>
      <c r="F2882" s="2" t="inlineStr">
        <is>
          <t>P01</t>
        </is>
      </c>
      <c r="G2882" s="2" t="n">
        <v>610000</v>
      </c>
      <c r="H2882" s="2" t="inlineStr">
        <is>
          <t>Mano obra interna</t>
        </is>
      </c>
      <c r="I2882" s="9" t="n">
        <v>1992.61</v>
      </c>
      <c r="J2882" s="9" t="n">
        <v>1781.96</v>
      </c>
      <c r="K2882" s="9" t="n">
        <v>1838.17</v>
      </c>
      <c r="L2882" s="9" t="n">
        <v>2048.52</v>
      </c>
      <c r="M2882" s="9" t="n">
        <v>1934.29</v>
      </c>
      <c r="N2882" s="9" t="n">
        <v>1819.6</v>
      </c>
      <c r="O2882" s="9" t="n">
        <v>1923.92</v>
      </c>
      <c r="P2882" s="9" t="n">
        <v>2009.32</v>
      </c>
      <c r="Q2882" s="9" t="n">
        <v>1761.27</v>
      </c>
      <c r="R2882" s="9" t="n">
        <v>1882.4</v>
      </c>
      <c r="S2882" s="9" t="n">
        <v>1679.07</v>
      </c>
      <c r="T2882" s="9" t="n">
        <v>1942.36</v>
      </c>
      <c r="U2882" s="10">
        <f>SUM(I2882:T2882)</f>
        <v/>
      </c>
    </row>
    <row r="2883">
      <c r="A2883" s="2" t="inlineStr">
        <is>
          <t>SN-4000-4100-4100-4100WT0003</t>
        </is>
      </c>
      <c r="B2883" s="2" t="inlineStr">
        <is>
          <t>4100WT0003</t>
        </is>
      </c>
      <c r="C2883" s="2" t="inlineStr">
        <is>
          <t>Unidad repotabilizadora agua potable</t>
        </is>
      </c>
      <c r="D2883" s="2" t="n">
        <v>961</v>
      </c>
      <c r="E2883" s="2" t="inlineStr">
        <is>
          <t>CC-4000</t>
        </is>
      </c>
      <c r="F2883" s="2" t="inlineStr">
        <is>
          <t>P01</t>
        </is>
      </c>
      <c r="G2883" s="2" t="n">
        <v>620000</v>
      </c>
      <c r="H2883" s="2" t="inlineStr">
        <is>
          <t>Materiales</t>
        </is>
      </c>
      <c r="I2883" s="9" t="n">
        <v>2218.3</v>
      </c>
      <c r="J2883" s="9" t="n">
        <v>1929.52</v>
      </c>
      <c r="K2883" s="9" t="n">
        <v>2309.63</v>
      </c>
      <c r="L2883" s="9" t="n">
        <v>2153.57</v>
      </c>
      <c r="M2883" s="9" t="n">
        <v>2117.89</v>
      </c>
      <c r="N2883" s="9" t="n">
        <v>1849.48</v>
      </c>
      <c r="O2883" s="9" t="n">
        <v>2245.18</v>
      </c>
      <c r="P2883" s="9" t="n">
        <v>2109.37</v>
      </c>
      <c r="Q2883" s="9" t="n">
        <v>1965.27</v>
      </c>
      <c r="R2883" s="9" t="n">
        <v>2413.88</v>
      </c>
      <c r="S2883" s="9" t="n">
        <v>2162.26</v>
      </c>
      <c r="T2883" s="9" t="n">
        <v>2026.12</v>
      </c>
      <c r="U2883" s="10">
        <f>SUM(I2883:T2883)</f>
        <v/>
      </c>
    </row>
    <row r="2884">
      <c r="A2884" s="2" t="inlineStr">
        <is>
          <t>SN-4000-4100-4100-4100WT0003</t>
        </is>
      </c>
      <c r="B2884" s="2" t="inlineStr">
        <is>
          <t>4100WT0003</t>
        </is>
      </c>
      <c r="C2884" s="2" t="inlineStr">
        <is>
          <t>Unidad repotabilizadora agua potable</t>
        </is>
      </c>
      <c r="D2884" s="2" t="n">
        <v>961</v>
      </c>
      <c r="E2884" s="2" t="inlineStr">
        <is>
          <t>CC-4000</t>
        </is>
      </c>
      <c r="F2884" s="2" t="inlineStr">
        <is>
          <t>P01</t>
        </is>
      </c>
      <c r="G2884" s="2" t="n">
        <v>630000</v>
      </c>
      <c r="H2884" s="2" t="inlineStr">
        <is>
          <t>Servicios externos</t>
        </is>
      </c>
      <c r="I2884" s="9" t="n">
        <v>2398.89</v>
      </c>
      <c r="J2884" s="9" t="n">
        <v>2058.26</v>
      </c>
      <c r="K2884" s="9" t="n">
        <v>2238.6</v>
      </c>
      <c r="L2884" s="9" t="n">
        <v>2281.88</v>
      </c>
      <c r="M2884" s="9" t="n">
        <v>2270.46</v>
      </c>
      <c r="N2884" s="9" t="n">
        <v>2234.45</v>
      </c>
      <c r="O2884" s="9" t="n">
        <v>2160.18</v>
      </c>
      <c r="P2884" s="9" t="n">
        <v>2384.38</v>
      </c>
      <c r="Q2884" s="9" t="n">
        <v>2224.27</v>
      </c>
      <c r="R2884" s="9" t="n">
        <v>2494.5</v>
      </c>
      <c r="S2884" s="9" t="n">
        <v>2339.56</v>
      </c>
      <c r="T2884" s="9" t="n">
        <v>2412.87</v>
      </c>
      <c r="U2884" s="10">
        <f>SUM(I2884:T2884)</f>
        <v/>
      </c>
    </row>
    <row r="2885">
      <c r="A2885" s="2" t="inlineStr">
        <is>
          <t>SN-4000-4100-4100-4100WT0004</t>
        </is>
      </c>
      <c r="B2885" s="2" t="inlineStr">
        <is>
          <t>4100WT0004</t>
        </is>
      </c>
      <c r="C2885" s="2" t="inlineStr">
        <is>
          <t>Unidad repotabilización campamento</t>
        </is>
      </c>
      <c r="D2885" s="2" t="n">
        <v>962</v>
      </c>
      <c r="E2885" s="2" t="inlineStr">
        <is>
          <t>CC-4000</t>
        </is>
      </c>
      <c r="F2885" s="2" t="inlineStr">
        <is>
          <t>P01</t>
        </is>
      </c>
      <c r="G2885" s="2" t="n">
        <v>610000</v>
      </c>
      <c r="H2885" s="2" t="inlineStr">
        <is>
          <t>Mano obra interna</t>
        </is>
      </c>
      <c r="I2885" s="9" t="n">
        <v>1035.27</v>
      </c>
      <c r="J2885" s="9" t="n">
        <v>1022.35</v>
      </c>
      <c r="K2885" s="9" t="n">
        <v>940.61</v>
      </c>
      <c r="L2885" s="9" t="n">
        <v>1064.98</v>
      </c>
      <c r="M2885" s="9" t="n">
        <v>885.0700000000001</v>
      </c>
      <c r="N2885" s="9" t="n">
        <v>928.64</v>
      </c>
      <c r="O2885" s="9" t="n">
        <v>1010.75</v>
      </c>
      <c r="P2885" s="9" t="n">
        <v>1012.1</v>
      </c>
      <c r="Q2885" s="9" t="n">
        <v>934.8099999999999</v>
      </c>
      <c r="R2885" s="9" t="n">
        <v>1048.69</v>
      </c>
      <c r="S2885" s="9" t="n">
        <v>959.6</v>
      </c>
      <c r="T2885" s="9" t="n">
        <v>1013.67</v>
      </c>
      <c r="U2885" s="10">
        <f>SUM(I2885:T2885)</f>
        <v/>
      </c>
    </row>
    <row r="2886">
      <c r="A2886" s="2" t="inlineStr">
        <is>
          <t>SN-4000-4100-4100-4100WT0004</t>
        </is>
      </c>
      <c r="B2886" s="2" t="inlineStr">
        <is>
          <t>4100WT0004</t>
        </is>
      </c>
      <c r="C2886" s="2" t="inlineStr">
        <is>
          <t>Unidad repotabilización campamento</t>
        </is>
      </c>
      <c r="D2886" s="2" t="n">
        <v>962</v>
      </c>
      <c r="E2886" s="2" t="inlineStr">
        <is>
          <t>CC-4000</t>
        </is>
      </c>
      <c r="F2886" s="2" t="inlineStr">
        <is>
          <t>P01</t>
        </is>
      </c>
      <c r="G2886" s="2" t="n">
        <v>620000</v>
      </c>
      <c r="H2886" s="2" t="inlineStr">
        <is>
          <t>Materiales</t>
        </is>
      </c>
      <c r="I2886" s="9" t="n">
        <v>1101.2</v>
      </c>
      <c r="J2886" s="9" t="n">
        <v>1104.35</v>
      </c>
      <c r="K2886" s="9" t="n">
        <v>1063.25</v>
      </c>
      <c r="L2886" s="9" t="n">
        <v>1089.91</v>
      </c>
      <c r="M2886" s="9" t="n">
        <v>968.77</v>
      </c>
      <c r="N2886" s="9" t="n">
        <v>1046.24</v>
      </c>
      <c r="O2886" s="9" t="n">
        <v>1011.13</v>
      </c>
      <c r="P2886" s="9" t="n">
        <v>1058.43</v>
      </c>
      <c r="Q2886" s="9" t="n">
        <v>943.15</v>
      </c>
      <c r="R2886" s="9" t="n">
        <v>1058.43</v>
      </c>
      <c r="S2886" s="9" t="n">
        <v>1025.76</v>
      </c>
      <c r="T2886" s="9" t="n">
        <v>1065.26</v>
      </c>
      <c r="U2886" s="10">
        <f>SUM(I2886:T2886)</f>
        <v/>
      </c>
    </row>
    <row r="2887">
      <c r="A2887" s="2" t="inlineStr">
        <is>
          <t>SN-4000-4100-4100-4100WT0004</t>
        </is>
      </c>
      <c r="B2887" s="2" t="inlineStr">
        <is>
          <t>4100WT0004</t>
        </is>
      </c>
      <c r="C2887" s="2" t="inlineStr">
        <is>
          <t>Unidad repotabilización campamento</t>
        </is>
      </c>
      <c r="D2887" s="2" t="n">
        <v>962</v>
      </c>
      <c r="E2887" s="2" t="inlineStr">
        <is>
          <t>CC-4000</t>
        </is>
      </c>
      <c r="F2887" s="2" t="inlineStr">
        <is>
          <t>P01</t>
        </is>
      </c>
      <c r="G2887" s="2" t="n">
        <v>630000</v>
      </c>
      <c r="H2887" s="2" t="inlineStr">
        <is>
          <t>Servicios externos</t>
        </is>
      </c>
      <c r="I2887" s="9" t="n">
        <v>994.85</v>
      </c>
      <c r="J2887" s="9" t="n">
        <v>1078.71</v>
      </c>
      <c r="K2887" s="9" t="n">
        <v>970.73</v>
      </c>
      <c r="L2887" s="9" t="n">
        <v>1110.14</v>
      </c>
      <c r="M2887" s="9" t="n">
        <v>1049.93</v>
      </c>
      <c r="N2887" s="9" t="n">
        <v>925.98</v>
      </c>
      <c r="O2887" s="9" t="n">
        <v>1018.07</v>
      </c>
      <c r="P2887" s="9" t="n">
        <v>1101.28</v>
      </c>
      <c r="Q2887" s="9" t="n">
        <v>973.38</v>
      </c>
      <c r="R2887" s="9" t="n">
        <v>1036.6</v>
      </c>
      <c r="S2887" s="9" t="n">
        <v>982.8099999999999</v>
      </c>
      <c r="T2887" s="9" t="n">
        <v>1032.05</v>
      </c>
      <c r="U2887" s="10">
        <f>SUM(I2887:T2887)</f>
        <v/>
      </c>
    </row>
    <row r="2888">
      <c r="A2888" s="2" t="inlineStr">
        <is>
          <t>SN-4000-4100-4100-4100XP0011</t>
        </is>
      </c>
      <c r="B2888" s="2" t="inlineStr">
        <is>
          <t>4100XP0011</t>
        </is>
      </c>
      <c r="C2888" s="2" t="inlineStr">
        <is>
          <t>Hidropack planta de filtros</t>
        </is>
      </c>
      <c r="D2888" s="2" t="n">
        <v>963</v>
      </c>
      <c r="E2888" s="2" t="inlineStr">
        <is>
          <t>CC-4000</t>
        </is>
      </c>
      <c r="F2888" s="2" t="inlineStr">
        <is>
          <t>P01</t>
        </is>
      </c>
      <c r="G2888" s="2" t="n">
        <v>610000</v>
      </c>
      <c r="H2888" s="2" t="inlineStr">
        <is>
          <t>Mano obra interna</t>
        </is>
      </c>
      <c r="I2888" s="9" t="n">
        <v>617.03</v>
      </c>
      <c r="J2888" s="9" t="n">
        <v>520.8099999999999</v>
      </c>
      <c r="K2888" s="9" t="n">
        <v>567.23</v>
      </c>
      <c r="L2888" s="9" t="n">
        <v>560.51</v>
      </c>
      <c r="M2888" s="9" t="n">
        <v>605.34</v>
      </c>
      <c r="N2888" s="9" t="n">
        <v>546.9299999999999</v>
      </c>
      <c r="O2888" s="9" t="n">
        <v>601.4</v>
      </c>
      <c r="P2888" s="9" t="n">
        <v>559.5700000000001</v>
      </c>
      <c r="Q2888" s="9" t="n">
        <v>546.3200000000001</v>
      </c>
      <c r="R2888" s="9" t="n">
        <v>590.27</v>
      </c>
      <c r="S2888" s="9" t="n">
        <v>584.74</v>
      </c>
      <c r="T2888" s="9" t="n">
        <v>570.98</v>
      </c>
      <c r="U2888" s="10">
        <f>SUM(I2888:T2888)</f>
        <v/>
      </c>
    </row>
    <row r="2889">
      <c r="A2889" s="2" t="inlineStr">
        <is>
          <t>SN-4000-4100-4100-4100XP0011</t>
        </is>
      </c>
      <c r="B2889" s="2" t="inlineStr">
        <is>
          <t>4100XP0011</t>
        </is>
      </c>
      <c r="C2889" s="2" t="inlineStr">
        <is>
          <t>Hidropack planta de filtros</t>
        </is>
      </c>
      <c r="D2889" s="2" t="n">
        <v>963</v>
      </c>
      <c r="E2889" s="2" t="inlineStr">
        <is>
          <t>CC-4000</t>
        </is>
      </c>
      <c r="F2889" s="2" t="inlineStr">
        <is>
          <t>P01</t>
        </is>
      </c>
      <c r="G2889" s="2" t="n">
        <v>620000</v>
      </c>
      <c r="H2889" s="2" t="inlineStr">
        <is>
          <t>Materiales</t>
        </is>
      </c>
      <c r="I2889" s="9" t="n">
        <v>557.7</v>
      </c>
      <c r="J2889" s="9" t="n">
        <v>577.26</v>
      </c>
      <c r="K2889" s="9" t="n">
        <v>577.62</v>
      </c>
      <c r="L2889" s="9" t="n">
        <v>537.5</v>
      </c>
      <c r="M2889" s="9" t="n">
        <v>554.8200000000001</v>
      </c>
      <c r="N2889" s="9" t="n">
        <v>547.9</v>
      </c>
      <c r="O2889" s="9" t="n">
        <v>537.09</v>
      </c>
      <c r="P2889" s="9" t="n">
        <v>539.37</v>
      </c>
      <c r="Q2889" s="9" t="n">
        <v>526.25</v>
      </c>
      <c r="R2889" s="9" t="n">
        <v>597.6900000000001</v>
      </c>
      <c r="S2889" s="9" t="n">
        <v>545.15</v>
      </c>
      <c r="T2889" s="9" t="n">
        <v>573.35</v>
      </c>
      <c r="U2889" s="10">
        <f>SUM(I2889:T2889)</f>
        <v/>
      </c>
    </row>
    <row r="2890">
      <c r="A2890" s="2" t="inlineStr">
        <is>
          <t>SN-4000-4100-4100-4100XP0011</t>
        </is>
      </c>
      <c r="B2890" s="2" t="inlineStr">
        <is>
          <t>4100XP0011</t>
        </is>
      </c>
      <c r="C2890" s="2" t="inlineStr">
        <is>
          <t>Hidropack planta de filtros</t>
        </is>
      </c>
      <c r="D2890" s="2" t="n">
        <v>963</v>
      </c>
      <c r="E2890" s="2" t="inlineStr">
        <is>
          <t>CC-4000</t>
        </is>
      </c>
      <c r="F2890" s="2" t="inlineStr">
        <is>
          <t>P01</t>
        </is>
      </c>
      <c r="G2890" s="2" t="n">
        <v>630000</v>
      </c>
      <c r="H2890" s="2" t="inlineStr">
        <is>
          <t>Servicios externos</t>
        </is>
      </c>
      <c r="I2890" s="9" t="n">
        <v>444.96</v>
      </c>
      <c r="J2890" s="9" t="n">
        <v>477.55</v>
      </c>
      <c r="K2890" s="9" t="n">
        <v>448.27</v>
      </c>
      <c r="L2890" s="9" t="n">
        <v>481.89</v>
      </c>
      <c r="M2890" s="9" t="n">
        <v>448.63</v>
      </c>
      <c r="N2890" s="9" t="n">
        <v>472.03</v>
      </c>
      <c r="O2890" s="9" t="n">
        <v>427.61</v>
      </c>
      <c r="P2890" s="9" t="n">
        <v>483.22</v>
      </c>
      <c r="Q2890" s="9" t="n">
        <v>426.97</v>
      </c>
      <c r="R2890" s="9" t="n">
        <v>456.12</v>
      </c>
      <c r="S2890" s="9" t="n">
        <v>427.82</v>
      </c>
      <c r="T2890" s="9" t="n">
        <v>459.24</v>
      </c>
      <c r="U2890" s="10">
        <f>SUM(I2890:T2890)</f>
        <v/>
      </c>
    </row>
    <row r="2891">
      <c r="A2891" s="2" t="inlineStr">
        <is>
          <t>SN-4000-4100-4100-4100XP0012</t>
        </is>
      </c>
      <c r="B2891" s="2" t="inlineStr">
        <is>
          <t>4100XP0012</t>
        </is>
      </c>
      <c r="C2891" s="2" t="inlineStr">
        <is>
          <t>Hidropack campamento</t>
        </is>
      </c>
      <c r="D2891" s="2" t="n">
        <v>964</v>
      </c>
      <c r="E2891" s="2" t="inlineStr">
        <is>
          <t>CC-4000</t>
        </is>
      </c>
      <c r="F2891" s="2" t="inlineStr">
        <is>
          <t>P01</t>
        </is>
      </c>
      <c r="G2891" s="2" t="n">
        <v>610000</v>
      </c>
      <c r="H2891" s="2" t="inlineStr">
        <is>
          <t>Mano obra interna</t>
        </is>
      </c>
      <c r="I2891" s="9" t="n">
        <v>1370.06</v>
      </c>
      <c r="J2891" s="9" t="n">
        <v>1441.6</v>
      </c>
      <c r="K2891" s="9" t="n">
        <v>1384.2</v>
      </c>
      <c r="L2891" s="9" t="n">
        <v>1384.32</v>
      </c>
      <c r="M2891" s="9" t="n">
        <v>1414.83</v>
      </c>
      <c r="N2891" s="9" t="n">
        <v>1373.68</v>
      </c>
      <c r="O2891" s="9" t="n">
        <v>1281.54</v>
      </c>
      <c r="P2891" s="9" t="n">
        <v>1416.03</v>
      </c>
      <c r="Q2891" s="9" t="n">
        <v>1273.86</v>
      </c>
      <c r="R2891" s="9" t="n">
        <v>1393.21</v>
      </c>
      <c r="S2891" s="9" t="n">
        <v>1278.44</v>
      </c>
      <c r="T2891" s="9" t="n">
        <v>1291.28</v>
      </c>
      <c r="U2891" s="10">
        <f>SUM(I2891:T2891)</f>
        <v/>
      </c>
    </row>
    <row r="2892">
      <c r="A2892" s="2" t="inlineStr">
        <is>
          <t>SN-4000-4100-4100-4100XP0012</t>
        </is>
      </c>
      <c r="B2892" s="2" t="inlineStr">
        <is>
          <t>4100XP0012</t>
        </is>
      </c>
      <c r="C2892" s="2" t="inlineStr">
        <is>
          <t>Hidropack campamento</t>
        </is>
      </c>
      <c r="D2892" s="2" t="n">
        <v>964</v>
      </c>
      <c r="E2892" s="2" t="inlineStr">
        <is>
          <t>CC-4000</t>
        </is>
      </c>
      <c r="F2892" s="2" t="inlineStr">
        <is>
          <t>P01</t>
        </is>
      </c>
      <c r="G2892" s="2" t="n">
        <v>620000</v>
      </c>
      <c r="H2892" s="2" t="inlineStr">
        <is>
          <t>Materiales</t>
        </is>
      </c>
      <c r="I2892" s="9" t="n">
        <v>1300.68</v>
      </c>
      <c r="J2892" s="9" t="n">
        <v>1281.3</v>
      </c>
      <c r="K2892" s="9" t="n">
        <v>1385.56</v>
      </c>
      <c r="L2892" s="9" t="n">
        <v>1405.63</v>
      </c>
      <c r="M2892" s="9" t="n">
        <v>1334.42</v>
      </c>
      <c r="N2892" s="9" t="n">
        <v>1303.94</v>
      </c>
      <c r="O2892" s="9" t="n">
        <v>1404.22</v>
      </c>
      <c r="P2892" s="9" t="n">
        <v>1404.28</v>
      </c>
      <c r="Q2892" s="9" t="n">
        <v>1305.6</v>
      </c>
      <c r="R2892" s="9" t="n">
        <v>1350.65</v>
      </c>
      <c r="S2892" s="9" t="n">
        <v>1232.54</v>
      </c>
      <c r="T2892" s="9" t="n">
        <v>1346.2</v>
      </c>
      <c r="U2892" s="10">
        <f>SUM(I2892:T2892)</f>
        <v/>
      </c>
    </row>
    <row r="2893">
      <c r="A2893" s="2" t="inlineStr">
        <is>
          <t>SN-4000-4100-4100-4100XP0012</t>
        </is>
      </c>
      <c r="B2893" s="2" t="inlineStr">
        <is>
          <t>4100XP0012</t>
        </is>
      </c>
      <c r="C2893" s="2" t="inlineStr">
        <is>
          <t>Hidropack campamento</t>
        </is>
      </c>
      <c r="D2893" s="2" t="n">
        <v>964</v>
      </c>
      <c r="E2893" s="2" t="inlineStr">
        <is>
          <t>CC-4000</t>
        </is>
      </c>
      <c r="F2893" s="2" t="inlineStr">
        <is>
          <t>P01</t>
        </is>
      </c>
      <c r="G2893" s="2" t="n">
        <v>630000</v>
      </c>
      <c r="H2893" s="2" t="inlineStr">
        <is>
          <t>Servicios externos</t>
        </is>
      </c>
      <c r="I2893" s="9" t="n">
        <v>1285.65</v>
      </c>
      <c r="J2893" s="9" t="n">
        <v>1273.24</v>
      </c>
      <c r="K2893" s="9" t="n">
        <v>1485.63</v>
      </c>
      <c r="L2893" s="9" t="n">
        <v>1334.27</v>
      </c>
      <c r="M2893" s="9" t="n">
        <v>1307.24</v>
      </c>
      <c r="N2893" s="9" t="n">
        <v>1178.43</v>
      </c>
      <c r="O2893" s="9" t="n">
        <v>1385.87</v>
      </c>
      <c r="P2893" s="9" t="n">
        <v>1318.77</v>
      </c>
      <c r="Q2893" s="9" t="n">
        <v>1166.66</v>
      </c>
      <c r="R2893" s="9" t="n">
        <v>1551.42</v>
      </c>
      <c r="S2893" s="9" t="n">
        <v>1353.03</v>
      </c>
      <c r="T2893" s="9" t="n">
        <v>1407.28</v>
      </c>
      <c r="U2893" s="10">
        <f>SUM(I2893:T2893)</f>
        <v/>
      </c>
    </row>
    <row r="2894">
      <c r="A2894" s="2" t="inlineStr">
        <is>
          <t>SN-4000-4100-4100-4130CP0001</t>
        </is>
      </c>
      <c r="B2894" s="2" t="inlineStr">
        <is>
          <t>4130CP0001</t>
        </is>
      </c>
      <c r="C2894" s="2" t="inlineStr">
        <is>
          <t>Gabinete PLC planta agua</t>
        </is>
      </c>
      <c r="D2894" s="2" t="n">
        <v>965</v>
      </c>
      <c r="E2894" s="2" t="inlineStr">
        <is>
          <t>CC-4000</t>
        </is>
      </c>
      <c r="F2894" s="2" t="inlineStr">
        <is>
          <t>P01</t>
        </is>
      </c>
      <c r="G2894" s="2" t="n">
        <v>610000</v>
      </c>
      <c r="H2894" s="2" t="inlineStr">
        <is>
          <t>Mano obra interna</t>
        </is>
      </c>
      <c r="I2894" s="9" t="n">
        <v>1928.13</v>
      </c>
      <c r="J2894" s="9" t="n">
        <v>1954.12</v>
      </c>
      <c r="K2894" s="9" t="n">
        <v>1884.83</v>
      </c>
      <c r="L2894" s="9" t="n">
        <v>2021.19</v>
      </c>
      <c r="M2894" s="9" t="n">
        <v>1749.79</v>
      </c>
      <c r="N2894" s="9" t="n">
        <v>1723.32</v>
      </c>
      <c r="O2894" s="9" t="n">
        <v>1895.06</v>
      </c>
      <c r="P2894" s="9" t="n">
        <v>1766.15</v>
      </c>
      <c r="Q2894" s="9" t="n">
        <v>1773.75</v>
      </c>
      <c r="R2894" s="9" t="n">
        <v>2075.03</v>
      </c>
      <c r="S2894" s="9" t="n">
        <v>1892.02</v>
      </c>
      <c r="T2894" s="9" t="n">
        <v>1821.2</v>
      </c>
      <c r="U2894" s="10">
        <f>SUM(I2894:T2894)</f>
        <v/>
      </c>
    </row>
    <row r="2895">
      <c r="A2895" s="2" t="inlineStr">
        <is>
          <t>SN-4000-4100-4100-4130CP0001</t>
        </is>
      </c>
      <c r="B2895" s="2" t="inlineStr">
        <is>
          <t>4130CP0001</t>
        </is>
      </c>
      <c r="C2895" s="2" t="inlineStr">
        <is>
          <t>Gabinete PLC planta agua</t>
        </is>
      </c>
      <c r="D2895" s="2" t="n">
        <v>965</v>
      </c>
      <c r="E2895" s="2" t="inlineStr">
        <is>
          <t>CC-4000</t>
        </is>
      </c>
      <c r="F2895" s="2" t="inlineStr">
        <is>
          <t>P01</t>
        </is>
      </c>
      <c r="G2895" s="2" t="n">
        <v>620000</v>
      </c>
      <c r="H2895" s="2" t="inlineStr">
        <is>
          <t>Materiales</t>
        </is>
      </c>
      <c r="I2895" s="9" t="n">
        <v>1509.09</v>
      </c>
      <c r="J2895" s="9" t="n">
        <v>1466.17</v>
      </c>
      <c r="K2895" s="9" t="n">
        <v>1384.28</v>
      </c>
      <c r="L2895" s="9" t="n">
        <v>1493.56</v>
      </c>
      <c r="M2895" s="9" t="n">
        <v>1502.46</v>
      </c>
      <c r="N2895" s="9" t="n">
        <v>1292.47</v>
      </c>
      <c r="O2895" s="9" t="n">
        <v>1432.44</v>
      </c>
      <c r="P2895" s="9" t="n">
        <v>1410.6</v>
      </c>
      <c r="Q2895" s="9" t="n">
        <v>1441.06</v>
      </c>
      <c r="R2895" s="9" t="n">
        <v>1487.12</v>
      </c>
      <c r="S2895" s="9" t="n">
        <v>1364.74</v>
      </c>
      <c r="T2895" s="9" t="n">
        <v>1567.46</v>
      </c>
      <c r="U2895" s="10">
        <f>SUM(I2895:T2895)</f>
        <v/>
      </c>
    </row>
    <row r="2896">
      <c r="A2896" s="2" t="inlineStr">
        <is>
          <t>SN-4000-4100-4100-4130CP0001</t>
        </is>
      </c>
      <c r="B2896" s="2" t="inlineStr">
        <is>
          <t>4130CP0001</t>
        </is>
      </c>
      <c r="C2896" s="2" t="inlineStr">
        <is>
          <t>Gabinete PLC planta agua</t>
        </is>
      </c>
      <c r="D2896" s="2" t="n">
        <v>965</v>
      </c>
      <c r="E2896" s="2" t="inlineStr">
        <is>
          <t>CC-4000</t>
        </is>
      </c>
      <c r="F2896" s="2" t="inlineStr">
        <is>
          <t>P01</t>
        </is>
      </c>
      <c r="G2896" s="2" t="n">
        <v>630000</v>
      </c>
      <c r="H2896" s="2" t="inlineStr">
        <is>
          <t>Servicios externos</t>
        </is>
      </c>
      <c r="I2896" s="9" t="n">
        <v>1555.28</v>
      </c>
      <c r="J2896" s="9" t="n">
        <v>1381.42</v>
      </c>
      <c r="K2896" s="9" t="n">
        <v>1685.22</v>
      </c>
      <c r="L2896" s="9" t="n">
        <v>1629.89</v>
      </c>
      <c r="M2896" s="9" t="n">
        <v>1532.5</v>
      </c>
      <c r="N2896" s="9" t="n">
        <v>1347.47</v>
      </c>
      <c r="O2896" s="9" t="n">
        <v>1413.45</v>
      </c>
      <c r="P2896" s="9" t="n">
        <v>1525.69</v>
      </c>
      <c r="Q2896" s="9" t="n">
        <v>1362.61</v>
      </c>
      <c r="R2896" s="9" t="n">
        <v>1666.93</v>
      </c>
      <c r="S2896" s="9" t="n">
        <v>1490.57</v>
      </c>
      <c r="T2896" s="9" t="n">
        <v>1621.79</v>
      </c>
      <c r="U2896" s="10">
        <f>SUM(I2896:T2896)</f>
        <v/>
      </c>
    </row>
    <row r="2897">
      <c r="A2897" s="2" t="inlineStr">
        <is>
          <t>SN-4000-4100-4130-4130FP1001</t>
        </is>
      </c>
      <c r="B2897" s="2" t="inlineStr">
        <is>
          <t>4130FP1001</t>
        </is>
      </c>
      <c r="C2897" s="2" t="inlineStr">
        <is>
          <t>Tablero SCI</t>
        </is>
      </c>
      <c r="D2897" s="2" t="n">
        <v>966</v>
      </c>
      <c r="E2897" s="2" t="inlineStr">
        <is>
          <t>CC-4000</t>
        </is>
      </c>
      <c r="F2897" s="2" t="inlineStr">
        <is>
          <t>P01</t>
        </is>
      </c>
      <c r="G2897" s="2" t="n">
        <v>610000</v>
      </c>
      <c r="H2897" s="2" t="inlineStr">
        <is>
          <t>Mano obra interna</t>
        </is>
      </c>
      <c r="I2897" s="9" t="n">
        <v>860.45</v>
      </c>
      <c r="J2897" s="9" t="n">
        <v>856.29</v>
      </c>
      <c r="K2897" s="9" t="n">
        <v>857.59</v>
      </c>
      <c r="L2897" s="9" t="n">
        <v>895.88</v>
      </c>
      <c r="M2897" s="9" t="n">
        <v>775.29</v>
      </c>
      <c r="N2897" s="9" t="n">
        <v>825.73</v>
      </c>
      <c r="O2897" s="9" t="n">
        <v>891.92</v>
      </c>
      <c r="P2897" s="9" t="n">
        <v>809.51</v>
      </c>
      <c r="Q2897" s="9" t="n">
        <v>758.39</v>
      </c>
      <c r="R2897" s="9" t="n">
        <v>837.98</v>
      </c>
      <c r="S2897" s="9" t="n">
        <v>824.17</v>
      </c>
      <c r="T2897" s="9" t="n">
        <v>851.96</v>
      </c>
      <c r="U2897" s="10">
        <f>SUM(I2897:T2897)</f>
        <v/>
      </c>
    </row>
    <row r="2898">
      <c r="A2898" s="2" t="inlineStr">
        <is>
          <t>SN-4000-4100-4130-4130FP1001</t>
        </is>
      </c>
      <c r="B2898" s="2" t="inlineStr">
        <is>
          <t>4130FP1001</t>
        </is>
      </c>
      <c r="C2898" s="2" t="inlineStr">
        <is>
          <t>Tablero SCI</t>
        </is>
      </c>
      <c r="D2898" s="2" t="n">
        <v>966</v>
      </c>
      <c r="E2898" s="2" t="inlineStr">
        <is>
          <t>CC-4000</t>
        </is>
      </c>
      <c r="F2898" s="2" t="inlineStr">
        <is>
          <t>P01</t>
        </is>
      </c>
      <c r="G2898" s="2" t="n">
        <v>620000</v>
      </c>
      <c r="H2898" s="2" t="inlineStr">
        <is>
          <t>Materiales</t>
        </is>
      </c>
      <c r="I2898" s="9" t="n">
        <v>791.04</v>
      </c>
      <c r="J2898" s="9" t="n">
        <v>772.2</v>
      </c>
      <c r="K2898" s="9" t="n">
        <v>818.45</v>
      </c>
      <c r="L2898" s="9" t="n">
        <v>766.8200000000001</v>
      </c>
      <c r="M2898" s="9" t="n">
        <v>731.53</v>
      </c>
      <c r="N2898" s="9" t="n">
        <v>754.97</v>
      </c>
      <c r="O2898" s="9" t="n">
        <v>733.09</v>
      </c>
      <c r="P2898" s="9" t="n">
        <v>762.79</v>
      </c>
      <c r="Q2898" s="9" t="n">
        <v>706.14</v>
      </c>
      <c r="R2898" s="9" t="n">
        <v>786.8200000000001</v>
      </c>
      <c r="S2898" s="9" t="n">
        <v>673.39</v>
      </c>
      <c r="T2898" s="9" t="n">
        <v>698.01</v>
      </c>
      <c r="U2898" s="10">
        <f>SUM(I2898:T2898)</f>
        <v/>
      </c>
    </row>
    <row r="2899">
      <c r="A2899" s="2" t="inlineStr">
        <is>
          <t>SN-4000-4100-4130-4130FP1001</t>
        </is>
      </c>
      <c r="B2899" s="2" t="inlineStr">
        <is>
          <t>4130FP1001</t>
        </is>
      </c>
      <c r="C2899" s="2" t="inlineStr">
        <is>
          <t>Tablero SCI</t>
        </is>
      </c>
      <c r="D2899" s="2" t="n">
        <v>966</v>
      </c>
      <c r="E2899" s="2" t="inlineStr">
        <is>
          <t>CC-4000</t>
        </is>
      </c>
      <c r="F2899" s="2" t="inlineStr">
        <is>
          <t>P01</t>
        </is>
      </c>
      <c r="G2899" s="2" t="n">
        <v>630000</v>
      </c>
      <c r="H2899" s="2" t="inlineStr">
        <is>
          <t>Servicios externos</t>
        </is>
      </c>
      <c r="I2899" s="9" t="n">
        <v>887.0599999999999</v>
      </c>
      <c r="J2899" s="9" t="n">
        <v>902.6900000000001</v>
      </c>
      <c r="K2899" s="9" t="n">
        <v>886.83</v>
      </c>
      <c r="L2899" s="9" t="n">
        <v>859.59</v>
      </c>
      <c r="M2899" s="9" t="n">
        <v>857.3200000000001</v>
      </c>
      <c r="N2899" s="9" t="n">
        <v>798.35</v>
      </c>
      <c r="O2899" s="9" t="n">
        <v>814.95</v>
      </c>
      <c r="P2899" s="9" t="n">
        <v>817</v>
      </c>
      <c r="Q2899" s="9" t="n">
        <v>787.85</v>
      </c>
      <c r="R2899" s="9" t="n">
        <v>866.63</v>
      </c>
      <c r="S2899" s="9" t="n">
        <v>805.96</v>
      </c>
      <c r="T2899" s="9" t="n">
        <v>925.2</v>
      </c>
      <c r="U2899" s="10">
        <f>SUM(I2899:T2899)</f>
        <v/>
      </c>
    </row>
    <row r="2900">
      <c r="A2900" s="2" t="inlineStr">
        <is>
          <t>SN-4000-4100-4130-4130FP1002</t>
        </is>
      </c>
      <c r="B2900" s="2" t="inlineStr">
        <is>
          <t>4130FP1002</t>
        </is>
      </c>
      <c r="C2900" s="2" t="inlineStr">
        <is>
          <t>Tablero SCI</t>
        </is>
      </c>
      <c r="D2900" s="2" t="n">
        <v>967</v>
      </c>
      <c r="E2900" s="2" t="inlineStr">
        <is>
          <t>CC-4000</t>
        </is>
      </c>
      <c r="F2900" s="2" t="inlineStr">
        <is>
          <t>P01</t>
        </is>
      </c>
      <c r="G2900" s="2" t="n">
        <v>610000</v>
      </c>
      <c r="H2900" s="2" t="inlineStr">
        <is>
          <t>Mano obra interna</t>
        </is>
      </c>
      <c r="I2900" s="9" t="n">
        <v>139.82</v>
      </c>
      <c r="J2900" s="9" t="n">
        <v>154.19</v>
      </c>
      <c r="K2900" s="9" t="n">
        <v>153.64</v>
      </c>
      <c r="L2900" s="9" t="n">
        <v>138.78</v>
      </c>
      <c r="M2900" s="9" t="n">
        <v>134.43</v>
      </c>
      <c r="N2900" s="9" t="n">
        <v>142.15</v>
      </c>
      <c r="O2900" s="9" t="n">
        <v>147.07</v>
      </c>
      <c r="P2900" s="9" t="n">
        <v>135.88</v>
      </c>
      <c r="Q2900" s="9" t="n">
        <v>129.97</v>
      </c>
      <c r="R2900" s="9" t="n">
        <v>168.33</v>
      </c>
      <c r="S2900" s="9" t="n">
        <v>143.03</v>
      </c>
      <c r="T2900" s="9" t="n">
        <v>146.82</v>
      </c>
      <c r="U2900" s="10">
        <f>SUM(I2900:T2900)</f>
        <v/>
      </c>
    </row>
    <row r="2901">
      <c r="A2901" s="2" t="inlineStr">
        <is>
          <t>SN-4000-4100-4130-4130FP1002</t>
        </is>
      </c>
      <c r="B2901" s="2" t="inlineStr">
        <is>
          <t>4130FP1002</t>
        </is>
      </c>
      <c r="C2901" s="2" t="inlineStr">
        <is>
          <t>Tablero SCI</t>
        </is>
      </c>
      <c r="D2901" s="2" t="n">
        <v>967</v>
      </c>
      <c r="E2901" s="2" t="inlineStr">
        <is>
          <t>CC-4000</t>
        </is>
      </c>
      <c r="F2901" s="2" t="inlineStr">
        <is>
          <t>P01</t>
        </is>
      </c>
      <c r="G2901" s="2" t="n">
        <v>620000</v>
      </c>
      <c r="H2901" s="2" t="inlineStr">
        <is>
          <t>Materiales</t>
        </is>
      </c>
      <c r="I2901" s="9" t="n">
        <v>136.54</v>
      </c>
      <c r="J2901" s="9" t="n">
        <v>137.75</v>
      </c>
      <c r="K2901" s="9" t="n">
        <v>156.48</v>
      </c>
      <c r="L2901" s="9" t="n">
        <v>134.73</v>
      </c>
      <c r="M2901" s="9" t="n">
        <v>151.66</v>
      </c>
      <c r="N2901" s="9" t="n">
        <v>129.49</v>
      </c>
      <c r="O2901" s="9" t="n">
        <v>140.07</v>
      </c>
      <c r="P2901" s="9" t="n">
        <v>131.64</v>
      </c>
      <c r="Q2901" s="9" t="n">
        <v>134.05</v>
      </c>
      <c r="R2901" s="9" t="n">
        <v>152.82</v>
      </c>
      <c r="S2901" s="9" t="n">
        <v>141.21</v>
      </c>
      <c r="T2901" s="9" t="n">
        <v>145.18</v>
      </c>
      <c r="U2901" s="10">
        <f>SUM(I2901:T2901)</f>
        <v/>
      </c>
    </row>
    <row r="2902">
      <c r="A2902" s="2" t="inlineStr">
        <is>
          <t>SN-4000-4100-4130-4130FP1002</t>
        </is>
      </c>
      <c r="B2902" s="2" t="inlineStr">
        <is>
          <t>4130FP1002</t>
        </is>
      </c>
      <c r="C2902" s="2" t="inlineStr">
        <is>
          <t>Tablero SCI</t>
        </is>
      </c>
      <c r="D2902" s="2" t="n">
        <v>967</v>
      </c>
      <c r="E2902" s="2" t="inlineStr">
        <is>
          <t>CC-4000</t>
        </is>
      </c>
      <c r="F2902" s="2" t="inlineStr">
        <is>
          <t>P01</t>
        </is>
      </c>
      <c r="G2902" s="2" t="n">
        <v>630000</v>
      </c>
      <c r="H2902" s="2" t="inlineStr">
        <is>
          <t>Servicios externos</t>
        </is>
      </c>
      <c r="I2902" s="9" t="n">
        <v>157.01</v>
      </c>
      <c r="J2902" s="9" t="n">
        <v>134.83</v>
      </c>
      <c r="K2902" s="9" t="n">
        <v>153.86</v>
      </c>
      <c r="L2902" s="9" t="n">
        <v>142.08</v>
      </c>
      <c r="M2902" s="9" t="n">
        <v>145.13</v>
      </c>
      <c r="N2902" s="9" t="n">
        <v>148.25</v>
      </c>
      <c r="O2902" s="9" t="n">
        <v>139.75</v>
      </c>
      <c r="P2902" s="9" t="n">
        <v>158.38</v>
      </c>
      <c r="Q2902" s="9" t="n">
        <v>146.5</v>
      </c>
      <c r="R2902" s="9" t="n">
        <v>157.61</v>
      </c>
      <c r="S2902" s="9" t="n">
        <v>132.1</v>
      </c>
      <c r="T2902" s="9" t="n">
        <v>157.34</v>
      </c>
      <c r="U2902" s="10">
        <f>SUM(I2902:T2902)</f>
        <v/>
      </c>
    </row>
    <row r="2903">
      <c r="A2903" s="2" t="inlineStr">
        <is>
          <t>SN-4000-4300-4300-4300AR0004</t>
        </is>
      </c>
      <c r="B2903" s="2" t="inlineStr">
        <is>
          <t>4300AR0004</t>
        </is>
      </c>
      <c r="C2903" s="2" t="inlineStr">
        <is>
          <t>Acumulador de aire planta</t>
        </is>
      </c>
      <c r="D2903" s="2" t="n">
        <v>968</v>
      </c>
      <c r="E2903" s="2" t="inlineStr">
        <is>
          <t>CC-4000</t>
        </is>
      </c>
      <c r="F2903" s="2" t="inlineStr">
        <is>
          <t>P01</t>
        </is>
      </c>
      <c r="G2903" s="2" t="n">
        <v>610000</v>
      </c>
      <c r="H2903" s="2" t="inlineStr">
        <is>
          <t>Mano obra interna</t>
        </is>
      </c>
      <c r="I2903" s="9" t="n">
        <v>3016.63</v>
      </c>
      <c r="J2903" s="9" t="n">
        <v>3274.5</v>
      </c>
      <c r="K2903" s="9" t="n">
        <v>3428.97</v>
      </c>
      <c r="L2903" s="9" t="n">
        <v>3171.35</v>
      </c>
      <c r="M2903" s="9" t="n">
        <v>3232.13</v>
      </c>
      <c r="N2903" s="9" t="n">
        <v>2954.06</v>
      </c>
      <c r="O2903" s="9" t="n">
        <v>3150.63</v>
      </c>
      <c r="P2903" s="9" t="n">
        <v>3025.14</v>
      </c>
      <c r="Q2903" s="9" t="n">
        <v>2743.68</v>
      </c>
      <c r="R2903" s="9" t="n">
        <v>3494.34</v>
      </c>
      <c r="S2903" s="9" t="n">
        <v>2776.96</v>
      </c>
      <c r="T2903" s="9" t="n">
        <v>3203.81</v>
      </c>
      <c r="U2903" s="10">
        <f>SUM(I2903:T2903)</f>
        <v/>
      </c>
    </row>
    <row r="2904">
      <c r="A2904" s="2" t="inlineStr">
        <is>
          <t>SN-4000-4300-4300-4300AR0004</t>
        </is>
      </c>
      <c r="B2904" s="2" t="inlineStr">
        <is>
          <t>4300AR0004</t>
        </is>
      </c>
      <c r="C2904" s="2" t="inlineStr">
        <is>
          <t>Acumulador de aire planta</t>
        </is>
      </c>
      <c r="D2904" s="2" t="n">
        <v>968</v>
      </c>
      <c r="E2904" s="2" t="inlineStr">
        <is>
          <t>CC-4000</t>
        </is>
      </c>
      <c r="F2904" s="2" t="inlineStr">
        <is>
          <t>P01</t>
        </is>
      </c>
      <c r="G2904" s="2" t="n">
        <v>620000</v>
      </c>
      <c r="H2904" s="2" t="inlineStr">
        <is>
          <t>Materiales</t>
        </is>
      </c>
      <c r="I2904" s="9" t="n">
        <v>3018.06</v>
      </c>
      <c r="J2904" s="9" t="n">
        <v>2966.09</v>
      </c>
      <c r="K2904" s="9" t="n">
        <v>3237.02</v>
      </c>
      <c r="L2904" s="9" t="n">
        <v>3034.55</v>
      </c>
      <c r="M2904" s="9" t="n">
        <v>3232.68</v>
      </c>
      <c r="N2904" s="9" t="n">
        <v>2895.34</v>
      </c>
      <c r="O2904" s="9" t="n">
        <v>3136.25</v>
      </c>
      <c r="P2904" s="9" t="n">
        <v>2956.62</v>
      </c>
      <c r="Q2904" s="9" t="n">
        <v>2669.16</v>
      </c>
      <c r="R2904" s="9" t="n">
        <v>3162.88</v>
      </c>
      <c r="S2904" s="9" t="n">
        <v>2778.1</v>
      </c>
      <c r="T2904" s="9" t="n">
        <v>3124.6</v>
      </c>
      <c r="U2904" s="10">
        <f>SUM(I2904:T2904)</f>
        <v/>
      </c>
    </row>
    <row r="2905">
      <c r="A2905" s="2" t="inlineStr">
        <is>
          <t>SN-4000-4300-4300-4300AR0004</t>
        </is>
      </c>
      <c r="B2905" s="2" t="inlineStr">
        <is>
          <t>4300AR0004</t>
        </is>
      </c>
      <c r="C2905" s="2" t="inlineStr">
        <is>
          <t>Acumulador de aire planta</t>
        </is>
      </c>
      <c r="D2905" s="2" t="n">
        <v>968</v>
      </c>
      <c r="E2905" s="2" t="inlineStr">
        <is>
          <t>CC-4000</t>
        </is>
      </c>
      <c r="F2905" s="2" t="inlineStr">
        <is>
          <t>P01</t>
        </is>
      </c>
      <c r="G2905" s="2" t="n">
        <v>630000</v>
      </c>
      <c r="H2905" s="2" t="inlineStr">
        <is>
          <t>Servicios externos</t>
        </is>
      </c>
      <c r="I2905" s="9" t="n">
        <v>2628.69</v>
      </c>
      <c r="J2905" s="9" t="n">
        <v>2556.07</v>
      </c>
      <c r="K2905" s="9" t="n">
        <v>2858.59</v>
      </c>
      <c r="L2905" s="9" t="n">
        <v>2974.46</v>
      </c>
      <c r="M2905" s="9" t="n">
        <v>2804.92</v>
      </c>
      <c r="N2905" s="9" t="n">
        <v>2487.39</v>
      </c>
      <c r="O2905" s="9" t="n">
        <v>2950.9</v>
      </c>
      <c r="P2905" s="9" t="n">
        <v>2960.64</v>
      </c>
      <c r="Q2905" s="9" t="n">
        <v>2512.96</v>
      </c>
      <c r="R2905" s="9" t="n">
        <v>3050.76</v>
      </c>
      <c r="S2905" s="9" t="n">
        <v>2685.35</v>
      </c>
      <c r="T2905" s="9" t="n">
        <v>3017.93</v>
      </c>
      <c r="U2905" s="10">
        <f>SUM(I2905:T2905)</f>
        <v/>
      </c>
    </row>
    <row r="2906">
      <c r="A2906" s="2" t="inlineStr">
        <is>
          <t>SN-4000-4300-4300-4300AR0005</t>
        </is>
      </c>
      <c r="B2906" s="2" t="inlineStr">
        <is>
          <t>4300AR0005</t>
        </is>
      </c>
      <c r="C2906" s="2" t="inlineStr">
        <is>
          <t>Acumulador de aire instrumentación</t>
        </is>
      </c>
      <c r="D2906" s="2" t="n">
        <v>969</v>
      </c>
      <c r="E2906" s="2" t="inlineStr">
        <is>
          <t>CC-4000</t>
        </is>
      </c>
      <c r="F2906" s="2" t="inlineStr">
        <is>
          <t>P01</t>
        </is>
      </c>
      <c r="G2906" s="2" t="n">
        <v>610000</v>
      </c>
      <c r="H2906" s="2" t="inlineStr">
        <is>
          <t>Mano obra interna</t>
        </is>
      </c>
      <c r="I2906" s="9" t="n">
        <v>2905.29</v>
      </c>
      <c r="J2906" s="9" t="n">
        <v>2485.15</v>
      </c>
      <c r="K2906" s="9" t="n">
        <v>2667.17</v>
      </c>
      <c r="L2906" s="9" t="n">
        <v>2831.28</v>
      </c>
      <c r="M2906" s="9" t="n">
        <v>2742.5</v>
      </c>
      <c r="N2906" s="9" t="n">
        <v>2628.57</v>
      </c>
      <c r="O2906" s="9" t="n">
        <v>2804.67</v>
      </c>
      <c r="P2906" s="9" t="n">
        <v>2734.74</v>
      </c>
      <c r="Q2906" s="9" t="n">
        <v>2521.37</v>
      </c>
      <c r="R2906" s="9" t="n">
        <v>2839.99</v>
      </c>
      <c r="S2906" s="9" t="n">
        <v>2552.7</v>
      </c>
      <c r="T2906" s="9" t="n">
        <v>2649.84</v>
      </c>
      <c r="U2906" s="10">
        <f>SUM(I2906:T2906)</f>
        <v/>
      </c>
    </row>
    <row r="2907">
      <c r="A2907" s="2" t="inlineStr">
        <is>
          <t>SN-4000-4300-4300-4300AR0005</t>
        </is>
      </c>
      <c r="B2907" s="2" t="inlineStr">
        <is>
          <t>4300AR0005</t>
        </is>
      </c>
      <c r="C2907" s="2" t="inlineStr">
        <is>
          <t>Acumulador de aire instrumentación</t>
        </is>
      </c>
      <c r="D2907" s="2" t="n">
        <v>969</v>
      </c>
      <c r="E2907" s="2" t="inlineStr">
        <is>
          <t>CC-4000</t>
        </is>
      </c>
      <c r="F2907" s="2" t="inlineStr">
        <is>
          <t>P01</t>
        </is>
      </c>
      <c r="G2907" s="2" t="n">
        <v>620000</v>
      </c>
      <c r="H2907" s="2" t="inlineStr">
        <is>
          <t>Materiales</t>
        </is>
      </c>
      <c r="I2907" s="9" t="n">
        <v>2799.37</v>
      </c>
      <c r="J2907" s="9" t="n">
        <v>2587</v>
      </c>
      <c r="K2907" s="9" t="n">
        <v>2691.06</v>
      </c>
      <c r="L2907" s="9" t="n">
        <v>3038.38</v>
      </c>
      <c r="M2907" s="9" t="n">
        <v>2545.49</v>
      </c>
      <c r="N2907" s="9" t="n">
        <v>2493.48</v>
      </c>
      <c r="O2907" s="9" t="n">
        <v>2760.67</v>
      </c>
      <c r="P2907" s="9" t="n">
        <v>2676.18</v>
      </c>
      <c r="Q2907" s="9" t="n">
        <v>2552.32</v>
      </c>
      <c r="R2907" s="9" t="n">
        <v>2818.34</v>
      </c>
      <c r="S2907" s="9" t="n">
        <v>2535.73</v>
      </c>
      <c r="T2907" s="9" t="n">
        <v>2961.01</v>
      </c>
      <c r="U2907" s="10">
        <f>SUM(I2907:T2907)</f>
        <v/>
      </c>
    </row>
    <row r="2908">
      <c r="A2908" s="2" t="inlineStr">
        <is>
          <t>SN-4000-4300-4300-4300AR0005</t>
        </is>
      </c>
      <c r="B2908" s="2" t="inlineStr">
        <is>
          <t>4300AR0005</t>
        </is>
      </c>
      <c r="C2908" s="2" t="inlineStr">
        <is>
          <t>Acumulador de aire instrumentación</t>
        </is>
      </c>
      <c r="D2908" s="2" t="n">
        <v>969</v>
      </c>
      <c r="E2908" s="2" t="inlineStr">
        <is>
          <t>CC-4000</t>
        </is>
      </c>
      <c r="F2908" s="2" t="inlineStr">
        <is>
          <t>P01</t>
        </is>
      </c>
      <c r="G2908" s="2" t="n">
        <v>630000</v>
      </c>
      <c r="H2908" s="2" t="inlineStr">
        <is>
          <t>Servicios externos</t>
        </is>
      </c>
      <c r="I2908" s="9" t="n">
        <v>2700.07</v>
      </c>
      <c r="J2908" s="9" t="n">
        <v>2855.64</v>
      </c>
      <c r="K2908" s="9" t="n">
        <v>2964.03</v>
      </c>
      <c r="L2908" s="9" t="n">
        <v>2984.51</v>
      </c>
      <c r="M2908" s="9" t="n">
        <v>2783.1</v>
      </c>
      <c r="N2908" s="9" t="n">
        <v>2600.33</v>
      </c>
      <c r="O2908" s="9" t="n">
        <v>2899</v>
      </c>
      <c r="P2908" s="9" t="n">
        <v>2763.55</v>
      </c>
      <c r="Q2908" s="9" t="n">
        <v>2510.35</v>
      </c>
      <c r="R2908" s="9" t="n">
        <v>3000.67</v>
      </c>
      <c r="S2908" s="9" t="n">
        <v>2848.7</v>
      </c>
      <c r="T2908" s="9" t="n">
        <v>2854.56</v>
      </c>
      <c r="U2908" s="10">
        <f>SUM(I2908:T2908)</f>
        <v/>
      </c>
    </row>
    <row r="2909">
      <c r="A2909" s="2" t="inlineStr">
        <is>
          <t>SN-4000-4300-4300-4300CP0011</t>
        </is>
      </c>
      <c r="B2909" s="2" t="inlineStr">
        <is>
          <t>4300CP0011</t>
        </is>
      </c>
      <c r="C2909" s="2" t="inlineStr">
        <is>
          <t xml:space="preserve">Compresor de aire </t>
        </is>
      </c>
      <c r="D2909" s="2" t="n">
        <v>970</v>
      </c>
      <c r="E2909" s="2" t="inlineStr">
        <is>
          <t>CC-4000</t>
        </is>
      </c>
      <c r="F2909" s="2" t="inlineStr">
        <is>
          <t>P01</t>
        </is>
      </c>
      <c r="G2909" s="2" t="n">
        <v>610000</v>
      </c>
      <c r="H2909" s="2" t="inlineStr">
        <is>
          <t>Mano obra interna</t>
        </is>
      </c>
      <c r="I2909" s="9" t="n">
        <v>940.5700000000001</v>
      </c>
      <c r="J2909" s="9" t="n">
        <v>914.27</v>
      </c>
      <c r="K2909" s="9" t="n">
        <v>892.95</v>
      </c>
      <c r="L2909" s="9" t="n">
        <v>876.26</v>
      </c>
      <c r="M2909" s="9" t="n">
        <v>881.47</v>
      </c>
      <c r="N2909" s="9" t="n">
        <v>777.3099999999999</v>
      </c>
      <c r="O2909" s="9" t="n">
        <v>902.1</v>
      </c>
      <c r="P2909" s="9" t="n">
        <v>913.74</v>
      </c>
      <c r="Q2909" s="9" t="n">
        <v>801.0599999999999</v>
      </c>
      <c r="R2909" s="9" t="n">
        <v>894.4</v>
      </c>
      <c r="S2909" s="9" t="n">
        <v>783.11</v>
      </c>
      <c r="T2909" s="9" t="n">
        <v>907.39</v>
      </c>
      <c r="U2909" s="10">
        <f>SUM(I2909:T2909)</f>
        <v/>
      </c>
    </row>
    <row r="2910">
      <c r="A2910" s="2" t="inlineStr">
        <is>
          <t>SN-4000-4300-4300-4300CP0011</t>
        </is>
      </c>
      <c r="B2910" s="2" t="inlineStr">
        <is>
          <t>4300CP0011</t>
        </is>
      </c>
      <c r="C2910" s="2" t="inlineStr">
        <is>
          <t xml:space="preserve">Compresor de aire </t>
        </is>
      </c>
      <c r="D2910" s="2" t="n">
        <v>970</v>
      </c>
      <c r="E2910" s="2" t="inlineStr">
        <is>
          <t>CC-4000</t>
        </is>
      </c>
      <c r="F2910" s="2" t="inlineStr">
        <is>
          <t>P01</t>
        </is>
      </c>
      <c r="G2910" s="2" t="n">
        <v>620000</v>
      </c>
      <c r="H2910" s="2" t="inlineStr">
        <is>
          <t>Materiales</t>
        </is>
      </c>
      <c r="I2910" s="9" t="n">
        <v>858.59</v>
      </c>
      <c r="J2910" s="9" t="n">
        <v>817.99</v>
      </c>
      <c r="K2910" s="9" t="n">
        <v>827.3200000000001</v>
      </c>
      <c r="L2910" s="9" t="n">
        <v>865.76</v>
      </c>
      <c r="M2910" s="9" t="n">
        <v>831.79</v>
      </c>
      <c r="N2910" s="9" t="n">
        <v>824.85</v>
      </c>
      <c r="O2910" s="9" t="n">
        <v>812.73</v>
      </c>
      <c r="P2910" s="9" t="n">
        <v>806.72</v>
      </c>
      <c r="Q2910" s="9" t="n">
        <v>827.08</v>
      </c>
      <c r="R2910" s="9" t="n">
        <v>941.8099999999999</v>
      </c>
      <c r="S2910" s="9" t="n">
        <v>854.6</v>
      </c>
      <c r="T2910" s="9" t="n">
        <v>806.76</v>
      </c>
      <c r="U2910" s="10">
        <f>SUM(I2910:T2910)</f>
        <v/>
      </c>
    </row>
    <row r="2911">
      <c r="A2911" s="2" t="inlineStr">
        <is>
          <t>SN-4000-4300-4300-4300CP0011</t>
        </is>
      </c>
      <c r="B2911" s="2" t="inlineStr">
        <is>
          <t>4300CP0011</t>
        </is>
      </c>
      <c r="C2911" s="2" t="inlineStr">
        <is>
          <t xml:space="preserve">Compresor de aire </t>
        </is>
      </c>
      <c r="D2911" s="2" t="n">
        <v>970</v>
      </c>
      <c r="E2911" s="2" t="inlineStr">
        <is>
          <t>CC-4000</t>
        </is>
      </c>
      <c r="F2911" s="2" t="inlineStr">
        <is>
          <t>P01</t>
        </is>
      </c>
      <c r="G2911" s="2" t="n">
        <v>630000</v>
      </c>
      <c r="H2911" s="2" t="inlineStr">
        <is>
          <t>Servicios externos</t>
        </is>
      </c>
      <c r="I2911" s="9" t="n">
        <v>847.22</v>
      </c>
      <c r="J2911" s="9" t="n">
        <v>853.75</v>
      </c>
      <c r="K2911" s="9" t="n">
        <v>899.03</v>
      </c>
      <c r="L2911" s="9" t="n">
        <v>882.59</v>
      </c>
      <c r="M2911" s="9" t="n">
        <v>752.24</v>
      </c>
      <c r="N2911" s="9" t="n">
        <v>824.23</v>
      </c>
      <c r="O2911" s="9" t="n">
        <v>872.76</v>
      </c>
      <c r="P2911" s="9" t="n">
        <v>761.28</v>
      </c>
      <c r="Q2911" s="9" t="n">
        <v>753.1</v>
      </c>
      <c r="R2911" s="9" t="n">
        <v>889.5</v>
      </c>
      <c r="S2911" s="9" t="n">
        <v>759.88</v>
      </c>
      <c r="T2911" s="9" t="n">
        <v>834.41</v>
      </c>
      <c r="U2911" s="10">
        <f>SUM(I2911:T2911)</f>
        <v/>
      </c>
    </row>
    <row r="2912">
      <c r="A2912" s="2" t="inlineStr">
        <is>
          <t>SN-4000-4300-4300-4300CP0012</t>
        </is>
      </c>
      <c r="B2912" s="2" t="inlineStr">
        <is>
          <t>4300CP0012</t>
        </is>
      </c>
      <c r="C2912" s="2" t="inlineStr">
        <is>
          <t>Compresor de aire reserva</t>
        </is>
      </c>
      <c r="D2912" s="2" t="n">
        <v>971</v>
      </c>
      <c r="E2912" s="2" t="inlineStr">
        <is>
          <t>CC-4000</t>
        </is>
      </c>
      <c r="F2912" s="2" t="inlineStr">
        <is>
          <t>P01</t>
        </is>
      </c>
      <c r="G2912" s="2" t="n">
        <v>610000</v>
      </c>
      <c r="H2912" s="2" t="inlineStr">
        <is>
          <t>Mano obra interna</t>
        </is>
      </c>
      <c r="I2912" s="9" t="n">
        <v>1609.59</v>
      </c>
      <c r="J2912" s="9" t="n">
        <v>1569.96</v>
      </c>
      <c r="K2912" s="9" t="n">
        <v>1532.51</v>
      </c>
      <c r="L2912" s="9" t="n">
        <v>1500.34</v>
      </c>
      <c r="M2912" s="9" t="n">
        <v>1512.98</v>
      </c>
      <c r="N2912" s="9" t="n">
        <v>1404.9</v>
      </c>
      <c r="O2912" s="9" t="n">
        <v>1380.76</v>
      </c>
      <c r="P2912" s="9" t="n">
        <v>1540.54</v>
      </c>
      <c r="Q2912" s="9" t="n">
        <v>1337.76</v>
      </c>
      <c r="R2912" s="9" t="n">
        <v>1490.21</v>
      </c>
      <c r="S2912" s="9" t="n">
        <v>1331.15</v>
      </c>
      <c r="T2912" s="9" t="n">
        <v>1615.71</v>
      </c>
      <c r="U2912" s="10">
        <f>SUM(I2912:T2912)</f>
        <v/>
      </c>
    </row>
    <row r="2913">
      <c r="A2913" s="2" t="inlineStr">
        <is>
          <t>SN-4000-4300-4300-4300CP0012</t>
        </is>
      </c>
      <c r="B2913" s="2" t="inlineStr">
        <is>
          <t>4300CP0012</t>
        </is>
      </c>
      <c r="C2913" s="2" t="inlineStr">
        <is>
          <t>Compresor de aire reserva</t>
        </is>
      </c>
      <c r="D2913" s="2" t="n">
        <v>971</v>
      </c>
      <c r="E2913" s="2" t="inlineStr">
        <is>
          <t>CC-4000</t>
        </is>
      </c>
      <c r="F2913" s="2" t="inlineStr">
        <is>
          <t>P01</t>
        </is>
      </c>
      <c r="G2913" s="2" t="n">
        <v>620000</v>
      </c>
      <c r="H2913" s="2" t="inlineStr">
        <is>
          <t>Materiales</t>
        </is>
      </c>
      <c r="I2913" s="9" t="n">
        <v>1223.34</v>
      </c>
      <c r="J2913" s="9" t="n">
        <v>1275.93</v>
      </c>
      <c r="K2913" s="9" t="n">
        <v>1240.19</v>
      </c>
      <c r="L2913" s="9" t="n">
        <v>1151.8</v>
      </c>
      <c r="M2913" s="9" t="n">
        <v>1205.87</v>
      </c>
      <c r="N2913" s="9" t="n">
        <v>1079.22</v>
      </c>
      <c r="O2913" s="9" t="n">
        <v>1130.65</v>
      </c>
      <c r="P2913" s="9" t="n">
        <v>1275.44</v>
      </c>
      <c r="Q2913" s="9" t="n">
        <v>1087</v>
      </c>
      <c r="R2913" s="9" t="n">
        <v>1340.46</v>
      </c>
      <c r="S2913" s="9" t="n">
        <v>1171.51</v>
      </c>
      <c r="T2913" s="9" t="n">
        <v>1171.89</v>
      </c>
      <c r="U2913" s="10">
        <f>SUM(I2913:T2913)</f>
        <v/>
      </c>
    </row>
    <row r="2914">
      <c r="A2914" s="2" t="inlineStr">
        <is>
          <t>SN-4000-4300-4300-4300CP0012</t>
        </is>
      </c>
      <c r="B2914" s="2" t="inlineStr">
        <is>
          <t>4300CP0012</t>
        </is>
      </c>
      <c r="C2914" s="2" t="inlineStr">
        <is>
          <t>Compresor de aire reserva</t>
        </is>
      </c>
      <c r="D2914" s="2" t="n">
        <v>971</v>
      </c>
      <c r="E2914" s="2" t="inlineStr">
        <is>
          <t>CC-4000</t>
        </is>
      </c>
      <c r="F2914" s="2" t="inlineStr">
        <is>
          <t>P01</t>
        </is>
      </c>
      <c r="G2914" s="2" t="n">
        <v>630000</v>
      </c>
      <c r="H2914" s="2" t="inlineStr">
        <is>
          <t>Servicios externos</t>
        </is>
      </c>
      <c r="I2914" s="9" t="n">
        <v>1234.78</v>
      </c>
      <c r="J2914" s="9" t="n">
        <v>1248.2</v>
      </c>
      <c r="K2914" s="9" t="n">
        <v>1345.16</v>
      </c>
      <c r="L2914" s="9" t="n">
        <v>1270.09</v>
      </c>
      <c r="M2914" s="9" t="n">
        <v>1318.67</v>
      </c>
      <c r="N2914" s="9" t="n">
        <v>1153.01</v>
      </c>
      <c r="O2914" s="9" t="n">
        <v>1296.58</v>
      </c>
      <c r="P2914" s="9" t="n">
        <v>1342.84</v>
      </c>
      <c r="Q2914" s="9" t="n">
        <v>1195.8</v>
      </c>
      <c r="R2914" s="9" t="n">
        <v>1485.01</v>
      </c>
      <c r="S2914" s="9" t="n">
        <v>1284.26</v>
      </c>
      <c r="T2914" s="9" t="n">
        <v>1415.16</v>
      </c>
      <c r="U2914" s="10">
        <f>SUM(I2914:T2914)</f>
        <v/>
      </c>
    </row>
    <row r="2915">
      <c r="A2915" s="2" t="inlineStr">
        <is>
          <t>SN-4000-4300-4300-4300CP0013</t>
        </is>
      </c>
      <c r="B2915" s="2" t="inlineStr">
        <is>
          <t>4300CP0013</t>
        </is>
      </c>
      <c r="C2915" s="2" t="inlineStr">
        <is>
          <t>Compresor de aire</t>
        </is>
      </c>
      <c r="D2915" s="2" t="n">
        <v>972</v>
      </c>
      <c r="E2915" s="2" t="inlineStr">
        <is>
          <t>CC-4000</t>
        </is>
      </c>
      <c r="F2915" s="2" t="inlineStr">
        <is>
          <t>P01</t>
        </is>
      </c>
      <c r="G2915" s="2" t="n">
        <v>610000</v>
      </c>
      <c r="H2915" s="2" t="inlineStr">
        <is>
          <t>Mano obra interna</t>
        </is>
      </c>
      <c r="I2915" s="9" t="n">
        <v>1962.43</v>
      </c>
      <c r="J2915" s="9" t="n">
        <v>1799.29</v>
      </c>
      <c r="K2915" s="9" t="n">
        <v>1925.78</v>
      </c>
      <c r="L2915" s="9" t="n">
        <v>1953.98</v>
      </c>
      <c r="M2915" s="9" t="n">
        <v>1792.23</v>
      </c>
      <c r="N2915" s="9" t="n">
        <v>1816.86</v>
      </c>
      <c r="O2915" s="9" t="n">
        <v>1809.05</v>
      </c>
      <c r="P2915" s="9" t="n">
        <v>1823.4</v>
      </c>
      <c r="Q2915" s="9" t="n">
        <v>1657.4</v>
      </c>
      <c r="R2915" s="9" t="n">
        <v>1827.29</v>
      </c>
      <c r="S2915" s="9" t="n">
        <v>1753.77</v>
      </c>
      <c r="T2915" s="9" t="n">
        <v>1962.18</v>
      </c>
      <c r="U2915" s="10">
        <f>SUM(I2915:T2915)</f>
        <v/>
      </c>
    </row>
    <row r="2916">
      <c r="A2916" s="2" t="inlineStr">
        <is>
          <t>SN-4000-4300-4300-4300CP0013</t>
        </is>
      </c>
      <c r="B2916" s="2" t="inlineStr">
        <is>
          <t>4300CP0013</t>
        </is>
      </c>
      <c r="C2916" s="2" t="inlineStr">
        <is>
          <t>Compresor de aire</t>
        </is>
      </c>
      <c r="D2916" s="2" t="n">
        <v>972</v>
      </c>
      <c r="E2916" s="2" t="inlineStr">
        <is>
          <t>CC-4000</t>
        </is>
      </c>
      <c r="F2916" s="2" t="inlineStr">
        <is>
          <t>P01</t>
        </is>
      </c>
      <c r="G2916" s="2" t="n">
        <v>620000</v>
      </c>
      <c r="H2916" s="2" t="inlineStr">
        <is>
          <t>Materiales</t>
        </is>
      </c>
      <c r="I2916" s="9" t="n">
        <v>2243.52</v>
      </c>
      <c r="J2916" s="9" t="n">
        <v>2129.72</v>
      </c>
      <c r="K2916" s="9" t="n">
        <v>2127.81</v>
      </c>
      <c r="L2916" s="9" t="n">
        <v>2046.38</v>
      </c>
      <c r="M2916" s="9" t="n">
        <v>1999.92</v>
      </c>
      <c r="N2916" s="9" t="n">
        <v>1861.47</v>
      </c>
      <c r="O2916" s="9" t="n">
        <v>2173.65</v>
      </c>
      <c r="P2916" s="9" t="n">
        <v>2217.82</v>
      </c>
      <c r="Q2916" s="9" t="n">
        <v>1895.1</v>
      </c>
      <c r="R2916" s="9" t="n">
        <v>2130.9</v>
      </c>
      <c r="S2916" s="9" t="n">
        <v>1992.69</v>
      </c>
      <c r="T2916" s="9" t="n">
        <v>2074</v>
      </c>
      <c r="U2916" s="10">
        <f>SUM(I2916:T2916)</f>
        <v/>
      </c>
    </row>
    <row r="2917">
      <c r="A2917" s="2" t="inlineStr">
        <is>
          <t>SN-4000-4300-4300-4300CP0013</t>
        </is>
      </c>
      <c r="B2917" s="2" t="inlineStr">
        <is>
          <t>4300CP0013</t>
        </is>
      </c>
      <c r="C2917" s="2" t="inlineStr">
        <is>
          <t>Compresor de aire</t>
        </is>
      </c>
      <c r="D2917" s="2" t="n">
        <v>972</v>
      </c>
      <c r="E2917" s="2" t="inlineStr">
        <is>
          <t>CC-4000</t>
        </is>
      </c>
      <c r="F2917" s="2" t="inlineStr">
        <is>
          <t>P01</t>
        </is>
      </c>
      <c r="G2917" s="2" t="n">
        <v>630000</v>
      </c>
      <c r="H2917" s="2" t="inlineStr">
        <is>
          <t>Servicios externos</t>
        </is>
      </c>
      <c r="I2917" s="9" t="n">
        <v>1853.64</v>
      </c>
      <c r="J2917" s="9" t="n">
        <v>1810.78</v>
      </c>
      <c r="K2917" s="9" t="n">
        <v>2073.66</v>
      </c>
      <c r="L2917" s="9" t="n">
        <v>1877.64</v>
      </c>
      <c r="M2917" s="9" t="n">
        <v>1952.81</v>
      </c>
      <c r="N2917" s="9" t="n">
        <v>1840.43</v>
      </c>
      <c r="O2917" s="9" t="n">
        <v>1838.79</v>
      </c>
      <c r="P2917" s="9" t="n">
        <v>1981.48</v>
      </c>
      <c r="Q2917" s="9" t="n">
        <v>1783.3</v>
      </c>
      <c r="R2917" s="9" t="n">
        <v>1875.01</v>
      </c>
      <c r="S2917" s="9" t="n">
        <v>1700.7</v>
      </c>
      <c r="T2917" s="9" t="n">
        <v>1992.44</v>
      </c>
      <c r="U2917" s="10">
        <f>SUM(I2917:T2917)</f>
        <v/>
      </c>
    </row>
    <row r="2918">
      <c r="A2918" s="2" t="inlineStr">
        <is>
          <t>SN-4000-4300-4300-4300DR0003</t>
        </is>
      </c>
      <c r="B2918" s="2" t="inlineStr">
        <is>
          <t>4300DR0003</t>
        </is>
      </c>
      <c r="C2918" s="2" t="inlineStr">
        <is>
          <t>Secador de aire instrumentación</t>
        </is>
      </c>
      <c r="D2918" s="2" t="n">
        <v>973</v>
      </c>
      <c r="E2918" s="2" t="inlineStr">
        <is>
          <t>CC-4000</t>
        </is>
      </c>
      <c r="F2918" s="2" t="inlineStr">
        <is>
          <t>P01</t>
        </is>
      </c>
      <c r="G2918" s="2" t="n">
        <v>610000</v>
      </c>
      <c r="H2918" s="2" t="inlineStr">
        <is>
          <t>Mano obra interna</t>
        </is>
      </c>
      <c r="I2918" s="9" t="n">
        <v>1343.08</v>
      </c>
      <c r="J2918" s="9" t="n">
        <v>1241.07</v>
      </c>
      <c r="K2918" s="9" t="n">
        <v>1302.56</v>
      </c>
      <c r="L2918" s="9" t="n">
        <v>1430.34</v>
      </c>
      <c r="M2918" s="9" t="n">
        <v>1391.63</v>
      </c>
      <c r="N2918" s="9" t="n">
        <v>1289.43</v>
      </c>
      <c r="O2918" s="9" t="n">
        <v>1292.65</v>
      </c>
      <c r="P2918" s="9" t="n">
        <v>1427.27</v>
      </c>
      <c r="Q2918" s="9" t="n">
        <v>1268.18</v>
      </c>
      <c r="R2918" s="9" t="n">
        <v>1508.99</v>
      </c>
      <c r="S2918" s="9" t="n">
        <v>1190.41</v>
      </c>
      <c r="T2918" s="9" t="n">
        <v>1344.91</v>
      </c>
      <c r="U2918" s="10">
        <f>SUM(I2918:T2918)</f>
        <v/>
      </c>
    </row>
    <row r="2919">
      <c r="A2919" s="2" t="inlineStr">
        <is>
          <t>SN-4000-4300-4300-4300DR0003</t>
        </is>
      </c>
      <c r="B2919" s="2" t="inlineStr">
        <is>
          <t>4300DR0003</t>
        </is>
      </c>
      <c r="C2919" s="2" t="inlineStr">
        <is>
          <t>Secador de aire instrumentación</t>
        </is>
      </c>
      <c r="D2919" s="2" t="n">
        <v>973</v>
      </c>
      <c r="E2919" s="2" t="inlineStr">
        <is>
          <t>CC-4000</t>
        </is>
      </c>
      <c r="F2919" s="2" t="inlineStr">
        <is>
          <t>P01</t>
        </is>
      </c>
      <c r="G2919" s="2" t="n">
        <v>620000</v>
      </c>
      <c r="H2919" s="2" t="inlineStr">
        <is>
          <t>Materiales</t>
        </is>
      </c>
      <c r="I2919" s="9" t="n">
        <v>1429</v>
      </c>
      <c r="J2919" s="9" t="n">
        <v>1466.55</v>
      </c>
      <c r="K2919" s="9" t="n">
        <v>1519.88</v>
      </c>
      <c r="L2919" s="9" t="n">
        <v>1386.96</v>
      </c>
      <c r="M2919" s="9" t="n">
        <v>1484.7</v>
      </c>
      <c r="N2919" s="9" t="n">
        <v>1288.7</v>
      </c>
      <c r="O2919" s="9" t="n">
        <v>1490.09</v>
      </c>
      <c r="P2919" s="9" t="n">
        <v>1548.74</v>
      </c>
      <c r="Q2919" s="9" t="n">
        <v>1435.7</v>
      </c>
      <c r="R2919" s="9" t="n">
        <v>1624.15</v>
      </c>
      <c r="S2919" s="9" t="n">
        <v>1398.8</v>
      </c>
      <c r="T2919" s="9" t="n">
        <v>1499.14</v>
      </c>
      <c r="U2919" s="10">
        <f>SUM(I2919:T2919)</f>
        <v/>
      </c>
    </row>
    <row r="2920">
      <c r="A2920" s="2" t="inlineStr">
        <is>
          <t>SN-4000-4300-4300-4300DR0003</t>
        </is>
      </c>
      <c r="B2920" s="2" t="inlineStr">
        <is>
          <t>4300DR0003</t>
        </is>
      </c>
      <c r="C2920" s="2" t="inlineStr">
        <is>
          <t>Secador de aire instrumentación</t>
        </is>
      </c>
      <c r="D2920" s="2" t="n">
        <v>973</v>
      </c>
      <c r="E2920" s="2" t="inlineStr">
        <is>
          <t>CC-4000</t>
        </is>
      </c>
      <c r="F2920" s="2" t="inlineStr">
        <is>
          <t>P01</t>
        </is>
      </c>
      <c r="G2920" s="2" t="n">
        <v>630000</v>
      </c>
      <c r="H2920" s="2" t="inlineStr">
        <is>
          <t>Servicios externos</t>
        </is>
      </c>
      <c r="I2920" s="9" t="n">
        <v>1334.38</v>
      </c>
      <c r="J2920" s="9" t="n">
        <v>1308.34</v>
      </c>
      <c r="K2920" s="9" t="n">
        <v>1486.34</v>
      </c>
      <c r="L2920" s="9" t="n">
        <v>1335.51</v>
      </c>
      <c r="M2920" s="9" t="n">
        <v>1495.91</v>
      </c>
      <c r="N2920" s="9" t="n">
        <v>1354.15</v>
      </c>
      <c r="O2920" s="9" t="n">
        <v>1364.35</v>
      </c>
      <c r="P2920" s="9" t="n">
        <v>1393.58</v>
      </c>
      <c r="Q2920" s="9" t="n">
        <v>1394.77</v>
      </c>
      <c r="R2920" s="9" t="n">
        <v>1634.56</v>
      </c>
      <c r="S2920" s="9" t="n">
        <v>1289.08</v>
      </c>
      <c r="T2920" s="9" t="n">
        <v>1503.82</v>
      </c>
      <c r="U2920" s="10">
        <f>SUM(I2920:T2920)</f>
        <v/>
      </c>
    </row>
    <row r="2921">
      <c r="A2921" s="2" t="inlineStr">
        <is>
          <t>SN-4000-4300-4300-4300FP1001</t>
        </is>
      </c>
      <c r="B2921" s="2" t="inlineStr">
        <is>
          <t>4300FP1001</t>
        </is>
      </c>
      <c r="C2921" s="2" t="inlineStr">
        <is>
          <t>Tablero SCI</t>
        </is>
      </c>
      <c r="D2921" s="2" t="n">
        <v>974</v>
      </c>
      <c r="E2921" s="2" t="inlineStr">
        <is>
          <t>CC-4000</t>
        </is>
      </c>
      <c r="F2921" s="2" t="inlineStr">
        <is>
          <t>P01</t>
        </is>
      </c>
      <c r="G2921" s="2" t="n">
        <v>610000</v>
      </c>
      <c r="H2921" s="2" t="inlineStr">
        <is>
          <t>Mano obra interna</t>
        </is>
      </c>
      <c r="I2921" s="9" t="n">
        <v>1633.61</v>
      </c>
      <c r="J2921" s="9" t="n">
        <v>1624.27</v>
      </c>
      <c r="K2921" s="9" t="n">
        <v>1556.39</v>
      </c>
      <c r="L2921" s="9" t="n">
        <v>1621.47</v>
      </c>
      <c r="M2921" s="9" t="n">
        <v>1517.17</v>
      </c>
      <c r="N2921" s="9" t="n">
        <v>1411.38</v>
      </c>
      <c r="O2921" s="9" t="n">
        <v>1479.58</v>
      </c>
      <c r="P2921" s="9" t="n">
        <v>1485.72</v>
      </c>
      <c r="Q2921" s="9" t="n">
        <v>1496.55</v>
      </c>
      <c r="R2921" s="9" t="n">
        <v>1595.09</v>
      </c>
      <c r="S2921" s="9" t="n">
        <v>1545.38</v>
      </c>
      <c r="T2921" s="9" t="n">
        <v>1624.73</v>
      </c>
      <c r="U2921" s="10">
        <f>SUM(I2921:T2921)</f>
        <v/>
      </c>
    </row>
    <row r="2922">
      <c r="A2922" s="2" t="inlineStr">
        <is>
          <t>SN-4000-4300-4300-4300FP1001</t>
        </is>
      </c>
      <c r="B2922" s="2" t="inlineStr">
        <is>
          <t>4300FP1001</t>
        </is>
      </c>
      <c r="C2922" s="2" t="inlineStr">
        <is>
          <t>Tablero SCI</t>
        </is>
      </c>
      <c r="D2922" s="2" t="n">
        <v>974</v>
      </c>
      <c r="E2922" s="2" t="inlineStr">
        <is>
          <t>CC-4000</t>
        </is>
      </c>
      <c r="F2922" s="2" t="inlineStr">
        <is>
          <t>P01</t>
        </is>
      </c>
      <c r="G2922" s="2" t="n">
        <v>620000</v>
      </c>
      <c r="H2922" s="2" t="inlineStr">
        <is>
          <t>Materiales</t>
        </is>
      </c>
      <c r="I2922" s="9" t="n">
        <v>1712.33</v>
      </c>
      <c r="J2922" s="9" t="n">
        <v>1745.02</v>
      </c>
      <c r="K2922" s="9" t="n">
        <v>1568.86</v>
      </c>
      <c r="L2922" s="9" t="n">
        <v>1735.25</v>
      </c>
      <c r="M2922" s="9" t="n">
        <v>1503.84</v>
      </c>
      <c r="N2922" s="9" t="n">
        <v>1629.58</v>
      </c>
      <c r="O2922" s="9" t="n">
        <v>1614.82</v>
      </c>
      <c r="P2922" s="9" t="n">
        <v>1672.15</v>
      </c>
      <c r="Q2922" s="9" t="n">
        <v>1483.83</v>
      </c>
      <c r="R2922" s="9" t="n">
        <v>1676.35</v>
      </c>
      <c r="S2922" s="9" t="n">
        <v>1648.53</v>
      </c>
      <c r="T2922" s="9" t="n">
        <v>1776.55</v>
      </c>
      <c r="U2922" s="10">
        <f>SUM(I2922:T2922)</f>
        <v/>
      </c>
    </row>
    <row r="2923">
      <c r="A2923" s="2" t="inlineStr">
        <is>
          <t>SN-4000-4300-4300-4300FP1001</t>
        </is>
      </c>
      <c r="B2923" s="2" t="inlineStr">
        <is>
          <t>4300FP1001</t>
        </is>
      </c>
      <c r="C2923" s="2" t="inlineStr">
        <is>
          <t>Tablero SCI</t>
        </is>
      </c>
      <c r="D2923" s="2" t="n">
        <v>974</v>
      </c>
      <c r="E2923" s="2" t="inlineStr">
        <is>
          <t>CC-4000</t>
        </is>
      </c>
      <c r="F2923" s="2" t="inlineStr">
        <is>
          <t>P01</t>
        </is>
      </c>
      <c r="G2923" s="2" t="n">
        <v>630000</v>
      </c>
      <c r="H2923" s="2" t="inlineStr">
        <is>
          <t>Servicios externos</t>
        </is>
      </c>
      <c r="I2923" s="9" t="n">
        <v>1436.83</v>
      </c>
      <c r="J2923" s="9" t="n">
        <v>1223.98</v>
      </c>
      <c r="K2923" s="9" t="n">
        <v>1411.74</v>
      </c>
      <c r="L2923" s="9" t="n">
        <v>1446.87</v>
      </c>
      <c r="M2923" s="9" t="n">
        <v>1231.45</v>
      </c>
      <c r="N2923" s="9" t="n">
        <v>1247.69</v>
      </c>
      <c r="O2923" s="9" t="n">
        <v>1285.01</v>
      </c>
      <c r="P2923" s="9" t="n">
        <v>1294.22</v>
      </c>
      <c r="Q2923" s="9" t="n">
        <v>1277.28</v>
      </c>
      <c r="R2923" s="9" t="n">
        <v>1458.82</v>
      </c>
      <c r="S2923" s="9" t="n">
        <v>1372.34</v>
      </c>
      <c r="T2923" s="9" t="n">
        <v>1270.95</v>
      </c>
      <c r="U2923" s="10">
        <f>SUM(I2923:T2923)</f>
        <v/>
      </c>
    </row>
    <row r="2924">
      <c r="A2924" s="2" t="inlineStr">
        <is>
          <t>SN-4000-4500-4500-4500IO0001</t>
        </is>
      </c>
      <c r="B2924" s="2" t="inlineStr">
        <is>
          <t>4500IO0001</t>
        </is>
      </c>
      <c r="C2924" s="2" t="inlineStr">
        <is>
          <t xml:space="preserve">Gabinete RIO  </t>
        </is>
      </c>
      <c r="D2924" s="2" t="n">
        <v>975</v>
      </c>
      <c r="E2924" s="2" t="inlineStr">
        <is>
          <t>CC-4000</t>
        </is>
      </c>
      <c r="F2924" s="2" t="inlineStr">
        <is>
          <t>P01</t>
        </is>
      </c>
      <c r="G2924" s="2" t="n">
        <v>610000</v>
      </c>
      <c r="H2924" s="2" t="inlineStr">
        <is>
          <t>Mano obra interna</t>
        </is>
      </c>
      <c r="I2924" s="9" t="n">
        <v>1953.97</v>
      </c>
      <c r="J2924" s="9" t="n">
        <v>2027.93</v>
      </c>
      <c r="K2924" s="9" t="n">
        <v>1834.96</v>
      </c>
      <c r="L2924" s="9" t="n">
        <v>2126.69</v>
      </c>
      <c r="M2924" s="9" t="n">
        <v>1903.63</v>
      </c>
      <c r="N2924" s="9" t="n">
        <v>1882.06</v>
      </c>
      <c r="O2924" s="9" t="n">
        <v>1887.42</v>
      </c>
      <c r="P2924" s="9" t="n">
        <v>2037.1</v>
      </c>
      <c r="Q2924" s="9" t="n">
        <v>1814.2</v>
      </c>
      <c r="R2924" s="9" t="n">
        <v>2135.34</v>
      </c>
      <c r="S2924" s="9" t="n">
        <v>1912.66</v>
      </c>
      <c r="T2924" s="9" t="n">
        <v>1915.81</v>
      </c>
      <c r="U2924" s="10">
        <f>SUM(I2924:T2924)</f>
        <v/>
      </c>
    </row>
    <row r="2925">
      <c r="A2925" s="2" t="inlineStr">
        <is>
          <t>SN-4000-4500-4500-4500IO0001</t>
        </is>
      </c>
      <c r="B2925" s="2" t="inlineStr">
        <is>
          <t>4500IO0001</t>
        </is>
      </c>
      <c r="C2925" s="2" t="inlineStr">
        <is>
          <t xml:space="preserve">Gabinete RIO  </t>
        </is>
      </c>
      <c r="D2925" s="2" t="n">
        <v>975</v>
      </c>
      <c r="E2925" s="2" t="inlineStr">
        <is>
          <t>CC-4000</t>
        </is>
      </c>
      <c r="F2925" s="2" t="inlineStr">
        <is>
          <t>P01</t>
        </is>
      </c>
      <c r="G2925" s="2" t="n">
        <v>620000</v>
      </c>
      <c r="H2925" s="2" t="inlineStr">
        <is>
          <t>Materiales</t>
        </is>
      </c>
      <c r="I2925" s="9" t="n">
        <v>1723.11</v>
      </c>
      <c r="J2925" s="9" t="n">
        <v>1531.05</v>
      </c>
      <c r="K2925" s="9" t="n">
        <v>1752.28</v>
      </c>
      <c r="L2925" s="9" t="n">
        <v>1672.76</v>
      </c>
      <c r="M2925" s="9" t="n">
        <v>1554.81</v>
      </c>
      <c r="N2925" s="9" t="n">
        <v>1561.24</v>
      </c>
      <c r="O2925" s="9" t="n">
        <v>1646.91</v>
      </c>
      <c r="P2925" s="9" t="n">
        <v>1660.68</v>
      </c>
      <c r="Q2925" s="9" t="n">
        <v>1574.75</v>
      </c>
      <c r="R2925" s="9" t="n">
        <v>1640.44</v>
      </c>
      <c r="S2925" s="9" t="n">
        <v>1668.01</v>
      </c>
      <c r="T2925" s="9" t="n">
        <v>1609.32</v>
      </c>
      <c r="U2925" s="10">
        <f>SUM(I2925:T2925)</f>
        <v/>
      </c>
    </row>
    <row r="2926">
      <c r="A2926" s="2" t="inlineStr">
        <is>
          <t>SN-4000-4500-4500-4500IO0001</t>
        </is>
      </c>
      <c r="B2926" s="2" t="inlineStr">
        <is>
          <t>4500IO0001</t>
        </is>
      </c>
      <c r="C2926" s="2" t="inlineStr">
        <is>
          <t xml:space="preserve">Gabinete RIO  </t>
        </is>
      </c>
      <c r="D2926" s="2" t="n">
        <v>975</v>
      </c>
      <c r="E2926" s="2" t="inlineStr">
        <is>
          <t>CC-4000</t>
        </is>
      </c>
      <c r="F2926" s="2" t="inlineStr">
        <is>
          <t>P01</t>
        </is>
      </c>
      <c r="G2926" s="2" t="n">
        <v>630000</v>
      </c>
      <c r="H2926" s="2" t="inlineStr">
        <is>
          <t>Servicios externos</t>
        </is>
      </c>
      <c r="I2926" s="9" t="n">
        <v>2077.27</v>
      </c>
      <c r="J2926" s="9" t="n">
        <v>1939.78</v>
      </c>
      <c r="K2926" s="9" t="n">
        <v>2223.31</v>
      </c>
      <c r="L2926" s="9" t="n">
        <v>2116.01</v>
      </c>
      <c r="M2926" s="9" t="n">
        <v>2271.49</v>
      </c>
      <c r="N2926" s="9" t="n">
        <v>1907.65</v>
      </c>
      <c r="O2926" s="9" t="n">
        <v>1976.73</v>
      </c>
      <c r="P2926" s="9" t="n">
        <v>1973.58</v>
      </c>
      <c r="Q2926" s="9" t="n">
        <v>1893.06</v>
      </c>
      <c r="R2926" s="9" t="n">
        <v>2326.28</v>
      </c>
      <c r="S2926" s="9" t="n">
        <v>2063.93</v>
      </c>
      <c r="T2926" s="9" t="n">
        <v>2109.89</v>
      </c>
      <c r="U2926" s="10">
        <f>SUM(I2926:T2926)</f>
        <v/>
      </c>
    </row>
    <row r="2927">
      <c r="A2927" s="2" t="inlineStr">
        <is>
          <t>SN-4000-4500-4500-4500PU0505</t>
        </is>
      </c>
      <c r="B2927" s="2" t="inlineStr">
        <is>
          <t>4500PU0505</t>
        </is>
      </c>
      <c r="C2927" s="2" t="inlineStr">
        <is>
          <t>Bomba diesel calentador elución</t>
        </is>
      </c>
      <c r="D2927" s="2" t="n">
        <v>976</v>
      </c>
      <c r="E2927" s="2" t="inlineStr">
        <is>
          <t>CC-4000</t>
        </is>
      </c>
      <c r="F2927" s="2" t="inlineStr">
        <is>
          <t>P01</t>
        </is>
      </c>
      <c r="G2927" s="2" t="n">
        <v>610000</v>
      </c>
      <c r="H2927" s="2" t="inlineStr">
        <is>
          <t>Mano obra interna</t>
        </is>
      </c>
      <c r="I2927" s="9" t="n">
        <v>206.88</v>
      </c>
      <c r="J2927" s="9" t="n">
        <v>197.93</v>
      </c>
      <c r="K2927" s="9" t="n">
        <v>226.95</v>
      </c>
      <c r="L2927" s="9" t="n">
        <v>226.03</v>
      </c>
      <c r="M2927" s="9" t="n">
        <v>218.77</v>
      </c>
      <c r="N2927" s="9" t="n">
        <v>217.56</v>
      </c>
      <c r="O2927" s="9" t="n">
        <v>224.79</v>
      </c>
      <c r="P2927" s="9" t="n">
        <v>211.44</v>
      </c>
      <c r="Q2927" s="9" t="n">
        <v>194.36</v>
      </c>
      <c r="R2927" s="9" t="n">
        <v>243.46</v>
      </c>
      <c r="S2927" s="9" t="n">
        <v>208.56</v>
      </c>
      <c r="T2927" s="9" t="n">
        <v>207.75</v>
      </c>
      <c r="U2927" s="10">
        <f>SUM(I2927:T2927)</f>
        <v/>
      </c>
    </row>
    <row r="2928">
      <c r="A2928" s="2" t="inlineStr">
        <is>
          <t>SN-4000-4500-4500-4500PU0505</t>
        </is>
      </c>
      <c r="B2928" s="2" t="inlineStr">
        <is>
          <t>4500PU0505</t>
        </is>
      </c>
      <c r="C2928" s="2" t="inlineStr">
        <is>
          <t>Bomba diesel calentador elución</t>
        </is>
      </c>
      <c r="D2928" s="2" t="n">
        <v>976</v>
      </c>
      <c r="E2928" s="2" t="inlineStr">
        <is>
          <t>CC-4000</t>
        </is>
      </c>
      <c r="F2928" s="2" t="inlineStr">
        <is>
          <t>P01</t>
        </is>
      </c>
      <c r="G2928" s="2" t="n">
        <v>620000</v>
      </c>
      <c r="H2928" s="2" t="inlineStr">
        <is>
          <t>Materiales</t>
        </is>
      </c>
      <c r="I2928" s="9" t="n">
        <v>261.38</v>
      </c>
      <c r="J2928" s="9" t="n">
        <v>246.82</v>
      </c>
      <c r="K2928" s="9" t="n">
        <v>236.29</v>
      </c>
      <c r="L2928" s="9" t="n">
        <v>260.16</v>
      </c>
      <c r="M2928" s="9" t="n">
        <v>252.99</v>
      </c>
      <c r="N2928" s="9" t="n">
        <v>217.16</v>
      </c>
      <c r="O2928" s="9" t="n">
        <v>252.49</v>
      </c>
      <c r="P2928" s="9" t="n">
        <v>251.71</v>
      </c>
      <c r="Q2928" s="9" t="n">
        <v>204.67</v>
      </c>
      <c r="R2928" s="9" t="n">
        <v>262.91</v>
      </c>
      <c r="S2928" s="9" t="n">
        <v>222.61</v>
      </c>
      <c r="T2928" s="9" t="n">
        <v>247.6</v>
      </c>
      <c r="U2928" s="10">
        <f>SUM(I2928:T2928)</f>
        <v/>
      </c>
    </row>
    <row r="2929">
      <c r="A2929" s="2" t="inlineStr">
        <is>
          <t>SN-4000-4500-4500-4500PU0505</t>
        </is>
      </c>
      <c r="B2929" s="2" t="inlineStr">
        <is>
          <t>4500PU0505</t>
        </is>
      </c>
      <c r="C2929" s="2" t="inlineStr">
        <is>
          <t>Bomba diesel calentador elución</t>
        </is>
      </c>
      <c r="D2929" s="2" t="n">
        <v>976</v>
      </c>
      <c r="E2929" s="2" t="inlineStr">
        <is>
          <t>CC-4000</t>
        </is>
      </c>
      <c r="F2929" s="2" t="inlineStr">
        <is>
          <t>P01</t>
        </is>
      </c>
      <c r="G2929" s="2" t="n">
        <v>630000</v>
      </c>
      <c r="H2929" s="2" t="inlineStr">
        <is>
          <t>Servicios externos</t>
        </is>
      </c>
      <c r="I2929" s="9" t="n">
        <v>271.76</v>
      </c>
      <c r="J2929" s="9" t="n">
        <v>258.64</v>
      </c>
      <c r="K2929" s="9" t="n">
        <v>293.21</v>
      </c>
      <c r="L2929" s="9" t="n">
        <v>292.78</v>
      </c>
      <c r="M2929" s="9" t="n">
        <v>245.05</v>
      </c>
      <c r="N2929" s="9" t="n">
        <v>271.79</v>
      </c>
      <c r="O2929" s="9" t="n">
        <v>248.6</v>
      </c>
      <c r="P2929" s="9" t="n">
        <v>259.14</v>
      </c>
      <c r="Q2929" s="9" t="n">
        <v>258.27</v>
      </c>
      <c r="R2929" s="9" t="n">
        <v>299.87</v>
      </c>
      <c r="S2929" s="9" t="n">
        <v>267.07</v>
      </c>
      <c r="T2929" s="9" t="n">
        <v>250.29</v>
      </c>
      <c r="U2929" s="10">
        <f>SUM(I2929:T2929)</f>
        <v/>
      </c>
    </row>
    <row r="2930">
      <c r="A2930" s="2" t="inlineStr">
        <is>
          <t>SN-4000-4500-4500-4500PU0506</t>
        </is>
      </c>
      <c r="B2930" s="2" t="inlineStr">
        <is>
          <t>4500PU0506</t>
        </is>
      </c>
      <c r="C2930" s="2" t="inlineStr">
        <is>
          <t>Bomba diesel horno reactivación carbon</t>
        </is>
      </c>
      <c r="D2930" s="2" t="n">
        <v>977</v>
      </c>
      <c r="E2930" s="2" t="inlineStr">
        <is>
          <t>CC-4000</t>
        </is>
      </c>
      <c r="F2930" s="2" t="inlineStr">
        <is>
          <t>P01</t>
        </is>
      </c>
      <c r="G2930" s="2" t="n">
        <v>610000</v>
      </c>
      <c r="H2930" s="2" t="inlineStr">
        <is>
          <t>Mano obra interna</t>
        </is>
      </c>
      <c r="I2930" s="9" t="n">
        <v>1309.32</v>
      </c>
      <c r="J2930" s="9" t="n">
        <v>1101.68</v>
      </c>
      <c r="K2930" s="9" t="n">
        <v>1153.44</v>
      </c>
      <c r="L2930" s="9" t="n">
        <v>1291.14</v>
      </c>
      <c r="M2930" s="9" t="n">
        <v>1213.32</v>
      </c>
      <c r="N2930" s="9" t="n">
        <v>1119.03</v>
      </c>
      <c r="O2930" s="9" t="n">
        <v>1135.29</v>
      </c>
      <c r="P2930" s="9" t="n">
        <v>1271.65</v>
      </c>
      <c r="Q2930" s="9" t="n">
        <v>1203.27</v>
      </c>
      <c r="R2930" s="9" t="n">
        <v>1199.83</v>
      </c>
      <c r="S2930" s="9" t="n">
        <v>1170.67</v>
      </c>
      <c r="T2930" s="9" t="n">
        <v>1170.24</v>
      </c>
      <c r="U2930" s="10">
        <f>SUM(I2930:T2930)</f>
        <v/>
      </c>
    </row>
    <row r="2931">
      <c r="A2931" s="2" t="inlineStr">
        <is>
          <t>SN-4000-4500-4500-4500PU0506</t>
        </is>
      </c>
      <c r="B2931" s="2" t="inlineStr">
        <is>
          <t>4500PU0506</t>
        </is>
      </c>
      <c r="C2931" s="2" t="inlineStr">
        <is>
          <t>Bomba diesel horno reactivación carbon</t>
        </is>
      </c>
      <c r="D2931" s="2" t="n">
        <v>977</v>
      </c>
      <c r="E2931" s="2" t="inlineStr">
        <is>
          <t>CC-4000</t>
        </is>
      </c>
      <c r="F2931" s="2" t="inlineStr">
        <is>
          <t>P01</t>
        </is>
      </c>
      <c r="G2931" s="2" t="n">
        <v>620000</v>
      </c>
      <c r="H2931" s="2" t="inlineStr">
        <is>
          <t>Materiales</t>
        </is>
      </c>
      <c r="I2931" s="9" t="n">
        <v>1421.76</v>
      </c>
      <c r="J2931" s="9" t="n">
        <v>1454.56</v>
      </c>
      <c r="K2931" s="9" t="n">
        <v>1482.39</v>
      </c>
      <c r="L2931" s="9" t="n">
        <v>1469.07</v>
      </c>
      <c r="M2931" s="9" t="n">
        <v>1494.07</v>
      </c>
      <c r="N2931" s="9" t="n">
        <v>1358.7</v>
      </c>
      <c r="O2931" s="9" t="n">
        <v>1507.53</v>
      </c>
      <c r="P2931" s="9" t="n">
        <v>1395.65</v>
      </c>
      <c r="Q2931" s="9" t="n">
        <v>1260.03</v>
      </c>
      <c r="R2931" s="9" t="n">
        <v>1528.91</v>
      </c>
      <c r="S2931" s="9" t="n">
        <v>1381.93</v>
      </c>
      <c r="T2931" s="9" t="n">
        <v>1444.08</v>
      </c>
      <c r="U2931" s="10">
        <f>SUM(I2931:T2931)</f>
        <v/>
      </c>
    </row>
    <row r="2932">
      <c r="A2932" s="2" t="inlineStr">
        <is>
          <t>SN-4000-4500-4500-4500PU0506</t>
        </is>
      </c>
      <c r="B2932" s="2" t="inlineStr">
        <is>
          <t>4500PU0506</t>
        </is>
      </c>
      <c r="C2932" s="2" t="inlineStr">
        <is>
          <t>Bomba diesel horno reactivación carbon</t>
        </is>
      </c>
      <c r="D2932" s="2" t="n">
        <v>977</v>
      </c>
      <c r="E2932" s="2" t="inlineStr">
        <is>
          <t>CC-4000</t>
        </is>
      </c>
      <c r="F2932" s="2" t="inlineStr">
        <is>
          <t>P01</t>
        </is>
      </c>
      <c r="G2932" s="2" t="n">
        <v>630000</v>
      </c>
      <c r="H2932" s="2" t="inlineStr">
        <is>
          <t>Servicios externos</t>
        </is>
      </c>
      <c r="I2932" s="9" t="n">
        <v>1500.99</v>
      </c>
      <c r="J2932" s="9" t="n">
        <v>1522.32</v>
      </c>
      <c r="K2932" s="9" t="n">
        <v>1504.73</v>
      </c>
      <c r="L2932" s="9" t="n">
        <v>1421.85</v>
      </c>
      <c r="M2932" s="9" t="n">
        <v>1354.85</v>
      </c>
      <c r="N2932" s="9" t="n">
        <v>1473.35</v>
      </c>
      <c r="O2932" s="9" t="n">
        <v>1352.55</v>
      </c>
      <c r="P2932" s="9" t="n">
        <v>1365.22</v>
      </c>
      <c r="Q2932" s="9" t="n">
        <v>1260.11</v>
      </c>
      <c r="R2932" s="9" t="n">
        <v>1550.26</v>
      </c>
      <c r="S2932" s="9" t="n">
        <v>1416.15</v>
      </c>
      <c r="T2932" s="9" t="n">
        <v>1363.43</v>
      </c>
      <c r="U2932" s="10">
        <f>SUM(I2932:T2932)</f>
        <v/>
      </c>
    </row>
    <row r="2933">
      <c r="A2933" s="2" t="inlineStr">
        <is>
          <t>SN-4000-4500-4500-4500PU0507</t>
        </is>
      </c>
      <c r="B2933" s="2" t="inlineStr">
        <is>
          <t>4500PU0507</t>
        </is>
      </c>
      <c r="C2933" s="2" t="inlineStr">
        <is>
          <t>Bomba diesel horno fundición</t>
        </is>
      </c>
      <c r="D2933" s="2" t="n">
        <v>978</v>
      </c>
      <c r="E2933" s="2" t="inlineStr">
        <is>
          <t>CC-4000</t>
        </is>
      </c>
      <c r="F2933" s="2" t="inlineStr">
        <is>
          <t>P01</t>
        </is>
      </c>
      <c r="G2933" s="2" t="n">
        <v>610000</v>
      </c>
      <c r="H2933" s="2" t="inlineStr">
        <is>
          <t>Mano obra interna</t>
        </is>
      </c>
      <c r="I2933" s="9" t="n">
        <v>1943.79</v>
      </c>
      <c r="J2933" s="9" t="n">
        <v>1991.22</v>
      </c>
      <c r="K2933" s="9" t="n">
        <v>2103.81</v>
      </c>
      <c r="L2933" s="9" t="n">
        <v>2038.31</v>
      </c>
      <c r="M2933" s="9" t="n">
        <v>1908.86</v>
      </c>
      <c r="N2933" s="9" t="n">
        <v>1767.82</v>
      </c>
      <c r="O2933" s="9" t="n">
        <v>2045.53</v>
      </c>
      <c r="P2933" s="9" t="n">
        <v>1886.54</v>
      </c>
      <c r="Q2933" s="9" t="n">
        <v>1761.67</v>
      </c>
      <c r="R2933" s="9" t="n">
        <v>2227.98</v>
      </c>
      <c r="S2933" s="9" t="n">
        <v>2017.85</v>
      </c>
      <c r="T2933" s="9" t="n">
        <v>2091.01</v>
      </c>
      <c r="U2933" s="10">
        <f>SUM(I2933:T2933)</f>
        <v/>
      </c>
    </row>
    <row r="2934">
      <c r="A2934" s="2" t="inlineStr">
        <is>
          <t>SN-4000-4500-4500-4500PU0507</t>
        </is>
      </c>
      <c r="B2934" s="2" t="inlineStr">
        <is>
          <t>4500PU0507</t>
        </is>
      </c>
      <c r="C2934" s="2" t="inlineStr">
        <is>
          <t>Bomba diesel horno fundición</t>
        </is>
      </c>
      <c r="D2934" s="2" t="n">
        <v>978</v>
      </c>
      <c r="E2934" s="2" t="inlineStr">
        <is>
          <t>CC-4000</t>
        </is>
      </c>
      <c r="F2934" s="2" t="inlineStr">
        <is>
          <t>P01</t>
        </is>
      </c>
      <c r="G2934" s="2" t="n">
        <v>620000</v>
      </c>
      <c r="H2934" s="2" t="inlineStr">
        <is>
          <t>Materiales</t>
        </is>
      </c>
      <c r="I2934" s="9" t="n">
        <v>2362.57</v>
      </c>
      <c r="J2934" s="9" t="n">
        <v>2222.62</v>
      </c>
      <c r="K2934" s="9" t="n">
        <v>2180.11</v>
      </c>
      <c r="L2934" s="9" t="n">
        <v>2395.38</v>
      </c>
      <c r="M2934" s="9" t="n">
        <v>2293.06</v>
      </c>
      <c r="N2934" s="9" t="n">
        <v>2002.67</v>
      </c>
      <c r="O2934" s="9" t="n">
        <v>2182.54</v>
      </c>
      <c r="P2934" s="9" t="n">
        <v>2033.49</v>
      </c>
      <c r="Q2934" s="9" t="n">
        <v>2181.83</v>
      </c>
      <c r="R2934" s="9" t="n">
        <v>2384.16</v>
      </c>
      <c r="S2934" s="9" t="n">
        <v>2029.3</v>
      </c>
      <c r="T2934" s="9" t="n">
        <v>2144.12</v>
      </c>
      <c r="U2934" s="10">
        <f>SUM(I2934:T2934)</f>
        <v/>
      </c>
    </row>
    <row r="2935">
      <c r="A2935" s="2" t="inlineStr">
        <is>
          <t>SN-4000-4500-4500-4500PU0507</t>
        </is>
      </c>
      <c r="B2935" s="2" t="inlineStr">
        <is>
          <t>4500PU0507</t>
        </is>
      </c>
      <c r="C2935" s="2" t="inlineStr">
        <is>
          <t>Bomba diesel horno fundición</t>
        </is>
      </c>
      <c r="D2935" s="2" t="n">
        <v>978</v>
      </c>
      <c r="E2935" s="2" t="inlineStr">
        <is>
          <t>CC-4000</t>
        </is>
      </c>
      <c r="F2935" s="2" t="inlineStr">
        <is>
          <t>P01</t>
        </is>
      </c>
      <c r="G2935" s="2" t="n">
        <v>630000</v>
      </c>
      <c r="H2935" s="2" t="inlineStr">
        <is>
          <t>Servicios externos</t>
        </is>
      </c>
      <c r="I2935" s="9" t="n">
        <v>2309.61</v>
      </c>
      <c r="J2935" s="9" t="n">
        <v>2159.96</v>
      </c>
      <c r="K2935" s="9" t="n">
        <v>2291.59</v>
      </c>
      <c r="L2935" s="9" t="n">
        <v>2124.5</v>
      </c>
      <c r="M2935" s="9" t="n">
        <v>2048.9</v>
      </c>
      <c r="N2935" s="9" t="n">
        <v>2155.27</v>
      </c>
      <c r="O2935" s="9" t="n">
        <v>2226.63</v>
      </c>
      <c r="P2935" s="9" t="n">
        <v>2169.67</v>
      </c>
      <c r="Q2935" s="9" t="n">
        <v>2089.68</v>
      </c>
      <c r="R2935" s="9" t="n">
        <v>2231.78</v>
      </c>
      <c r="S2935" s="9" t="n">
        <v>2303.18</v>
      </c>
      <c r="T2935" s="9" t="n">
        <v>2179.93</v>
      </c>
      <c r="U2935" s="10">
        <f>SUM(I2935:T2935)</f>
        <v/>
      </c>
    </row>
    <row r="2936">
      <c r="A2936" s="2" t="inlineStr">
        <is>
          <t>SN-4000-4500-4500-4500TK0048</t>
        </is>
      </c>
      <c r="B2936" s="2" t="inlineStr">
        <is>
          <t>4500TK0048</t>
        </is>
      </c>
      <c r="C2936" s="2" t="inlineStr">
        <is>
          <t>Estanque diesel dia regeneración carbón</t>
        </is>
      </c>
      <c r="D2936" s="2" t="n">
        <v>979</v>
      </c>
      <c r="E2936" s="2" t="inlineStr">
        <is>
          <t>CC-4000</t>
        </is>
      </c>
      <c r="F2936" s="2" t="inlineStr">
        <is>
          <t>P01</t>
        </is>
      </c>
      <c r="G2936" s="2" t="n">
        <v>610000</v>
      </c>
      <c r="H2936" s="2" t="inlineStr">
        <is>
          <t>Mano obra interna</t>
        </is>
      </c>
      <c r="I2936" s="9" t="n">
        <v>1138.8</v>
      </c>
      <c r="J2936" s="9" t="n">
        <v>1084.91</v>
      </c>
      <c r="K2936" s="9" t="n">
        <v>1152.61</v>
      </c>
      <c r="L2936" s="9" t="n">
        <v>1187.76</v>
      </c>
      <c r="M2936" s="9" t="n">
        <v>1210.04</v>
      </c>
      <c r="N2936" s="9" t="n">
        <v>1085.07</v>
      </c>
      <c r="O2936" s="9" t="n">
        <v>1166.28</v>
      </c>
      <c r="P2936" s="9" t="n">
        <v>1257.69</v>
      </c>
      <c r="Q2936" s="9" t="n">
        <v>1060.6</v>
      </c>
      <c r="R2936" s="9" t="n">
        <v>1330.1</v>
      </c>
      <c r="S2936" s="9" t="n">
        <v>1077.79</v>
      </c>
      <c r="T2936" s="9" t="n">
        <v>1133.8</v>
      </c>
      <c r="U2936" s="10">
        <f>SUM(I2936:T2936)</f>
        <v/>
      </c>
    </row>
    <row r="2937">
      <c r="A2937" s="2" t="inlineStr">
        <is>
          <t>SN-4000-4500-4500-4500TK0048</t>
        </is>
      </c>
      <c r="B2937" s="2" t="inlineStr">
        <is>
          <t>4500TK0048</t>
        </is>
      </c>
      <c r="C2937" s="2" t="inlineStr">
        <is>
          <t>Estanque diesel dia regeneración carbón</t>
        </is>
      </c>
      <c r="D2937" s="2" t="n">
        <v>979</v>
      </c>
      <c r="E2937" s="2" t="inlineStr">
        <is>
          <t>CC-4000</t>
        </is>
      </c>
      <c r="F2937" s="2" t="inlineStr">
        <is>
          <t>P01</t>
        </is>
      </c>
      <c r="G2937" s="2" t="n">
        <v>620000</v>
      </c>
      <c r="H2937" s="2" t="inlineStr">
        <is>
          <t>Materiales</t>
        </is>
      </c>
      <c r="I2937" s="9" t="n">
        <v>1242.87</v>
      </c>
      <c r="J2937" s="9" t="n">
        <v>1333.09</v>
      </c>
      <c r="K2937" s="9" t="n">
        <v>1217.53</v>
      </c>
      <c r="L2937" s="9" t="n">
        <v>1319.84</v>
      </c>
      <c r="M2937" s="9" t="n">
        <v>1279.42</v>
      </c>
      <c r="N2937" s="9" t="n">
        <v>1131.31</v>
      </c>
      <c r="O2937" s="9" t="n">
        <v>1319.5</v>
      </c>
      <c r="P2937" s="9" t="n">
        <v>1264.31</v>
      </c>
      <c r="Q2937" s="9" t="n">
        <v>1225.94</v>
      </c>
      <c r="R2937" s="9" t="n">
        <v>1443.04</v>
      </c>
      <c r="S2937" s="9" t="n">
        <v>1196.09</v>
      </c>
      <c r="T2937" s="9" t="n">
        <v>1287.26</v>
      </c>
      <c r="U2937" s="10">
        <f>SUM(I2937:T2937)</f>
        <v/>
      </c>
    </row>
    <row r="2938">
      <c r="A2938" s="2" t="inlineStr">
        <is>
          <t>SN-4000-4500-4500-4500TK0048</t>
        </is>
      </c>
      <c r="B2938" s="2" t="inlineStr">
        <is>
          <t>4500TK0048</t>
        </is>
      </c>
      <c r="C2938" s="2" t="inlineStr">
        <is>
          <t>Estanque diesel dia regeneración carbón</t>
        </is>
      </c>
      <c r="D2938" s="2" t="n">
        <v>979</v>
      </c>
      <c r="E2938" s="2" t="inlineStr">
        <is>
          <t>CC-4000</t>
        </is>
      </c>
      <c r="F2938" s="2" t="inlineStr">
        <is>
          <t>P01</t>
        </is>
      </c>
      <c r="G2938" s="2" t="n">
        <v>630000</v>
      </c>
      <c r="H2938" s="2" t="inlineStr">
        <is>
          <t>Servicios externos</t>
        </is>
      </c>
      <c r="I2938" s="9" t="n">
        <v>1209.67</v>
      </c>
      <c r="J2938" s="9" t="n">
        <v>1127.63</v>
      </c>
      <c r="K2938" s="9" t="n">
        <v>1379.01</v>
      </c>
      <c r="L2938" s="9" t="n">
        <v>1259.81</v>
      </c>
      <c r="M2938" s="9" t="n">
        <v>1135.58</v>
      </c>
      <c r="N2938" s="9" t="n">
        <v>1096.25</v>
      </c>
      <c r="O2938" s="9" t="n">
        <v>1202.8</v>
      </c>
      <c r="P2938" s="9" t="n">
        <v>1146.77</v>
      </c>
      <c r="Q2938" s="9" t="n">
        <v>1135.13</v>
      </c>
      <c r="R2938" s="9" t="n">
        <v>1248.15</v>
      </c>
      <c r="S2938" s="9" t="n">
        <v>1115.85</v>
      </c>
      <c r="T2938" s="9" t="n">
        <v>1297.1</v>
      </c>
      <c r="U2938" s="10">
        <f>SUM(I2938:T2938)</f>
        <v/>
      </c>
    </row>
    <row r="2939">
      <c r="A2939" s="2" t="inlineStr">
        <is>
          <t>SN-4000-4500-4500-4500TK0049</t>
        </is>
      </c>
      <c r="B2939" s="2" t="inlineStr">
        <is>
          <t>4500TK0049</t>
        </is>
      </c>
      <c r="C2939" s="2" t="inlineStr">
        <is>
          <t>Estanque diesel dia refineria</t>
        </is>
      </c>
      <c r="D2939" s="2" t="n">
        <v>980</v>
      </c>
      <c r="E2939" s="2" t="inlineStr">
        <is>
          <t>CC-4000</t>
        </is>
      </c>
      <c r="F2939" s="2" t="inlineStr">
        <is>
          <t>P01</t>
        </is>
      </c>
      <c r="G2939" s="2" t="n">
        <v>610000</v>
      </c>
      <c r="H2939" s="2" t="inlineStr">
        <is>
          <t>Mano obra interna</t>
        </is>
      </c>
      <c r="I2939" s="9" t="n">
        <v>2844.28</v>
      </c>
      <c r="J2939" s="9" t="n">
        <v>2934.41</v>
      </c>
      <c r="K2939" s="9" t="n">
        <v>2696.97</v>
      </c>
      <c r="L2939" s="9" t="n">
        <v>3017.89</v>
      </c>
      <c r="M2939" s="9" t="n">
        <v>2602.22</v>
      </c>
      <c r="N2939" s="9" t="n">
        <v>2849.35</v>
      </c>
      <c r="O2939" s="9" t="n">
        <v>3001.51</v>
      </c>
      <c r="P2939" s="9" t="n">
        <v>2954.34</v>
      </c>
      <c r="Q2939" s="9" t="n">
        <v>2766.82</v>
      </c>
      <c r="R2939" s="9" t="n">
        <v>3078.9</v>
      </c>
      <c r="S2939" s="9" t="n">
        <v>2633.94</v>
      </c>
      <c r="T2939" s="9" t="n">
        <v>2934.92</v>
      </c>
      <c r="U2939" s="10">
        <f>SUM(I2939:T2939)</f>
        <v/>
      </c>
    </row>
    <row r="2940">
      <c r="A2940" s="2" t="inlineStr">
        <is>
          <t>SN-4000-4500-4500-4500TK0049</t>
        </is>
      </c>
      <c r="B2940" s="2" t="inlineStr">
        <is>
          <t>4500TK0049</t>
        </is>
      </c>
      <c r="C2940" s="2" t="inlineStr">
        <is>
          <t>Estanque diesel dia refineria</t>
        </is>
      </c>
      <c r="D2940" s="2" t="n">
        <v>980</v>
      </c>
      <c r="E2940" s="2" t="inlineStr">
        <is>
          <t>CC-4000</t>
        </is>
      </c>
      <c r="F2940" s="2" t="inlineStr">
        <is>
          <t>P01</t>
        </is>
      </c>
      <c r="G2940" s="2" t="n">
        <v>620000</v>
      </c>
      <c r="H2940" s="2" t="inlineStr">
        <is>
          <t>Materiales</t>
        </is>
      </c>
      <c r="I2940" s="9" t="n">
        <v>2296.13</v>
      </c>
      <c r="J2940" s="9" t="n">
        <v>2396.66</v>
      </c>
      <c r="K2940" s="9" t="n">
        <v>2580.81</v>
      </c>
      <c r="L2940" s="9" t="n">
        <v>2302.25</v>
      </c>
      <c r="M2940" s="9" t="n">
        <v>2464.24</v>
      </c>
      <c r="N2940" s="9" t="n">
        <v>2392.25</v>
      </c>
      <c r="O2940" s="9" t="n">
        <v>2310</v>
      </c>
      <c r="P2940" s="9" t="n">
        <v>2413.83</v>
      </c>
      <c r="Q2940" s="9" t="n">
        <v>2442.65</v>
      </c>
      <c r="R2940" s="9" t="n">
        <v>2796.05</v>
      </c>
      <c r="S2940" s="9" t="n">
        <v>2330.82</v>
      </c>
      <c r="T2940" s="9" t="n">
        <v>2419.28</v>
      </c>
      <c r="U2940" s="10">
        <f>SUM(I2940:T2940)</f>
        <v/>
      </c>
    </row>
    <row r="2941">
      <c r="A2941" s="2" t="inlineStr">
        <is>
          <t>SN-4000-4500-4500-4500TK0049</t>
        </is>
      </c>
      <c r="B2941" s="2" t="inlineStr">
        <is>
          <t>4500TK0049</t>
        </is>
      </c>
      <c r="C2941" s="2" t="inlineStr">
        <is>
          <t>Estanque diesel dia refineria</t>
        </is>
      </c>
      <c r="D2941" s="2" t="n">
        <v>980</v>
      </c>
      <c r="E2941" s="2" t="inlineStr">
        <is>
          <t>CC-4000</t>
        </is>
      </c>
      <c r="F2941" s="2" t="inlineStr">
        <is>
          <t>P01</t>
        </is>
      </c>
      <c r="G2941" s="2" t="n">
        <v>630000</v>
      </c>
      <c r="H2941" s="2" t="inlineStr">
        <is>
          <t>Servicios externos</t>
        </is>
      </c>
      <c r="I2941" s="9" t="n">
        <v>2056.59</v>
      </c>
      <c r="J2941" s="9" t="n">
        <v>2074.04</v>
      </c>
      <c r="K2941" s="9" t="n">
        <v>2403.49</v>
      </c>
      <c r="L2941" s="9" t="n">
        <v>2387.66</v>
      </c>
      <c r="M2941" s="9" t="n">
        <v>2261.65</v>
      </c>
      <c r="N2941" s="9" t="n">
        <v>2031.17</v>
      </c>
      <c r="O2941" s="9" t="n">
        <v>2053.28</v>
      </c>
      <c r="P2941" s="9" t="n">
        <v>2208.07</v>
      </c>
      <c r="Q2941" s="9" t="n">
        <v>2073.5</v>
      </c>
      <c r="R2941" s="9" t="n">
        <v>2318.82</v>
      </c>
      <c r="S2941" s="9" t="n">
        <v>2171.55</v>
      </c>
      <c r="T2941" s="9" t="n">
        <v>2295.95</v>
      </c>
      <c r="U2941" s="10">
        <f>SUM(I2941:T2941)</f>
        <v/>
      </c>
    </row>
    <row r="2942">
      <c r="A2942" s="2" t="inlineStr">
        <is>
          <t>SN-4000-4500-4500-4500TK0050</t>
        </is>
      </c>
      <c r="B2942" s="2" t="inlineStr">
        <is>
          <t>4500TK0050</t>
        </is>
      </c>
      <c r="C2942" s="2" t="inlineStr">
        <is>
          <t>Estanque diesel dia elución</t>
        </is>
      </c>
      <c r="D2942" s="2" t="n">
        <v>981</v>
      </c>
      <c r="E2942" s="2" t="inlineStr">
        <is>
          <t>CC-4000</t>
        </is>
      </c>
      <c r="F2942" s="2" t="inlineStr">
        <is>
          <t>P01</t>
        </is>
      </c>
      <c r="G2942" s="2" t="n">
        <v>610000</v>
      </c>
      <c r="H2942" s="2" t="inlineStr">
        <is>
          <t>Mano obra interna</t>
        </is>
      </c>
      <c r="I2942" s="9" t="n">
        <v>2145.29</v>
      </c>
      <c r="J2942" s="9" t="n">
        <v>2165.44</v>
      </c>
      <c r="K2942" s="9" t="n">
        <v>2002.64</v>
      </c>
      <c r="L2942" s="9" t="n">
        <v>2208.99</v>
      </c>
      <c r="M2942" s="9" t="n">
        <v>1991.04</v>
      </c>
      <c r="N2942" s="9" t="n">
        <v>1934.68</v>
      </c>
      <c r="O2942" s="9" t="n">
        <v>1964.23</v>
      </c>
      <c r="P2942" s="9" t="n">
        <v>1995.83</v>
      </c>
      <c r="Q2942" s="9" t="n">
        <v>2109.44</v>
      </c>
      <c r="R2942" s="9" t="n">
        <v>2234.79</v>
      </c>
      <c r="S2942" s="9" t="n">
        <v>2172.81</v>
      </c>
      <c r="T2942" s="9" t="n">
        <v>2016.92</v>
      </c>
      <c r="U2942" s="10">
        <f>SUM(I2942:T2942)</f>
        <v/>
      </c>
    </row>
    <row r="2943">
      <c r="A2943" s="2" t="inlineStr">
        <is>
          <t>SN-4000-4500-4500-4500TK0050</t>
        </is>
      </c>
      <c r="B2943" s="2" t="inlineStr">
        <is>
          <t>4500TK0050</t>
        </is>
      </c>
      <c r="C2943" s="2" t="inlineStr">
        <is>
          <t>Estanque diesel dia elución</t>
        </is>
      </c>
      <c r="D2943" s="2" t="n">
        <v>981</v>
      </c>
      <c r="E2943" s="2" t="inlineStr">
        <is>
          <t>CC-4000</t>
        </is>
      </c>
      <c r="F2943" s="2" t="inlineStr">
        <is>
          <t>P01</t>
        </is>
      </c>
      <c r="G2943" s="2" t="n">
        <v>620000</v>
      </c>
      <c r="H2943" s="2" t="inlineStr">
        <is>
          <t>Materiales</t>
        </is>
      </c>
      <c r="I2943" s="9" t="n">
        <v>1742.74</v>
      </c>
      <c r="J2943" s="9" t="n">
        <v>1625.79</v>
      </c>
      <c r="K2943" s="9" t="n">
        <v>1785.21</v>
      </c>
      <c r="L2943" s="9" t="n">
        <v>1707.24</v>
      </c>
      <c r="M2943" s="9" t="n">
        <v>1757.47</v>
      </c>
      <c r="N2943" s="9" t="n">
        <v>1599.49</v>
      </c>
      <c r="O2943" s="9" t="n">
        <v>1711.87</v>
      </c>
      <c r="P2943" s="9" t="n">
        <v>1641.86</v>
      </c>
      <c r="Q2943" s="9" t="n">
        <v>1625.99</v>
      </c>
      <c r="R2943" s="9" t="n">
        <v>1869.33</v>
      </c>
      <c r="S2943" s="9" t="n">
        <v>1610.5</v>
      </c>
      <c r="T2943" s="9" t="n">
        <v>1655.11</v>
      </c>
      <c r="U2943" s="10">
        <f>SUM(I2943:T2943)</f>
        <v/>
      </c>
    </row>
    <row r="2944">
      <c r="A2944" s="2" t="inlineStr">
        <is>
          <t>SN-4000-4500-4500-4500TK0050</t>
        </is>
      </c>
      <c r="B2944" s="2" t="inlineStr">
        <is>
          <t>4500TK0050</t>
        </is>
      </c>
      <c r="C2944" s="2" t="inlineStr">
        <is>
          <t>Estanque diesel dia elución</t>
        </is>
      </c>
      <c r="D2944" s="2" t="n">
        <v>981</v>
      </c>
      <c r="E2944" s="2" t="inlineStr">
        <is>
          <t>CC-4000</t>
        </is>
      </c>
      <c r="F2944" s="2" t="inlineStr">
        <is>
          <t>P01</t>
        </is>
      </c>
      <c r="G2944" s="2" t="n">
        <v>630000</v>
      </c>
      <c r="H2944" s="2" t="inlineStr">
        <is>
          <t>Servicios externos</t>
        </is>
      </c>
      <c r="I2944" s="9" t="n">
        <v>2056.11</v>
      </c>
      <c r="J2944" s="9" t="n">
        <v>1743.42</v>
      </c>
      <c r="K2944" s="9" t="n">
        <v>2033.14</v>
      </c>
      <c r="L2944" s="9" t="n">
        <v>1935.46</v>
      </c>
      <c r="M2944" s="9" t="n">
        <v>1868.93</v>
      </c>
      <c r="N2944" s="9" t="n">
        <v>1930.97</v>
      </c>
      <c r="O2944" s="9" t="n">
        <v>1913.5</v>
      </c>
      <c r="P2944" s="9" t="n">
        <v>1978.75</v>
      </c>
      <c r="Q2944" s="9" t="n">
        <v>1754.82</v>
      </c>
      <c r="R2944" s="9" t="n">
        <v>1947.09</v>
      </c>
      <c r="S2944" s="9" t="n">
        <v>1877.36</v>
      </c>
      <c r="T2944" s="9" t="n">
        <v>2037.93</v>
      </c>
      <c r="U2944" s="10">
        <f>SUM(I2944:T2944)</f>
        <v/>
      </c>
    </row>
    <row r="2945">
      <c r="A2945" s="2" t="inlineStr">
        <is>
          <t>SN-4000-4500-4510-4510CT0001</t>
        </is>
      </c>
      <c r="B2945" s="2" t="inlineStr">
        <is>
          <t>4510CT0001</t>
        </is>
      </c>
      <c r="C2945" s="2" t="inlineStr">
        <is>
          <t>Sistema CCTV Suministro y almacenamiento diesel</t>
        </is>
      </c>
      <c r="D2945" s="2" t="n">
        <v>982</v>
      </c>
      <c r="E2945" s="2" t="inlineStr">
        <is>
          <t>CC-4000</t>
        </is>
      </c>
      <c r="F2945" s="2" t="inlineStr">
        <is>
          <t>P01</t>
        </is>
      </c>
      <c r="G2945" s="2" t="n">
        <v>610000</v>
      </c>
      <c r="H2945" s="2" t="inlineStr">
        <is>
          <t>Mano obra interna</t>
        </is>
      </c>
      <c r="I2945" s="9" t="n">
        <v>967.33</v>
      </c>
      <c r="J2945" s="9" t="n">
        <v>951.83</v>
      </c>
      <c r="K2945" s="9" t="n">
        <v>1029.91</v>
      </c>
      <c r="L2945" s="9" t="n">
        <v>1029.24</v>
      </c>
      <c r="M2945" s="9" t="n">
        <v>937.0599999999999</v>
      </c>
      <c r="N2945" s="9" t="n">
        <v>910.77</v>
      </c>
      <c r="O2945" s="9" t="n">
        <v>1037.33</v>
      </c>
      <c r="P2945" s="9" t="n">
        <v>1031.55</v>
      </c>
      <c r="Q2945" s="9" t="n">
        <v>977.11</v>
      </c>
      <c r="R2945" s="9" t="n">
        <v>1148.09</v>
      </c>
      <c r="S2945" s="9" t="n">
        <v>934.27</v>
      </c>
      <c r="T2945" s="9" t="n">
        <v>1068.55</v>
      </c>
      <c r="U2945" s="10">
        <f>SUM(I2945:T2945)</f>
        <v/>
      </c>
    </row>
    <row r="2946">
      <c r="A2946" s="2" t="inlineStr">
        <is>
          <t>SN-4000-4500-4510-4510CT0001</t>
        </is>
      </c>
      <c r="B2946" s="2" t="inlineStr">
        <is>
          <t>4510CT0001</t>
        </is>
      </c>
      <c r="C2946" s="2" t="inlineStr">
        <is>
          <t>Sistema CCTV Suministro y almacenamiento diesel</t>
        </is>
      </c>
      <c r="D2946" s="2" t="n">
        <v>982</v>
      </c>
      <c r="E2946" s="2" t="inlineStr">
        <is>
          <t>CC-4000</t>
        </is>
      </c>
      <c r="F2946" s="2" t="inlineStr">
        <is>
          <t>P01</t>
        </is>
      </c>
      <c r="G2946" s="2" t="n">
        <v>620000</v>
      </c>
      <c r="H2946" s="2" t="inlineStr">
        <is>
          <t>Materiales</t>
        </is>
      </c>
      <c r="I2946" s="9" t="n">
        <v>988.3200000000001</v>
      </c>
      <c r="J2946" s="9" t="n">
        <v>856.01</v>
      </c>
      <c r="K2946" s="9" t="n">
        <v>896.3200000000001</v>
      </c>
      <c r="L2946" s="9" t="n">
        <v>952.09</v>
      </c>
      <c r="M2946" s="9" t="n">
        <v>953.9299999999999</v>
      </c>
      <c r="N2946" s="9" t="n">
        <v>907.23</v>
      </c>
      <c r="O2946" s="9" t="n">
        <v>935.26</v>
      </c>
      <c r="P2946" s="9" t="n">
        <v>885.14</v>
      </c>
      <c r="Q2946" s="9" t="n">
        <v>868.97</v>
      </c>
      <c r="R2946" s="9" t="n">
        <v>1019.68</v>
      </c>
      <c r="S2946" s="9" t="n">
        <v>908.65</v>
      </c>
      <c r="T2946" s="9" t="n">
        <v>941.36</v>
      </c>
      <c r="U2946" s="10">
        <f>SUM(I2946:T2946)</f>
        <v/>
      </c>
    </row>
    <row r="2947">
      <c r="A2947" s="2" t="inlineStr">
        <is>
          <t>SN-4000-4500-4510-4510CT0001</t>
        </is>
      </c>
      <c r="B2947" s="2" t="inlineStr">
        <is>
          <t>4510CT0001</t>
        </is>
      </c>
      <c r="C2947" s="2" t="inlineStr">
        <is>
          <t>Sistema CCTV Suministro y almacenamiento diesel</t>
        </is>
      </c>
      <c r="D2947" s="2" t="n">
        <v>982</v>
      </c>
      <c r="E2947" s="2" t="inlineStr">
        <is>
          <t>CC-4000</t>
        </is>
      </c>
      <c r="F2947" s="2" t="inlineStr">
        <is>
          <t>P01</t>
        </is>
      </c>
      <c r="G2947" s="2" t="n">
        <v>630000</v>
      </c>
      <c r="H2947" s="2" t="inlineStr">
        <is>
          <t>Servicios externos</t>
        </is>
      </c>
      <c r="I2947" s="9" t="n">
        <v>789.09</v>
      </c>
      <c r="J2947" s="9" t="n">
        <v>739.73</v>
      </c>
      <c r="K2947" s="9" t="n">
        <v>834.99</v>
      </c>
      <c r="L2947" s="9" t="n">
        <v>783.55</v>
      </c>
      <c r="M2947" s="9" t="n">
        <v>758.84</v>
      </c>
      <c r="N2947" s="9" t="n">
        <v>777.5700000000001</v>
      </c>
      <c r="O2947" s="9" t="n">
        <v>705.03</v>
      </c>
      <c r="P2947" s="9" t="n">
        <v>726.2</v>
      </c>
      <c r="Q2947" s="9" t="n">
        <v>719.14</v>
      </c>
      <c r="R2947" s="9" t="n">
        <v>788.8</v>
      </c>
      <c r="S2947" s="9" t="n">
        <v>711.6900000000001</v>
      </c>
      <c r="T2947" s="9" t="n">
        <v>812.96</v>
      </c>
      <c r="U2947" s="10">
        <f>SUM(I2947:T2947)</f>
        <v/>
      </c>
    </row>
    <row r="2948">
      <c r="A2948" s="2" t="inlineStr">
        <is>
          <t>SN-4000-4600-4630-4630CW0001</t>
        </is>
      </c>
      <c r="B2948" s="2" t="inlineStr">
        <is>
          <t>4630CW0001</t>
        </is>
      </c>
      <c r="C2948" s="2" t="inlineStr">
        <is>
          <t>Core Switch 1</t>
        </is>
      </c>
      <c r="D2948" s="2" t="n">
        <v>983</v>
      </c>
      <c r="E2948" s="2" t="inlineStr">
        <is>
          <t>CC-4000</t>
        </is>
      </c>
      <c r="F2948" s="2" t="inlineStr">
        <is>
          <t>P01</t>
        </is>
      </c>
      <c r="G2948" s="2" t="n">
        <v>610000</v>
      </c>
      <c r="H2948" s="2" t="inlineStr">
        <is>
          <t>Mano obra interna</t>
        </is>
      </c>
      <c r="I2948" s="9" t="n">
        <v>879.53</v>
      </c>
      <c r="J2948" s="9" t="n">
        <v>878.6799999999999</v>
      </c>
      <c r="K2948" s="9" t="n">
        <v>884.76</v>
      </c>
      <c r="L2948" s="9" t="n">
        <v>948.76</v>
      </c>
      <c r="M2948" s="9" t="n">
        <v>862.92</v>
      </c>
      <c r="N2948" s="9" t="n">
        <v>929.87</v>
      </c>
      <c r="O2948" s="9" t="n">
        <v>931.83</v>
      </c>
      <c r="P2948" s="9" t="n">
        <v>854.53</v>
      </c>
      <c r="Q2948" s="9" t="n">
        <v>829.15</v>
      </c>
      <c r="R2948" s="9" t="n">
        <v>1010.65</v>
      </c>
      <c r="S2948" s="9" t="n">
        <v>867.21</v>
      </c>
      <c r="T2948" s="9" t="n">
        <v>935.66</v>
      </c>
      <c r="U2948" s="10">
        <f>SUM(I2948:T2948)</f>
        <v/>
      </c>
    </row>
    <row r="2949">
      <c r="A2949" s="2" t="inlineStr">
        <is>
          <t>SN-4000-4600-4630-4630CW0001</t>
        </is>
      </c>
      <c r="B2949" s="2" t="inlineStr">
        <is>
          <t>4630CW0001</t>
        </is>
      </c>
      <c r="C2949" s="2" t="inlineStr">
        <is>
          <t>Core Switch 1</t>
        </is>
      </c>
      <c r="D2949" s="2" t="n">
        <v>983</v>
      </c>
      <c r="E2949" s="2" t="inlineStr">
        <is>
          <t>CC-4000</t>
        </is>
      </c>
      <c r="F2949" s="2" t="inlineStr">
        <is>
          <t>P01</t>
        </is>
      </c>
      <c r="G2949" s="2" t="n">
        <v>620000</v>
      </c>
      <c r="H2949" s="2" t="inlineStr">
        <is>
          <t>Materiales</t>
        </is>
      </c>
      <c r="I2949" s="9" t="n">
        <v>960.85</v>
      </c>
      <c r="J2949" s="9" t="n">
        <v>924.8200000000001</v>
      </c>
      <c r="K2949" s="9" t="n">
        <v>1045.78</v>
      </c>
      <c r="L2949" s="9" t="n">
        <v>957.04</v>
      </c>
      <c r="M2949" s="9" t="n">
        <v>889.95</v>
      </c>
      <c r="N2949" s="9" t="n">
        <v>874.9299999999999</v>
      </c>
      <c r="O2949" s="9" t="n">
        <v>1034.08</v>
      </c>
      <c r="P2949" s="9" t="n">
        <v>1030.45</v>
      </c>
      <c r="Q2949" s="9" t="n">
        <v>858.1799999999999</v>
      </c>
      <c r="R2949" s="9" t="n">
        <v>1048.9</v>
      </c>
      <c r="S2949" s="9" t="n">
        <v>879.4</v>
      </c>
      <c r="T2949" s="9" t="n">
        <v>1006.04</v>
      </c>
      <c r="U2949" s="10">
        <f>SUM(I2949:T2949)</f>
        <v/>
      </c>
    </row>
    <row r="2950">
      <c r="A2950" s="2" t="inlineStr">
        <is>
          <t>SN-4000-4600-4630-4630CW0001</t>
        </is>
      </c>
      <c r="B2950" s="2" t="inlineStr">
        <is>
          <t>4630CW0001</t>
        </is>
      </c>
      <c r="C2950" s="2" t="inlineStr">
        <is>
          <t>Core Switch 1</t>
        </is>
      </c>
      <c r="D2950" s="2" t="n">
        <v>983</v>
      </c>
      <c r="E2950" s="2" t="inlineStr">
        <is>
          <t>CC-4000</t>
        </is>
      </c>
      <c r="F2950" s="2" t="inlineStr">
        <is>
          <t>P01</t>
        </is>
      </c>
      <c r="G2950" s="2" t="n">
        <v>630000</v>
      </c>
      <c r="H2950" s="2" t="inlineStr">
        <is>
          <t>Servicios externos</t>
        </is>
      </c>
      <c r="I2950" s="9" t="n">
        <v>738.61</v>
      </c>
      <c r="J2950" s="9" t="n">
        <v>807.8</v>
      </c>
      <c r="K2950" s="9" t="n">
        <v>781.89</v>
      </c>
      <c r="L2950" s="9" t="n">
        <v>746.97</v>
      </c>
      <c r="M2950" s="9" t="n">
        <v>812.85</v>
      </c>
      <c r="N2950" s="9" t="n">
        <v>776.73</v>
      </c>
      <c r="O2950" s="9" t="n">
        <v>802.98</v>
      </c>
      <c r="P2950" s="9" t="n">
        <v>830.37</v>
      </c>
      <c r="Q2950" s="9" t="n">
        <v>724.55</v>
      </c>
      <c r="R2950" s="9" t="n">
        <v>790.8</v>
      </c>
      <c r="S2950" s="9" t="n">
        <v>701.8200000000001</v>
      </c>
      <c r="T2950" s="9" t="n">
        <v>768.28</v>
      </c>
      <c r="U2950" s="10">
        <f>SUM(I2950:T2950)</f>
        <v/>
      </c>
    </row>
    <row r="2951">
      <c r="A2951" s="2" t="inlineStr">
        <is>
          <t>SN-4000-4600-4630-4630CW0002</t>
        </is>
      </c>
      <c r="B2951" s="2" t="inlineStr">
        <is>
          <t>4630CW0002</t>
        </is>
      </c>
      <c r="C2951" s="2" t="inlineStr">
        <is>
          <t>Core Switch 2</t>
        </is>
      </c>
      <c r="D2951" s="2" t="n">
        <v>984</v>
      </c>
      <c r="E2951" s="2" t="inlineStr">
        <is>
          <t>CC-4000</t>
        </is>
      </c>
      <c r="F2951" s="2" t="inlineStr">
        <is>
          <t>P01</t>
        </is>
      </c>
      <c r="G2951" s="2" t="n">
        <v>610000</v>
      </c>
      <c r="H2951" s="2" t="inlineStr">
        <is>
          <t>Mano obra interna</t>
        </is>
      </c>
      <c r="I2951" s="9" t="n">
        <v>461.94</v>
      </c>
      <c r="J2951" s="9" t="n">
        <v>408.72</v>
      </c>
      <c r="K2951" s="9" t="n">
        <v>460.02</v>
      </c>
      <c r="L2951" s="9" t="n">
        <v>436.22</v>
      </c>
      <c r="M2951" s="9" t="n">
        <v>435.92</v>
      </c>
      <c r="N2951" s="9" t="n">
        <v>442.24</v>
      </c>
      <c r="O2951" s="9" t="n">
        <v>439.42</v>
      </c>
      <c r="P2951" s="9" t="n">
        <v>438.21</v>
      </c>
      <c r="Q2951" s="9" t="n">
        <v>451.74</v>
      </c>
      <c r="R2951" s="9" t="n">
        <v>502.23</v>
      </c>
      <c r="S2951" s="9" t="n">
        <v>436.55</v>
      </c>
      <c r="T2951" s="9" t="n">
        <v>462.44</v>
      </c>
      <c r="U2951" s="10">
        <f>SUM(I2951:T2951)</f>
        <v/>
      </c>
    </row>
    <row r="2952">
      <c r="A2952" s="2" t="inlineStr">
        <is>
          <t>SN-4000-4600-4630-4630CW0002</t>
        </is>
      </c>
      <c r="B2952" s="2" t="inlineStr">
        <is>
          <t>4630CW0002</t>
        </is>
      </c>
      <c r="C2952" s="2" t="inlineStr">
        <is>
          <t>Core Switch 2</t>
        </is>
      </c>
      <c r="D2952" s="2" t="n">
        <v>984</v>
      </c>
      <c r="E2952" s="2" t="inlineStr">
        <is>
          <t>CC-4000</t>
        </is>
      </c>
      <c r="F2952" s="2" t="inlineStr">
        <is>
          <t>P01</t>
        </is>
      </c>
      <c r="G2952" s="2" t="n">
        <v>620000</v>
      </c>
      <c r="H2952" s="2" t="inlineStr">
        <is>
          <t>Materiales</t>
        </is>
      </c>
      <c r="I2952" s="9" t="n">
        <v>498.32</v>
      </c>
      <c r="J2952" s="9" t="n">
        <v>485.39</v>
      </c>
      <c r="K2952" s="9" t="n">
        <v>558.0599999999999</v>
      </c>
      <c r="L2952" s="9" t="n">
        <v>528.27</v>
      </c>
      <c r="M2952" s="9" t="n">
        <v>485.68</v>
      </c>
      <c r="N2952" s="9" t="n">
        <v>488.76</v>
      </c>
      <c r="O2952" s="9" t="n">
        <v>497.31</v>
      </c>
      <c r="P2952" s="9" t="n">
        <v>563.11</v>
      </c>
      <c r="Q2952" s="9" t="n">
        <v>468.44</v>
      </c>
      <c r="R2952" s="9" t="n">
        <v>537.29</v>
      </c>
      <c r="S2952" s="9" t="n">
        <v>521.79</v>
      </c>
      <c r="T2952" s="9" t="n">
        <v>538.0599999999999</v>
      </c>
      <c r="U2952" s="10">
        <f>SUM(I2952:T2952)</f>
        <v/>
      </c>
    </row>
    <row r="2953">
      <c r="A2953" s="2" t="inlineStr">
        <is>
          <t>SN-4000-4600-4630-4630CW0002</t>
        </is>
      </c>
      <c r="B2953" s="2" t="inlineStr">
        <is>
          <t>4630CW0002</t>
        </is>
      </c>
      <c r="C2953" s="2" t="inlineStr">
        <is>
          <t>Core Switch 2</t>
        </is>
      </c>
      <c r="D2953" s="2" t="n">
        <v>984</v>
      </c>
      <c r="E2953" s="2" t="inlineStr">
        <is>
          <t>CC-4000</t>
        </is>
      </c>
      <c r="F2953" s="2" t="inlineStr">
        <is>
          <t>P01</t>
        </is>
      </c>
      <c r="G2953" s="2" t="n">
        <v>630000</v>
      </c>
      <c r="H2953" s="2" t="inlineStr">
        <is>
          <t>Servicios externos</t>
        </is>
      </c>
      <c r="I2953" s="9" t="n">
        <v>525.38</v>
      </c>
      <c r="J2953" s="9" t="n">
        <v>509.42</v>
      </c>
      <c r="K2953" s="9" t="n">
        <v>560.36</v>
      </c>
      <c r="L2953" s="9" t="n">
        <v>507.63</v>
      </c>
      <c r="M2953" s="9" t="n">
        <v>506.08</v>
      </c>
      <c r="N2953" s="9" t="n">
        <v>533.55</v>
      </c>
      <c r="O2953" s="9" t="n">
        <v>494.41</v>
      </c>
      <c r="P2953" s="9" t="n">
        <v>502.45</v>
      </c>
      <c r="Q2953" s="9" t="n">
        <v>460.15</v>
      </c>
      <c r="R2953" s="9" t="n">
        <v>517.74</v>
      </c>
      <c r="S2953" s="9" t="n">
        <v>484.84</v>
      </c>
      <c r="T2953" s="9" t="n">
        <v>489.41</v>
      </c>
      <c r="U2953" s="10">
        <f>SUM(I2953:T2953)</f>
        <v/>
      </c>
    </row>
    <row r="2954">
      <c r="A2954" s="2" t="inlineStr">
        <is>
          <t>SN-4000-4600-4630-4630PS0001</t>
        </is>
      </c>
      <c r="B2954" s="2" t="inlineStr">
        <is>
          <t>4630PS0001</t>
        </is>
      </c>
      <c r="C2954" s="2" t="inlineStr">
        <is>
          <t>Servidor primario</t>
        </is>
      </c>
      <c r="D2954" s="2" t="n">
        <v>985</v>
      </c>
      <c r="E2954" s="2" t="inlineStr">
        <is>
          <t>CC-4000</t>
        </is>
      </c>
      <c r="F2954" s="2" t="inlineStr">
        <is>
          <t>P01</t>
        </is>
      </c>
      <c r="G2954" s="2" t="n">
        <v>610000</v>
      </c>
      <c r="H2954" s="2" t="inlineStr">
        <is>
          <t>Mano obra interna</t>
        </is>
      </c>
      <c r="I2954" s="9" t="n">
        <v>1940.06</v>
      </c>
      <c r="J2954" s="9" t="n">
        <v>1766.96</v>
      </c>
      <c r="K2954" s="9" t="n">
        <v>2085.75</v>
      </c>
      <c r="L2954" s="9" t="n">
        <v>2079.9</v>
      </c>
      <c r="M2954" s="9" t="n">
        <v>1895.78</v>
      </c>
      <c r="N2954" s="9" t="n">
        <v>2001.83</v>
      </c>
      <c r="O2954" s="9" t="n">
        <v>1999.69</v>
      </c>
      <c r="P2954" s="9" t="n">
        <v>2017.4</v>
      </c>
      <c r="Q2954" s="9" t="n">
        <v>1719.77</v>
      </c>
      <c r="R2954" s="9" t="n">
        <v>2208.66</v>
      </c>
      <c r="S2954" s="9" t="n">
        <v>2015.02</v>
      </c>
      <c r="T2954" s="9" t="n">
        <v>1888.79</v>
      </c>
      <c r="U2954" s="10">
        <f>SUM(I2954:T2954)</f>
        <v/>
      </c>
    </row>
    <row r="2955">
      <c r="A2955" s="2" t="inlineStr">
        <is>
          <t>SN-4000-4600-4630-4630PS0001</t>
        </is>
      </c>
      <c r="B2955" s="2" t="inlineStr">
        <is>
          <t>4630PS0001</t>
        </is>
      </c>
      <c r="C2955" s="2" t="inlineStr">
        <is>
          <t>Servidor primario</t>
        </is>
      </c>
      <c r="D2955" s="2" t="n">
        <v>985</v>
      </c>
      <c r="E2955" s="2" t="inlineStr">
        <is>
          <t>CC-4000</t>
        </is>
      </c>
      <c r="F2955" s="2" t="inlineStr">
        <is>
          <t>P01</t>
        </is>
      </c>
      <c r="G2955" s="2" t="n">
        <v>620000</v>
      </c>
      <c r="H2955" s="2" t="inlineStr">
        <is>
          <t>Materiales</t>
        </is>
      </c>
      <c r="I2955" s="9" t="n">
        <v>2426.87</v>
      </c>
      <c r="J2955" s="9" t="n">
        <v>2182.12</v>
      </c>
      <c r="K2955" s="9" t="n">
        <v>2349.89</v>
      </c>
      <c r="L2955" s="9" t="n">
        <v>2186.86</v>
      </c>
      <c r="M2955" s="9" t="n">
        <v>2144.92</v>
      </c>
      <c r="N2955" s="9" t="n">
        <v>2033.11</v>
      </c>
      <c r="O2955" s="9" t="n">
        <v>2310.02</v>
      </c>
      <c r="P2955" s="9" t="n">
        <v>2331.05</v>
      </c>
      <c r="Q2955" s="9" t="n">
        <v>2270.61</v>
      </c>
      <c r="R2955" s="9" t="n">
        <v>2482.96</v>
      </c>
      <c r="S2955" s="9" t="n">
        <v>2129.12</v>
      </c>
      <c r="T2955" s="9" t="n">
        <v>2157.33</v>
      </c>
      <c r="U2955" s="10">
        <f>SUM(I2955:T2955)</f>
        <v/>
      </c>
    </row>
    <row r="2956">
      <c r="A2956" s="2" t="inlineStr">
        <is>
          <t>SN-4000-4600-4630-4630PS0001</t>
        </is>
      </c>
      <c r="B2956" s="2" t="inlineStr">
        <is>
          <t>4630PS0001</t>
        </is>
      </c>
      <c r="C2956" s="2" t="inlineStr">
        <is>
          <t>Servidor primario</t>
        </is>
      </c>
      <c r="D2956" s="2" t="n">
        <v>985</v>
      </c>
      <c r="E2956" s="2" t="inlineStr">
        <is>
          <t>CC-4000</t>
        </is>
      </c>
      <c r="F2956" s="2" t="inlineStr">
        <is>
          <t>P01</t>
        </is>
      </c>
      <c r="G2956" s="2" t="n">
        <v>630000</v>
      </c>
      <c r="H2956" s="2" t="inlineStr">
        <is>
          <t>Servicios externos</t>
        </is>
      </c>
      <c r="I2956" s="9" t="n">
        <v>2452.43</v>
      </c>
      <c r="J2956" s="9" t="n">
        <v>2464.15</v>
      </c>
      <c r="K2956" s="9" t="n">
        <v>2293.66</v>
      </c>
      <c r="L2956" s="9" t="n">
        <v>2458.97</v>
      </c>
      <c r="M2956" s="9" t="n">
        <v>2319.05</v>
      </c>
      <c r="N2956" s="9" t="n">
        <v>2131.42</v>
      </c>
      <c r="O2956" s="9" t="n">
        <v>2517.97</v>
      </c>
      <c r="P2956" s="9" t="n">
        <v>2413.68</v>
      </c>
      <c r="Q2956" s="9" t="n">
        <v>2183.99</v>
      </c>
      <c r="R2956" s="9" t="n">
        <v>2726.74</v>
      </c>
      <c r="S2956" s="9" t="n">
        <v>2313.71</v>
      </c>
      <c r="T2956" s="9" t="n">
        <v>2251.96</v>
      </c>
      <c r="U2956" s="10">
        <f>SUM(I2956:T2956)</f>
        <v/>
      </c>
    </row>
    <row r="2957">
      <c r="A2957" s="2" t="inlineStr">
        <is>
          <t>SN-4000-4600-4630-4630PS0002</t>
        </is>
      </c>
      <c r="B2957" s="2" t="inlineStr">
        <is>
          <t>4630PS0002</t>
        </is>
      </c>
      <c r="C2957" s="2" t="inlineStr">
        <is>
          <t>Servidor secundario</t>
        </is>
      </c>
      <c r="D2957" s="2" t="n">
        <v>986</v>
      </c>
      <c r="E2957" s="2" t="inlineStr">
        <is>
          <t>CC-4000</t>
        </is>
      </c>
      <c r="F2957" s="2" t="inlineStr">
        <is>
          <t>P01</t>
        </is>
      </c>
      <c r="G2957" s="2" t="n">
        <v>610000</v>
      </c>
      <c r="H2957" s="2" t="inlineStr">
        <is>
          <t>Mano obra interna</t>
        </is>
      </c>
      <c r="I2957" s="9" t="n">
        <v>2804.19</v>
      </c>
      <c r="J2957" s="9" t="n">
        <v>2964.31</v>
      </c>
      <c r="K2957" s="9" t="n">
        <v>3098.44</v>
      </c>
      <c r="L2957" s="9" t="n">
        <v>2763.87</v>
      </c>
      <c r="M2957" s="9" t="n">
        <v>2817.34</v>
      </c>
      <c r="N2957" s="9" t="n">
        <v>2532.03</v>
      </c>
      <c r="O2957" s="9" t="n">
        <v>2793.42</v>
      </c>
      <c r="P2957" s="9" t="n">
        <v>2962.11</v>
      </c>
      <c r="Q2957" s="9" t="n">
        <v>2549.13</v>
      </c>
      <c r="R2957" s="9" t="n">
        <v>2894.02</v>
      </c>
      <c r="S2957" s="9" t="n">
        <v>2770.54</v>
      </c>
      <c r="T2957" s="9" t="n">
        <v>2918.29</v>
      </c>
      <c r="U2957" s="10">
        <f>SUM(I2957:T2957)</f>
        <v/>
      </c>
    </row>
    <row r="2958">
      <c r="A2958" s="2" t="inlineStr">
        <is>
          <t>SN-4000-4600-4630-4630PS0002</t>
        </is>
      </c>
      <c r="B2958" s="2" t="inlineStr">
        <is>
          <t>4630PS0002</t>
        </is>
      </c>
      <c r="C2958" s="2" t="inlineStr">
        <is>
          <t>Servidor secundario</t>
        </is>
      </c>
      <c r="D2958" s="2" t="n">
        <v>986</v>
      </c>
      <c r="E2958" s="2" t="inlineStr">
        <is>
          <t>CC-4000</t>
        </is>
      </c>
      <c r="F2958" s="2" t="inlineStr">
        <is>
          <t>P01</t>
        </is>
      </c>
      <c r="G2958" s="2" t="n">
        <v>620000</v>
      </c>
      <c r="H2958" s="2" t="inlineStr">
        <is>
          <t>Materiales</t>
        </is>
      </c>
      <c r="I2958" s="9" t="n">
        <v>2642.86</v>
      </c>
      <c r="J2958" s="9" t="n">
        <v>2524.88</v>
      </c>
      <c r="K2958" s="9" t="n">
        <v>2706.21</v>
      </c>
      <c r="L2958" s="9" t="n">
        <v>2427.99</v>
      </c>
      <c r="M2958" s="9" t="n">
        <v>2487.57</v>
      </c>
      <c r="N2958" s="9" t="n">
        <v>2323.42</v>
      </c>
      <c r="O2958" s="9" t="n">
        <v>2670.83</v>
      </c>
      <c r="P2958" s="9" t="n">
        <v>2460.23</v>
      </c>
      <c r="Q2958" s="9" t="n">
        <v>2484.2</v>
      </c>
      <c r="R2958" s="9" t="n">
        <v>2796.19</v>
      </c>
      <c r="S2958" s="9" t="n">
        <v>2490.55</v>
      </c>
      <c r="T2958" s="9" t="n">
        <v>2519.33</v>
      </c>
      <c r="U2958" s="10">
        <f>SUM(I2958:T2958)</f>
        <v/>
      </c>
    </row>
    <row r="2959">
      <c r="A2959" s="2" t="inlineStr">
        <is>
          <t>SN-4000-4600-4630-4630PS0002</t>
        </is>
      </c>
      <c r="B2959" s="2" t="inlineStr">
        <is>
          <t>4630PS0002</t>
        </is>
      </c>
      <c r="C2959" s="2" t="inlineStr">
        <is>
          <t>Servidor secundario</t>
        </is>
      </c>
      <c r="D2959" s="2" t="n">
        <v>986</v>
      </c>
      <c r="E2959" s="2" t="inlineStr">
        <is>
          <t>CC-4000</t>
        </is>
      </c>
      <c r="F2959" s="2" t="inlineStr">
        <is>
          <t>P01</t>
        </is>
      </c>
      <c r="G2959" s="2" t="n">
        <v>630000</v>
      </c>
      <c r="H2959" s="2" t="inlineStr">
        <is>
          <t>Servicios externos</t>
        </is>
      </c>
      <c r="I2959" s="9" t="n">
        <v>2413.1</v>
      </c>
      <c r="J2959" s="9" t="n">
        <v>2241.64</v>
      </c>
      <c r="K2959" s="9" t="n">
        <v>2585.47</v>
      </c>
      <c r="L2959" s="9" t="n">
        <v>2519</v>
      </c>
      <c r="M2959" s="9" t="n">
        <v>2441.81</v>
      </c>
      <c r="N2959" s="9" t="n">
        <v>2226.35</v>
      </c>
      <c r="O2959" s="9" t="n">
        <v>2193.28</v>
      </c>
      <c r="P2959" s="9" t="n">
        <v>2420.96</v>
      </c>
      <c r="Q2959" s="9" t="n">
        <v>2147.09</v>
      </c>
      <c r="R2959" s="9" t="n">
        <v>2688.87</v>
      </c>
      <c r="S2959" s="9" t="n">
        <v>2380.86</v>
      </c>
      <c r="T2959" s="9" t="n">
        <v>2253.21</v>
      </c>
      <c r="U2959" s="10">
        <f>SUM(I2959:T2959)</f>
        <v/>
      </c>
    </row>
    <row r="2960">
      <c r="A2960" s="2" t="inlineStr">
        <is>
          <t>SN-4000-4600-4630-4630PS0003</t>
        </is>
      </c>
      <c r="B2960" s="2" t="inlineStr">
        <is>
          <t>4630PS0003</t>
        </is>
      </c>
      <c r="C2960" s="2" t="inlineStr">
        <is>
          <t>Servidor para estaciones virtuales</t>
        </is>
      </c>
      <c r="D2960" s="2" t="n">
        <v>987</v>
      </c>
      <c r="E2960" s="2" t="inlineStr">
        <is>
          <t>CC-4000</t>
        </is>
      </c>
      <c r="F2960" s="2" t="inlineStr">
        <is>
          <t>P01</t>
        </is>
      </c>
      <c r="G2960" s="2" t="n">
        <v>610000</v>
      </c>
      <c r="H2960" s="2" t="inlineStr">
        <is>
          <t>Mano obra interna</t>
        </is>
      </c>
      <c r="I2960" s="9" t="n">
        <v>339.72</v>
      </c>
      <c r="J2960" s="9" t="n">
        <v>321.43</v>
      </c>
      <c r="K2960" s="9" t="n">
        <v>333.81</v>
      </c>
      <c r="L2960" s="9" t="n">
        <v>315.6</v>
      </c>
      <c r="M2960" s="9" t="n">
        <v>306.01</v>
      </c>
      <c r="N2960" s="9" t="n">
        <v>321.9</v>
      </c>
      <c r="O2960" s="9" t="n">
        <v>298.12</v>
      </c>
      <c r="P2960" s="9" t="n">
        <v>337.01</v>
      </c>
      <c r="Q2960" s="9" t="n">
        <v>301.82</v>
      </c>
      <c r="R2960" s="9" t="n">
        <v>372.47</v>
      </c>
      <c r="S2960" s="9" t="n">
        <v>337.41</v>
      </c>
      <c r="T2960" s="9" t="n">
        <v>336.21</v>
      </c>
      <c r="U2960" s="10">
        <f>SUM(I2960:T2960)</f>
        <v/>
      </c>
    </row>
    <row r="2961">
      <c r="A2961" s="2" t="inlineStr">
        <is>
          <t>SN-4000-4600-4630-4630PS0003</t>
        </is>
      </c>
      <c r="B2961" s="2" t="inlineStr">
        <is>
          <t>4630PS0003</t>
        </is>
      </c>
      <c r="C2961" s="2" t="inlineStr">
        <is>
          <t>Servidor para estaciones virtuales</t>
        </is>
      </c>
      <c r="D2961" s="2" t="n">
        <v>987</v>
      </c>
      <c r="E2961" s="2" t="inlineStr">
        <is>
          <t>CC-4000</t>
        </is>
      </c>
      <c r="F2961" s="2" t="inlineStr">
        <is>
          <t>P01</t>
        </is>
      </c>
      <c r="G2961" s="2" t="n">
        <v>620000</v>
      </c>
      <c r="H2961" s="2" t="inlineStr">
        <is>
          <t>Materiales</t>
        </is>
      </c>
      <c r="I2961" s="9" t="n">
        <v>306.59</v>
      </c>
      <c r="J2961" s="9" t="n">
        <v>282.91</v>
      </c>
      <c r="K2961" s="9" t="n">
        <v>291.13</v>
      </c>
      <c r="L2961" s="9" t="n">
        <v>312.07</v>
      </c>
      <c r="M2961" s="9" t="n">
        <v>313</v>
      </c>
      <c r="N2961" s="9" t="n">
        <v>277.3</v>
      </c>
      <c r="O2961" s="9" t="n">
        <v>297.79</v>
      </c>
      <c r="P2961" s="9" t="n">
        <v>303.95</v>
      </c>
      <c r="Q2961" s="9" t="n">
        <v>299.01</v>
      </c>
      <c r="R2961" s="9" t="n">
        <v>306.38</v>
      </c>
      <c r="S2961" s="9" t="n">
        <v>279.62</v>
      </c>
      <c r="T2961" s="9" t="n">
        <v>326.5</v>
      </c>
      <c r="U2961" s="10">
        <f>SUM(I2961:T2961)</f>
        <v/>
      </c>
    </row>
    <row r="2962">
      <c r="A2962" s="2" t="inlineStr">
        <is>
          <t>SN-4000-4600-4630-4630PS0003</t>
        </is>
      </c>
      <c r="B2962" s="2" t="inlineStr">
        <is>
          <t>4630PS0003</t>
        </is>
      </c>
      <c r="C2962" s="2" t="inlineStr">
        <is>
          <t>Servidor para estaciones virtuales</t>
        </is>
      </c>
      <c r="D2962" s="2" t="n">
        <v>987</v>
      </c>
      <c r="E2962" s="2" t="inlineStr">
        <is>
          <t>CC-4000</t>
        </is>
      </c>
      <c r="F2962" s="2" t="inlineStr">
        <is>
          <t>P01</t>
        </is>
      </c>
      <c r="G2962" s="2" t="n">
        <v>630000</v>
      </c>
      <c r="H2962" s="2" t="inlineStr">
        <is>
          <t>Servicios externos</t>
        </is>
      </c>
      <c r="I2962" s="9" t="n">
        <v>274.9</v>
      </c>
      <c r="J2962" s="9" t="n">
        <v>264.52</v>
      </c>
      <c r="K2962" s="9" t="n">
        <v>265.98</v>
      </c>
      <c r="L2962" s="9" t="n">
        <v>267.15</v>
      </c>
      <c r="M2962" s="9" t="n">
        <v>274.77</v>
      </c>
      <c r="N2962" s="9" t="n">
        <v>237.72</v>
      </c>
      <c r="O2962" s="9" t="n">
        <v>251.56</v>
      </c>
      <c r="P2962" s="9" t="n">
        <v>263.05</v>
      </c>
      <c r="Q2962" s="9" t="n">
        <v>241.03</v>
      </c>
      <c r="R2962" s="9" t="n">
        <v>286.7</v>
      </c>
      <c r="S2962" s="9" t="n">
        <v>271.46</v>
      </c>
      <c r="T2962" s="9" t="n">
        <v>284.42</v>
      </c>
      <c r="U2962" s="10">
        <f>SUM(I2962:T2962)</f>
        <v/>
      </c>
    </row>
    <row r="2963">
      <c r="A2963" s="2" t="inlineStr">
        <is>
          <t>SN-4000-4600-4630-4630PS0004</t>
        </is>
      </c>
      <c r="B2963" s="2" t="inlineStr">
        <is>
          <t>4630PS0004</t>
        </is>
      </c>
      <c r="C2963" s="2" t="inlineStr">
        <is>
          <t>Servidor para estaciones virtuales</t>
        </is>
      </c>
      <c r="D2963" s="2" t="n">
        <v>988</v>
      </c>
      <c r="E2963" s="2" t="inlineStr">
        <is>
          <t>CC-4000</t>
        </is>
      </c>
      <c r="F2963" s="2" t="inlineStr">
        <is>
          <t>P01</t>
        </is>
      </c>
      <c r="G2963" s="2" t="n">
        <v>610000</v>
      </c>
      <c r="H2963" s="2" t="inlineStr">
        <is>
          <t>Mano obra interna</t>
        </is>
      </c>
      <c r="I2963" s="9" t="n">
        <v>179.94</v>
      </c>
      <c r="J2963" s="9" t="n">
        <v>169.58</v>
      </c>
      <c r="K2963" s="9" t="n">
        <v>200.64</v>
      </c>
      <c r="L2963" s="9" t="n">
        <v>183</v>
      </c>
      <c r="M2963" s="9" t="n">
        <v>178.69</v>
      </c>
      <c r="N2963" s="9" t="n">
        <v>182.46</v>
      </c>
      <c r="O2963" s="9" t="n">
        <v>182.49</v>
      </c>
      <c r="P2963" s="9" t="n">
        <v>170.83</v>
      </c>
      <c r="Q2963" s="9" t="n">
        <v>167.76</v>
      </c>
      <c r="R2963" s="9" t="n">
        <v>200.4</v>
      </c>
      <c r="S2963" s="9" t="n">
        <v>182.39</v>
      </c>
      <c r="T2963" s="9" t="n">
        <v>189.03</v>
      </c>
      <c r="U2963" s="10">
        <f>SUM(I2963:T2963)</f>
        <v/>
      </c>
    </row>
    <row r="2964">
      <c r="A2964" s="2" t="inlineStr">
        <is>
          <t>SN-4000-4600-4630-4630PS0004</t>
        </is>
      </c>
      <c r="B2964" s="2" t="inlineStr">
        <is>
          <t>4630PS0004</t>
        </is>
      </c>
      <c r="C2964" s="2" t="inlineStr">
        <is>
          <t>Servidor para estaciones virtuales</t>
        </is>
      </c>
      <c r="D2964" s="2" t="n">
        <v>988</v>
      </c>
      <c r="E2964" s="2" t="inlineStr">
        <is>
          <t>CC-4000</t>
        </is>
      </c>
      <c r="F2964" s="2" t="inlineStr">
        <is>
          <t>P01</t>
        </is>
      </c>
      <c r="G2964" s="2" t="n">
        <v>620000</v>
      </c>
      <c r="H2964" s="2" t="inlineStr">
        <is>
          <t>Materiales</t>
        </is>
      </c>
      <c r="I2964" s="9" t="n">
        <v>168.7</v>
      </c>
      <c r="J2964" s="9" t="n">
        <v>174.29</v>
      </c>
      <c r="K2964" s="9" t="n">
        <v>186.7</v>
      </c>
      <c r="L2964" s="9" t="n">
        <v>161.72</v>
      </c>
      <c r="M2964" s="9" t="n">
        <v>156.46</v>
      </c>
      <c r="N2964" s="9" t="n">
        <v>166.84</v>
      </c>
      <c r="O2964" s="9" t="n">
        <v>171.98</v>
      </c>
      <c r="P2964" s="9" t="n">
        <v>161.07</v>
      </c>
      <c r="Q2964" s="9" t="n">
        <v>160.03</v>
      </c>
      <c r="R2964" s="9" t="n">
        <v>197.94</v>
      </c>
      <c r="S2964" s="9" t="n">
        <v>168.61</v>
      </c>
      <c r="T2964" s="9" t="n">
        <v>171.72</v>
      </c>
      <c r="U2964" s="10">
        <f>SUM(I2964:T2964)</f>
        <v/>
      </c>
    </row>
    <row r="2965">
      <c r="A2965" s="2" t="inlineStr">
        <is>
          <t>SN-4000-4600-4630-4630PS0004</t>
        </is>
      </c>
      <c r="B2965" s="2" t="inlineStr">
        <is>
          <t>4630PS0004</t>
        </is>
      </c>
      <c r="C2965" s="2" t="inlineStr">
        <is>
          <t>Servidor para estaciones virtuales</t>
        </is>
      </c>
      <c r="D2965" s="2" t="n">
        <v>988</v>
      </c>
      <c r="E2965" s="2" t="inlineStr">
        <is>
          <t>CC-4000</t>
        </is>
      </c>
      <c r="F2965" s="2" t="inlineStr">
        <is>
          <t>P01</t>
        </is>
      </c>
      <c r="G2965" s="2" t="n">
        <v>630000</v>
      </c>
      <c r="H2965" s="2" t="inlineStr">
        <is>
          <t>Servicios externos</t>
        </is>
      </c>
      <c r="I2965" s="9" t="n">
        <v>206.05</v>
      </c>
      <c r="J2965" s="9" t="n">
        <v>205.5</v>
      </c>
      <c r="K2965" s="9" t="n">
        <v>219.23</v>
      </c>
      <c r="L2965" s="9" t="n">
        <v>216.38</v>
      </c>
      <c r="M2965" s="9" t="n">
        <v>223.48</v>
      </c>
      <c r="N2965" s="9" t="n">
        <v>195.56</v>
      </c>
      <c r="O2965" s="9" t="n">
        <v>196.64</v>
      </c>
      <c r="P2965" s="9" t="n">
        <v>225.49</v>
      </c>
      <c r="Q2965" s="9" t="n">
        <v>188.02</v>
      </c>
      <c r="R2965" s="9" t="n">
        <v>223.74</v>
      </c>
      <c r="S2965" s="9" t="n">
        <v>205.82</v>
      </c>
      <c r="T2965" s="9" t="n">
        <v>231.05</v>
      </c>
      <c r="U2965" s="10">
        <f>SUM(I2965:T2965)</f>
        <v/>
      </c>
    </row>
    <row r="2966">
      <c r="A2966" s="2" t="inlineStr">
        <is>
          <t>SN-4000-4600-4630-4630PS0005</t>
        </is>
      </c>
      <c r="B2966" s="2" t="inlineStr">
        <is>
          <t>4630PS0005</t>
        </is>
      </c>
      <c r="C2966" s="2" t="inlineStr">
        <is>
          <t>Servidor para estaciones virtuales</t>
        </is>
      </c>
      <c r="D2966" s="2" t="n">
        <v>989</v>
      </c>
      <c r="E2966" s="2" t="inlineStr">
        <is>
          <t>CC-4000</t>
        </is>
      </c>
      <c r="F2966" s="2" t="inlineStr">
        <is>
          <t>P01</t>
        </is>
      </c>
      <c r="G2966" s="2" t="n">
        <v>610000</v>
      </c>
      <c r="H2966" s="2" t="inlineStr">
        <is>
          <t>Mano obra interna</t>
        </is>
      </c>
      <c r="I2966" s="9" t="n">
        <v>808.71</v>
      </c>
      <c r="J2966" s="9" t="n">
        <v>797.3099999999999</v>
      </c>
      <c r="K2966" s="9" t="n">
        <v>886.23</v>
      </c>
      <c r="L2966" s="9" t="n">
        <v>858.02</v>
      </c>
      <c r="M2966" s="9" t="n">
        <v>748.74</v>
      </c>
      <c r="N2966" s="9" t="n">
        <v>800.84</v>
      </c>
      <c r="O2966" s="9" t="n">
        <v>842.85</v>
      </c>
      <c r="P2966" s="9" t="n">
        <v>822.63</v>
      </c>
      <c r="Q2966" s="9" t="n">
        <v>762.36</v>
      </c>
      <c r="R2966" s="9" t="n">
        <v>853.38</v>
      </c>
      <c r="S2966" s="9" t="n">
        <v>790.89</v>
      </c>
      <c r="T2966" s="9" t="n">
        <v>841.55</v>
      </c>
      <c r="U2966" s="10">
        <f>SUM(I2966:T2966)</f>
        <v/>
      </c>
    </row>
    <row r="2967">
      <c r="A2967" s="2" t="inlineStr">
        <is>
          <t>SN-4000-4600-4630-4630PS0005</t>
        </is>
      </c>
      <c r="B2967" s="2" t="inlineStr">
        <is>
          <t>4630PS0005</t>
        </is>
      </c>
      <c r="C2967" s="2" t="inlineStr">
        <is>
          <t>Servidor para estaciones virtuales</t>
        </is>
      </c>
      <c r="D2967" s="2" t="n">
        <v>989</v>
      </c>
      <c r="E2967" s="2" t="inlineStr">
        <is>
          <t>CC-4000</t>
        </is>
      </c>
      <c r="F2967" s="2" t="inlineStr">
        <is>
          <t>P01</t>
        </is>
      </c>
      <c r="G2967" s="2" t="n">
        <v>620000</v>
      </c>
      <c r="H2967" s="2" t="inlineStr">
        <is>
          <t>Materiales</t>
        </is>
      </c>
      <c r="I2967" s="9" t="n">
        <v>680.01</v>
      </c>
      <c r="J2967" s="9" t="n">
        <v>649.13</v>
      </c>
      <c r="K2967" s="9" t="n">
        <v>754</v>
      </c>
      <c r="L2967" s="9" t="n">
        <v>728.71</v>
      </c>
      <c r="M2967" s="9" t="n">
        <v>680.47</v>
      </c>
      <c r="N2967" s="9" t="n">
        <v>697.16</v>
      </c>
      <c r="O2967" s="9" t="n">
        <v>717.4</v>
      </c>
      <c r="P2967" s="9" t="n">
        <v>738.35</v>
      </c>
      <c r="Q2967" s="9" t="n">
        <v>601.45</v>
      </c>
      <c r="R2967" s="9" t="n">
        <v>748.48</v>
      </c>
      <c r="S2967" s="9" t="n">
        <v>693.1</v>
      </c>
      <c r="T2967" s="9" t="n">
        <v>670.41</v>
      </c>
      <c r="U2967" s="10">
        <f>SUM(I2967:T2967)</f>
        <v/>
      </c>
    </row>
    <row r="2968">
      <c r="A2968" s="2" t="inlineStr">
        <is>
          <t>SN-4000-4600-4630-4630PS0005</t>
        </is>
      </c>
      <c r="B2968" s="2" t="inlineStr">
        <is>
          <t>4630PS0005</t>
        </is>
      </c>
      <c r="C2968" s="2" t="inlineStr">
        <is>
          <t>Servidor para estaciones virtuales</t>
        </is>
      </c>
      <c r="D2968" s="2" t="n">
        <v>989</v>
      </c>
      <c r="E2968" s="2" t="inlineStr">
        <is>
          <t>CC-4000</t>
        </is>
      </c>
      <c r="F2968" s="2" t="inlineStr">
        <is>
          <t>P01</t>
        </is>
      </c>
      <c r="G2968" s="2" t="n">
        <v>630000</v>
      </c>
      <c r="H2968" s="2" t="inlineStr">
        <is>
          <t>Servicios externos</t>
        </is>
      </c>
      <c r="I2968" s="9" t="n">
        <v>749.1799999999999</v>
      </c>
      <c r="J2968" s="9" t="n">
        <v>766.75</v>
      </c>
      <c r="K2968" s="9" t="n">
        <v>766.26</v>
      </c>
      <c r="L2968" s="9" t="n">
        <v>759.05</v>
      </c>
      <c r="M2968" s="9" t="n">
        <v>727.7</v>
      </c>
      <c r="N2968" s="9" t="n">
        <v>679.99</v>
      </c>
      <c r="O2968" s="9" t="n">
        <v>794.21</v>
      </c>
      <c r="P2968" s="9" t="n">
        <v>721.3099999999999</v>
      </c>
      <c r="Q2968" s="9" t="n">
        <v>699.6</v>
      </c>
      <c r="R2968" s="9" t="n">
        <v>756.78</v>
      </c>
      <c r="S2968" s="9" t="n">
        <v>712.21</v>
      </c>
      <c r="T2968" s="9" t="n">
        <v>803.3099999999999</v>
      </c>
      <c r="U2968" s="10">
        <f>SUM(I2968:T2968)</f>
        <v/>
      </c>
    </row>
    <row r="2969">
      <c r="A2969" s="2" t="inlineStr">
        <is>
          <t>SN-4000-4600-4630-4630PS0006</t>
        </is>
      </c>
      <c r="B2969" s="2" t="inlineStr">
        <is>
          <t>4630PS0006</t>
        </is>
      </c>
      <c r="C2969" s="2" t="inlineStr">
        <is>
          <t>Servidor secundario de historial</t>
        </is>
      </c>
      <c r="D2969" s="2" t="n">
        <v>990</v>
      </c>
      <c r="E2969" s="2" t="inlineStr">
        <is>
          <t>CC-4000</t>
        </is>
      </c>
      <c r="F2969" s="2" t="inlineStr">
        <is>
          <t>P01</t>
        </is>
      </c>
      <c r="G2969" s="2" t="n">
        <v>610000</v>
      </c>
      <c r="H2969" s="2" t="inlineStr">
        <is>
          <t>Mano obra interna</t>
        </is>
      </c>
      <c r="I2969" s="9" t="n">
        <v>3125.16</v>
      </c>
      <c r="J2969" s="9" t="n">
        <v>2912.5</v>
      </c>
      <c r="K2969" s="9" t="n">
        <v>3133.77</v>
      </c>
      <c r="L2969" s="9" t="n">
        <v>3111.17</v>
      </c>
      <c r="M2969" s="9" t="n">
        <v>3169.85</v>
      </c>
      <c r="N2969" s="9" t="n">
        <v>2991.22</v>
      </c>
      <c r="O2969" s="9" t="n">
        <v>3266.54</v>
      </c>
      <c r="P2969" s="9" t="n">
        <v>3229.01</v>
      </c>
      <c r="Q2969" s="9" t="n">
        <v>2798.24</v>
      </c>
      <c r="R2969" s="9" t="n">
        <v>3529.66</v>
      </c>
      <c r="S2969" s="9" t="n">
        <v>3199.1</v>
      </c>
      <c r="T2969" s="9" t="n">
        <v>3227.09</v>
      </c>
      <c r="U2969" s="10">
        <f>SUM(I2969:T2969)</f>
        <v/>
      </c>
    </row>
    <row r="2970">
      <c r="A2970" s="2" t="inlineStr">
        <is>
          <t>SN-4000-4600-4630-4630PS0006</t>
        </is>
      </c>
      <c r="B2970" s="2" t="inlineStr">
        <is>
          <t>4630PS0006</t>
        </is>
      </c>
      <c r="C2970" s="2" t="inlineStr">
        <is>
          <t>Servidor secundario de historial</t>
        </is>
      </c>
      <c r="D2970" s="2" t="n">
        <v>990</v>
      </c>
      <c r="E2970" s="2" t="inlineStr">
        <is>
          <t>CC-4000</t>
        </is>
      </c>
      <c r="F2970" s="2" t="inlineStr">
        <is>
          <t>P01</t>
        </is>
      </c>
      <c r="G2970" s="2" t="n">
        <v>620000</v>
      </c>
      <c r="H2970" s="2" t="inlineStr">
        <is>
          <t>Materiales</t>
        </is>
      </c>
      <c r="I2970" s="9" t="n">
        <v>3153.59</v>
      </c>
      <c r="J2970" s="9" t="n">
        <v>2955.08</v>
      </c>
      <c r="K2970" s="9" t="n">
        <v>3247.05</v>
      </c>
      <c r="L2970" s="9" t="n">
        <v>3069.05</v>
      </c>
      <c r="M2970" s="9" t="n">
        <v>2934.75</v>
      </c>
      <c r="N2970" s="9" t="n">
        <v>2760.58</v>
      </c>
      <c r="O2970" s="9" t="n">
        <v>3137.86</v>
      </c>
      <c r="P2970" s="9" t="n">
        <v>2774.93</v>
      </c>
      <c r="Q2970" s="9" t="n">
        <v>2739.45</v>
      </c>
      <c r="R2970" s="9" t="n">
        <v>3206.26</v>
      </c>
      <c r="S2970" s="9" t="n">
        <v>2886.08</v>
      </c>
      <c r="T2970" s="9" t="n">
        <v>3072.17</v>
      </c>
      <c r="U2970" s="10">
        <f>SUM(I2970:T2970)</f>
        <v/>
      </c>
    </row>
    <row r="2971">
      <c r="A2971" s="2" t="inlineStr">
        <is>
          <t>SN-4000-4600-4630-4630PS0006</t>
        </is>
      </c>
      <c r="B2971" s="2" t="inlineStr">
        <is>
          <t>4630PS0006</t>
        </is>
      </c>
      <c r="C2971" s="2" t="inlineStr">
        <is>
          <t>Servidor secundario de historial</t>
        </is>
      </c>
      <c r="D2971" s="2" t="n">
        <v>990</v>
      </c>
      <c r="E2971" s="2" t="inlineStr">
        <is>
          <t>CC-4000</t>
        </is>
      </c>
      <c r="F2971" s="2" t="inlineStr">
        <is>
          <t>P01</t>
        </is>
      </c>
      <c r="G2971" s="2" t="n">
        <v>630000</v>
      </c>
      <c r="H2971" s="2" t="inlineStr">
        <is>
          <t>Servicios externos</t>
        </is>
      </c>
      <c r="I2971" s="9" t="n">
        <v>2588.55</v>
      </c>
      <c r="J2971" s="9" t="n">
        <v>2746.8</v>
      </c>
      <c r="K2971" s="9" t="n">
        <v>2790.43</v>
      </c>
      <c r="L2971" s="9" t="n">
        <v>2851.05</v>
      </c>
      <c r="M2971" s="9" t="n">
        <v>2517.5</v>
      </c>
      <c r="N2971" s="9" t="n">
        <v>2577.76</v>
      </c>
      <c r="O2971" s="9" t="n">
        <v>2730</v>
      </c>
      <c r="P2971" s="9" t="n">
        <v>2587.2</v>
      </c>
      <c r="Q2971" s="9" t="n">
        <v>2578.68</v>
      </c>
      <c r="R2971" s="9" t="n">
        <v>2618.79</v>
      </c>
      <c r="S2971" s="9" t="n">
        <v>2592.88</v>
      </c>
      <c r="T2971" s="9" t="n">
        <v>2726.18</v>
      </c>
      <c r="U2971" s="10">
        <f>SUM(I2971:T2971)</f>
        <v/>
      </c>
    </row>
    <row r="2972">
      <c r="A2972" s="2" t="inlineStr">
        <is>
          <t>SN-4000-4600-4640-4640CW0001</t>
        </is>
      </c>
      <c r="B2972" s="2" t="inlineStr">
        <is>
          <t>4640CW0001</t>
        </is>
      </c>
      <c r="C2972" s="2" t="inlineStr">
        <is>
          <t>Core Switch 1</t>
        </is>
      </c>
      <c r="D2972" s="2" t="n">
        <v>991</v>
      </c>
      <c r="E2972" s="2" t="inlineStr">
        <is>
          <t>CC-4000</t>
        </is>
      </c>
      <c r="F2972" s="2" t="inlineStr">
        <is>
          <t>P01</t>
        </is>
      </c>
      <c r="G2972" s="2" t="n">
        <v>610000</v>
      </c>
      <c r="H2972" s="2" t="inlineStr">
        <is>
          <t>Mano obra interna</t>
        </is>
      </c>
      <c r="I2972" s="9" t="n">
        <v>2501.79</v>
      </c>
      <c r="J2972" s="9" t="n">
        <v>2238.51</v>
      </c>
      <c r="K2972" s="9" t="n">
        <v>2549.94</v>
      </c>
      <c r="L2972" s="9" t="n">
        <v>2389.21</v>
      </c>
      <c r="M2972" s="9" t="n">
        <v>2357.69</v>
      </c>
      <c r="N2972" s="9" t="n">
        <v>2233.99</v>
      </c>
      <c r="O2972" s="9" t="n">
        <v>2391.82</v>
      </c>
      <c r="P2972" s="9" t="n">
        <v>2445.62</v>
      </c>
      <c r="Q2972" s="9" t="n">
        <v>2355.78</v>
      </c>
      <c r="R2972" s="9" t="n">
        <v>2582.17</v>
      </c>
      <c r="S2972" s="9" t="n">
        <v>2258.34</v>
      </c>
      <c r="T2972" s="9" t="n">
        <v>2431.69</v>
      </c>
      <c r="U2972" s="10">
        <f>SUM(I2972:T2972)</f>
        <v/>
      </c>
    </row>
    <row r="2973">
      <c r="A2973" s="2" t="inlineStr">
        <is>
          <t>SN-4000-4600-4640-4640CW0001</t>
        </is>
      </c>
      <c r="B2973" s="2" t="inlineStr">
        <is>
          <t>4640CW0001</t>
        </is>
      </c>
      <c r="C2973" s="2" t="inlineStr">
        <is>
          <t>Core Switch 1</t>
        </is>
      </c>
      <c r="D2973" s="2" t="n">
        <v>991</v>
      </c>
      <c r="E2973" s="2" t="inlineStr">
        <is>
          <t>CC-4000</t>
        </is>
      </c>
      <c r="F2973" s="2" t="inlineStr">
        <is>
          <t>P01</t>
        </is>
      </c>
      <c r="G2973" s="2" t="n">
        <v>620000</v>
      </c>
      <c r="H2973" s="2" t="inlineStr">
        <is>
          <t>Materiales</t>
        </is>
      </c>
      <c r="I2973" s="9" t="n">
        <v>2496.28</v>
      </c>
      <c r="J2973" s="9" t="n">
        <v>2434.98</v>
      </c>
      <c r="K2973" s="9" t="n">
        <v>2612.12</v>
      </c>
      <c r="L2973" s="9" t="n">
        <v>2477.61</v>
      </c>
      <c r="M2973" s="9" t="n">
        <v>2365.39</v>
      </c>
      <c r="N2973" s="9" t="n">
        <v>2258.77</v>
      </c>
      <c r="O2973" s="9" t="n">
        <v>2448.79</v>
      </c>
      <c r="P2973" s="9" t="n">
        <v>2323.9</v>
      </c>
      <c r="Q2973" s="9" t="n">
        <v>2364.69</v>
      </c>
      <c r="R2973" s="9" t="n">
        <v>2563.21</v>
      </c>
      <c r="S2973" s="9" t="n">
        <v>2379.13</v>
      </c>
      <c r="T2973" s="9" t="n">
        <v>2450.08</v>
      </c>
      <c r="U2973" s="10">
        <f>SUM(I2973:T2973)</f>
        <v/>
      </c>
    </row>
    <row r="2974">
      <c r="A2974" s="2" t="inlineStr">
        <is>
          <t>SN-4000-4600-4640-4640CW0001</t>
        </is>
      </c>
      <c r="B2974" s="2" t="inlineStr">
        <is>
          <t>4640CW0001</t>
        </is>
      </c>
      <c r="C2974" s="2" t="inlineStr">
        <is>
          <t>Core Switch 1</t>
        </is>
      </c>
      <c r="D2974" s="2" t="n">
        <v>991</v>
      </c>
      <c r="E2974" s="2" t="inlineStr">
        <is>
          <t>CC-4000</t>
        </is>
      </c>
      <c r="F2974" s="2" t="inlineStr">
        <is>
          <t>P01</t>
        </is>
      </c>
      <c r="G2974" s="2" t="n">
        <v>630000</v>
      </c>
      <c r="H2974" s="2" t="inlineStr">
        <is>
          <t>Servicios externos</t>
        </is>
      </c>
      <c r="I2974" s="9" t="n">
        <v>2614.72</v>
      </c>
      <c r="J2974" s="9" t="n">
        <v>2439.59</v>
      </c>
      <c r="K2974" s="9" t="n">
        <v>2519.13</v>
      </c>
      <c r="L2974" s="9" t="n">
        <v>2545.9</v>
      </c>
      <c r="M2974" s="9" t="n">
        <v>2219.78</v>
      </c>
      <c r="N2974" s="9" t="n">
        <v>2178.89</v>
      </c>
      <c r="O2974" s="9" t="n">
        <v>2269.21</v>
      </c>
      <c r="P2974" s="9" t="n">
        <v>2267.75</v>
      </c>
      <c r="Q2974" s="9" t="n">
        <v>2171.2</v>
      </c>
      <c r="R2974" s="9" t="n">
        <v>2629</v>
      </c>
      <c r="S2974" s="9" t="n">
        <v>2203.16</v>
      </c>
      <c r="T2974" s="9" t="n">
        <v>2632.74</v>
      </c>
      <c r="U2974" s="10">
        <f>SUM(I2974:T2974)</f>
        <v/>
      </c>
    </row>
    <row r="2975">
      <c r="A2975" s="2" t="inlineStr">
        <is>
          <t>SN-4000-4600-4640-4640CW0002</t>
        </is>
      </c>
      <c r="B2975" s="2" t="inlineStr">
        <is>
          <t>4640CW0002</t>
        </is>
      </c>
      <c r="C2975" s="2" t="inlineStr">
        <is>
          <t>Core Switch 2</t>
        </is>
      </c>
      <c r="D2975" s="2" t="n">
        <v>992</v>
      </c>
      <c r="E2975" s="2" t="inlineStr">
        <is>
          <t>CC-4000</t>
        </is>
      </c>
      <c r="F2975" s="2" t="inlineStr">
        <is>
          <t>P01</t>
        </is>
      </c>
      <c r="G2975" s="2" t="n">
        <v>610000</v>
      </c>
      <c r="H2975" s="2" t="inlineStr">
        <is>
          <t>Mano obra interna</t>
        </is>
      </c>
      <c r="I2975" s="9" t="n">
        <v>3400.42</v>
      </c>
      <c r="J2975" s="9" t="n">
        <v>2827.07</v>
      </c>
      <c r="K2975" s="9" t="n">
        <v>3374.91</v>
      </c>
      <c r="L2975" s="9" t="n">
        <v>3319.37</v>
      </c>
      <c r="M2975" s="9" t="n">
        <v>3262.42</v>
      </c>
      <c r="N2975" s="9" t="n">
        <v>2974.42</v>
      </c>
      <c r="O2975" s="9" t="n">
        <v>3241.39</v>
      </c>
      <c r="P2975" s="9" t="n">
        <v>2872.74</v>
      </c>
      <c r="Q2975" s="9" t="n">
        <v>2687.51</v>
      </c>
      <c r="R2975" s="9" t="n">
        <v>3136.29</v>
      </c>
      <c r="S2975" s="9" t="n">
        <v>3197.33</v>
      </c>
      <c r="T2975" s="9" t="n">
        <v>2922.54</v>
      </c>
      <c r="U2975" s="10">
        <f>SUM(I2975:T2975)</f>
        <v/>
      </c>
    </row>
    <row r="2976">
      <c r="A2976" s="2" t="inlineStr">
        <is>
          <t>SN-4000-4600-4640-4640CW0002</t>
        </is>
      </c>
      <c r="B2976" s="2" t="inlineStr">
        <is>
          <t>4640CW0002</t>
        </is>
      </c>
      <c r="C2976" s="2" t="inlineStr">
        <is>
          <t>Core Switch 2</t>
        </is>
      </c>
      <c r="D2976" s="2" t="n">
        <v>992</v>
      </c>
      <c r="E2976" s="2" t="inlineStr">
        <is>
          <t>CC-4000</t>
        </is>
      </c>
      <c r="F2976" s="2" t="inlineStr">
        <is>
          <t>P01</t>
        </is>
      </c>
      <c r="G2976" s="2" t="n">
        <v>620000</v>
      </c>
      <c r="H2976" s="2" t="inlineStr">
        <is>
          <t>Materiales</t>
        </is>
      </c>
      <c r="I2976" s="9" t="n">
        <v>2604.01</v>
      </c>
      <c r="J2976" s="9" t="n">
        <v>2202.71</v>
      </c>
      <c r="K2976" s="9" t="n">
        <v>2607.65</v>
      </c>
      <c r="L2976" s="9" t="n">
        <v>2551.99</v>
      </c>
      <c r="M2976" s="9" t="n">
        <v>2188.08</v>
      </c>
      <c r="N2976" s="9" t="n">
        <v>2107.09</v>
      </c>
      <c r="O2976" s="9" t="n">
        <v>2400.7</v>
      </c>
      <c r="P2976" s="9" t="n">
        <v>2574.4</v>
      </c>
      <c r="Q2976" s="9" t="n">
        <v>2356.18</v>
      </c>
      <c r="R2976" s="9" t="n">
        <v>2495.42</v>
      </c>
      <c r="S2976" s="9" t="n">
        <v>2268.25</v>
      </c>
      <c r="T2976" s="9" t="n">
        <v>2378.48</v>
      </c>
      <c r="U2976" s="10">
        <f>SUM(I2976:T2976)</f>
        <v/>
      </c>
    </row>
    <row r="2977">
      <c r="A2977" s="2" t="inlineStr">
        <is>
          <t>SN-4000-4600-4640-4640CW0002</t>
        </is>
      </c>
      <c r="B2977" s="2" t="inlineStr">
        <is>
          <t>4640CW0002</t>
        </is>
      </c>
      <c r="C2977" s="2" t="inlineStr">
        <is>
          <t>Core Switch 2</t>
        </is>
      </c>
      <c r="D2977" s="2" t="n">
        <v>992</v>
      </c>
      <c r="E2977" s="2" t="inlineStr">
        <is>
          <t>CC-4000</t>
        </is>
      </c>
      <c r="F2977" s="2" t="inlineStr">
        <is>
          <t>P01</t>
        </is>
      </c>
      <c r="G2977" s="2" t="n">
        <v>630000</v>
      </c>
      <c r="H2977" s="2" t="inlineStr">
        <is>
          <t>Servicios externos</t>
        </is>
      </c>
      <c r="I2977" s="9" t="n">
        <v>2885.67</v>
      </c>
      <c r="J2977" s="9" t="n">
        <v>2695.58</v>
      </c>
      <c r="K2977" s="9" t="n">
        <v>3110.56</v>
      </c>
      <c r="L2977" s="9" t="n">
        <v>2944.5</v>
      </c>
      <c r="M2977" s="9" t="n">
        <v>2676.1</v>
      </c>
      <c r="N2977" s="9" t="n">
        <v>2901.74</v>
      </c>
      <c r="O2977" s="9" t="n">
        <v>2941.4</v>
      </c>
      <c r="P2977" s="9" t="n">
        <v>2893.38</v>
      </c>
      <c r="Q2977" s="9" t="n">
        <v>2774.87</v>
      </c>
      <c r="R2977" s="9" t="n">
        <v>3130.63</v>
      </c>
      <c r="S2977" s="9" t="n">
        <v>2874.52</v>
      </c>
      <c r="T2977" s="9" t="n">
        <v>3116.62</v>
      </c>
      <c r="U2977" s="10">
        <f>SUM(I2977:T2977)</f>
        <v/>
      </c>
    </row>
    <row r="2978">
      <c r="A2978" s="2" t="inlineStr">
        <is>
          <t>SN-4000-4600-4640-4640PS0001</t>
        </is>
      </c>
      <c r="B2978" s="2" t="inlineStr">
        <is>
          <t>4640PS0001</t>
        </is>
      </c>
      <c r="C2978" s="2" t="inlineStr">
        <is>
          <t>Servidor primario</t>
        </is>
      </c>
      <c r="D2978" s="2" t="n">
        <v>993</v>
      </c>
      <c r="E2978" s="2" t="inlineStr">
        <is>
          <t>CC-4000</t>
        </is>
      </c>
      <c r="F2978" s="2" t="inlineStr">
        <is>
          <t>P01</t>
        </is>
      </c>
      <c r="G2978" s="2" t="n">
        <v>610000</v>
      </c>
      <c r="H2978" s="2" t="inlineStr">
        <is>
          <t>Mano obra interna</t>
        </is>
      </c>
      <c r="I2978" s="9" t="n">
        <v>775.75</v>
      </c>
      <c r="J2978" s="9" t="n">
        <v>743.0599999999999</v>
      </c>
      <c r="K2978" s="9" t="n">
        <v>768.25</v>
      </c>
      <c r="L2978" s="9" t="n">
        <v>717.5700000000001</v>
      </c>
      <c r="M2978" s="9" t="n">
        <v>714.04</v>
      </c>
      <c r="N2978" s="9" t="n">
        <v>730.3200000000001</v>
      </c>
      <c r="O2978" s="9" t="n">
        <v>732.48</v>
      </c>
      <c r="P2978" s="9" t="n">
        <v>729.3099999999999</v>
      </c>
      <c r="Q2978" s="9" t="n">
        <v>718.38</v>
      </c>
      <c r="R2978" s="9" t="n">
        <v>735.88</v>
      </c>
      <c r="S2978" s="9" t="n">
        <v>737.87</v>
      </c>
      <c r="T2978" s="9" t="n">
        <v>750.6900000000001</v>
      </c>
      <c r="U2978" s="10">
        <f>SUM(I2978:T2978)</f>
        <v/>
      </c>
    </row>
    <row r="2979">
      <c r="A2979" s="2" t="inlineStr">
        <is>
          <t>SN-4000-4600-4640-4640PS0001</t>
        </is>
      </c>
      <c r="B2979" s="2" t="inlineStr">
        <is>
          <t>4640PS0001</t>
        </is>
      </c>
      <c r="C2979" s="2" t="inlineStr">
        <is>
          <t>Servidor primario</t>
        </is>
      </c>
      <c r="D2979" s="2" t="n">
        <v>993</v>
      </c>
      <c r="E2979" s="2" t="inlineStr">
        <is>
          <t>CC-4000</t>
        </is>
      </c>
      <c r="F2979" s="2" t="inlineStr">
        <is>
          <t>P01</t>
        </is>
      </c>
      <c r="G2979" s="2" t="n">
        <v>620000</v>
      </c>
      <c r="H2979" s="2" t="inlineStr">
        <is>
          <t>Materiales</t>
        </is>
      </c>
      <c r="I2979" s="9" t="n">
        <v>674.97</v>
      </c>
      <c r="J2979" s="9" t="n">
        <v>633.25</v>
      </c>
      <c r="K2979" s="9" t="n">
        <v>681.4</v>
      </c>
      <c r="L2979" s="9" t="n">
        <v>681.41</v>
      </c>
      <c r="M2979" s="9" t="n">
        <v>664.76</v>
      </c>
      <c r="N2979" s="9" t="n">
        <v>666.5700000000001</v>
      </c>
      <c r="O2979" s="9" t="n">
        <v>673.76</v>
      </c>
      <c r="P2979" s="9" t="n">
        <v>710.13</v>
      </c>
      <c r="Q2979" s="9" t="n">
        <v>645.72</v>
      </c>
      <c r="R2979" s="9" t="n">
        <v>695.37</v>
      </c>
      <c r="S2979" s="9" t="n">
        <v>633.41</v>
      </c>
      <c r="T2979" s="9" t="n">
        <v>642.22</v>
      </c>
      <c r="U2979" s="10">
        <f>SUM(I2979:T2979)</f>
        <v/>
      </c>
    </row>
    <row r="2980">
      <c r="A2980" s="2" t="inlineStr">
        <is>
          <t>SN-4000-4600-4640-4640PS0001</t>
        </is>
      </c>
      <c r="B2980" s="2" t="inlineStr">
        <is>
          <t>4640PS0001</t>
        </is>
      </c>
      <c r="C2980" s="2" t="inlineStr">
        <is>
          <t>Servidor primario</t>
        </is>
      </c>
      <c r="D2980" s="2" t="n">
        <v>993</v>
      </c>
      <c r="E2980" s="2" t="inlineStr">
        <is>
          <t>CC-4000</t>
        </is>
      </c>
      <c r="F2980" s="2" t="inlineStr">
        <is>
          <t>P01</t>
        </is>
      </c>
      <c r="G2980" s="2" t="n">
        <v>630000</v>
      </c>
      <c r="H2980" s="2" t="inlineStr">
        <is>
          <t>Servicios externos</t>
        </is>
      </c>
      <c r="I2980" s="9" t="n">
        <v>846.13</v>
      </c>
      <c r="J2980" s="9" t="n">
        <v>717.6799999999999</v>
      </c>
      <c r="K2980" s="9" t="n">
        <v>814.8200000000001</v>
      </c>
      <c r="L2980" s="9" t="n">
        <v>856.55</v>
      </c>
      <c r="M2980" s="9" t="n">
        <v>803.05</v>
      </c>
      <c r="N2980" s="9" t="n">
        <v>745.3</v>
      </c>
      <c r="O2980" s="9" t="n">
        <v>748.58</v>
      </c>
      <c r="P2980" s="9" t="n">
        <v>752.42</v>
      </c>
      <c r="Q2980" s="9" t="n">
        <v>754.08</v>
      </c>
      <c r="R2980" s="9" t="n">
        <v>879.58</v>
      </c>
      <c r="S2980" s="9" t="n">
        <v>759.11</v>
      </c>
      <c r="T2980" s="9" t="n">
        <v>744.12</v>
      </c>
      <c r="U2980" s="10">
        <f>SUM(I2980:T2980)</f>
        <v/>
      </c>
    </row>
    <row r="2981">
      <c r="A2981" s="2" t="inlineStr">
        <is>
          <t>SN-4000-4600-4640-4640PS0002</t>
        </is>
      </c>
      <c r="B2981" s="2" t="inlineStr">
        <is>
          <t>4640PS0002</t>
        </is>
      </c>
      <c r="C2981" s="2" t="inlineStr">
        <is>
          <t>Servidor secundario</t>
        </is>
      </c>
      <c r="D2981" s="2" t="n">
        <v>994</v>
      </c>
      <c r="E2981" s="2" t="inlineStr">
        <is>
          <t>CC-4000</t>
        </is>
      </c>
      <c r="F2981" s="2" t="inlineStr">
        <is>
          <t>P01</t>
        </is>
      </c>
      <c r="G2981" s="2" t="n">
        <v>610000</v>
      </c>
      <c r="H2981" s="2" t="inlineStr">
        <is>
          <t>Mano obra interna</t>
        </is>
      </c>
      <c r="I2981" s="9" t="n">
        <v>1515.84</v>
      </c>
      <c r="J2981" s="9" t="n">
        <v>1306.24</v>
      </c>
      <c r="K2981" s="9" t="n">
        <v>1348.82</v>
      </c>
      <c r="L2981" s="9" t="n">
        <v>1446.53</v>
      </c>
      <c r="M2981" s="9" t="n">
        <v>1344.6</v>
      </c>
      <c r="N2981" s="9" t="n">
        <v>1298.77</v>
      </c>
      <c r="O2981" s="9" t="n">
        <v>1314.91</v>
      </c>
      <c r="P2981" s="9" t="n">
        <v>1508.21</v>
      </c>
      <c r="Q2981" s="9" t="n">
        <v>1379.18</v>
      </c>
      <c r="R2981" s="9" t="n">
        <v>1423.85</v>
      </c>
      <c r="S2981" s="9" t="n">
        <v>1444.4</v>
      </c>
      <c r="T2981" s="9" t="n">
        <v>1469.96</v>
      </c>
      <c r="U2981" s="10">
        <f>SUM(I2981:T2981)</f>
        <v/>
      </c>
    </row>
    <row r="2982">
      <c r="A2982" s="2" t="inlineStr">
        <is>
          <t>SN-4000-4600-4640-4640PS0002</t>
        </is>
      </c>
      <c r="B2982" s="2" t="inlineStr">
        <is>
          <t>4640PS0002</t>
        </is>
      </c>
      <c r="C2982" s="2" t="inlineStr">
        <is>
          <t>Servidor secundario</t>
        </is>
      </c>
      <c r="D2982" s="2" t="n">
        <v>994</v>
      </c>
      <c r="E2982" s="2" t="inlineStr">
        <is>
          <t>CC-4000</t>
        </is>
      </c>
      <c r="F2982" s="2" t="inlineStr">
        <is>
          <t>P01</t>
        </is>
      </c>
      <c r="G2982" s="2" t="n">
        <v>620000</v>
      </c>
      <c r="H2982" s="2" t="inlineStr">
        <is>
          <t>Materiales</t>
        </is>
      </c>
      <c r="I2982" s="9" t="n">
        <v>1228.63</v>
      </c>
      <c r="J2982" s="9" t="n">
        <v>1136.41</v>
      </c>
      <c r="K2982" s="9" t="n">
        <v>1237.39</v>
      </c>
      <c r="L2982" s="9" t="n">
        <v>1155.4</v>
      </c>
      <c r="M2982" s="9" t="n">
        <v>1124.43</v>
      </c>
      <c r="N2982" s="9" t="n">
        <v>1049.83</v>
      </c>
      <c r="O2982" s="9" t="n">
        <v>1116.15</v>
      </c>
      <c r="P2982" s="9" t="n">
        <v>1147.52</v>
      </c>
      <c r="Q2982" s="9" t="n">
        <v>1133.18</v>
      </c>
      <c r="R2982" s="9" t="n">
        <v>1244.78</v>
      </c>
      <c r="S2982" s="9" t="n">
        <v>1037.73</v>
      </c>
      <c r="T2982" s="9" t="n">
        <v>1061.99</v>
      </c>
      <c r="U2982" s="10">
        <f>SUM(I2982:T2982)</f>
        <v/>
      </c>
    </row>
    <row r="2983">
      <c r="A2983" s="2" t="inlineStr">
        <is>
          <t>SN-4000-4600-4640-4640PS0002</t>
        </is>
      </c>
      <c r="B2983" s="2" t="inlineStr">
        <is>
          <t>4640PS0002</t>
        </is>
      </c>
      <c r="C2983" s="2" t="inlineStr">
        <is>
          <t>Servidor secundario</t>
        </is>
      </c>
      <c r="D2983" s="2" t="n">
        <v>994</v>
      </c>
      <c r="E2983" s="2" t="inlineStr">
        <is>
          <t>CC-4000</t>
        </is>
      </c>
      <c r="F2983" s="2" t="inlineStr">
        <is>
          <t>P01</t>
        </is>
      </c>
      <c r="G2983" s="2" t="n">
        <v>630000</v>
      </c>
      <c r="H2983" s="2" t="inlineStr">
        <is>
          <t>Servicios externos</t>
        </is>
      </c>
      <c r="I2983" s="9" t="n">
        <v>1296.76</v>
      </c>
      <c r="J2983" s="9" t="n">
        <v>1240.95</v>
      </c>
      <c r="K2983" s="9" t="n">
        <v>1404.01</v>
      </c>
      <c r="L2983" s="9" t="n">
        <v>1421.66</v>
      </c>
      <c r="M2983" s="9" t="n">
        <v>1336.04</v>
      </c>
      <c r="N2983" s="9" t="n">
        <v>1176.64</v>
      </c>
      <c r="O2983" s="9" t="n">
        <v>1276.48</v>
      </c>
      <c r="P2983" s="9" t="n">
        <v>1351.35</v>
      </c>
      <c r="Q2983" s="9" t="n">
        <v>1287.41</v>
      </c>
      <c r="R2983" s="9" t="n">
        <v>1512.01</v>
      </c>
      <c r="S2983" s="9" t="n">
        <v>1259.33</v>
      </c>
      <c r="T2983" s="9" t="n">
        <v>1385.75</v>
      </c>
      <c r="U2983" s="10">
        <f>SUM(I2983:T2983)</f>
        <v/>
      </c>
    </row>
    <row r="2984">
      <c r="A2984" s="2" t="inlineStr">
        <is>
          <t>SN-4000-4700-4700-4700FP0001</t>
        </is>
      </c>
      <c r="B2984" s="2" t="inlineStr">
        <is>
          <t>4700FP0001</t>
        </is>
      </c>
      <c r="C2984" s="2" t="inlineStr">
        <is>
          <t>Sistema contraincendios planta procesos</t>
        </is>
      </c>
      <c r="D2984" s="2" t="n">
        <v>995</v>
      </c>
      <c r="E2984" s="2" t="inlineStr">
        <is>
          <t>CC-4000</t>
        </is>
      </c>
      <c r="F2984" s="2" t="inlineStr">
        <is>
          <t>P01</t>
        </is>
      </c>
      <c r="G2984" s="2" t="n">
        <v>610000</v>
      </c>
      <c r="H2984" s="2" t="inlineStr">
        <is>
          <t>Mano obra interna</t>
        </is>
      </c>
      <c r="I2984" s="9" t="n">
        <v>2202.11</v>
      </c>
      <c r="J2984" s="9" t="n">
        <v>2154.64</v>
      </c>
      <c r="K2984" s="9" t="n">
        <v>2479.69</v>
      </c>
      <c r="L2984" s="9" t="n">
        <v>2101.53</v>
      </c>
      <c r="M2984" s="9" t="n">
        <v>2142.68</v>
      </c>
      <c r="N2984" s="9" t="n">
        <v>2282.62</v>
      </c>
      <c r="O2984" s="9" t="n">
        <v>2165.58</v>
      </c>
      <c r="P2984" s="9" t="n">
        <v>2133.83</v>
      </c>
      <c r="Q2984" s="9" t="n">
        <v>2155.83</v>
      </c>
      <c r="R2984" s="9" t="n">
        <v>2503.42</v>
      </c>
      <c r="S2984" s="9" t="n">
        <v>2152.73</v>
      </c>
      <c r="T2984" s="9" t="n">
        <v>2428.95</v>
      </c>
      <c r="U2984" s="10">
        <f>SUM(I2984:T2984)</f>
        <v/>
      </c>
    </row>
    <row r="2985">
      <c r="A2985" s="2" t="inlineStr">
        <is>
          <t>SN-4000-4700-4700-4700FP0001</t>
        </is>
      </c>
      <c r="B2985" s="2" t="inlineStr">
        <is>
          <t>4700FP0001</t>
        </is>
      </c>
      <c r="C2985" s="2" t="inlineStr">
        <is>
          <t>Sistema contraincendios planta procesos</t>
        </is>
      </c>
      <c r="D2985" s="2" t="n">
        <v>995</v>
      </c>
      <c r="E2985" s="2" t="inlineStr">
        <is>
          <t>CC-4000</t>
        </is>
      </c>
      <c r="F2985" s="2" t="inlineStr">
        <is>
          <t>P01</t>
        </is>
      </c>
      <c r="G2985" s="2" t="n">
        <v>620000</v>
      </c>
      <c r="H2985" s="2" t="inlineStr">
        <is>
          <t>Materiales</t>
        </is>
      </c>
      <c r="I2985" s="9" t="n">
        <v>2511.88</v>
      </c>
      <c r="J2985" s="9" t="n">
        <v>2365.91</v>
      </c>
      <c r="K2985" s="9" t="n">
        <v>2330.75</v>
      </c>
      <c r="L2985" s="9" t="n">
        <v>2474.64</v>
      </c>
      <c r="M2985" s="9" t="n">
        <v>2150.01</v>
      </c>
      <c r="N2985" s="9" t="n">
        <v>2076.26</v>
      </c>
      <c r="O2985" s="9" t="n">
        <v>2467.81</v>
      </c>
      <c r="P2985" s="9" t="n">
        <v>2156.68</v>
      </c>
      <c r="Q2985" s="9" t="n">
        <v>1977.93</v>
      </c>
      <c r="R2985" s="9" t="n">
        <v>2444.74</v>
      </c>
      <c r="S2985" s="9" t="n">
        <v>2092.61</v>
      </c>
      <c r="T2985" s="9" t="n">
        <v>2478.25</v>
      </c>
      <c r="U2985" s="10">
        <f>SUM(I2985:T2985)</f>
        <v/>
      </c>
    </row>
    <row r="2986">
      <c r="A2986" s="2" t="inlineStr">
        <is>
          <t>SN-4000-4700-4700-4700FP0001</t>
        </is>
      </c>
      <c r="B2986" s="2" t="inlineStr">
        <is>
          <t>4700FP0001</t>
        </is>
      </c>
      <c r="C2986" s="2" t="inlineStr">
        <is>
          <t>Sistema contraincendios planta procesos</t>
        </is>
      </c>
      <c r="D2986" s="2" t="n">
        <v>995</v>
      </c>
      <c r="E2986" s="2" t="inlineStr">
        <is>
          <t>CC-4000</t>
        </is>
      </c>
      <c r="F2986" s="2" t="inlineStr">
        <is>
          <t>P01</t>
        </is>
      </c>
      <c r="G2986" s="2" t="n">
        <v>630000</v>
      </c>
      <c r="H2986" s="2" t="inlineStr">
        <is>
          <t>Servicios externos</t>
        </is>
      </c>
      <c r="I2986" s="9" t="n">
        <v>2896.44</v>
      </c>
      <c r="J2986" s="9" t="n">
        <v>2768.8</v>
      </c>
      <c r="K2986" s="9" t="n">
        <v>2953.66</v>
      </c>
      <c r="L2986" s="9" t="n">
        <v>2780.62</v>
      </c>
      <c r="M2986" s="9" t="n">
        <v>2724.84</v>
      </c>
      <c r="N2986" s="9" t="n">
        <v>2546.62</v>
      </c>
      <c r="O2986" s="9" t="n">
        <v>2822.2</v>
      </c>
      <c r="P2986" s="9" t="n">
        <v>2893.98</v>
      </c>
      <c r="Q2986" s="9" t="n">
        <v>2830.94</v>
      </c>
      <c r="R2986" s="9" t="n">
        <v>3185.81</v>
      </c>
      <c r="S2986" s="9" t="n">
        <v>2852.74</v>
      </c>
      <c r="T2986" s="9" t="n">
        <v>2798.84</v>
      </c>
      <c r="U2986" s="10">
        <f>SUM(I2986:T2986)</f>
        <v/>
      </c>
    </row>
    <row r="2987">
      <c r="A2987" s="2" t="inlineStr">
        <is>
          <t>SN-4000-4700-4700-4700FP0002</t>
        </is>
      </c>
      <c r="B2987" s="2" t="inlineStr">
        <is>
          <t>4700FP0002</t>
        </is>
      </c>
      <c r="C2987" s="2" t="inlineStr">
        <is>
          <t>Sistema contraincendios planta filtros</t>
        </is>
      </c>
      <c r="D2987" s="2" t="n">
        <v>996</v>
      </c>
      <c r="E2987" s="2" t="inlineStr">
        <is>
          <t>CC-4000</t>
        </is>
      </c>
      <c r="F2987" s="2" t="inlineStr">
        <is>
          <t>P01</t>
        </is>
      </c>
      <c r="G2987" s="2" t="n">
        <v>610000</v>
      </c>
      <c r="H2987" s="2" t="inlineStr">
        <is>
          <t>Mano obra interna</t>
        </is>
      </c>
      <c r="I2987" s="9" t="n">
        <v>2496.87</v>
      </c>
      <c r="J2987" s="9" t="n">
        <v>2403.56</v>
      </c>
      <c r="K2987" s="9" t="n">
        <v>2181.1</v>
      </c>
      <c r="L2987" s="9" t="n">
        <v>2371.92</v>
      </c>
      <c r="M2987" s="9" t="n">
        <v>2310.8</v>
      </c>
      <c r="N2987" s="9" t="n">
        <v>2110.8</v>
      </c>
      <c r="O2987" s="9" t="n">
        <v>2463.6</v>
      </c>
      <c r="P2987" s="9" t="n">
        <v>2204.73</v>
      </c>
      <c r="Q2987" s="9" t="n">
        <v>2028.51</v>
      </c>
      <c r="R2987" s="9" t="n">
        <v>2455.42</v>
      </c>
      <c r="S2987" s="9" t="n">
        <v>2147.22</v>
      </c>
      <c r="T2987" s="9" t="n">
        <v>2473.7</v>
      </c>
      <c r="U2987" s="10">
        <f>SUM(I2987:T2987)</f>
        <v/>
      </c>
    </row>
    <row r="2988">
      <c r="A2988" s="2" t="inlineStr">
        <is>
          <t>SN-4000-4700-4700-4700FP0002</t>
        </is>
      </c>
      <c r="B2988" s="2" t="inlineStr">
        <is>
          <t>4700FP0002</t>
        </is>
      </c>
      <c r="C2988" s="2" t="inlineStr">
        <is>
          <t>Sistema contraincendios planta filtros</t>
        </is>
      </c>
      <c r="D2988" s="2" t="n">
        <v>996</v>
      </c>
      <c r="E2988" s="2" t="inlineStr">
        <is>
          <t>CC-4000</t>
        </is>
      </c>
      <c r="F2988" s="2" t="inlineStr">
        <is>
          <t>P01</t>
        </is>
      </c>
      <c r="G2988" s="2" t="n">
        <v>620000</v>
      </c>
      <c r="H2988" s="2" t="inlineStr">
        <is>
          <t>Materiales</t>
        </is>
      </c>
      <c r="I2988" s="9" t="n">
        <v>1944.04</v>
      </c>
      <c r="J2988" s="9" t="n">
        <v>1941.18</v>
      </c>
      <c r="K2988" s="9" t="n">
        <v>1859.67</v>
      </c>
      <c r="L2988" s="9" t="n">
        <v>2055.83</v>
      </c>
      <c r="M2988" s="9" t="n">
        <v>1994.25</v>
      </c>
      <c r="N2988" s="9" t="n">
        <v>1839.56</v>
      </c>
      <c r="O2988" s="9" t="n">
        <v>2073.93</v>
      </c>
      <c r="P2988" s="9" t="n">
        <v>1955.19</v>
      </c>
      <c r="Q2988" s="9" t="n">
        <v>1854.75</v>
      </c>
      <c r="R2988" s="9" t="n">
        <v>2225.12</v>
      </c>
      <c r="S2988" s="9" t="n">
        <v>1920.2</v>
      </c>
      <c r="T2988" s="9" t="n">
        <v>1939.42</v>
      </c>
      <c r="U2988" s="10">
        <f>SUM(I2988:T2988)</f>
        <v/>
      </c>
    </row>
    <row r="2989">
      <c r="A2989" s="2" t="inlineStr">
        <is>
          <t>SN-4000-4700-4700-4700FP0002</t>
        </is>
      </c>
      <c r="B2989" s="2" t="inlineStr">
        <is>
          <t>4700FP0002</t>
        </is>
      </c>
      <c r="C2989" s="2" t="inlineStr">
        <is>
          <t>Sistema contraincendios planta filtros</t>
        </is>
      </c>
      <c r="D2989" s="2" t="n">
        <v>996</v>
      </c>
      <c r="E2989" s="2" t="inlineStr">
        <is>
          <t>CC-4000</t>
        </is>
      </c>
      <c r="F2989" s="2" t="inlineStr">
        <is>
          <t>P01</t>
        </is>
      </c>
      <c r="G2989" s="2" t="n">
        <v>630000</v>
      </c>
      <c r="H2989" s="2" t="inlineStr">
        <is>
          <t>Servicios externos</t>
        </is>
      </c>
      <c r="I2989" s="9" t="n">
        <v>1797.67</v>
      </c>
      <c r="J2989" s="9" t="n">
        <v>1797.63</v>
      </c>
      <c r="K2989" s="9" t="n">
        <v>1744.31</v>
      </c>
      <c r="L2989" s="9" t="n">
        <v>1691.84</v>
      </c>
      <c r="M2989" s="9" t="n">
        <v>1686.51</v>
      </c>
      <c r="N2989" s="9" t="n">
        <v>1683.63</v>
      </c>
      <c r="O2989" s="9" t="n">
        <v>1563.88</v>
      </c>
      <c r="P2989" s="9" t="n">
        <v>1802.81</v>
      </c>
      <c r="Q2989" s="9" t="n">
        <v>1679.23</v>
      </c>
      <c r="R2989" s="9" t="n">
        <v>1844.25</v>
      </c>
      <c r="S2989" s="9" t="n">
        <v>1545.28</v>
      </c>
      <c r="T2989" s="9" t="n">
        <v>1771.52</v>
      </c>
      <c r="U2989" s="10">
        <f>SUM(I2989:T2989)</f>
        <v/>
      </c>
    </row>
    <row r="2990">
      <c r="A2990" s="2" t="inlineStr">
        <is>
          <t>SN-4000-4900-4900-4900CP0030</t>
        </is>
      </c>
      <c r="B2990" s="2" t="inlineStr">
        <is>
          <t>4900CP0030</t>
        </is>
      </c>
      <c r="C2990" s="2" t="inlineStr">
        <is>
          <t>Compresor de aire</t>
        </is>
      </c>
      <c r="D2990" s="2" t="n">
        <v>997</v>
      </c>
      <c r="E2990" s="2" t="inlineStr">
        <is>
          <t>CC-4000</t>
        </is>
      </c>
      <c r="F2990" s="2" t="inlineStr">
        <is>
          <t>P01</t>
        </is>
      </c>
      <c r="G2990" s="2" t="n">
        <v>610000</v>
      </c>
      <c r="H2990" s="2" t="inlineStr">
        <is>
          <t>Mano obra interna</t>
        </is>
      </c>
      <c r="I2990" s="9" t="n">
        <v>797.01</v>
      </c>
      <c r="J2990" s="9" t="n">
        <v>718.05</v>
      </c>
      <c r="K2990" s="9" t="n">
        <v>815.9299999999999</v>
      </c>
      <c r="L2990" s="9" t="n">
        <v>773.79</v>
      </c>
      <c r="M2990" s="9" t="n">
        <v>812.6</v>
      </c>
      <c r="N2990" s="9" t="n">
        <v>781.3200000000001</v>
      </c>
      <c r="O2990" s="9" t="n">
        <v>842.37</v>
      </c>
      <c r="P2990" s="9" t="n">
        <v>748.98</v>
      </c>
      <c r="Q2990" s="9" t="n">
        <v>675</v>
      </c>
      <c r="R2990" s="9" t="n">
        <v>833.28</v>
      </c>
      <c r="S2990" s="9" t="n">
        <v>704.5700000000001</v>
      </c>
      <c r="T2990" s="9" t="n">
        <v>750.67</v>
      </c>
      <c r="U2990" s="10">
        <f>SUM(I2990:T2990)</f>
        <v/>
      </c>
    </row>
    <row r="2991">
      <c r="A2991" s="2" t="inlineStr">
        <is>
          <t>SN-4000-4900-4900-4900CP0030</t>
        </is>
      </c>
      <c r="B2991" s="2" t="inlineStr">
        <is>
          <t>4900CP0030</t>
        </is>
      </c>
      <c r="C2991" s="2" t="inlineStr">
        <is>
          <t>Compresor de aire</t>
        </is>
      </c>
      <c r="D2991" s="2" t="n">
        <v>997</v>
      </c>
      <c r="E2991" s="2" t="inlineStr">
        <is>
          <t>CC-4000</t>
        </is>
      </c>
      <c r="F2991" s="2" t="inlineStr">
        <is>
          <t>P01</t>
        </is>
      </c>
      <c r="G2991" s="2" t="n">
        <v>620000</v>
      </c>
      <c r="H2991" s="2" t="inlineStr">
        <is>
          <t>Materiales</t>
        </is>
      </c>
      <c r="I2991" s="9" t="n">
        <v>912.89</v>
      </c>
      <c r="J2991" s="9" t="n">
        <v>804.5</v>
      </c>
      <c r="K2991" s="9" t="n">
        <v>900.84</v>
      </c>
      <c r="L2991" s="9" t="n">
        <v>905.04</v>
      </c>
      <c r="M2991" s="9" t="n">
        <v>839.77</v>
      </c>
      <c r="N2991" s="9" t="n">
        <v>892.6900000000001</v>
      </c>
      <c r="O2991" s="9" t="n">
        <v>833.85</v>
      </c>
      <c r="P2991" s="9" t="n">
        <v>845.92</v>
      </c>
      <c r="Q2991" s="9" t="n">
        <v>775.3200000000001</v>
      </c>
      <c r="R2991" s="9" t="n">
        <v>892.0599999999999</v>
      </c>
      <c r="S2991" s="9" t="n">
        <v>904.84</v>
      </c>
      <c r="T2991" s="9" t="n">
        <v>862.55</v>
      </c>
      <c r="U2991" s="10">
        <f>SUM(I2991:T2991)</f>
        <v/>
      </c>
    </row>
    <row r="2992">
      <c r="A2992" s="2" t="inlineStr">
        <is>
          <t>SN-4000-4900-4900-4900CP0030</t>
        </is>
      </c>
      <c r="B2992" s="2" t="inlineStr">
        <is>
          <t>4900CP0030</t>
        </is>
      </c>
      <c r="C2992" s="2" t="inlineStr">
        <is>
          <t>Compresor de aire</t>
        </is>
      </c>
      <c r="D2992" s="2" t="n">
        <v>997</v>
      </c>
      <c r="E2992" s="2" t="inlineStr">
        <is>
          <t>CC-4000</t>
        </is>
      </c>
      <c r="F2992" s="2" t="inlineStr">
        <is>
          <t>P01</t>
        </is>
      </c>
      <c r="G2992" s="2" t="n">
        <v>630000</v>
      </c>
      <c r="H2992" s="2" t="inlineStr">
        <is>
          <t>Servicios externos</t>
        </is>
      </c>
      <c r="I2992" s="9" t="n">
        <v>891.2</v>
      </c>
      <c r="J2992" s="9" t="n">
        <v>888.71</v>
      </c>
      <c r="K2992" s="9" t="n">
        <v>973.54</v>
      </c>
      <c r="L2992" s="9" t="n">
        <v>952.42</v>
      </c>
      <c r="M2992" s="9" t="n">
        <v>813.77</v>
      </c>
      <c r="N2992" s="9" t="n">
        <v>891.01</v>
      </c>
      <c r="O2992" s="9" t="n">
        <v>876.77</v>
      </c>
      <c r="P2992" s="9" t="n">
        <v>861.36</v>
      </c>
      <c r="Q2992" s="9" t="n">
        <v>844.8</v>
      </c>
      <c r="R2992" s="9" t="n">
        <v>1021.05</v>
      </c>
      <c r="S2992" s="9" t="n">
        <v>799.45</v>
      </c>
      <c r="T2992" s="9" t="n">
        <v>934.73</v>
      </c>
      <c r="U2992" s="10">
        <f>SUM(I2992:T2992)</f>
        <v/>
      </c>
    </row>
    <row r="2993">
      <c r="A2993" s="2" t="inlineStr">
        <is>
          <t>SN-4000-4900-4900-4900FA0041</t>
        </is>
      </c>
      <c r="B2993" s="2" t="inlineStr">
        <is>
          <t>4900FA0041</t>
        </is>
      </c>
      <c r="C2993" s="2" t="inlineStr">
        <is>
          <t>Ventilador extractor taller mantenimient</t>
        </is>
      </c>
      <c r="D2993" s="2" t="n">
        <v>998</v>
      </c>
      <c r="E2993" s="2" t="inlineStr">
        <is>
          <t>CC-4000</t>
        </is>
      </c>
      <c r="F2993" s="2" t="inlineStr">
        <is>
          <t>P01</t>
        </is>
      </c>
      <c r="G2993" s="2" t="n">
        <v>610000</v>
      </c>
      <c r="H2993" s="2" t="inlineStr">
        <is>
          <t>Mano obra interna</t>
        </is>
      </c>
      <c r="I2993" s="9" t="n">
        <v>274.35</v>
      </c>
      <c r="J2993" s="9" t="n">
        <v>286</v>
      </c>
      <c r="K2993" s="9" t="n">
        <v>284.75</v>
      </c>
      <c r="L2993" s="9" t="n">
        <v>260.67</v>
      </c>
      <c r="M2993" s="9" t="n">
        <v>271.52</v>
      </c>
      <c r="N2993" s="9" t="n">
        <v>274.11</v>
      </c>
      <c r="O2993" s="9" t="n">
        <v>275.4</v>
      </c>
      <c r="P2993" s="9" t="n">
        <v>259.21</v>
      </c>
      <c r="Q2993" s="9" t="n">
        <v>252.82</v>
      </c>
      <c r="R2993" s="9" t="n">
        <v>315.56</v>
      </c>
      <c r="S2993" s="9" t="n">
        <v>271.97</v>
      </c>
      <c r="T2993" s="9" t="n">
        <v>288.3</v>
      </c>
      <c r="U2993" s="10">
        <f>SUM(I2993:T2993)</f>
        <v/>
      </c>
    </row>
    <row r="2994">
      <c r="A2994" s="2" t="inlineStr">
        <is>
          <t>SN-4000-4900-4900-4900FA0041</t>
        </is>
      </c>
      <c r="B2994" s="2" t="inlineStr">
        <is>
          <t>4900FA0041</t>
        </is>
      </c>
      <c r="C2994" s="2" t="inlineStr">
        <is>
          <t>Ventilador extractor taller mantenimient</t>
        </is>
      </c>
      <c r="D2994" s="2" t="n">
        <v>998</v>
      </c>
      <c r="E2994" s="2" t="inlineStr">
        <is>
          <t>CC-4000</t>
        </is>
      </c>
      <c r="F2994" s="2" t="inlineStr">
        <is>
          <t>P01</t>
        </is>
      </c>
      <c r="G2994" s="2" t="n">
        <v>620000</v>
      </c>
      <c r="H2994" s="2" t="inlineStr">
        <is>
          <t>Materiales</t>
        </is>
      </c>
      <c r="I2994" s="9" t="n">
        <v>312.56</v>
      </c>
      <c r="J2994" s="9" t="n">
        <v>326.88</v>
      </c>
      <c r="K2994" s="9" t="n">
        <v>331.29</v>
      </c>
      <c r="L2994" s="9" t="n">
        <v>315.52</v>
      </c>
      <c r="M2994" s="9" t="n">
        <v>308.82</v>
      </c>
      <c r="N2994" s="9" t="n">
        <v>327.33</v>
      </c>
      <c r="O2994" s="9" t="n">
        <v>310.03</v>
      </c>
      <c r="P2994" s="9" t="n">
        <v>317.56</v>
      </c>
      <c r="Q2994" s="9" t="n">
        <v>294.49</v>
      </c>
      <c r="R2994" s="9" t="n">
        <v>327.81</v>
      </c>
      <c r="S2994" s="9" t="n">
        <v>315.25</v>
      </c>
      <c r="T2994" s="9" t="n">
        <v>346.64</v>
      </c>
      <c r="U2994" s="10">
        <f>SUM(I2994:T2994)</f>
        <v/>
      </c>
    </row>
    <row r="2995">
      <c r="A2995" s="2" t="inlineStr">
        <is>
          <t>SN-4000-4900-4900-4900FA0041</t>
        </is>
      </c>
      <c r="B2995" s="2" t="inlineStr">
        <is>
          <t>4900FA0041</t>
        </is>
      </c>
      <c r="C2995" s="2" t="inlineStr">
        <is>
          <t>Ventilador extractor taller mantenimient</t>
        </is>
      </c>
      <c r="D2995" s="2" t="n">
        <v>998</v>
      </c>
      <c r="E2995" s="2" t="inlineStr">
        <is>
          <t>CC-4000</t>
        </is>
      </c>
      <c r="F2995" s="2" t="inlineStr">
        <is>
          <t>P01</t>
        </is>
      </c>
      <c r="G2995" s="2" t="n">
        <v>630000</v>
      </c>
      <c r="H2995" s="2" t="inlineStr">
        <is>
          <t>Servicios externos</t>
        </is>
      </c>
      <c r="I2995" s="9" t="n">
        <v>242.95</v>
      </c>
      <c r="J2995" s="9" t="n">
        <v>258.67</v>
      </c>
      <c r="K2995" s="9" t="n">
        <v>265.66</v>
      </c>
      <c r="L2995" s="9" t="n">
        <v>268.24</v>
      </c>
      <c r="M2995" s="9" t="n">
        <v>240.25</v>
      </c>
      <c r="N2995" s="9" t="n">
        <v>254.36</v>
      </c>
      <c r="O2995" s="9" t="n">
        <v>253.01</v>
      </c>
      <c r="P2995" s="9" t="n">
        <v>258</v>
      </c>
      <c r="Q2995" s="9" t="n">
        <v>220.76</v>
      </c>
      <c r="R2995" s="9" t="n">
        <v>260.7</v>
      </c>
      <c r="S2995" s="9" t="n">
        <v>256.35</v>
      </c>
      <c r="T2995" s="9" t="n">
        <v>246.11</v>
      </c>
      <c r="U2995" s="10">
        <f>SUM(I2995:T2995)</f>
        <v/>
      </c>
    </row>
    <row r="2996">
      <c r="A2996" s="2" t="inlineStr">
        <is>
          <t>SN-4000-4900-4900-4900ME0073</t>
        </is>
      </c>
      <c r="B2996" s="2" t="inlineStr">
        <is>
          <t>4900ME0073</t>
        </is>
      </c>
      <c r="C2996" s="2" t="inlineStr">
        <is>
          <t>Carro traslado motor</t>
        </is>
      </c>
      <c r="D2996" s="2" t="n">
        <v>999</v>
      </c>
      <c r="E2996" s="2" t="inlineStr">
        <is>
          <t>CC-4000</t>
        </is>
      </c>
      <c r="F2996" s="2" t="inlineStr">
        <is>
          <t>P01</t>
        </is>
      </c>
      <c r="G2996" s="2" t="n">
        <v>610000</v>
      </c>
      <c r="H2996" s="2" t="inlineStr">
        <is>
          <t>Mano obra interna</t>
        </is>
      </c>
      <c r="I2996" s="9" t="n">
        <v>1513.36</v>
      </c>
      <c r="J2996" s="9" t="n">
        <v>1448.68</v>
      </c>
      <c r="K2996" s="9" t="n">
        <v>1531.94</v>
      </c>
      <c r="L2996" s="9" t="n">
        <v>1520.17</v>
      </c>
      <c r="M2996" s="9" t="n">
        <v>1444.7</v>
      </c>
      <c r="N2996" s="9" t="n">
        <v>1394.23</v>
      </c>
      <c r="O2996" s="9" t="n">
        <v>1559.53</v>
      </c>
      <c r="P2996" s="9" t="n">
        <v>1466.57</v>
      </c>
      <c r="Q2996" s="9" t="n">
        <v>1384.35</v>
      </c>
      <c r="R2996" s="9" t="n">
        <v>1515.54</v>
      </c>
      <c r="S2996" s="9" t="n">
        <v>1497.04</v>
      </c>
      <c r="T2996" s="9" t="n">
        <v>1368.69</v>
      </c>
      <c r="U2996" s="10">
        <f>SUM(I2996:T2996)</f>
        <v/>
      </c>
    </row>
    <row r="2997">
      <c r="A2997" s="2" t="inlineStr">
        <is>
          <t>SN-4000-4900-4900-4900ME0073</t>
        </is>
      </c>
      <c r="B2997" s="2" t="inlineStr">
        <is>
          <t>4900ME0073</t>
        </is>
      </c>
      <c r="C2997" s="2" t="inlineStr">
        <is>
          <t>Carro traslado motor</t>
        </is>
      </c>
      <c r="D2997" s="2" t="n">
        <v>999</v>
      </c>
      <c r="E2997" s="2" t="inlineStr">
        <is>
          <t>CC-4000</t>
        </is>
      </c>
      <c r="F2997" s="2" t="inlineStr">
        <is>
          <t>P01</t>
        </is>
      </c>
      <c r="G2997" s="2" t="n">
        <v>620000</v>
      </c>
      <c r="H2997" s="2" t="inlineStr">
        <is>
          <t>Materiales</t>
        </is>
      </c>
      <c r="I2997" s="9" t="n">
        <v>1675.7</v>
      </c>
      <c r="J2997" s="9" t="n">
        <v>1674.62</v>
      </c>
      <c r="K2997" s="9" t="n">
        <v>1686.88</v>
      </c>
      <c r="L2997" s="9" t="n">
        <v>1768.97</v>
      </c>
      <c r="M2997" s="9" t="n">
        <v>1528.23</v>
      </c>
      <c r="N2997" s="9" t="n">
        <v>1575.01</v>
      </c>
      <c r="O2997" s="9" t="n">
        <v>1762.01</v>
      </c>
      <c r="P2997" s="9" t="n">
        <v>1604.51</v>
      </c>
      <c r="Q2997" s="9" t="n">
        <v>1445.53</v>
      </c>
      <c r="R2997" s="9" t="n">
        <v>1802.73</v>
      </c>
      <c r="S2997" s="9" t="n">
        <v>1742.6</v>
      </c>
      <c r="T2997" s="9" t="n">
        <v>1579.03</v>
      </c>
      <c r="U2997" s="10">
        <f>SUM(I2997:T2997)</f>
        <v/>
      </c>
    </row>
    <row r="2998">
      <c r="A2998" s="2" t="inlineStr">
        <is>
          <t>SN-4000-4900-4900-4900ME0073</t>
        </is>
      </c>
      <c r="B2998" s="2" t="inlineStr">
        <is>
          <t>4900ME0073</t>
        </is>
      </c>
      <c r="C2998" s="2" t="inlineStr">
        <is>
          <t>Carro traslado motor</t>
        </is>
      </c>
      <c r="D2998" s="2" t="n">
        <v>999</v>
      </c>
      <c r="E2998" s="2" t="inlineStr">
        <is>
          <t>CC-4000</t>
        </is>
      </c>
      <c r="F2998" s="2" t="inlineStr">
        <is>
          <t>P01</t>
        </is>
      </c>
      <c r="G2998" s="2" t="n">
        <v>630000</v>
      </c>
      <c r="H2998" s="2" t="inlineStr">
        <is>
          <t>Servicios externos</t>
        </is>
      </c>
      <c r="I2998" s="9" t="n">
        <v>1445.48</v>
      </c>
      <c r="J2998" s="9" t="n">
        <v>1318.68</v>
      </c>
      <c r="K2998" s="9" t="n">
        <v>1418.2</v>
      </c>
      <c r="L2998" s="9" t="n">
        <v>1500.86</v>
      </c>
      <c r="M2998" s="9" t="n">
        <v>1313.8</v>
      </c>
      <c r="N2998" s="9" t="n">
        <v>1380.25</v>
      </c>
      <c r="O2998" s="9" t="n">
        <v>1396.37</v>
      </c>
      <c r="P2998" s="9" t="n">
        <v>1483.99</v>
      </c>
      <c r="Q2998" s="9" t="n">
        <v>1396.57</v>
      </c>
      <c r="R2998" s="9" t="n">
        <v>1500.5</v>
      </c>
      <c r="S2998" s="9" t="n">
        <v>1368.48</v>
      </c>
      <c r="T2998" s="9" t="n">
        <v>1471.12</v>
      </c>
      <c r="U2998" s="10">
        <f>SUM(I2998:T2998)</f>
        <v/>
      </c>
    </row>
    <row r="2999">
      <c r="A2999" s="2" t="inlineStr">
        <is>
          <t>SN-4000-4900-4900-5300FA0042</t>
        </is>
      </c>
      <c r="B2999" s="2" t="inlineStr">
        <is>
          <t>5300FA0042</t>
        </is>
      </c>
      <c r="C2999" s="2" t="inlineStr">
        <is>
          <t>Ventilador extractor aire bodega</t>
        </is>
      </c>
      <c r="D2999" s="2" t="n">
        <v>1000</v>
      </c>
      <c r="E2999" s="2" t="inlineStr">
        <is>
          <t>CC-4000</t>
        </is>
      </c>
      <c r="F2999" s="2" t="inlineStr">
        <is>
          <t>P01</t>
        </is>
      </c>
      <c r="G2999" s="2" t="n">
        <v>610000</v>
      </c>
      <c r="H2999" s="2" t="inlineStr">
        <is>
          <t>Mano obra interna</t>
        </is>
      </c>
      <c r="I2999" s="9" t="n">
        <v>1834.83</v>
      </c>
      <c r="J2999" s="9" t="n">
        <v>1988.71</v>
      </c>
      <c r="K2999" s="9" t="n">
        <v>1918.11</v>
      </c>
      <c r="L2999" s="9" t="n">
        <v>1767.79</v>
      </c>
      <c r="M2999" s="9" t="n">
        <v>1960.61</v>
      </c>
      <c r="N2999" s="9" t="n">
        <v>1825.63</v>
      </c>
      <c r="O2999" s="9" t="n">
        <v>1780.68</v>
      </c>
      <c r="P2999" s="9" t="n">
        <v>1736.95</v>
      </c>
      <c r="Q2999" s="9" t="n">
        <v>1691.25</v>
      </c>
      <c r="R2999" s="9" t="n">
        <v>2165.72</v>
      </c>
      <c r="S2999" s="9" t="n">
        <v>1945.72</v>
      </c>
      <c r="T2999" s="9" t="n">
        <v>1849.77</v>
      </c>
      <c r="U2999" s="10">
        <f>SUM(I2999:T2999)</f>
        <v/>
      </c>
    </row>
    <row r="3000">
      <c r="A3000" s="2" t="inlineStr">
        <is>
          <t>SN-4000-4900-4900-5300FA0042</t>
        </is>
      </c>
      <c r="B3000" s="2" t="inlineStr">
        <is>
          <t>5300FA0042</t>
        </is>
      </c>
      <c r="C3000" s="2" t="inlineStr">
        <is>
          <t>Ventilador extractor aire bodega</t>
        </is>
      </c>
      <c r="D3000" s="2" t="n">
        <v>1000</v>
      </c>
      <c r="E3000" s="2" t="inlineStr">
        <is>
          <t>CC-4000</t>
        </is>
      </c>
      <c r="F3000" s="2" t="inlineStr">
        <is>
          <t>P01</t>
        </is>
      </c>
      <c r="G3000" s="2" t="n">
        <v>620000</v>
      </c>
      <c r="H3000" s="2" t="inlineStr">
        <is>
          <t>Materiales</t>
        </is>
      </c>
      <c r="I3000" s="9" t="n">
        <v>2147.37</v>
      </c>
      <c r="J3000" s="9" t="n">
        <v>2142.77</v>
      </c>
      <c r="K3000" s="9" t="n">
        <v>2132.44</v>
      </c>
      <c r="L3000" s="9" t="n">
        <v>2175.63</v>
      </c>
      <c r="M3000" s="9" t="n">
        <v>2031.98</v>
      </c>
      <c r="N3000" s="9" t="n">
        <v>1887.45</v>
      </c>
      <c r="O3000" s="9" t="n">
        <v>2001.67</v>
      </c>
      <c r="P3000" s="9" t="n">
        <v>2050.63</v>
      </c>
      <c r="Q3000" s="9" t="n">
        <v>2127.12</v>
      </c>
      <c r="R3000" s="9" t="n">
        <v>2460.41</v>
      </c>
      <c r="S3000" s="9" t="n">
        <v>2163.23</v>
      </c>
      <c r="T3000" s="9" t="n">
        <v>2062.58</v>
      </c>
      <c r="U3000" s="10">
        <f>SUM(I3000:T3000)</f>
        <v/>
      </c>
    </row>
    <row r="3001">
      <c r="A3001" s="2" t="inlineStr">
        <is>
          <t>SN-4000-4900-4900-5300FA0042</t>
        </is>
      </c>
      <c r="B3001" s="2" t="inlineStr">
        <is>
          <t>5300FA0042</t>
        </is>
      </c>
      <c r="C3001" s="2" t="inlineStr">
        <is>
          <t>Ventilador extractor aire bodega</t>
        </is>
      </c>
      <c r="D3001" s="2" t="n">
        <v>1000</v>
      </c>
      <c r="E3001" s="2" t="inlineStr">
        <is>
          <t>CC-4000</t>
        </is>
      </c>
      <c r="F3001" s="2" t="inlineStr">
        <is>
          <t>P01</t>
        </is>
      </c>
      <c r="G3001" s="2" t="n">
        <v>630000</v>
      </c>
      <c r="H3001" s="2" t="inlineStr">
        <is>
          <t>Servicios externos</t>
        </is>
      </c>
      <c r="I3001" s="9" t="n">
        <v>1941.94</v>
      </c>
      <c r="J3001" s="9" t="n">
        <v>1857.49</v>
      </c>
      <c r="K3001" s="9" t="n">
        <v>1837.27</v>
      </c>
      <c r="L3001" s="9" t="n">
        <v>1973.98</v>
      </c>
      <c r="M3001" s="9" t="n">
        <v>1770.99</v>
      </c>
      <c r="N3001" s="9" t="n">
        <v>1925.12</v>
      </c>
      <c r="O3001" s="9" t="n">
        <v>1980.48</v>
      </c>
      <c r="P3001" s="9" t="n">
        <v>1874.13</v>
      </c>
      <c r="Q3001" s="9" t="n">
        <v>1830.11</v>
      </c>
      <c r="R3001" s="9" t="n">
        <v>1982.95</v>
      </c>
      <c r="S3001" s="9" t="n">
        <v>1789.61</v>
      </c>
      <c r="T3001" s="9" t="n">
        <v>1891.34</v>
      </c>
      <c r="U3001" s="10">
        <f>SUM(I3001:T3001)</f>
        <v/>
      </c>
    </row>
    <row r="3002">
      <c r="A3002" s="2" t="inlineStr">
        <is>
          <t>SN-5000-5200-5210-5210CC0001</t>
        </is>
      </c>
      <c r="B3002" s="2" t="inlineStr">
        <is>
          <t>5210CC0001</t>
        </is>
      </c>
      <c r="C3002" s="2" t="inlineStr">
        <is>
          <t>Gabinete servidores ppales fibra óptica</t>
        </is>
      </c>
      <c r="D3002" s="2" t="n">
        <v>1001</v>
      </c>
      <c r="E3002" s="2" t="inlineStr">
        <is>
          <t>CC-5000</t>
        </is>
      </c>
      <c r="F3002" s="2" t="inlineStr">
        <is>
          <t>P01</t>
        </is>
      </c>
      <c r="G3002" s="2" t="n">
        <v>610000</v>
      </c>
      <c r="H3002" s="2" t="inlineStr">
        <is>
          <t>Mano obra interna</t>
        </is>
      </c>
      <c r="I3002" s="9" t="n">
        <v>1978.4</v>
      </c>
      <c r="J3002" s="9" t="n">
        <v>2021.4</v>
      </c>
      <c r="K3002" s="9" t="n">
        <v>1995.9</v>
      </c>
      <c r="L3002" s="9" t="n">
        <v>2005.43</v>
      </c>
      <c r="M3002" s="9" t="n">
        <v>1925.94</v>
      </c>
      <c r="N3002" s="9" t="n">
        <v>1987.87</v>
      </c>
      <c r="O3002" s="9" t="n">
        <v>2041.68</v>
      </c>
      <c r="P3002" s="9" t="n">
        <v>2102.45</v>
      </c>
      <c r="Q3002" s="9" t="n">
        <v>1806.84</v>
      </c>
      <c r="R3002" s="9" t="n">
        <v>2019.33</v>
      </c>
      <c r="S3002" s="9" t="n">
        <v>2023.99</v>
      </c>
      <c r="T3002" s="9" t="n">
        <v>1935.16</v>
      </c>
      <c r="U3002" s="10">
        <f>SUM(I3002:T3002)</f>
        <v/>
      </c>
    </row>
    <row r="3003">
      <c r="A3003" s="2" t="inlineStr">
        <is>
          <t>SN-5000-5200-5210-5210CC0001</t>
        </is>
      </c>
      <c r="B3003" s="2" t="inlineStr">
        <is>
          <t>5210CC0001</t>
        </is>
      </c>
      <c r="C3003" s="2" t="inlineStr">
        <is>
          <t>Gabinete servidores ppales fibra óptica</t>
        </is>
      </c>
      <c r="D3003" s="2" t="n">
        <v>1001</v>
      </c>
      <c r="E3003" s="2" t="inlineStr">
        <is>
          <t>CC-5000</t>
        </is>
      </c>
      <c r="F3003" s="2" t="inlineStr">
        <is>
          <t>P01</t>
        </is>
      </c>
      <c r="G3003" s="2" t="n">
        <v>620000</v>
      </c>
      <c r="H3003" s="2" t="inlineStr">
        <is>
          <t>Materiales</t>
        </is>
      </c>
      <c r="I3003" s="9" t="n">
        <v>1622.3</v>
      </c>
      <c r="J3003" s="9" t="n">
        <v>1679.12</v>
      </c>
      <c r="K3003" s="9" t="n">
        <v>1726.15</v>
      </c>
      <c r="L3003" s="9" t="n">
        <v>1591.64</v>
      </c>
      <c r="M3003" s="9" t="n">
        <v>1648.62</v>
      </c>
      <c r="N3003" s="9" t="n">
        <v>1620.33</v>
      </c>
      <c r="O3003" s="9" t="n">
        <v>1611.74</v>
      </c>
      <c r="P3003" s="9" t="n">
        <v>1572.32</v>
      </c>
      <c r="Q3003" s="9" t="n">
        <v>1570.52</v>
      </c>
      <c r="R3003" s="9" t="n">
        <v>1800.18</v>
      </c>
      <c r="S3003" s="9" t="n">
        <v>1480.56</v>
      </c>
      <c r="T3003" s="9" t="n">
        <v>1708.91</v>
      </c>
      <c r="U3003" s="10">
        <f>SUM(I3003:T3003)</f>
        <v/>
      </c>
    </row>
    <row r="3004">
      <c r="A3004" s="2" t="inlineStr">
        <is>
          <t>SN-5000-5200-5210-5210CC0001</t>
        </is>
      </c>
      <c r="B3004" s="2" t="inlineStr">
        <is>
          <t>5210CC0001</t>
        </is>
      </c>
      <c r="C3004" s="2" t="inlineStr">
        <is>
          <t>Gabinete servidores ppales fibra óptica</t>
        </is>
      </c>
      <c r="D3004" s="2" t="n">
        <v>1001</v>
      </c>
      <c r="E3004" s="2" t="inlineStr">
        <is>
          <t>CC-5000</t>
        </is>
      </c>
      <c r="F3004" s="2" t="inlineStr">
        <is>
          <t>P01</t>
        </is>
      </c>
      <c r="G3004" s="2" t="n">
        <v>630000</v>
      </c>
      <c r="H3004" s="2" t="inlineStr">
        <is>
          <t>Servicios externos</t>
        </is>
      </c>
      <c r="I3004" s="9" t="n">
        <v>1876.55</v>
      </c>
      <c r="J3004" s="9" t="n">
        <v>1653.77</v>
      </c>
      <c r="K3004" s="9" t="n">
        <v>1752.01</v>
      </c>
      <c r="L3004" s="9" t="n">
        <v>1818.07</v>
      </c>
      <c r="M3004" s="9" t="n">
        <v>1743.23</v>
      </c>
      <c r="N3004" s="9" t="n">
        <v>1658.3</v>
      </c>
      <c r="O3004" s="9" t="n">
        <v>1836.99</v>
      </c>
      <c r="P3004" s="9" t="n">
        <v>1783.59</v>
      </c>
      <c r="Q3004" s="9" t="n">
        <v>1699.83</v>
      </c>
      <c r="R3004" s="9" t="n">
        <v>1799.47</v>
      </c>
      <c r="S3004" s="9" t="n">
        <v>1772.86</v>
      </c>
      <c r="T3004" s="9" t="n">
        <v>1781.81</v>
      </c>
      <c r="U3004" s="10">
        <f>SUM(I3004:T3004)</f>
        <v/>
      </c>
    </row>
    <row r="3005">
      <c r="A3005" s="2" t="inlineStr">
        <is>
          <t>SN-5000-5200-5210-5210CC0002</t>
        </is>
      </c>
      <c r="B3005" s="2" t="inlineStr">
        <is>
          <t>5210CC0002</t>
        </is>
      </c>
      <c r="C3005" s="2" t="inlineStr">
        <is>
          <t>Gabinete servidores secund fibra óptica</t>
        </is>
      </c>
      <c r="D3005" s="2" t="n">
        <v>1002</v>
      </c>
      <c r="E3005" s="2" t="inlineStr">
        <is>
          <t>CC-5000</t>
        </is>
      </c>
      <c r="F3005" s="2" t="inlineStr">
        <is>
          <t>P01</t>
        </is>
      </c>
      <c r="G3005" s="2" t="n">
        <v>610000</v>
      </c>
      <c r="H3005" s="2" t="inlineStr">
        <is>
          <t>Mano obra interna</t>
        </is>
      </c>
      <c r="I3005" s="9" t="n">
        <v>2088.89</v>
      </c>
      <c r="J3005" s="9" t="n">
        <v>1944.96</v>
      </c>
      <c r="K3005" s="9" t="n">
        <v>2189.43</v>
      </c>
      <c r="L3005" s="9" t="n">
        <v>2123.28</v>
      </c>
      <c r="M3005" s="9" t="n">
        <v>2279.86</v>
      </c>
      <c r="N3005" s="9" t="n">
        <v>2163.6</v>
      </c>
      <c r="O3005" s="9" t="n">
        <v>2249.39</v>
      </c>
      <c r="P3005" s="9" t="n">
        <v>2135.81</v>
      </c>
      <c r="Q3005" s="9" t="n">
        <v>2087.05</v>
      </c>
      <c r="R3005" s="9" t="n">
        <v>2218.65</v>
      </c>
      <c r="S3005" s="9" t="n">
        <v>2088.85</v>
      </c>
      <c r="T3005" s="9" t="n">
        <v>2131.59</v>
      </c>
      <c r="U3005" s="10">
        <f>SUM(I3005:T3005)</f>
        <v/>
      </c>
    </row>
    <row r="3006">
      <c r="A3006" s="2" t="inlineStr">
        <is>
          <t>SN-5000-5200-5210-5210CC0002</t>
        </is>
      </c>
      <c r="B3006" s="2" t="inlineStr">
        <is>
          <t>5210CC0002</t>
        </is>
      </c>
      <c r="C3006" s="2" t="inlineStr">
        <is>
          <t>Gabinete servidores secund fibra óptica</t>
        </is>
      </c>
      <c r="D3006" s="2" t="n">
        <v>1002</v>
      </c>
      <c r="E3006" s="2" t="inlineStr">
        <is>
          <t>CC-5000</t>
        </is>
      </c>
      <c r="F3006" s="2" t="inlineStr">
        <is>
          <t>P01</t>
        </is>
      </c>
      <c r="G3006" s="2" t="n">
        <v>620000</v>
      </c>
      <c r="H3006" s="2" t="inlineStr">
        <is>
          <t>Materiales</t>
        </is>
      </c>
      <c r="I3006" s="9" t="n">
        <v>2073.44</v>
      </c>
      <c r="J3006" s="9" t="n">
        <v>2167.18</v>
      </c>
      <c r="K3006" s="9" t="n">
        <v>2104.38</v>
      </c>
      <c r="L3006" s="9" t="n">
        <v>2305.98</v>
      </c>
      <c r="M3006" s="9" t="n">
        <v>2303.14</v>
      </c>
      <c r="N3006" s="9" t="n">
        <v>1971.72</v>
      </c>
      <c r="O3006" s="9" t="n">
        <v>2171.03</v>
      </c>
      <c r="P3006" s="9" t="n">
        <v>2261.79</v>
      </c>
      <c r="Q3006" s="9" t="n">
        <v>1960.27</v>
      </c>
      <c r="R3006" s="9" t="n">
        <v>2509.46</v>
      </c>
      <c r="S3006" s="9" t="n">
        <v>2241.74</v>
      </c>
      <c r="T3006" s="9" t="n">
        <v>2072.29</v>
      </c>
      <c r="U3006" s="10">
        <f>SUM(I3006:T3006)</f>
        <v/>
      </c>
    </row>
    <row r="3007">
      <c r="A3007" s="2" t="inlineStr">
        <is>
          <t>SN-5000-5200-5210-5210CC0002</t>
        </is>
      </c>
      <c r="B3007" s="2" t="inlineStr">
        <is>
          <t>5210CC0002</t>
        </is>
      </c>
      <c r="C3007" s="2" t="inlineStr">
        <is>
          <t>Gabinete servidores secund fibra óptica</t>
        </is>
      </c>
      <c r="D3007" s="2" t="n">
        <v>1002</v>
      </c>
      <c r="E3007" s="2" t="inlineStr">
        <is>
          <t>CC-5000</t>
        </is>
      </c>
      <c r="F3007" s="2" t="inlineStr">
        <is>
          <t>P01</t>
        </is>
      </c>
      <c r="G3007" s="2" t="n">
        <v>630000</v>
      </c>
      <c r="H3007" s="2" t="inlineStr">
        <is>
          <t>Servicios externos</t>
        </is>
      </c>
      <c r="I3007" s="9" t="n">
        <v>2251.29</v>
      </c>
      <c r="J3007" s="9" t="n">
        <v>2165.48</v>
      </c>
      <c r="K3007" s="9" t="n">
        <v>2087.67</v>
      </c>
      <c r="L3007" s="9" t="n">
        <v>1943.69</v>
      </c>
      <c r="M3007" s="9" t="n">
        <v>2066.49</v>
      </c>
      <c r="N3007" s="9" t="n">
        <v>1894.33</v>
      </c>
      <c r="O3007" s="9" t="n">
        <v>2193.29</v>
      </c>
      <c r="P3007" s="9" t="n">
        <v>2144.12</v>
      </c>
      <c r="Q3007" s="9" t="n">
        <v>1953.13</v>
      </c>
      <c r="R3007" s="9" t="n">
        <v>2133.62</v>
      </c>
      <c r="S3007" s="9" t="n">
        <v>2047.55</v>
      </c>
      <c r="T3007" s="9" t="n">
        <v>2009.39</v>
      </c>
      <c r="U3007" s="10">
        <f>SUM(I3007:T3007)</f>
        <v/>
      </c>
    </row>
    <row r="3008">
      <c r="A3008" s="2" t="inlineStr">
        <is>
          <t>SN-5000-5200-5210-5210CC0003</t>
        </is>
      </c>
      <c r="B3008" s="2" t="inlineStr">
        <is>
          <t>5210CC0003</t>
        </is>
      </c>
      <c r="C3008" s="2" t="inlineStr">
        <is>
          <t>Gabinete servidor core switch 1 y commun</t>
        </is>
      </c>
      <c r="D3008" s="2" t="n">
        <v>1003</v>
      </c>
      <c r="E3008" s="2" t="inlineStr">
        <is>
          <t>CC-5000</t>
        </is>
      </c>
      <c r="F3008" s="2" t="inlineStr">
        <is>
          <t>P01</t>
        </is>
      </c>
      <c r="G3008" s="2" t="n">
        <v>610000</v>
      </c>
      <c r="H3008" s="2" t="inlineStr">
        <is>
          <t>Mano obra interna</t>
        </is>
      </c>
      <c r="I3008" s="9" t="n">
        <v>533.85</v>
      </c>
      <c r="J3008" s="9" t="n">
        <v>513.41</v>
      </c>
      <c r="K3008" s="9" t="n">
        <v>561.4400000000001</v>
      </c>
      <c r="L3008" s="9" t="n">
        <v>564.99</v>
      </c>
      <c r="M3008" s="9" t="n">
        <v>504.81</v>
      </c>
      <c r="N3008" s="9" t="n">
        <v>495.27</v>
      </c>
      <c r="O3008" s="9" t="n">
        <v>520.01</v>
      </c>
      <c r="P3008" s="9" t="n">
        <v>507.18</v>
      </c>
      <c r="Q3008" s="9" t="n">
        <v>505.08</v>
      </c>
      <c r="R3008" s="9" t="n">
        <v>565.1900000000001</v>
      </c>
      <c r="S3008" s="9" t="n">
        <v>539.05</v>
      </c>
      <c r="T3008" s="9" t="n">
        <v>542.75</v>
      </c>
      <c r="U3008" s="10">
        <f>SUM(I3008:T3008)</f>
        <v/>
      </c>
    </row>
    <row r="3009">
      <c r="A3009" s="2" t="inlineStr">
        <is>
          <t>SN-5000-5200-5210-5210CC0003</t>
        </is>
      </c>
      <c r="B3009" s="2" t="inlineStr">
        <is>
          <t>5210CC0003</t>
        </is>
      </c>
      <c r="C3009" s="2" t="inlineStr">
        <is>
          <t>Gabinete servidor core switch 1 y commun</t>
        </is>
      </c>
      <c r="D3009" s="2" t="n">
        <v>1003</v>
      </c>
      <c r="E3009" s="2" t="inlineStr">
        <is>
          <t>CC-5000</t>
        </is>
      </c>
      <c r="F3009" s="2" t="inlineStr">
        <is>
          <t>P01</t>
        </is>
      </c>
      <c r="G3009" s="2" t="n">
        <v>620000</v>
      </c>
      <c r="H3009" s="2" t="inlineStr">
        <is>
          <t>Materiales</t>
        </is>
      </c>
      <c r="I3009" s="9" t="n">
        <v>538.4400000000001</v>
      </c>
      <c r="J3009" s="9" t="n">
        <v>537.6900000000001</v>
      </c>
      <c r="K3009" s="9" t="n">
        <v>560.89</v>
      </c>
      <c r="L3009" s="9" t="n">
        <v>561.16</v>
      </c>
      <c r="M3009" s="9" t="n">
        <v>523.65</v>
      </c>
      <c r="N3009" s="9" t="n">
        <v>573.62</v>
      </c>
      <c r="O3009" s="9" t="n">
        <v>525.98</v>
      </c>
      <c r="P3009" s="9" t="n">
        <v>570.52</v>
      </c>
      <c r="Q3009" s="9" t="n">
        <v>478.39</v>
      </c>
      <c r="R3009" s="9" t="n">
        <v>592.1</v>
      </c>
      <c r="S3009" s="9" t="n">
        <v>523.0599999999999</v>
      </c>
      <c r="T3009" s="9" t="n">
        <v>554.9299999999999</v>
      </c>
      <c r="U3009" s="10">
        <f>SUM(I3009:T3009)</f>
        <v/>
      </c>
    </row>
    <row r="3010">
      <c r="A3010" s="2" t="inlineStr">
        <is>
          <t>SN-5000-5200-5210-5210CC0003</t>
        </is>
      </c>
      <c r="B3010" s="2" t="inlineStr">
        <is>
          <t>5210CC0003</t>
        </is>
      </c>
      <c r="C3010" s="2" t="inlineStr">
        <is>
          <t>Gabinete servidor core switch 1 y commun</t>
        </is>
      </c>
      <c r="D3010" s="2" t="n">
        <v>1003</v>
      </c>
      <c r="E3010" s="2" t="inlineStr">
        <is>
          <t>CC-5000</t>
        </is>
      </c>
      <c r="F3010" s="2" t="inlineStr">
        <is>
          <t>P01</t>
        </is>
      </c>
      <c r="G3010" s="2" t="n">
        <v>630000</v>
      </c>
      <c r="H3010" s="2" t="inlineStr">
        <is>
          <t>Servicios externos</t>
        </is>
      </c>
      <c r="I3010" s="9" t="n">
        <v>604.67</v>
      </c>
      <c r="J3010" s="9" t="n">
        <v>581.8</v>
      </c>
      <c r="K3010" s="9" t="n">
        <v>613.98</v>
      </c>
      <c r="L3010" s="9" t="n">
        <v>628.66</v>
      </c>
      <c r="M3010" s="9" t="n">
        <v>612.63</v>
      </c>
      <c r="N3010" s="9" t="n">
        <v>578.5</v>
      </c>
      <c r="O3010" s="9" t="n">
        <v>543.9299999999999</v>
      </c>
      <c r="P3010" s="9" t="n">
        <v>625.52</v>
      </c>
      <c r="Q3010" s="9" t="n">
        <v>581.51</v>
      </c>
      <c r="R3010" s="9" t="n">
        <v>649.97</v>
      </c>
      <c r="S3010" s="9" t="n">
        <v>565.92</v>
      </c>
      <c r="T3010" s="9" t="n">
        <v>568.01</v>
      </c>
      <c r="U3010" s="10">
        <f>SUM(I3010:T3010)</f>
        <v/>
      </c>
    </row>
    <row r="3011">
      <c r="A3011" s="2" t="inlineStr">
        <is>
          <t>SN-5000-5200-5210-5210CC0004</t>
        </is>
      </c>
      <c r="B3011" s="2" t="inlineStr">
        <is>
          <t>5210CC0004</t>
        </is>
      </c>
      <c r="C3011" s="2" t="inlineStr">
        <is>
          <t>Gabinete servidor core switch 1 y commun</t>
        </is>
      </c>
      <c r="D3011" s="2" t="n">
        <v>1004</v>
      </c>
      <c r="E3011" s="2" t="inlineStr">
        <is>
          <t>CC-5000</t>
        </is>
      </c>
      <c r="F3011" s="2" t="inlineStr">
        <is>
          <t>P01</t>
        </is>
      </c>
      <c r="G3011" s="2" t="n">
        <v>610000</v>
      </c>
      <c r="H3011" s="2" t="inlineStr">
        <is>
          <t>Mano obra interna</t>
        </is>
      </c>
      <c r="I3011" s="9" t="n">
        <v>1309.03</v>
      </c>
      <c r="J3011" s="9" t="n">
        <v>1222.36</v>
      </c>
      <c r="K3011" s="9" t="n">
        <v>1273.22</v>
      </c>
      <c r="L3011" s="9" t="n">
        <v>1175.15</v>
      </c>
      <c r="M3011" s="9" t="n">
        <v>1169.46</v>
      </c>
      <c r="N3011" s="9" t="n">
        <v>1197.35</v>
      </c>
      <c r="O3011" s="9" t="n">
        <v>1116.24</v>
      </c>
      <c r="P3011" s="9" t="n">
        <v>1235.61</v>
      </c>
      <c r="Q3011" s="9" t="n">
        <v>1173.64</v>
      </c>
      <c r="R3011" s="9" t="n">
        <v>1269.54</v>
      </c>
      <c r="S3011" s="9" t="n">
        <v>1091.2</v>
      </c>
      <c r="T3011" s="9" t="n">
        <v>1289.81</v>
      </c>
      <c r="U3011" s="10">
        <f>SUM(I3011:T3011)</f>
        <v/>
      </c>
    </row>
    <row r="3012">
      <c r="A3012" s="2" t="inlineStr">
        <is>
          <t>SN-5000-5200-5210-5210CC0004</t>
        </is>
      </c>
      <c r="B3012" s="2" t="inlineStr">
        <is>
          <t>5210CC0004</t>
        </is>
      </c>
      <c r="C3012" s="2" t="inlineStr">
        <is>
          <t>Gabinete servidor core switch 1 y commun</t>
        </is>
      </c>
      <c r="D3012" s="2" t="n">
        <v>1004</v>
      </c>
      <c r="E3012" s="2" t="inlineStr">
        <is>
          <t>CC-5000</t>
        </is>
      </c>
      <c r="F3012" s="2" t="inlineStr">
        <is>
          <t>P01</t>
        </is>
      </c>
      <c r="G3012" s="2" t="n">
        <v>620000</v>
      </c>
      <c r="H3012" s="2" t="inlineStr">
        <is>
          <t>Materiales</t>
        </is>
      </c>
      <c r="I3012" s="9" t="n">
        <v>960.12</v>
      </c>
      <c r="J3012" s="9" t="n">
        <v>977.1900000000001</v>
      </c>
      <c r="K3012" s="9" t="n">
        <v>1041.01</v>
      </c>
      <c r="L3012" s="9" t="n">
        <v>1038.45</v>
      </c>
      <c r="M3012" s="9" t="n">
        <v>955.0599999999999</v>
      </c>
      <c r="N3012" s="9" t="n">
        <v>914.63</v>
      </c>
      <c r="O3012" s="9" t="n">
        <v>1014.35</v>
      </c>
      <c r="P3012" s="9" t="n">
        <v>969.34</v>
      </c>
      <c r="Q3012" s="9" t="n">
        <v>905.23</v>
      </c>
      <c r="R3012" s="9" t="n">
        <v>1024.74</v>
      </c>
      <c r="S3012" s="9" t="n">
        <v>910.78</v>
      </c>
      <c r="T3012" s="9" t="n">
        <v>971.59</v>
      </c>
      <c r="U3012" s="10">
        <f>SUM(I3012:T3012)</f>
        <v/>
      </c>
    </row>
    <row r="3013">
      <c r="A3013" s="2" t="inlineStr">
        <is>
          <t>SN-5000-5200-5210-5210CC0004</t>
        </is>
      </c>
      <c r="B3013" s="2" t="inlineStr">
        <is>
          <t>5210CC0004</t>
        </is>
      </c>
      <c r="C3013" s="2" t="inlineStr">
        <is>
          <t>Gabinete servidor core switch 1 y commun</t>
        </is>
      </c>
      <c r="D3013" s="2" t="n">
        <v>1004</v>
      </c>
      <c r="E3013" s="2" t="inlineStr">
        <is>
          <t>CC-5000</t>
        </is>
      </c>
      <c r="F3013" s="2" t="inlineStr">
        <is>
          <t>P01</t>
        </is>
      </c>
      <c r="G3013" s="2" t="n">
        <v>630000</v>
      </c>
      <c r="H3013" s="2" t="inlineStr">
        <is>
          <t>Servicios externos</t>
        </is>
      </c>
      <c r="I3013" s="9" t="n">
        <v>1022.84</v>
      </c>
      <c r="J3013" s="9" t="n">
        <v>1092.06</v>
      </c>
      <c r="K3013" s="9" t="n">
        <v>1032.41</v>
      </c>
      <c r="L3013" s="9" t="n">
        <v>1009.39</v>
      </c>
      <c r="M3013" s="9" t="n">
        <v>993.27</v>
      </c>
      <c r="N3013" s="9" t="n">
        <v>996.8</v>
      </c>
      <c r="O3013" s="9" t="n">
        <v>1095.75</v>
      </c>
      <c r="P3013" s="9" t="n">
        <v>1074.2</v>
      </c>
      <c r="Q3013" s="9" t="n">
        <v>1009.02</v>
      </c>
      <c r="R3013" s="9" t="n">
        <v>1171.93</v>
      </c>
      <c r="S3013" s="9" t="n">
        <v>1061.79</v>
      </c>
      <c r="T3013" s="9" t="n">
        <v>998.72</v>
      </c>
      <c r="U3013" s="10">
        <f>SUM(I3013:T3013)</f>
        <v/>
      </c>
    </row>
    <row r="3014">
      <c r="A3014" s="2" t="inlineStr">
        <is>
          <t>SN-5000-5200-5210-5210CC0005</t>
        </is>
      </c>
      <c r="B3014" s="2" t="inlineStr">
        <is>
          <t>5210CC0005</t>
        </is>
      </c>
      <c r="C3014" s="2" t="inlineStr">
        <is>
          <t>Gabinete servidores primarios</t>
        </is>
      </c>
      <c r="D3014" s="2" t="n">
        <v>1005</v>
      </c>
      <c r="E3014" s="2" t="inlineStr">
        <is>
          <t>CC-5000</t>
        </is>
      </c>
      <c r="F3014" s="2" t="inlineStr">
        <is>
          <t>P01</t>
        </is>
      </c>
      <c r="G3014" s="2" t="n">
        <v>610000</v>
      </c>
      <c r="H3014" s="2" t="inlineStr">
        <is>
          <t>Mano obra interna</t>
        </is>
      </c>
      <c r="I3014" s="9" t="n">
        <v>941.7</v>
      </c>
      <c r="J3014" s="9" t="n">
        <v>908.01</v>
      </c>
      <c r="K3014" s="9" t="n">
        <v>993.09</v>
      </c>
      <c r="L3014" s="9" t="n">
        <v>945.36</v>
      </c>
      <c r="M3014" s="9" t="n">
        <v>947.33</v>
      </c>
      <c r="N3014" s="9" t="n">
        <v>881.53</v>
      </c>
      <c r="O3014" s="9" t="n">
        <v>911.75</v>
      </c>
      <c r="P3014" s="9" t="n">
        <v>916.96</v>
      </c>
      <c r="Q3014" s="9" t="n">
        <v>917.29</v>
      </c>
      <c r="R3014" s="9" t="n">
        <v>1029.82</v>
      </c>
      <c r="S3014" s="9" t="n">
        <v>978.72</v>
      </c>
      <c r="T3014" s="9" t="n">
        <v>1004.45</v>
      </c>
      <c r="U3014" s="10">
        <f>SUM(I3014:T3014)</f>
        <v/>
      </c>
    </row>
    <row r="3015">
      <c r="A3015" s="2" t="inlineStr">
        <is>
          <t>SN-5000-5200-5210-5210CC0005</t>
        </is>
      </c>
      <c r="B3015" s="2" t="inlineStr">
        <is>
          <t>5210CC0005</t>
        </is>
      </c>
      <c r="C3015" s="2" t="inlineStr">
        <is>
          <t>Gabinete servidores primarios</t>
        </is>
      </c>
      <c r="D3015" s="2" t="n">
        <v>1005</v>
      </c>
      <c r="E3015" s="2" t="inlineStr">
        <is>
          <t>CC-5000</t>
        </is>
      </c>
      <c r="F3015" s="2" t="inlineStr">
        <is>
          <t>P01</t>
        </is>
      </c>
      <c r="G3015" s="2" t="n">
        <v>620000</v>
      </c>
      <c r="H3015" s="2" t="inlineStr">
        <is>
          <t>Materiales</t>
        </is>
      </c>
      <c r="I3015" s="9" t="n">
        <v>909.2</v>
      </c>
      <c r="J3015" s="9" t="n">
        <v>940.3099999999999</v>
      </c>
      <c r="K3015" s="9" t="n">
        <v>993.0599999999999</v>
      </c>
      <c r="L3015" s="9" t="n">
        <v>943.96</v>
      </c>
      <c r="M3015" s="9" t="n">
        <v>879.59</v>
      </c>
      <c r="N3015" s="9" t="n">
        <v>896.24</v>
      </c>
      <c r="O3015" s="9" t="n">
        <v>892.74</v>
      </c>
      <c r="P3015" s="9" t="n">
        <v>993.5700000000001</v>
      </c>
      <c r="Q3015" s="9" t="n">
        <v>882.54</v>
      </c>
      <c r="R3015" s="9" t="n">
        <v>968.42</v>
      </c>
      <c r="S3015" s="9" t="n">
        <v>858.35</v>
      </c>
      <c r="T3015" s="9" t="n">
        <v>975.4</v>
      </c>
      <c r="U3015" s="10">
        <f>SUM(I3015:T3015)</f>
        <v/>
      </c>
    </row>
    <row r="3016">
      <c r="A3016" s="2" t="inlineStr">
        <is>
          <t>SN-5000-5200-5210-5210CC0005</t>
        </is>
      </c>
      <c r="B3016" s="2" t="inlineStr">
        <is>
          <t>5210CC0005</t>
        </is>
      </c>
      <c r="C3016" s="2" t="inlineStr">
        <is>
          <t>Gabinete servidores primarios</t>
        </is>
      </c>
      <c r="D3016" s="2" t="n">
        <v>1005</v>
      </c>
      <c r="E3016" s="2" t="inlineStr">
        <is>
          <t>CC-5000</t>
        </is>
      </c>
      <c r="F3016" s="2" t="inlineStr">
        <is>
          <t>P01</t>
        </is>
      </c>
      <c r="G3016" s="2" t="n">
        <v>630000</v>
      </c>
      <c r="H3016" s="2" t="inlineStr">
        <is>
          <t>Servicios externos</t>
        </is>
      </c>
      <c r="I3016" s="9" t="n">
        <v>1039.09</v>
      </c>
      <c r="J3016" s="9" t="n">
        <v>1005.17</v>
      </c>
      <c r="K3016" s="9" t="n">
        <v>1051.2</v>
      </c>
      <c r="L3016" s="9" t="n">
        <v>1001.46</v>
      </c>
      <c r="M3016" s="9" t="n">
        <v>1061.35</v>
      </c>
      <c r="N3016" s="9" t="n">
        <v>955.09</v>
      </c>
      <c r="O3016" s="9" t="n">
        <v>925.79</v>
      </c>
      <c r="P3016" s="9" t="n">
        <v>977.25</v>
      </c>
      <c r="Q3016" s="9" t="n">
        <v>877.8200000000001</v>
      </c>
      <c r="R3016" s="9" t="n">
        <v>1057.28</v>
      </c>
      <c r="S3016" s="9" t="n">
        <v>987.09</v>
      </c>
      <c r="T3016" s="9" t="n">
        <v>939.49</v>
      </c>
      <c r="U3016" s="10">
        <f>SUM(I3016:T3016)</f>
        <v/>
      </c>
    </row>
    <row r="3017">
      <c r="A3017" s="2" t="inlineStr">
        <is>
          <t>SN-5000-5200-5210-5210CC0006</t>
        </is>
      </c>
      <c r="B3017" s="2" t="inlineStr">
        <is>
          <t>5210CC0006</t>
        </is>
      </c>
      <c r="C3017" s="2" t="inlineStr">
        <is>
          <t>Gabinete servidores secundarios</t>
        </is>
      </c>
      <c r="D3017" s="2" t="n">
        <v>1006</v>
      </c>
      <c r="E3017" s="2" t="inlineStr">
        <is>
          <t>CC-5000</t>
        </is>
      </c>
      <c r="F3017" s="2" t="inlineStr">
        <is>
          <t>P01</t>
        </is>
      </c>
      <c r="G3017" s="2" t="n">
        <v>610000</v>
      </c>
      <c r="H3017" s="2" t="inlineStr">
        <is>
          <t>Mano obra interna</t>
        </is>
      </c>
      <c r="I3017" s="9" t="n">
        <v>1559.49</v>
      </c>
      <c r="J3017" s="9" t="n">
        <v>1430.01</v>
      </c>
      <c r="K3017" s="9" t="n">
        <v>1501.87</v>
      </c>
      <c r="L3017" s="9" t="n">
        <v>1525.81</v>
      </c>
      <c r="M3017" s="9" t="n">
        <v>1425.74</v>
      </c>
      <c r="N3017" s="9" t="n">
        <v>1321.38</v>
      </c>
      <c r="O3017" s="9" t="n">
        <v>1388.06</v>
      </c>
      <c r="P3017" s="9" t="n">
        <v>1465.88</v>
      </c>
      <c r="Q3017" s="9" t="n">
        <v>1313.37</v>
      </c>
      <c r="R3017" s="9" t="n">
        <v>1495.16</v>
      </c>
      <c r="S3017" s="9" t="n">
        <v>1536.74</v>
      </c>
      <c r="T3017" s="9" t="n">
        <v>1468.38</v>
      </c>
      <c r="U3017" s="10">
        <f>SUM(I3017:T3017)</f>
        <v/>
      </c>
    </row>
    <row r="3018">
      <c r="A3018" s="2" t="inlineStr">
        <is>
          <t>SN-5000-5200-5210-5210CC0006</t>
        </is>
      </c>
      <c r="B3018" s="2" t="inlineStr">
        <is>
          <t>5210CC0006</t>
        </is>
      </c>
      <c r="C3018" s="2" t="inlineStr">
        <is>
          <t>Gabinete servidores secundarios</t>
        </is>
      </c>
      <c r="D3018" s="2" t="n">
        <v>1006</v>
      </c>
      <c r="E3018" s="2" t="inlineStr">
        <is>
          <t>CC-5000</t>
        </is>
      </c>
      <c r="F3018" s="2" t="inlineStr">
        <is>
          <t>P01</t>
        </is>
      </c>
      <c r="G3018" s="2" t="n">
        <v>620000</v>
      </c>
      <c r="H3018" s="2" t="inlineStr">
        <is>
          <t>Materiales</t>
        </is>
      </c>
      <c r="I3018" s="9" t="n">
        <v>1268.37</v>
      </c>
      <c r="J3018" s="9" t="n">
        <v>1196.27</v>
      </c>
      <c r="K3018" s="9" t="n">
        <v>1404.02</v>
      </c>
      <c r="L3018" s="9" t="n">
        <v>1258.19</v>
      </c>
      <c r="M3018" s="9" t="n">
        <v>1197.74</v>
      </c>
      <c r="N3018" s="9" t="n">
        <v>1269.58</v>
      </c>
      <c r="O3018" s="9" t="n">
        <v>1208.24</v>
      </c>
      <c r="P3018" s="9" t="n">
        <v>1295.32</v>
      </c>
      <c r="Q3018" s="9" t="n">
        <v>1177.93</v>
      </c>
      <c r="R3018" s="9" t="n">
        <v>1371.55</v>
      </c>
      <c r="S3018" s="9" t="n">
        <v>1167.18</v>
      </c>
      <c r="T3018" s="9" t="n">
        <v>1427.83</v>
      </c>
      <c r="U3018" s="10">
        <f>SUM(I3018:T3018)</f>
        <v/>
      </c>
    </row>
    <row r="3019">
      <c r="A3019" s="2" t="inlineStr">
        <is>
          <t>SN-5000-5200-5210-5210CC0006</t>
        </is>
      </c>
      <c r="B3019" s="2" t="inlineStr">
        <is>
          <t>5210CC0006</t>
        </is>
      </c>
      <c r="C3019" s="2" t="inlineStr">
        <is>
          <t>Gabinete servidores secundarios</t>
        </is>
      </c>
      <c r="D3019" s="2" t="n">
        <v>1006</v>
      </c>
      <c r="E3019" s="2" t="inlineStr">
        <is>
          <t>CC-5000</t>
        </is>
      </c>
      <c r="F3019" s="2" t="inlineStr">
        <is>
          <t>P01</t>
        </is>
      </c>
      <c r="G3019" s="2" t="n">
        <v>630000</v>
      </c>
      <c r="H3019" s="2" t="inlineStr">
        <is>
          <t>Servicios externos</t>
        </is>
      </c>
      <c r="I3019" s="9" t="n">
        <v>1296.1</v>
      </c>
      <c r="J3019" s="9" t="n">
        <v>1268.92</v>
      </c>
      <c r="K3019" s="9" t="n">
        <v>1356.42</v>
      </c>
      <c r="L3019" s="9" t="n">
        <v>1304.89</v>
      </c>
      <c r="M3019" s="9" t="n">
        <v>1294.2</v>
      </c>
      <c r="N3019" s="9" t="n">
        <v>1190.09</v>
      </c>
      <c r="O3019" s="9" t="n">
        <v>1229.78</v>
      </c>
      <c r="P3019" s="9" t="n">
        <v>1318.98</v>
      </c>
      <c r="Q3019" s="9" t="n">
        <v>1236.61</v>
      </c>
      <c r="R3019" s="9" t="n">
        <v>1275.07</v>
      </c>
      <c r="S3019" s="9" t="n">
        <v>1223.28</v>
      </c>
      <c r="T3019" s="9" t="n">
        <v>1311.13</v>
      </c>
      <c r="U3019" s="10">
        <f>SUM(I3019:T3019)</f>
        <v/>
      </c>
    </row>
    <row r="3020">
      <c r="A3020" s="2" t="inlineStr">
        <is>
          <t>SN-5000-5200-5210-5210CC0007</t>
        </is>
      </c>
      <c r="B3020" s="2" t="inlineStr">
        <is>
          <t>5210CC0007</t>
        </is>
      </c>
      <c r="C3020" s="2" t="inlineStr">
        <is>
          <t>Gabinete servidores de repuesto</t>
        </is>
      </c>
      <c r="D3020" s="2" t="n">
        <v>1007</v>
      </c>
      <c r="E3020" s="2" t="inlineStr">
        <is>
          <t>CC-5000</t>
        </is>
      </c>
      <c r="F3020" s="2" t="inlineStr">
        <is>
          <t>P01</t>
        </is>
      </c>
      <c r="G3020" s="2" t="n">
        <v>610000</v>
      </c>
      <c r="H3020" s="2" t="inlineStr">
        <is>
          <t>Mano obra interna</t>
        </is>
      </c>
      <c r="I3020" s="9" t="n">
        <v>1005.61</v>
      </c>
      <c r="J3020" s="9" t="n">
        <v>910.6900000000001</v>
      </c>
      <c r="K3020" s="9" t="n">
        <v>973.02</v>
      </c>
      <c r="L3020" s="9" t="n">
        <v>893.55</v>
      </c>
      <c r="M3020" s="9" t="n">
        <v>877.8099999999999</v>
      </c>
      <c r="N3020" s="9" t="n">
        <v>827.79</v>
      </c>
      <c r="O3020" s="9" t="n">
        <v>887.3200000000001</v>
      </c>
      <c r="P3020" s="9" t="n">
        <v>919.91</v>
      </c>
      <c r="Q3020" s="9" t="n">
        <v>903.8099999999999</v>
      </c>
      <c r="R3020" s="9" t="n">
        <v>999.37</v>
      </c>
      <c r="S3020" s="9" t="n">
        <v>855.8099999999999</v>
      </c>
      <c r="T3020" s="9" t="n">
        <v>867.25</v>
      </c>
      <c r="U3020" s="10">
        <f>SUM(I3020:T3020)</f>
        <v/>
      </c>
    </row>
    <row r="3021">
      <c r="A3021" s="2" t="inlineStr">
        <is>
          <t>SN-5000-5200-5210-5210CC0007</t>
        </is>
      </c>
      <c r="B3021" s="2" t="inlineStr">
        <is>
          <t>5210CC0007</t>
        </is>
      </c>
      <c r="C3021" s="2" t="inlineStr">
        <is>
          <t>Gabinete servidores de repuesto</t>
        </is>
      </c>
      <c r="D3021" s="2" t="n">
        <v>1007</v>
      </c>
      <c r="E3021" s="2" t="inlineStr">
        <is>
          <t>CC-5000</t>
        </is>
      </c>
      <c r="F3021" s="2" t="inlineStr">
        <is>
          <t>P01</t>
        </is>
      </c>
      <c r="G3021" s="2" t="n">
        <v>620000</v>
      </c>
      <c r="H3021" s="2" t="inlineStr">
        <is>
          <t>Materiales</t>
        </is>
      </c>
      <c r="I3021" s="9" t="n">
        <v>1052.17</v>
      </c>
      <c r="J3021" s="9" t="n">
        <v>1107.9</v>
      </c>
      <c r="K3021" s="9" t="n">
        <v>1125.27</v>
      </c>
      <c r="L3021" s="9" t="n">
        <v>1119.68</v>
      </c>
      <c r="M3021" s="9" t="n">
        <v>952.59</v>
      </c>
      <c r="N3021" s="9" t="n">
        <v>1042.52</v>
      </c>
      <c r="O3021" s="9" t="n">
        <v>993.46</v>
      </c>
      <c r="P3021" s="9" t="n">
        <v>1057.56</v>
      </c>
      <c r="Q3021" s="9" t="n">
        <v>963.6799999999999</v>
      </c>
      <c r="R3021" s="9" t="n">
        <v>1138.8</v>
      </c>
      <c r="S3021" s="9" t="n">
        <v>951.41</v>
      </c>
      <c r="T3021" s="9" t="n">
        <v>1052.22</v>
      </c>
      <c r="U3021" s="10">
        <f>SUM(I3021:T3021)</f>
        <v/>
      </c>
    </row>
    <row r="3022">
      <c r="A3022" s="2" t="inlineStr">
        <is>
          <t>SN-5000-5200-5210-5210CC0007</t>
        </is>
      </c>
      <c r="B3022" s="2" t="inlineStr">
        <is>
          <t>5210CC0007</t>
        </is>
      </c>
      <c r="C3022" s="2" t="inlineStr">
        <is>
          <t>Gabinete servidores de repuesto</t>
        </is>
      </c>
      <c r="D3022" s="2" t="n">
        <v>1007</v>
      </c>
      <c r="E3022" s="2" t="inlineStr">
        <is>
          <t>CC-5000</t>
        </is>
      </c>
      <c r="F3022" s="2" t="inlineStr">
        <is>
          <t>P01</t>
        </is>
      </c>
      <c r="G3022" s="2" t="n">
        <v>630000</v>
      </c>
      <c r="H3022" s="2" t="inlineStr">
        <is>
          <t>Servicios externos</t>
        </is>
      </c>
      <c r="I3022" s="9" t="n">
        <v>821.78</v>
      </c>
      <c r="J3022" s="9" t="n">
        <v>877.24</v>
      </c>
      <c r="K3022" s="9" t="n">
        <v>961.0700000000001</v>
      </c>
      <c r="L3022" s="9" t="n">
        <v>927.37</v>
      </c>
      <c r="M3022" s="9" t="n">
        <v>855.5700000000001</v>
      </c>
      <c r="N3022" s="9" t="n">
        <v>771.61</v>
      </c>
      <c r="O3022" s="9" t="n">
        <v>805.92</v>
      </c>
      <c r="P3022" s="9" t="n">
        <v>820.63</v>
      </c>
      <c r="Q3022" s="9" t="n">
        <v>870.3200000000001</v>
      </c>
      <c r="R3022" s="9" t="n">
        <v>921.75</v>
      </c>
      <c r="S3022" s="9" t="n">
        <v>887.27</v>
      </c>
      <c r="T3022" s="9" t="n">
        <v>910.64</v>
      </c>
      <c r="U3022" s="10">
        <f>SUM(I3022:T3022)</f>
        <v/>
      </c>
    </row>
    <row r="3023">
      <c r="A3023" s="2" t="inlineStr">
        <is>
          <t>SN-5000-5200-5210-5210CC0008</t>
        </is>
      </c>
      <c r="B3023" s="2" t="inlineStr">
        <is>
          <t>5210CC0008</t>
        </is>
      </c>
      <c r="C3023" s="2" t="inlineStr">
        <is>
          <t>Gabinete servidores de repuesto</t>
        </is>
      </c>
      <c r="D3023" s="2" t="n">
        <v>1008</v>
      </c>
      <c r="E3023" s="2" t="inlineStr">
        <is>
          <t>CC-5000</t>
        </is>
      </c>
      <c r="F3023" s="2" t="inlineStr">
        <is>
          <t>P01</t>
        </is>
      </c>
      <c r="G3023" s="2" t="n">
        <v>610000</v>
      </c>
      <c r="H3023" s="2" t="inlineStr">
        <is>
          <t>Mano obra interna</t>
        </is>
      </c>
      <c r="I3023" s="9" t="n">
        <v>733.6900000000001</v>
      </c>
      <c r="J3023" s="9" t="n">
        <v>632.01</v>
      </c>
      <c r="K3023" s="9" t="n">
        <v>686.88</v>
      </c>
      <c r="L3023" s="9" t="n">
        <v>725.4400000000001</v>
      </c>
      <c r="M3023" s="9" t="n">
        <v>669.22</v>
      </c>
      <c r="N3023" s="9" t="n">
        <v>615.1799999999999</v>
      </c>
      <c r="O3023" s="9" t="n">
        <v>639.71</v>
      </c>
      <c r="P3023" s="9" t="n">
        <v>697.27</v>
      </c>
      <c r="Q3023" s="9" t="n">
        <v>575.63</v>
      </c>
      <c r="R3023" s="9" t="n">
        <v>771.1799999999999</v>
      </c>
      <c r="S3023" s="9" t="n">
        <v>599.21</v>
      </c>
      <c r="T3023" s="9" t="n">
        <v>694.88</v>
      </c>
      <c r="U3023" s="10">
        <f>SUM(I3023:T3023)</f>
        <v/>
      </c>
    </row>
    <row r="3024">
      <c r="A3024" s="2" t="inlineStr">
        <is>
          <t>SN-5000-5200-5210-5210CC0008</t>
        </is>
      </c>
      <c r="B3024" s="2" t="inlineStr">
        <is>
          <t>5210CC0008</t>
        </is>
      </c>
      <c r="C3024" s="2" t="inlineStr">
        <is>
          <t>Gabinete servidores de repuesto</t>
        </is>
      </c>
      <c r="D3024" s="2" t="n">
        <v>1008</v>
      </c>
      <c r="E3024" s="2" t="inlineStr">
        <is>
          <t>CC-5000</t>
        </is>
      </c>
      <c r="F3024" s="2" t="inlineStr">
        <is>
          <t>P01</t>
        </is>
      </c>
      <c r="G3024" s="2" t="n">
        <v>620000</v>
      </c>
      <c r="H3024" s="2" t="inlineStr">
        <is>
          <t>Materiales</t>
        </is>
      </c>
      <c r="I3024" s="9" t="n">
        <v>675.1799999999999</v>
      </c>
      <c r="J3024" s="9" t="n">
        <v>640.67</v>
      </c>
      <c r="K3024" s="9" t="n">
        <v>711.87</v>
      </c>
      <c r="L3024" s="9" t="n">
        <v>684.62</v>
      </c>
      <c r="M3024" s="9" t="n">
        <v>675.6</v>
      </c>
      <c r="N3024" s="9" t="n">
        <v>586.09</v>
      </c>
      <c r="O3024" s="9" t="n">
        <v>606.4299999999999</v>
      </c>
      <c r="P3024" s="9" t="n">
        <v>603.47</v>
      </c>
      <c r="Q3024" s="9" t="n">
        <v>573.72</v>
      </c>
      <c r="R3024" s="9" t="n">
        <v>723.25</v>
      </c>
      <c r="S3024" s="9" t="n">
        <v>631.73</v>
      </c>
      <c r="T3024" s="9" t="n">
        <v>689.65</v>
      </c>
      <c r="U3024" s="10">
        <f>SUM(I3024:T3024)</f>
        <v/>
      </c>
    </row>
    <row r="3025">
      <c r="A3025" s="2" t="inlineStr">
        <is>
          <t>SN-5000-5200-5210-5210CC0008</t>
        </is>
      </c>
      <c r="B3025" s="2" t="inlineStr">
        <is>
          <t>5210CC0008</t>
        </is>
      </c>
      <c r="C3025" s="2" t="inlineStr">
        <is>
          <t>Gabinete servidores de repuesto</t>
        </is>
      </c>
      <c r="D3025" s="2" t="n">
        <v>1008</v>
      </c>
      <c r="E3025" s="2" t="inlineStr">
        <is>
          <t>CC-5000</t>
        </is>
      </c>
      <c r="F3025" s="2" t="inlineStr">
        <is>
          <t>P01</t>
        </is>
      </c>
      <c r="G3025" s="2" t="n">
        <v>630000</v>
      </c>
      <c r="H3025" s="2" t="inlineStr">
        <is>
          <t>Servicios externos</t>
        </is>
      </c>
      <c r="I3025" s="9" t="n">
        <v>552.38</v>
      </c>
      <c r="J3025" s="9" t="n">
        <v>578.34</v>
      </c>
      <c r="K3025" s="9" t="n">
        <v>610.12</v>
      </c>
      <c r="L3025" s="9" t="n">
        <v>603.1799999999999</v>
      </c>
      <c r="M3025" s="9" t="n">
        <v>575.02</v>
      </c>
      <c r="N3025" s="9" t="n">
        <v>544.5</v>
      </c>
      <c r="O3025" s="9" t="n">
        <v>589.73</v>
      </c>
      <c r="P3025" s="9" t="n">
        <v>571.39</v>
      </c>
      <c r="Q3025" s="9" t="n">
        <v>552.03</v>
      </c>
      <c r="R3025" s="9" t="n">
        <v>550.89</v>
      </c>
      <c r="S3025" s="9" t="n">
        <v>571.3200000000001</v>
      </c>
      <c r="T3025" s="9" t="n">
        <v>566.08</v>
      </c>
      <c r="U3025" s="10">
        <f>SUM(I3025:T3025)</f>
        <v/>
      </c>
    </row>
    <row r="3026">
      <c r="A3026" s="2" t="inlineStr">
        <is>
          <t>SN-5000-5200-5210-5210CW0001</t>
        </is>
      </c>
      <c r="B3026" s="2" t="inlineStr">
        <is>
          <t>5210CW0001</t>
        </is>
      </c>
      <c r="C3026" s="2" t="inlineStr">
        <is>
          <t>Core Switch 1</t>
        </is>
      </c>
      <c r="D3026" s="2" t="n">
        <v>1009</v>
      </c>
      <c r="E3026" s="2" t="inlineStr">
        <is>
          <t>CC-5000</t>
        </is>
      </c>
      <c r="F3026" s="2" t="inlineStr">
        <is>
          <t>P01</t>
        </is>
      </c>
      <c r="G3026" s="2" t="n">
        <v>610000</v>
      </c>
      <c r="H3026" s="2" t="inlineStr">
        <is>
          <t>Mano obra interna</t>
        </is>
      </c>
      <c r="I3026" s="9" t="n">
        <v>1787.45</v>
      </c>
      <c r="J3026" s="9" t="n">
        <v>1908.66</v>
      </c>
      <c r="K3026" s="9" t="n">
        <v>1894.54</v>
      </c>
      <c r="L3026" s="9" t="n">
        <v>2019.93</v>
      </c>
      <c r="M3026" s="9" t="n">
        <v>1704.55</v>
      </c>
      <c r="N3026" s="9" t="n">
        <v>1729.48</v>
      </c>
      <c r="O3026" s="9" t="n">
        <v>1786.09</v>
      </c>
      <c r="P3026" s="9" t="n">
        <v>1838</v>
      </c>
      <c r="Q3026" s="9" t="n">
        <v>1744.28</v>
      </c>
      <c r="R3026" s="9" t="n">
        <v>2029.68</v>
      </c>
      <c r="S3026" s="9" t="n">
        <v>1634.33</v>
      </c>
      <c r="T3026" s="9" t="n">
        <v>1739.43</v>
      </c>
      <c r="U3026" s="10">
        <f>SUM(I3026:T3026)</f>
        <v/>
      </c>
    </row>
    <row r="3027">
      <c r="A3027" s="2" t="inlineStr">
        <is>
          <t>SN-5000-5200-5210-5210CW0001</t>
        </is>
      </c>
      <c r="B3027" s="2" t="inlineStr">
        <is>
          <t>5210CW0001</t>
        </is>
      </c>
      <c r="C3027" s="2" t="inlineStr">
        <is>
          <t>Core Switch 1</t>
        </is>
      </c>
      <c r="D3027" s="2" t="n">
        <v>1009</v>
      </c>
      <c r="E3027" s="2" t="inlineStr">
        <is>
          <t>CC-5000</t>
        </is>
      </c>
      <c r="F3027" s="2" t="inlineStr">
        <is>
          <t>P01</t>
        </is>
      </c>
      <c r="G3027" s="2" t="n">
        <v>620000</v>
      </c>
      <c r="H3027" s="2" t="inlineStr">
        <is>
          <t>Materiales</t>
        </is>
      </c>
      <c r="I3027" s="9" t="n">
        <v>1855.74</v>
      </c>
      <c r="J3027" s="9" t="n">
        <v>1641.1</v>
      </c>
      <c r="K3027" s="9" t="n">
        <v>1734.3</v>
      </c>
      <c r="L3027" s="9" t="n">
        <v>1741.57</v>
      </c>
      <c r="M3027" s="9" t="n">
        <v>1794.88</v>
      </c>
      <c r="N3027" s="9" t="n">
        <v>1514.53</v>
      </c>
      <c r="O3027" s="9" t="n">
        <v>1613.56</v>
      </c>
      <c r="P3027" s="9" t="n">
        <v>1767.21</v>
      </c>
      <c r="Q3027" s="9" t="n">
        <v>1717.59</v>
      </c>
      <c r="R3027" s="9" t="n">
        <v>1894.67</v>
      </c>
      <c r="S3027" s="9" t="n">
        <v>1599.23</v>
      </c>
      <c r="T3027" s="9" t="n">
        <v>1748.68</v>
      </c>
      <c r="U3027" s="10">
        <f>SUM(I3027:T3027)</f>
        <v/>
      </c>
    </row>
    <row r="3028">
      <c r="A3028" s="2" t="inlineStr">
        <is>
          <t>SN-5000-5200-5210-5210CW0001</t>
        </is>
      </c>
      <c r="B3028" s="2" t="inlineStr">
        <is>
          <t>5210CW0001</t>
        </is>
      </c>
      <c r="C3028" s="2" t="inlineStr">
        <is>
          <t>Core Switch 1</t>
        </is>
      </c>
      <c r="D3028" s="2" t="n">
        <v>1009</v>
      </c>
      <c r="E3028" s="2" t="inlineStr">
        <is>
          <t>CC-5000</t>
        </is>
      </c>
      <c r="F3028" s="2" t="inlineStr">
        <is>
          <t>P01</t>
        </is>
      </c>
      <c r="G3028" s="2" t="n">
        <v>630000</v>
      </c>
      <c r="H3028" s="2" t="inlineStr">
        <is>
          <t>Servicios externos</t>
        </is>
      </c>
      <c r="I3028" s="9" t="n">
        <v>2331.05</v>
      </c>
      <c r="J3028" s="9" t="n">
        <v>2193.5</v>
      </c>
      <c r="K3028" s="9" t="n">
        <v>2301.42</v>
      </c>
      <c r="L3028" s="9" t="n">
        <v>2496.96</v>
      </c>
      <c r="M3028" s="9" t="n">
        <v>2328.52</v>
      </c>
      <c r="N3028" s="9" t="n">
        <v>2238.45</v>
      </c>
      <c r="O3028" s="9" t="n">
        <v>2176.76</v>
      </c>
      <c r="P3028" s="9" t="n">
        <v>2293.16</v>
      </c>
      <c r="Q3028" s="9" t="n">
        <v>2067.6</v>
      </c>
      <c r="R3028" s="9" t="n">
        <v>2349.61</v>
      </c>
      <c r="S3028" s="9" t="n">
        <v>2339.91</v>
      </c>
      <c r="T3028" s="9" t="n">
        <v>2263.86</v>
      </c>
      <c r="U3028" s="10">
        <f>SUM(I3028:T3028)</f>
        <v/>
      </c>
    </row>
    <row r="3029">
      <c r="A3029" s="2" t="inlineStr">
        <is>
          <t>SN-5000-5200-5210-5210CW0002</t>
        </is>
      </c>
      <c r="B3029" s="2" t="inlineStr">
        <is>
          <t>5210CW0002</t>
        </is>
      </c>
      <c r="C3029" s="2" t="inlineStr">
        <is>
          <t>Core Switch 2</t>
        </is>
      </c>
      <c r="D3029" s="2" t="n">
        <v>1010</v>
      </c>
      <c r="E3029" s="2" t="inlineStr">
        <is>
          <t>CC-5000</t>
        </is>
      </c>
      <c r="F3029" s="2" t="inlineStr">
        <is>
          <t>P01</t>
        </is>
      </c>
      <c r="G3029" s="2" t="n">
        <v>610000</v>
      </c>
      <c r="H3029" s="2" t="inlineStr">
        <is>
          <t>Mano obra interna</t>
        </is>
      </c>
      <c r="I3029" s="9" t="n">
        <v>2344.68</v>
      </c>
      <c r="J3029" s="9" t="n">
        <v>2013.41</v>
      </c>
      <c r="K3029" s="9" t="n">
        <v>2303.44</v>
      </c>
      <c r="L3029" s="9" t="n">
        <v>2249.42</v>
      </c>
      <c r="M3029" s="9" t="n">
        <v>2269.22</v>
      </c>
      <c r="N3029" s="9" t="n">
        <v>2163.14</v>
      </c>
      <c r="O3029" s="9" t="n">
        <v>2219.97</v>
      </c>
      <c r="P3029" s="9" t="n">
        <v>2083.1</v>
      </c>
      <c r="Q3029" s="9" t="n">
        <v>1998.48</v>
      </c>
      <c r="R3029" s="9" t="n">
        <v>2481.66</v>
      </c>
      <c r="S3029" s="9" t="n">
        <v>1921.12</v>
      </c>
      <c r="T3029" s="9" t="n">
        <v>2282.97</v>
      </c>
      <c r="U3029" s="10">
        <f>SUM(I3029:T3029)</f>
        <v/>
      </c>
    </row>
    <row r="3030">
      <c r="A3030" s="2" t="inlineStr">
        <is>
          <t>SN-5000-5200-5210-5210CW0002</t>
        </is>
      </c>
      <c r="B3030" s="2" t="inlineStr">
        <is>
          <t>5210CW0002</t>
        </is>
      </c>
      <c r="C3030" s="2" t="inlineStr">
        <is>
          <t>Core Switch 2</t>
        </is>
      </c>
      <c r="D3030" s="2" t="n">
        <v>1010</v>
      </c>
      <c r="E3030" s="2" t="inlineStr">
        <is>
          <t>CC-5000</t>
        </is>
      </c>
      <c r="F3030" s="2" t="inlineStr">
        <is>
          <t>P01</t>
        </is>
      </c>
      <c r="G3030" s="2" t="n">
        <v>620000</v>
      </c>
      <c r="H3030" s="2" t="inlineStr">
        <is>
          <t>Materiales</t>
        </is>
      </c>
      <c r="I3030" s="9" t="n">
        <v>2031.39</v>
      </c>
      <c r="J3030" s="9" t="n">
        <v>1975.37</v>
      </c>
      <c r="K3030" s="9" t="n">
        <v>2009.54</v>
      </c>
      <c r="L3030" s="9" t="n">
        <v>2310.3</v>
      </c>
      <c r="M3030" s="9" t="n">
        <v>2196.57</v>
      </c>
      <c r="N3030" s="9" t="n">
        <v>2010.21</v>
      </c>
      <c r="O3030" s="9" t="n">
        <v>2168.62</v>
      </c>
      <c r="P3030" s="9" t="n">
        <v>2112.91</v>
      </c>
      <c r="Q3030" s="9" t="n">
        <v>2047.91</v>
      </c>
      <c r="R3030" s="9" t="n">
        <v>2384.52</v>
      </c>
      <c r="S3030" s="9" t="n">
        <v>1941.86</v>
      </c>
      <c r="T3030" s="9" t="n">
        <v>2112.93</v>
      </c>
      <c r="U3030" s="10">
        <f>SUM(I3030:T3030)</f>
        <v/>
      </c>
    </row>
    <row r="3031">
      <c r="A3031" s="2" t="inlineStr">
        <is>
          <t>SN-5000-5200-5210-5210CW0002</t>
        </is>
      </c>
      <c r="B3031" s="2" t="inlineStr">
        <is>
          <t>5210CW0002</t>
        </is>
      </c>
      <c r="C3031" s="2" t="inlineStr">
        <is>
          <t>Core Switch 2</t>
        </is>
      </c>
      <c r="D3031" s="2" t="n">
        <v>1010</v>
      </c>
      <c r="E3031" s="2" t="inlineStr">
        <is>
          <t>CC-5000</t>
        </is>
      </c>
      <c r="F3031" s="2" t="inlineStr">
        <is>
          <t>P01</t>
        </is>
      </c>
      <c r="G3031" s="2" t="n">
        <v>630000</v>
      </c>
      <c r="H3031" s="2" t="inlineStr">
        <is>
          <t>Servicios externos</t>
        </is>
      </c>
      <c r="I3031" s="9" t="n">
        <v>2556.61</v>
      </c>
      <c r="J3031" s="9" t="n">
        <v>2358.06</v>
      </c>
      <c r="K3031" s="9" t="n">
        <v>2552.62</v>
      </c>
      <c r="L3031" s="9" t="n">
        <v>2509.27</v>
      </c>
      <c r="M3031" s="9" t="n">
        <v>2332.49</v>
      </c>
      <c r="N3031" s="9" t="n">
        <v>2364.21</v>
      </c>
      <c r="O3031" s="9" t="n">
        <v>2281.73</v>
      </c>
      <c r="P3031" s="9" t="n">
        <v>2279.68</v>
      </c>
      <c r="Q3031" s="9" t="n">
        <v>2262.87</v>
      </c>
      <c r="R3031" s="9" t="n">
        <v>2362.07</v>
      </c>
      <c r="S3031" s="9" t="n">
        <v>2182.06</v>
      </c>
      <c r="T3031" s="9" t="n">
        <v>2401.87</v>
      </c>
      <c r="U3031" s="10">
        <f>SUM(I3031:T3031)</f>
        <v/>
      </c>
    </row>
    <row r="3032">
      <c r="A3032" s="2" t="inlineStr">
        <is>
          <t>SN-5000-5200-5210-5210EC0001</t>
        </is>
      </c>
      <c r="B3032" s="2" t="inlineStr">
        <is>
          <t>5210EC0001</t>
        </is>
      </c>
      <c r="C3032" s="2" t="inlineStr">
        <is>
          <t>Consola de ingeniería</t>
        </is>
      </c>
      <c r="D3032" s="2" t="n">
        <v>1011</v>
      </c>
      <c r="E3032" s="2" t="inlineStr">
        <is>
          <t>CC-5000</t>
        </is>
      </c>
      <c r="F3032" s="2" t="inlineStr">
        <is>
          <t>P01</t>
        </is>
      </c>
      <c r="G3032" s="2" t="n">
        <v>610000</v>
      </c>
      <c r="H3032" s="2" t="inlineStr">
        <is>
          <t>Mano obra interna</t>
        </is>
      </c>
      <c r="I3032" s="9" t="n">
        <v>2025.92</v>
      </c>
      <c r="J3032" s="9" t="n">
        <v>1959.7</v>
      </c>
      <c r="K3032" s="9" t="n">
        <v>1913.27</v>
      </c>
      <c r="L3032" s="9" t="n">
        <v>1906.54</v>
      </c>
      <c r="M3032" s="9" t="n">
        <v>1900.59</v>
      </c>
      <c r="N3032" s="9" t="n">
        <v>1760.27</v>
      </c>
      <c r="O3032" s="9" t="n">
        <v>1762.7</v>
      </c>
      <c r="P3032" s="9" t="n">
        <v>1925.64</v>
      </c>
      <c r="Q3032" s="9" t="n">
        <v>1791.34</v>
      </c>
      <c r="R3032" s="9" t="n">
        <v>1917.64</v>
      </c>
      <c r="S3032" s="9" t="n">
        <v>1890.22</v>
      </c>
      <c r="T3032" s="9" t="n">
        <v>1915.56</v>
      </c>
      <c r="U3032" s="10">
        <f>SUM(I3032:T3032)</f>
        <v/>
      </c>
    </row>
    <row r="3033">
      <c r="A3033" s="2" t="inlineStr">
        <is>
          <t>SN-5000-5200-5210-5210EC0001</t>
        </is>
      </c>
      <c r="B3033" s="2" t="inlineStr">
        <is>
          <t>5210EC0001</t>
        </is>
      </c>
      <c r="C3033" s="2" t="inlineStr">
        <is>
          <t>Consola de ingeniería</t>
        </is>
      </c>
      <c r="D3033" s="2" t="n">
        <v>1011</v>
      </c>
      <c r="E3033" s="2" t="inlineStr">
        <is>
          <t>CC-5000</t>
        </is>
      </c>
      <c r="F3033" s="2" t="inlineStr">
        <is>
          <t>P01</t>
        </is>
      </c>
      <c r="G3033" s="2" t="n">
        <v>620000</v>
      </c>
      <c r="H3033" s="2" t="inlineStr">
        <is>
          <t>Materiales</t>
        </is>
      </c>
      <c r="I3033" s="9" t="n">
        <v>1829.78</v>
      </c>
      <c r="J3033" s="9" t="n">
        <v>1649.9</v>
      </c>
      <c r="K3033" s="9" t="n">
        <v>1737.4</v>
      </c>
      <c r="L3033" s="9" t="n">
        <v>1888</v>
      </c>
      <c r="M3033" s="9" t="n">
        <v>1850.75</v>
      </c>
      <c r="N3033" s="9" t="n">
        <v>1607.89</v>
      </c>
      <c r="O3033" s="9" t="n">
        <v>1870.54</v>
      </c>
      <c r="P3033" s="9" t="n">
        <v>1675.46</v>
      </c>
      <c r="Q3033" s="9" t="n">
        <v>1529.14</v>
      </c>
      <c r="R3033" s="9" t="n">
        <v>1753.69</v>
      </c>
      <c r="S3033" s="9" t="n">
        <v>1624.07</v>
      </c>
      <c r="T3033" s="9" t="n">
        <v>1743.22</v>
      </c>
      <c r="U3033" s="10">
        <f>SUM(I3033:T3033)</f>
        <v/>
      </c>
    </row>
    <row r="3034">
      <c r="A3034" s="2" t="inlineStr">
        <is>
          <t>SN-5000-5200-5210-5210EC0001</t>
        </is>
      </c>
      <c r="B3034" s="2" t="inlineStr">
        <is>
          <t>5210EC0001</t>
        </is>
      </c>
      <c r="C3034" s="2" t="inlineStr">
        <is>
          <t>Consola de ingeniería</t>
        </is>
      </c>
      <c r="D3034" s="2" t="n">
        <v>1011</v>
      </c>
      <c r="E3034" s="2" t="inlineStr">
        <is>
          <t>CC-5000</t>
        </is>
      </c>
      <c r="F3034" s="2" t="inlineStr">
        <is>
          <t>P01</t>
        </is>
      </c>
      <c r="G3034" s="2" t="n">
        <v>630000</v>
      </c>
      <c r="H3034" s="2" t="inlineStr">
        <is>
          <t>Servicios externos</t>
        </is>
      </c>
      <c r="I3034" s="9" t="n">
        <v>2107.44</v>
      </c>
      <c r="J3034" s="9" t="n">
        <v>2074.99</v>
      </c>
      <c r="K3034" s="9" t="n">
        <v>2304.6</v>
      </c>
      <c r="L3034" s="9" t="n">
        <v>2131.02</v>
      </c>
      <c r="M3034" s="9" t="n">
        <v>2193.83</v>
      </c>
      <c r="N3034" s="9" t="n">
        <v>2036.27</v>
      </c>
      <c r="O3034" s="9" t="n">
        <v>2049.59</v>
      </c>
      <c r="P3034" s="9" t="n">
        <v>2232.21</v>
      </c>
      <c r="Q3034" s="9" t="n">
        <v>1852.72</v>
      </c>
      <c r="R3034" s="9" t="n">
        <v>2244.95</v>
      </c>
      <c r="S3034" s="9" t="n">
        <v>2036.51</v>
      </c>
      <c r="T3034" s="9" t="n">
        <v>2170.6</v>
      </c>
      <c r="U3034" s="10">
        <f>SUM(I3034:T3034)</f>
        <v/>
      </c>
    </row>
    <row r="3035">
      <c r="A3035" s="2" t="inlineStr">
        <is>
          <t>SN-5000-5200-5210-5210EC0002</t>
        </is>
      </c>
      <c r="B3035" s="2" t="inlineStr">
        <is>
          <t>5210EC0002</t>
        </is>
      </c>
      <c r="C3035" s="2" t="inlineStr">
        <is>
          <t>Consola de instrumentación</t>
        </is>
      </c>
      <c r="D3035" s="2" t="n">
        <v>1012</v>
      </c>
      <c r="E3035" s="2" t="inlineStr">
        <is>
          <t>CC-5000</t>
        </is>
      </c>
      <c r="F3035" s="2" t="inlineStr">
        <is>
          <t>P01</t>
        </is>
      </c>
      <c r="G3035" s="2" t="n">
        <v>610000</v>
      </c>
      <c r="H3035" s="2" t="inlineStr">
        <is>
          <t>Mano obra interna</t>
        </is>
      </c>
      <c r="I3035" s="9" t="n">
        <v>1118.06</v>
      </c>
      <c r="J3035" s="9" t="n">
        <v>1102.09</v>
      </c>
      <c r="K3035" s="9" t="n">
        <v>1154.7</v>
      </c>
      <c r="L3035" s="9" t="n">
        <v>1103.85</v>
      </c>
      <c r="M3035" s="9" t="n">
        <v>1166.74</v>
      </c>
      <c r="N3035" s="9" t="n">
        <v>1130.84</v>
      </c>
      <c r="O3035" s="9" t="n">
        <v>1117.34</v>
      </c>
      <c r="P3035" s="9" t="n">
        <v>1026.08</v>
      </c>
      <c r="Q3035" s="9" t="n">
        <v>1024.74</v>
      </c>
      <c r="R3035" s="9" t="n">
        <v>1128.82</v>
      </c>
      <c r="S3035" s="9" t="n">
        <v>1064.32</v>
      </c>
      <c r="T3035" s="9" t="n">
        <v>1063</v>
      </c>
      <c r="U3035" s="10">
        <f>SUM(I3035:T3035)</f>
        <v/>
      </c>
    </row>
    <row r="3036">
      <c r="A3036" s="2" t="inlineStr">
        <is>
          <t>SN-5000-5200-5210-5210EC0002</t>
        </is>
      </c>
      <c r="B3036" s="2" t="inlineStr">
        <is>
          <t>5210EC0002</t>
        </is>
      </c>
      <c r="C3036" s="2" t="inlineStr">
        <is>
          <t>Consola de instrumentación</t>
        </is>
      </c>
      <c r="D3036" s="2" t="n">
        <v>1012</v>
      </c>
      <c r="E3036" s="2" t="inlineStr">
        <is>
          <t>CC-5000</t>
        </is>
      </c>
      <c r="F3036" s="2" t="inlineStr">
        <is>
          <t>P01</t>
        </is>
      </c>
      <c r="G3036" s="2" t="n">
        <v>620000</v>
      </c>
      <c r="H3036" s="2" t="inlineStr">
        <is>
          <t>Materiales</t>
        </is>
      </c>
      <c r="I3036" s="9" t="n">
        <v>1006.08</v>
      </c>
      <c r="J3036" s="9" t="n">
        <v>1115.92</v>
      </c>
      <c r="K3036" s="9" t="n">
        <v>1036.76</v>
      </c>
      <c r="L3036" s="9" t="n">
        <v>1107.5</v>
      </c>
      <c r="M3036" s="9" t="n">
        <v>1115.28</v>
      </c>
      <c r="N3036" s="9" t="n">
        <v>969.3</v>
      </c>
      <c r="O3036" s="9" t="n">
        <v>1130.37</v>
      </c>
      <c r="P3036" s="9" t="n">
        <v>1036.86</v>
      </c>
      <c r="Q3036" s="9" t="n">
        <v>1055.89</v>
      </c>
      <c r="R3036" s="9" t="n">
        <v>1225.23</v>
      </c>
      <c r="S3036" s="9" t="n">
        <v>971.67</v>
      </c>
      <c r="T3036" s="9" t="n">
        <v>1128.93</v>
      </c>
      <c r="U3036" s="10">
        <f>SUM(I3036:T3036)</f>
        <v/>
      </c>
    </row>
    <row r="3037">
      <c r="A3037" s="2" t="inlineStr">
        <is>
          <t>SN-5000-5200-5210-5210EC0002</t>
        </is>
      </c>
      <c r="B3037" s="2" t="inlineStr">
        <is>
          <t>5210EC0002</t>
        </is>
      </c>
      <c r="C3037" s="2" t="inlineStr">
        <is>
          <t>Consola de instrumentación</t>
        </is>
      </c>
      <c r="D3037" s="2" t="n">
        <v>1012</v>
      </c>
      <c r="E3037" s="2" t="inlineStr">
        <is>
          <t>CC-5000</t>
        </is>
      </c>
      <c r="F3037" s="2" t="inlineStr">
        <is>
          <t>P01</t>
        </is>
      </c>
      <c r="G3037" s="2" t="n">
        <v>630000</v>
      </c>
      <c r="H3037" s="2" t="inlineStr">
        <is>
          <t>Servicios externos</t>
        </is>
      </c>
      <c r="I3037" s="9" t="n">
        <v>906.4</v>
      </c>
      <c r="J3037" s="9" t="n">
        <v>853.62</v>
      </c>
      <c r="K3037" s="9" t="n">
        <v>905.27</v>
      </c>
      <c r="L3037" s="9" t="n">
        <v>969.08</v>
      </c>
      <c r="M3037" s="9" t="n">
        <v>911.46</v>
      </c>
      <c r="N3037" s="9" t="n">
        <v>929.0599999999999</v>
      </c>
      <c r="O3037" s="9" t="n">
        <v>903.98</v>
      </c>
      <c r="P3037" s="9" t="n">
        <v>997.41</v>
      </c>
      <c r="Q3037" s="9" t="n">
        <v>802.1</v>
      </c>
      <c r="R3037" s="9" t="n">
        <v>931.33</v>
      </c>
      <c r="S3037" s="9" t="n">
        <v>927.84</v>
      </c>
      <c r="T3037" s="9" t="n">
        <v>1000.75</v>
      </c>
      <c r="U3037" s="10">
        <f>SUM(I3037:T3037)</f>
        <v/>
      </c>
    </row>
    <row r="3038">
      <c r="A3038" s="2" t="inlineStr">
        <is>
          <t>SN-5000-5200-5210-5210FP0001</t>
        </is>
      </c>
      <c r="B3038" s="2" t="inlineStr">
        <is>
          <t>5210FP0001</t>
        </is>
      </c>
      <c r="C3038" s="2" t="inlineStr">
        <is>
          <t>Tablero SCI principal sala de control</t>
        </is>
      </c>
      <c r="D3038" s="2" t="n">
        <v>1013</v>
      </c>
      <c r="E3038" s="2" t="inlineStr">
        <is>
          <t>CC-5000</t>
        </is>
      </c>
      <c r="F3038" s="2" t="inlineStr">
        <is>
          <t>P01</t>
        </is>
      </c>
      <c r="G3038" s="2" t="n">
        <v>610000</v>
      </c>
      <c r="H3038" s="2" t="inlineStr">
        <is>
          <t>Mano obra interna</t>
        </is>
      </c>
      <c r="I3038" s="9" t="n">
        <v>2437.37</v>
      </c>
      <c r="J3038" s="9" t="n">
        <v>2268.47</v>
      </c>
      <c r="K3038" s="9" t="n">
        <v>2275.1</v>
      </c>
      <c r="L3038" s="9" t="n">
        <v>2447.91</v>
      </c>
      <c r="M3038" s="9" t="n">
        <v>2357.53</v>
      </c>
      <c r="N3038" s="9" t="n">
        <v>2229.45</v>
      </c>
      <c r="O3038" s="9" t="n">
        <v>2422.46</v>
      </c>
      <c r="P3038" s="9" t="n">
        <v>2477.2</v>
      </c>
      <c r="Q3038" s="9" t="n">
        <v>2297.74</v>
      </c>
      <c r="R3038" s="9" t="n">
        <v>2481.36</v>
      </c>
      <c r="S3038" s="9" t="n">
        <v>2346.72</v>
      </c>
      <c r="T3038" s="9" t="n">
        <v>2290.62</v>
      </c>
      <c r="U3038" s="10">
        <f>SUM(I3038:T3038)</f>
        <v/>
      </c>
    </row>
    <row r="3039">
      <c r="A3039" s="2" t="inlineStr">
        <is>
          <t>SN-5000-5200-5210-5210FP0001</t>
        </is>
      </c>
      <c r="B3039" s="2" t="inlineStr">
        <is>
          <t>5210FP0001</t>
        </is>
      </c>
      <c r="C3039" s="2" t="inlineStr">
        <is>
          <t>Tablero SCI principal sala de control</t>
        </is>
      </c>
      <c r="D3039" s="2" t="n">
        <v>1013</v>
      </c>
      <c r="E3039" s="2" t="inlineStr">
        <is>
          <t>CC-5000</t>
        </is>
      </c>
      <c r="F3039" s="2" t="inlineStr">
        <is>
          <t>P01</t>
        </is>
      </c>
      <c r="G3039" s="2" t="n">
        <v>620000</v>
      </c>
      <c r="H3039" s="2" t="inlineStr">
        <is>
          <t>Materiales</t>
        </is>
      </c>
      <c r="I3039" s="9" t="n">
        <v>1998.62</v>
      </c>
      <c r="J3039" s="9" t="n">
        <v>1900.99</v>
      </c>
      <c r="K3039" s="9" t="n">
        <v>2014.21</v>
      </c>
      <c r="L3039" s="9" t="n">
        <v>1807.05</v>
      </c>
      <c r="M3039" s="9" t="n">
        <v>1975.72</v>
      </c>
      <c r="N3039" s="9" t="n">
        <v>1684.86</v>
      </c>
      <c r="O3039" s="9" t="n">
        <v>1983.92</v>
      </c>
      <c r="P3039" s="9" t="n">
        <v>1826.59</v>
      </c>
      <c r="Q3039" s="9" t="n">
        <v>1632.74</v>
      </c>
      <c r="R3039" s="9" t="n">
        <v>1950.12</v>
      </c>
      <c r="S3039" s="9" t="n">
        <v>1720.01</v>
      </c>
      <c r="T3039" s="9" t="n">
        <v>1897.14</v>
      </c>
      <c r="U3039" s="10">
        <f>SUM(I3039:T3039)</f>
        <v/>
      </c>
    </row>
    <row r="3040">
      <c r="A3040" s="2" t="inlineStr">
        <is>
          <t>SN-5000-5200-5210-5210FP0001</t>
        </is>
      </c>
      <c r="B3040" s="2" t="inlineStr">
        <is>
          <t>5210FP0001</t>
        </is>
      </c>
      <c r="C3040" s="2" t="inlineStr">
        <is>
          <t>Tablero SCI principal sala de control</t>
        </is>
      </c>
      <c r="D3040" s="2" t="n">
        <v>1013</v>
      </c>
      <c r="E3040" s="2" t="inlineStr">
        <is>
          <t>CC-5000</t>
        </is>
      </c>
      <c r="F3040" s="2" t="inlineStr">
        <is>
          <t>P01</t>
        </is>
      </c>
      <c r="G3040" s="2" t="n">
        <v>630000</v>
      </c>
      <c r="H3040" s="2" t="inlineStr">
        <is>
          <t>Servicios externos</t>
        </is>
      </c>
      <c r="I3040" s="9" t="n">
        <v>2365.51</v>
      </c>
      <c r="J3040" s="9" t="n">
        <v>2388.84</v>
      </c>
      <c r="K3040" s="9" t="n">
        <v>2612.29</v>
      </c>
      <c r="L3040" s="9" t="n">
        <v>2486.04</v>
      </c>
      <c r="M3040" s="9" t="n">
        <v>2306.19</v>
      </c>
      <c r="N3040" s="9" t="n">
        <v>2457.06</v>
      </c>
      <c r="O3040" s="9" t="n">
        <v>2264.68</v>
      </c>
      <c r="P3040" s="9" t="n">
        <v>2389.91</v>
      </c>
      <c r="Q3040" s="9" t="n">
        <v>2323.42</v>
      </c>
      <c r="R3040" s="9" t="n">
        <v>2364.39</v>
      </c>
      <c r="S3040" s="9" t="n">
        <v>2381.3</v>
      </c>
      <c r="T3040" s="9" t="n">
        <v>2327.86</v>
      </c>
      <c r="U3040" s="10">
        <f>SUM(I3040:T3040)</f>
        <v/>
      </c>
    </row>
    <row r="3041">
      <c r="A3041" s="2" t="inlineStr">
        <is>
          <t>SN-5000-5200-5210-5210FW0001</t>
        </is>
      </c>
      <c r="B3041" s="2" t="inlineStr">
        <is>
          <t>5210FW0001</t>
        </is>
      </c>
      <c r="C3041" s="2" t="inlineStr">
        <is>
          <t>Firewall 1</t>
        </is>
      </c>
      <c r="D3041" s="2" t="n">
        <v>1014</v>
      </c>
      <c r="E3041" s="2" t="inlineStr">
        <is>
          <t>CC-5000</t>
        </is>
      </c>
      <c r="F3041" s="2" t="inlineStr">
        <is>
          <t>P01</t>
        </is>
      </c>
      <c r="G3041" s="2" t="n">
        <v>610000</v>
      </c>
      <c r="H3041" s="2" t="inlineStr">
        <is>
          <t>Mano obra interna</t>
        </is>
      </c>
      <c r="I3041" s="9" t="n">
        <v>2238.61</v>
      </c>
      <c r="J3041" s="9" t="n">
        <v>2408</v>
      </c>
      <c r="K3041" s="9" t="n">
        <v>2494.27</v>
      </c>
      <c r="L3041" s="9" t="n">
        <v>2218.76</v>
      </c>
      <c r="M3041" s="9" t="n">
        <v>2113.6</v>
      </c>
      <c r="N3041" s="9" t="n">
        <v>2127.87</v>
      </c>
      <c r="O3041" s="9" t="n">
        <v>2309.75</v>
      </c>
      <c r="P3041" s="9" t="n">
        <v>2406.94</v>
      </c>
      <c r="Q3041" s="9" t="n">
        <v>2275.77</v>
      </c>
      <c r="R3041" s="9" t="n">
        <v>2552.12</v>
      </c>
      <c r="S3041" s="9" t="n">
        <v>2237.33</v>
      </c>
      <c r="T3041" s="9" t="n">
        <v>2176.75</v>
      </c>
      <c r="U3041" s="10">
        <f>SUM(I3041:T3041)</f>
        <v/>
      </c>
    </row>
    <row r="3042">
      <c r="A3042" s="2" t="inlineStr">
        <is>
          <t>SN-5000-5200-5210-5210FW0001</t>
        </is>
      </c>
      <c r="B3042" s="2" t="inlineStr">
        <is>
          <t>5210FW0001</t>
        </is>
      </c>
      <c r="C3042" s="2" t="inlineStr">
        <is>
          <t>Firewall 1</t>
        </is>
      </c>
      <c r="D3042" s="2" t="n">
        <v>1014</v>
      </c>
      <c r="E3042" s="2" t="inlineStr">
        <is>
          <t>CC-5000</t>
        </is>
      </c>
      <c r="F3042" s="2" t="inlineStr">
        <is>
          <t>P01</t>
        </is>
      </c>
      <c r="G3042" s="2" t="n">
        <v>620000</v>
      </c>
      <c r="H3042" s="2" t="inlineStr">
        <is>
          <t>Materiales</t>
        </is>
      </c>
      <c r="I3042" s="9" t="n">
        <v>2226.94</v>
      </c>
      <c r="J3042" s="9" t="n">
        <v>2129.15</v>
      </c>
      <c r="K3042" s="9" t="n">
        <v>2339.17</v>
      </c>
      <c r="L3042" s="9" t="n">
        <v>2133.5</v>
      </c>
      <c r="M3042" s="9" t="n">
        <v>1969.64</v>
      </c>
      <c r="N3042" s="9" t="n">
        <v>2029</v>
      </c>
      <c r="O3042" s="9" t="n">
        <v>2310.79</v>
      </c>
      <c r="P3042" s="9" t="n">
        <v>2248.38</v>
      </c>
      <c r="Q3042" s="9" t="n">
        <v>1850.76</v>
      </c>
      <c r="R3042" s="9" t="n">
        <v>2455.85</v>
      </c>
      <c r="S3042" s="9" t="n">
        <v>2070.42</v>
      </c>
      <c r="T3042" s="9" t="n">
        <v>2133.18</v>
      </c>
      <c r="U3042" s="10">
        <f>SUM(I3042:T3042)</f>
        <v/>
      </c>
    </row>
    <row r="3043">
      <c r="A3043" s="2" t="inlineStr">
        <is>
          <t>SN-5000-5200-5210-5210FW0001</t>
        </is>
      </c>
      <c r="B3043" s="2" t="inlineStr">
        <is>
          <t>5210FW0001</t>
        </is>
      </c>
      <c r="C3043" s="2" t="inlineStr">
        <is>
          <t>Firewall 1</t>
        </is>
      </c>
      <c r="D3043" s="2" t="n">
        <v>1014</v>
      </c>
      <c r="E3043" s="2" t="inlineStr">
        <is>
          <t>CC-5000</t>
        </is>
      </c>
      <c r="F3043" s="2" t="inlineStr">
        <is>
          <t>P01</t>
        </is>
      </c>
      <c r="G3043" s="2" t="n">
        <v>630000</v>
      </c>
      <c r="H3043" s="2" t="inlineStr">
        <is>
          <t>Servicios externos</t>
        </is>
      </c>
      <c r="I3043" s="9" t="n">
        <v>2472.5</v>
      </c>
      <c r="J3043" s="9" t="n">
        <v>2361.08</v>
      </c>
      <c r="K3043" s="9" t="n">
        <v>2522.86</v>
      </c>
      <c r="L3043" s="9" t="n">
        <v>2467.02</v>
      </c>
      <c r="M3043" s="9" t="n">
        <v>2226.52</v>
      </c>
      <c r="N3043" s="9" t="n">
        <v>2192.29</v>
      </c>
      <c r="O3043" s="9" t="n">
        <v>2517.01</v>
      </c>
      <c r="P3043" s="9" t="n">
        <v>2446.19</v>
      </c>
      <c r="Q3043" s="9" t="n">
        <v>2202.45</v>
      </c>
      <c r="R3043" s="9" t="n">
        <v>2442.14</v>
      </c>
      <c r="S3043" s="9" t="n">
        <v>2127.59</v>
      </c>
      <c r="T3043" s="9" t="n">
        <v>2348.25</v>
      </c>
      <c r="U3043" s="10">
        <f>SUM(I3043:T3043)</f>
        <v/>
      </c>
    </row>
    <row r="3044">
      <c r="A3044" s="2" t="inlineStr">
        <is>
          <t>SN-5000-5200-5210-5210FW0002</t>
        </is>
      </c>
      <c r="B3044" s="2" t="inlineStr">
        <is>
          <t>5210FW0002</t>
        </is>
      </c>
      <c r="C3044" s="2" t="inlineStr">
        <is>
          <t>Firewall 2</t>
        </is>
      </c>
      <c r="D3044" s="2" t="n">
        <v>1015</v>
      </c>
      <c r="E3044" s="2" t="inlineStr">
        <is>
          <t>CC-5000</t>
        </is>
      </c>
      <c r="F3044" s="2" t="inlineStr">
        <is>
          <t>P01</t>
        </is>
      </c>
      <c r="G3044" s="2" t="n">
        <v>610000</v>
      </c>
      <c r="H3044" s="2" t="inlineStr">
        <is>
          <t>Mano obra interna</t>
        </is>
      </c>
      <c r="I3044" s="9" t="n">
        <v>699.72</v>
      </c>
      <c r="J3044" s="9" t="n">
        <v>711.83</v>
      </c>
      <c r="K3044" s="9" t="n">
        <v>684.78</v>
      </c>
      <c r="L3044" s="9" t="n">
        <v>741.62</v>
      </c>
      <c r="M3044" s="9" t="n">
        <v>702.53</v>
      </c>
      <c r="N3044" s="9" t="n">
        <v>617.78</v>
      </c>
      <c r="O3044" s="9" t="n">
        <v>703.59</v>
      </c>
      <c r="P3044" s="9" t="n">
        <v>648.58</v>
      </c>
      <c r="Q3044" s="9" t="n">
        <v>655.71</v>
      </c>
      <c r="R3044" s="9" t="n">
        <v>698.91</v>
      </c>
      <c r="S3044" s="9" t="n">
        <v>653.98</v>
      </c>
      <c r="T3044" s="9" t="n">
        <v>705.02</v>
      </c>
      <c r="U3044" s="10">
        <f>SUM(I3044:T3044)</f>
        <v/>
      </c>
    </row>
    <row r="3045">
      <c r="A3045" s="2" t="inlineStr">
        <is>
          <t>SN-5000-5200-5210-5210FW0002</t>
        </is>
      </c>
      <c r="B3045" s="2" t="inlineStr">
        <is>
          <t>5210FW0002</t>
        </is>
      </c>
      <c r="C3045" s="2" t="inlineStr">
        <is>
          <t>Firewall 2</t>
        </is>
      </c>
      <c r="D3045" s="2" t="n">
        <v>1015</v>
      </c>
      <c r="E3045" s="2" t="inlineStr">
        <is>
          <t>CC-5000</t>
        </is>
      </c>
      <c r="F3045" s="2" t="inlineStr">
        <is>
          <t>P01</t>
        </is>
      </c>
      <c r="G3045" s="2" t="n">
        <v>620000</v>
      </c>
      <c r="H3045" s="2" t="inlineStr">
        <is>
          <t>Materiales</t>
        </is>
      </c>
      <c r="I3045" s="9" t="n">
        <v>647.13</v>
      </c>
      <c r="J3045" s="9" t="n">
        <v>641.99</v>
      </c>
      <c r="K3045" s="9" t="n">
        <v>688.21</v>
      </c>
      <c r="L3045" s="9" t="n">
        <v>725.29</v>
      </c>
      <c r="M3045" s="9" t="n">
        <v>630.97</v>
      </c>
      <c r="N3045" s="9" t="n">
        <v>626</v>
      </c>
      <c r="O3045" s="9" t="n">
        <v>668.85</v>
      </c>
      <c r="P3045" s="9" t="n">
        <v>648.73</v>
      </c>
      <c r="Q3045" s="9" t="n">
        <v>637.33</v>
      </c>
      <c r="R3045" s="9" t="n">
        <v>695.6</v>
      </c>
      <c r="S3045" s="9" t="n">
        <v>678.03</v>
      </c>
      <c r="T3045" s="9" t="n">
        <v>681.67</v>
      </c>
      <c r="U3045" s="10">
        <f>SUM(I3045:T3045)</f>
        <v/>
      </c>
    </row>
    <row r="3046">
      <c r="A3046" s="2" t="inlineStr">
        <is>
          <t>SN-5000-5200-5210-5210FW0002</t>
        </is>
      </c>
      <c r="B3046" s="2" t="inlineStr">
        <is>
          <t>5210FW0002</t>
        </is>
      </c>
      <c r="C3046" s="2" t="inlineStr">
        <is>
          <t>Firewall 2</t>
        </is>
      </c>
      <c r="D3046" s="2" t="n">
        <v>1015</v>
      </c>
      <c r="E3046" s="2" t="inlineStr">
        <is>
          <t>CC-5000</t>
        </is>
      </c>
      <c r="F3046" s="2" t="inlineStr">
        <is>
          <t>P01</t>
        </is>
      </c>
      <c r="G3046" s="2" t="n">
        <v>630000</v>
      </c>
      <c r="H3046" s="2" t="inlineStr">
        <is>
          <t>Servicios externos</t>
        </is>
      </c>
      <c r="I3046" s="9" t="n">
        <v>702.08</v>
      </c>
      <c r="J3046" s="9" t="n">
        <v>671.1900000000001</v>
      </c>
      <c r="K3046" s="9" t="n">
        <v>677.42</v>
      </c>
      <c r="L3046" s="9" t="n">
        <v>635.02</v>
      </c>
      <c r="M3046" s="9" t="n">
        <v>635.13</v>
      </c>
      <c r="N3046" s="9" t="n">
        <v>634.71</v>
      </c>
      <c r="O3046" s="9" t="n">
        <v>641.97</v>
      </c>
      <c r="P3046" s="9" t="n">
        <v>681.89</v>
      </c>
      <c r="Q3046" s="9" t="n">
        <v>648.77</v>
      </c>
      <c r="R3046" s="9" t="n">
        <v>768.3099999999999</v>
      </c>
      <c r="S3046" s="9" t="n">
        <v>667.86</v>
      </c>
      <c r="T3046" s="9" t="n">
        <v>704.74</v>
      </c>
      <c r="U3046" s="10">
        <f>SUM(I3046:T3046)</f>
        <v/>
      </c>
    </row>
    <row r="3047">
      <c r="A3047" s="2" t="inlineStr">
        <is>
          <t>SN-5000-5200-5210-5210FW0003</t>
        </is>
      </c>
      <c r="B3047" s="2" t="inlineStr">
        <is>
          <t>5210FW0003</t>
        </is>
      </c>
      <c r="C3047" s="2" t="inlineStr">
        <is>
          <t>Firewall 3</t>
        </is>
      </c>
      <c r="D3047" s="2" t="n">
        <v>1016</v>
      </c>
      <c r="E3047" s="2" t="inlineStr">
        <is>
          <t>CC-5000</t>
        </is>
      </c>
      <c r="F3047" s="2" t="inlineStr">
        <is>
          <t>P01</t>
        </is>
      </c>
      <c r="G3047" s="2" t="n">
        <v>610000</v>
      </c>
      <c r="H3047" s="2" t="inlineStr">
        <is>
          <t>Mano obra interna</t>
        </is>
      </c>
      <c r="I3047" s="9" t="n">
        <v>1708.3</v>
      </c>
      <c r="J3047" s="9" t="n">
        <v>1470.81</v>
      </c>
      <c r="K3047" s="9" t="n">
        <v>1542.02</v>
      </c>
      <c r="L3047" s="9" t="n">
        <v>1492.15</v>
      </c>
      <c r="M3047" s="9" t="n">
        <v>1533.22</v>
      </c>
      <c r="N3047" s="9" t="n">
        <v>1388.66</v>
      </c>
      <c r="O3047" s="9" t="n">
        <v>1496.37</v>
      </c>
      <c r="P3047" s="9" t="n">
        <v>1547.34</v>
      </c>
      <c r="Q3047" s="9" t="n">
        <v>1551.29</v>
      </c>
      <c r="R3047" s="9" t="n">
        <v>1798.85</v>
      </c>
      <c r="S3047" s="9" t="n">
        <v>1561.83</v>
      </c>
      <c r="T3047" s="9" t="n">
        <v>1547.93</v>
      </c>
      <c r="U3047" s="10">
        <f>SUM(I3047:T3047)</f>
        <v/>
      </c>
    </row>
    <row r="3048">
      <c r="A3048" s="2" t="inlineStr">
        <is>
          <t>SN-5000-5200-5210-5210FW0003</t>
        </is>
      </c>
      <c r="B3048" s="2" t="inlineStr">
        <is>
          <t>5210FW0003</t>
        </is>
      </c>
      <c r="C3048" s="2" t="inlineStr">
        <is>
          <t>Firewall 3</t>
        </is>
      </c>
      <c r="D3048" s="2" t="n">
        <v>1016</v>
      </c>
      <c r="E3048" s="2" t="inlineStr">
        <is>
          <t>CC-5000</t>
        </is>
      </c>
      <c r="F3048" s="2" t="inlineStr">
        <is>
          <t>P01</t>
        </is>
      </c>
      <c r="G3048" s="2" t="n">
        <v>620000</v>
      </c>
      <c r="H3048" s="2" t="inlineStr">
        <is>
          <t>Materiales</t>
        </is>
      </c>
      <c r="I3048" s="9" t="n">
        <v>1762.46</v>
      </c>
      <c r="J3048" s="9" t="n">
        <v>1709.25</v>
      </c>
      <c r="K3048" s="9" t="n">
        <v>1717.81</v>
      </c>
      <c r="L3048" s="9" t="n">
        <v>1585.12</v>
      </c>
      <c r="M3048" s="9" t="n">
        <v>1506.34</v>
      </c>
      <c r="N3048" s="9" t="n">
        <v>1660.42</v>
      </c>
      <c r="O3048" s="9" t="n">
        <v>1513.51</v>
      </c>
      <c r="P3048" s="9" t="n">
        <v>1574.27</v>
      </c>
      <c r="Q3048" s="9" t="n">
        <v>1512.9</v>
      </c>
      <c r="R3048" s="9" t="n">
        <v>1622.03</v>
      </c>
      <c r="S3048" s="9" t="n">
        <v>1679.27</v>
      </c>
      <c r="T3048" s="9" t="n">
        <v>1596.52</v>
      </c>
      <c r="U3048" s="10">
        <f>SUM(I3048:T3048)</f>
        <v/>
      </c>
    </row>
    <row r="3049">
      <c r="A3049" s="2" t="inlineStr">
        <is>
          <t>SN-5000-5200-5210-5210FW0003</t>
        </is>
      </c>
      <c r="B3049" s="2" t="inlineStr">
        <is>
          <t>5210FW0003</t>
        </is>
      </c>
      <c r="C3049" s="2" t="inlineStr">
        <is>
          <t>Firewall 3</t>
        </is>
      </c>
      <c r="D3049" s="2" t="n">
        <v>1016</v>
      </c>
      <c r="E3049" s="2" t="inlineStr">
        <is>
          <t>CC-5000</t>
        </is>
      </c>
      <c r="F3049" s="2" t="inlineStr">
        <is>
          <t>P01</t>
        </is>
      </c>
      <c r="G3049" s="2" t="n">
        <v>630000</v>
      </c>
      <c r="H3049" s="2" t="inlineStr">
        <is>
          <t>Servicios externos</t>
        </is>
      </c>
      <c r="I3049" s="9" t="n">
        <v>1372.62</v>
      </c>
      <c r="J3049" s="9" t="n">
        <v>1190.27</v>
      </c>
      <c r="K3049" s="9" t="n">
        <v>1363.1</v>
      </c>
      <c r="L3049" s="9" t="n">
        <v>1264.16</v>
      </c>
      <c r="M3049" s="9" t="n">
        <v>1265.47</v>
      </c>
      <c r="N3049" s="9" t="n">
        <v>1142.07</v>
      </c>
      <c r="O3049" s="9" t="n">
        <v>1247.31</v>
      </c>
      <c r="P3049" s="9" t="n">
        <v>1196.96</v>
      </c>
      <c r="Q3049" s="9" t="n">
        <v>1243.76</v>
      </c>
      <c r="R3049" s="9" t="n">
        <v>1249.5</v>
      </c>
      <c r="S3049" s="9" t="n">
        <v>1162.88</v>
      </c>
      <c r="T3049" s="9" t="n">
        <v>1344.22</v>
      </c>
      <c r="U3049" s="10">
        <f>SUM(I3049:T3049)</f>
        <v/>
      </c>
    </row>
    <row r="3050">
      <c r="A3050" s="2" t="inlineStr">
        <is>
          <t>SN-5000-5200-5210-5210FW0004</t>
        </is>
      </c>
      <c r="B3050" s="2" t="inlineStr">
        <is>
          <t>5210FW0004</t>
        </is>
      </c>
      <c r="C3050" s="2" t="inlineStr">
        <is>
          <t>Firewall 4</t>
        </is>
      </c>
      <c r="D3050" s="2" t="n">
        <v>1017</v>
      </c>
      <c r="E3050" s="2" t="inlineStr">
        <is>
          <t>CC-5000</t>
        </is>
      </c>
      <c r="F3050" s="2" t="inlineStr">
        <is>
          <t>P01</t>
        </is>
      </c>
      <c r="G3050" s="2" t="n">
        <v>610000</v>
      </c>
      <c r="H3050" s="2" t="inlineStr">
        <is>
          <t>Mano obra interna</t>
        </is>
      </c>
      <c r="I3050" s="9" t="n">
        <v>1357.01</v>
      </c>
      <c r="J3050" s="9" t="n">
        <v>1319.81</v>
      </c>
      <c r="K3050" s="9" t="n">
        <v>1257.08</v>
      </c>
      <c r="L3050" s="9" t="n">
        <v>1234.01</v>
      </c>
      <c r="M3050" s="9" t="n">
        <v>1385.52</v>
      </c>
      <c r="N3050" s="9" t="n">
        <v>1205.14</v>
      </c>
      <c r="O3050" s="9" t="n">
        <v>1283.87</v>
      </c>
      <c r="P3050" s="9" t="n">
        <v>1345.46</v>
      </c>
      <c r="Q3050" s="9" t="n">
        <v>1166.52</v>
      </c>
      <c r="R3050" s="9" t="n">
        <v>1463.57</v>
      </c>
      <c r="S3050" s="9" t="n">
        <v>1258.1</v>
      </c>
      <c r="T3050" s="9" t="n">
        <v>1403.53</v>
      </c>
      <c r="U3050" s="10">
        <f>SUM(I3050:T3050)</f>
        <v/>
      </c>
    </row>
    <row r="3051">
      <c r="A3051" s="2" t="inlineStr">
        <is>
          <t>SN-5000-5200-5210-5210FW0004</t>
        </is>
      </c>
      <c r="B3051" s="2" t="inlineStr">
        <is>
          <t>5210FW0004</t>
        </is>
      </c>
      <c r="C3051" s="2" t="inlineStr">
        <is>
          <t>Firewall 4</t>
        </is>
      </c>
      <c r="D3051" s="2" t="n">
        <v>1017</v>
      </c>
      <c r="E3051" s="2" t="inlineStr">
        <is>
          <t>CC-5000</t>
        </is>
      </c>
      <c r="F3051" s="2" t="inlineStr">
        <is>
          <t>P01</t>
        </is>
      </c>
      <c r="G3051" s="2" t="n">
        <v>620000</v>
      </c>
      <c r="H3051" s="2" t="inlineStr">
        <is>
          <t>Materiales</t>
        </is>
      </c>
      <c r="I3051" s="9" t="n">
        <v>1161.24</v>
      </c>
      <c r="J3051" s="9" t="n">
        <v>1238.44</v>
      </c>
      <c r="K3051" s="9" t="n">
        <v>1197.66</v>
      </c>
      <c r="L3051" s="9" t="n">
        <v>1203.23</v>
      </c>
      <c r="M3051" s="9" t="n">
        <v>1237.29</v>
      </c>
      <c r="N3051" s="9" t="n">
        <v>1166.42</v>
      </c>
      <c r="O3051" s="9" t="n">
        <v>1183.51</v>
      </c>
      <c r="P3051" s="9" t="n">
        <v>1145.47</v>
      </c>
      <c r="Q3051" s="9" t="n">
        <v>1158.56</v>
      </c>
      <c r="R3051" s="9" t="n">
        <v>1221.92</v>
      </c>
      <c r="S3051" s="9" t="n">
        <v>1235.19</v>
      </c>
      <c r="T3051" s="9" t="n">
        <v>1144.04</v>
      </c>
      <c r="U3051" s="10">
        <f>SUM(I3051:T3051)</f>
        <v/>
      </c>
    </row>
    <row r="3052">
      <c r="A3052" s="2" t="inlineStr">
        <is>
          <t>SN-5000-5200-5210-5210FW0004</t>
        </is>
      </c>
      <c r="B3052" s="2" t="inlineStr">
        <is>
          <t>5210FW0004</t>
        </is>
      </c>
      <c r="C3052" s="2" t="inlineStr">
        <is>
          <t>Firewall 4</t>
        </is>
      </c>
      <c r="D3052" s="2" t="n">
        <v>1017</v>
      </c>
      <c r="E3052" s="2" t="inlineStr">
        <is>
          <t>CC-5000</t>
        </is>
      </c>
      <c r="F3052" s="2" t="inlineStr">
        <is>
          <t>P01</t>
        </is>
      </c>
      <c r="G3052" s="2" t="n">
        <v>630000</v>
      </c>
      <c r="H3052" s="2" t="inlineStr">
        <is>
          <t>Servicios externos</t>
        </is>
      </c>
      <c r="I3052" s="9" t="n">
        <v>1423.44</v>
      </c>
      <c r="J3052" s="9" t="n">
        <v>1320.27</v>
      </c>
      <c r="K3052" s="9" t="n">
        <v>1433.39</v>
      </c>
      <c r="L3052" s="9" t="n">
        <v>1378.32</v>
      </c>
      <c r="M3052" s="9" t="n">
        <v>1315.52</v>
      </c>
      <c r="N3052" s="9" t="n">
        <v>1293.15</v>
      </c>
      <c r="O3052" s="9" t="n">
        <v>1495.12</v>
      </c>
      <c r="P3052" s="9" t="n">
        <v>1321.5</v>
      </c>
      <c r="Q3052" s="9" t="n">
        <v>1413.25</v>
      </c>
      <c r="R3052" s="9" t="n">
        <v>1401.62</v>
      </c>
      <c r="S3052" s="9" t="n">
        <v>1400.99</v>
      </c>
      <c r="T3052" s="9" t="n">
        <v>1514.14</v>
      </c>
      <c r="U3052" s="10">
        <f>SUM(I3052:T3052)</f>
        <v/>
      </c>
    </row>
    <row r="3053">
      <c r="A3053" s="2" t="inlineStr">
        <is>
          <t>SN-5000-5200-5210-5210IO0001</t>
        </is>
      </c>
      <c r="B3053" s="2" t="inlineStr">
        <is>
          <t>5210IO0001</t>
        </is>
      </c>
      <c r="C3053" s="2" t="inlineStr">
        <is>
          <t xml:space="preserve">Gabinete RIO  </t>
        </is>
      </c>
      <c r="D3053" s="2" t="n">
        <v>1018</v>
      </c>
      <c r="E3053" s="2" t="inlineStr">
        <is>
          <t>CC-5000</t>
        </is>
      </c>
      <c r="F3053" s="2" t="inlineStr">
        <is>
          <t>P01</t>
        </is>
      </c>
      <c r="G3053" s="2" t="n">
        <v>610000</v>
      </c>
      <c r="H3053" s="2" t="inlineStr">
        <is>
          <t>Mano obra interna</t>
        </is>
      </c>
      <c r="I3053" s="9" t="n">
        <v>2503.84</v>
      </c>
      <c r="J3053" s="9" t="n">
        <v>2642.71</v>
      </c>
      <c r="K3053" s="9" t="n">
        <v>2514.59</v>
      </c>
      <c r="L3053" s="9" t="n">
        <v>2595.51</v>
      </c>
      <c r="M3053" s="9" t="n">
        <v>2669.47</v>
      </c>
      <c r="N3053" s="9" t="n">
        <v>2425.32</v>
      </c>
      <c r="O3053" s="9" t="n">
        <v>2524.34</v>
      </c>
      <c r="P3053" s="9" t="n">
        <v>2439.26</v>
      </c>
      <c r="Q3053" s="9" t="n">
        <v>2253.13</v>
      </c>
      <c r="R3053" s="9" t="n">
        <v>2632.18</v>
      </c>
      <c r="S3053" s="9" t="n">
        <v>2669.06</v>
      </c>
      <c r="T3053" s="9" t="n">
        <v>2433.05</v>
      </c>
      <c r="U3053" s="10">
        <f>SUM(I3053:T3053)</f>
        <v/>
      </c>
    </row>
    <row r="3054">
      <c r="A3054" s="2" t="inlineStr">
        <is>
          <t>SN-5000-5200-5210-5210IO0001</t>
        </is>
      </c>
      <c r="B3054" s="2" t="inlineStr">
        <is>
          <t>5210IO0001</t>
        </is>
      </c>
      <c r="C3054" s="2" t="inlineStr">
        <is>
          <t xml:space="preserve">Gabinete RIO  </t>
        </is>
      </c>
      <c r="D3054" s="2" t="n">
        <v>1018</v>
      </c>
      <c r="E3054" s="2" t="inlineStr">
        <is>
          <t>CC-5000</t>
        </is>
      </c>
      <c r="F3054" s="2" t="inlineStr">
        <is>
          <t>P01</t>
        </is>
      </c>
      <c r="G3054" s="2" t="n">
        <v>620000</v>
      </c>
      <c r="H3054" s="2" t="inlineStr">
        <is>
          <t>Materiales</t>
        </is>
      </c>
      <c r="I3054" s="9" t="n">
        <v>2403.03</v>
      </c>
      <c r="J3054" s="9" t="n">
        <v>2246.93</v>
      </c>
      <c r="K3054" s="9" t="n">
        <v>2414.35</v>
      </c>
      <c r="L3054" s="9" t="n">
        <v>2362.91</v>
      </c>
      <c r="M3054" s="9" t="n">
        <v>2217.73</v>
      </c>
      <c r="N3054" s="9" t="n">
        <v>2117.31</v>
      </c>
      <c r="O3054" s="9" t="n">
        <v>2417.42</v>
      </c>
      <c r="P3054" s="9" t="n">
        <v>2425.57</v>
      </c>
      <c r="Q3054" s="9" t="n">
        <v>2151.8</v>
      </c>
      <c r="R3054" s="9" t="n">
        <v>2316.08</v>
      </c>
      <c r="S3054" s="9" t="n">
        <v>2166.67</v>
      </c>
      <c r="T3054" s="9" t="n">
        <v>2289.2</v>
      </c>
      <c r="U3054" s="10">
        <f>SUM(I3054:T3054)</f>
        <v/>
      </c>
    </row>
    <row r="3055">
      <c r="A3055" s="2" t="inlineStr">
        <is>
          <t>SN-5000-5200-5210-5210IO0001</t>
        </is>
      </c>
      <c r="B3055" s="2" t="inlineStr">
        <is>
          <t>5210IO0001</t>
        </is>
      </c>
      <c r="C3055" s="2" t="inlineStr">
        <is>
          <t xml:space="preserve">Gabinete RIO  </t>
        </is>
      </c>
      <c r="D3055" s="2" t="n">
        <v>1018</v>
      </c>
      <c r="E3055" s="2" t="inlineStr">
        <is>
          <t>CC-5000</t>
        </is>
      </c>
      <c r="F3055" s="2" t="inlineStr">
        <is>
          <t>P01</t>
        </is>
      </c>
      <c r="G3055" s="2" t="n">
        <v>630000</v>
      </c>
      <c r="H3055" s="2" t="inlineStr">
        <is>
          <t>Servicios externos</t>
        </is>
      </c>
      <c r="I3055" s="9" t="n">
        <v>2472.93</v>
      </c>
      <c r="J3055" s="9" t="n">
        <v>2328.89</v>
      </c>
      <c r="K3055" s="9" t="n">
        <v>2503.99</v>
      </c>
      <c r="L3055" s="9" t="n">
        <v>2227.5</v>
      </c>
      <c r="M3055" s="9" t="n">
        <v>2438.04</v>
      </c>
      <c r="N3055" s="9" t="n">
        <v>2151.4</v>
      </c>
      <c r="O3055" s="9" t="n">
        <v>2419.24</v>
      </c>
      <c r="P3055" s="9" t="n">
        <v>2211.74</v>
      </c>
      <c r="Q3055" s="9" t="n">
        <v>2060.57</v>
      </c>
      <c r="R3055" s="9" t="n">
        <v>2355.11</v>
      </c>
      <c r="S3055" s="9" t="n">
        <v>2433.67</v>
      </c>
      <c r="T3055" s="9" t="n">
        <v>2434.19</v>
      </c>
      <c r="U3055" s="10">
        <f>SUM(I3055:T3055)</f>
        <v/>
      </c>
    </row>
    <row r="3056">
      <c r="A3056" s="2" t="inlineStr">
        <is>
          <t>SN-5000-5200-5210-5210OC0002</t>
        </is>
      </c>
      <c r="B3056" s="2" t="inlineStr">
        <is>
          <t>5210OC0002</t>
        </is>
      </c>
      <c r="C3056" s="2" t="inlineStr">
        <is>
          <t>Consola operador Rompedor de rocas</t>
        </is>
      </c>
      <c r="D3056" s="2" t="n">
        <v>1019</v>
      </c>
      <c r="E3056" s="2" t="inlineStr">
        <is>
          <t>CC-5000</t>
        </is>
      </c>
      <c r="F3056" s="2" t="inlineStr">
        <is>
          <t>P01</t>
        </is>
      </c>
      <c r="G3056" s="2" t="n">
        <v>610000</v>
      </c>
      <c r="H3056" s="2" t="inlineStr">
        <is>
          <t>Mano obra interna</t>
        </is>
      </c>
      <c r="I3056" s="9" t="n">
        <v>788.77</v>
      </c>
      <c r="J3056" s="9" t="n">
        <v>742.14</v>
      </c>
      <c r="K3056" s="9" t="n">
        <v>776.67</v>
      </c>
      <c r="L3056" s="9" t="n">
        <v>753.37</v>
      </c>
      <c r="M3056" s="9" t="n">
        <v>673.46</v>
      </c>
      <c r="N3056" s="9" t="n">
        <v>678.91</v>
      </c>
      <c r="O3056" s="9" t="n">
        <v>692.76</v>
      </c>
      <c r="P3056" s="9" t="n">
        <v>757.28</v>
      </c>
      <c r="Q3056" s="9" t="n">
        <v>659.9400000000001</v>
      </c>
      <c r="R3056" s="9" t="n">
        <v>790.23</v>
      </c>
      <c r="S3056" s="9" t="n">
        <v>698.29</v>
      </c>
      <c r="T3056" s="9" t="n">
        <v>706.8200000000001</v>
      </c>
      <c r="U3056" s="10">
        <f>SUM(I3056:T3056)</f>
        <v/>
      </c>
    </row>
    <row r="3057">
      <c r="A3057" s="2" t="inlineStr">
        <is>
          <t>SN-5000-5200-5210-5210OC0002</t>
        </is>
      </c>
      <c r="B3057" s="2" t="inlineStr">
        <is>
          <t>5210OC0002</t>
        </is>
      </c>
      <c r="C3057" s="2" t="inlineStr">
        <is>
          <t>Consola operador Rompedor de rocas</t>
        </is>
      </c>
      <c r="D3057" s="2" t="n">
        <v>1019</v>
      </c>
      <c r="E3057" s="2" t="inlineStr">
        <is>
          <t>CC-5000</t>
        </is>
      </c>
      <c r="F3057" s="2" t="inlineStr">
        <is>
          <t>P01</t>
        </is>
      </c>
      <c r="G3057" s="2" t="n">
        <v>620000</v>
      </c>
      <c r="H3057" s="2" t="inlineStr">
        <is>
          <t>Materiales</t>
        </is>
      </c>
      <c r="I3057" s="9" t="n">
        <v>899.55</v>
      </c>
      <c r="J3057" s="9" t="n">
        <v>757.62</v>
      </c>
      <c r="K3057" s="9" t="n">
        <v>894.64</v>
      </c>
      <c r="L3057" s="9" t="n">
        <v>840.64</v>
      </c>
      <c r="M3057" s="9" t="n">
        <v>851.23</v>
      </c>
      <c r="N3057" s="9" t="n">
        <v>743.86</v>
      </c>
      <c r="O3057" s="9" t="n">
        <v>775.9</v>
      </c>
      <c r="P3057" s="9" t="n">
        <v>874.9</v>
      </c>
      <c r="Q3057" s="9" t="n">
        <v>815.9</v>
      </c>
      <c r="R3057" s="9" t="n">
        <v>883.8200000000001</v>
      </c>
      <c r="S3057" s="9" t="n">
        <v>844.97</v>
      </c>
      <c r="T3057" s="9" t="n">
        <v>858.6799999999999</v>
      </c>
      <c r="U3057" s="10">
        <f>SUM(I3057:T3057)</f>
        <v/>
      </c>
    </row>
    <row r="3058">
      <c r="A3058" s="2" t="inlineStr">
        <is>
          <t>SN-5000-5200-5210-5210OC0002</t>
        </is>
      </c>
      <c r="B3058" s="2" t="inlineStr">
        <is>
          <t>5210OC0002</t>
        </is>
      </c>
      <c r="C3058" s="2" t="inlineStr">
        <is>
          <t>Consola operador Rompedor de rocas</t>
        </is>
      </c>
      <c r="D3058" s="2" t="n">
        <v>1019</v>
      </c>
      <c r="E3058" s="2" t="inlineStr">
        <is>
          <t>CC-5000</t>
        </is>
      </c>
      <c r="F3058" s="2" t="inlineStr">
        <is>
          <t>P01</t>
        </is>
      </c>
      <c r="G3058" s="2" t="n">
        <v>630000</v>
      </c>
      <c r="H3058" s="2" t="inlineStr">
        <is>
          <t>Servicios externos</t>
        </is>
      </c>
      <c r="I3058" s="9" t="n">
        <v>656.22</v>
      </c>
      <c r="J3058" s="9" t="n">
        <v>613</v>
      </c>
      <c r="K3058" s="9" t="n">
        <v>711.71</v>
      </c>
      <c r="L3058" s="9" t="n">
        <v>727.92</v>
      </c>
      <c r="M3058" s="9" t="n">
        <v>658.9299999999999</v>
      </c>
      <c r="N3058" s="9" t="n">
        <v>647.63</v>
      </c>
      <c r="O3058" s="9" t="n">
        <v>687.24</v>
      </c>
      <c r="P3058" s="9" t="n">
        <v>631.28</v>
      </c>
      <c r="Q3058" s="9" t="n">
        <v>599.08</v>
      </c>
      <c r="R3058" s="9" t="n">
        <v>702.74</v>
      </c>
      <c r="S3058" s="9" t="n">
        <v>649.49</v>
      </c>
      <c r="T3058" s="9" t="n">
        <v>708.34</v>
      </c>
      <c r="U3058" s="10">
        <f>SUM(I3058:T3058)</f>
        <v/>
      </c>
    </row>
    <row r="3059">
      <c r="A3059" s="2" t="inlineStr">
        <is>
          <t>SN-5000-5200-5210-5210OC0003</t>
        </is>
      </c>
      <c r="B3059" s="2" t="inlineStr">
        <is>
          <t>5210OC0003</t>
        </is>
      </c>
      <c r="C3059" s="2" t="inlineStr">
        <is>
          <t>Consola operador Trituración y Molienda</t>
        </is>
      </c>
      <c r="D3059" s="2" t="n">
        <v>1020</v>
      </c>
      <c r="E3059" s="2" t="inlineStr">
        <is>
          <t>CC-5000</t>
        </is>
      </c>
      <c r="F3059" s="2" t="inlineStr">
        <is>
          <t>P01</t>
        </is>
      </c>
      <c r="G3059" s="2" t="n">
        <v>610000</v>
      </c>
      <c r="H3059" s="2" t="inlineStr">
        <is>
          <t>Mano obra interna</t>
        </is>
      </c>
      <c r="I3059" s="9" t="n">
        <v>1866.88</v>
      </c>
      <c r="J3059" s="9" t="n">
        <v>1882.32</v>
      </c>
      <c r="K3059" s="9" t="n">
        <v>1770.32</v>
      </c>
      <c r="L3059" s="9" t="n">
        <v>1881.7</v>
      </c>
      <c r="M3059" s="9" t="n">
        <v>1714.86</v>
      </c>
      <c r="N3059" s="9" t="n">
        <v>1767.61</v>
      </c>
      <c r="O3059" s="9" t="n">
        <v>1916.92</v>
      </c>
      <c r="P3059" s="9" t="n">
        <v>1758.68</v>
      </c>
      <c r="Q3059" s="9" t="n">
        <v>1805.95</v>
      </c>
      <c r="R3059" s="9" t="n">
        <v>1929.04</v>
      </c>
      <c r="S3059" s="9" t="n">
        <v>1690.65</v>
      </c>
      <c r="T3059" s="9" t="n">
        <v>1854.26</v>
      </c>
      <c r="U3059" s="10">
        <f>SUM(I3059:T3059)</f>
        <v/>
      </c>
    </row>
    <row r="3060">
      <c r="A3060" s="2" t="inlineStr">
        <is>
          <t>SN-5000-5200-5210-5210OC0003</t>
        </is>
      </c>
      <c r="B3060" s="2" t="inlineStr">
        <is>
          <t>5210OC0003</t>
        </is>
      </c>
      <c r="C3060" s="2" t="inlineStr">
        <is>
          <t>Consola operador Trituración y Molienda</t>
        </is>
      </c>
      <c r="D3060" s="2" t="n">
        <v>1020</v>
      </c>
      <c r="E3060" s="2" t="inlineStr">
        <is>
          <t>CC-5000</t>
        </is>
      </c>
      <c r="F3060" s="2" t="inlineStr">
        <is>
          <t>P01</t>
        </is>
      </c>
      <c r="G3060" s="2" t="n">
        <v>620000</v>
      </c>
      <c r="H3060" s="2" t="inlineStr">
        <is>
          <t>Materiales</t>
        </is>
      </c>
      <c r="I3060" s="9" t="n">
        <v>2043.3</v>
      </c>
      <c r="J3060" s="9" t="n">
        <v>2058.88</v>
      </c>
      <c r="K3060" s="9" t="n">
        <v>2272.23</v>
      </c>
      <c r="L3060" s="9" t="n">
        <v>2147.18</v>
      </c>
      <c r="M3060" s="9" t="n">
        <v>1981.51</v>
      </c>
      <c r="N3060" s="9" t="n">
        <v>2000.15</v>
      </c>
      <c r="O3060" s="9" t="n">
        <v>2261.28</v>
      </c>
      <c r="P3060" s="9" t="n">
        <v>2309.12</v>
      </c>
      <c r="Q3060" s="9" t="n">
        <v>1853.88</v>
      </c>
      <c r="R3060" s="9" t="n">
        <v>2344.15</v>
      </c>
      <c r="S3060" s="9" t="n">
        <v>1949.76</v>
      </c>
      <c r="T3060" s="9" t="n">
        <v>2244.74</v>
      </c>
      <c r="U3060" s="10">
        <f>SUM(I3060:T3060)</f>
        <v/>
      </c>
    </row>
    <row r="3061">
      <c r="A3061" s="2" t="inlineStr">
        <is>
          <t>SN-5000-5200-5210-5210OC0003</t>
        </is>
      </c>
      <c r="B3061" s="2" t="inlineStr">
        <is>
          <t>5210OC0003</t>
        </is>
      </c>
      <c r="C3061" s="2" t="inlineStr">
        <is>
          <t>Consola operador Trituración y Molienda</t>
        </is>
      </c>
      <c r="D3061" s="2" t="n">
        <v>1020</v>
      </c>
      <c r="E3061" s="2" t="inlineStr">
        <is>
          <t>CC-5000</t>
        </is>
      </c>
      <c r="F3061" s="2" t="inlineStr">
        <is>
          <t>P01</t>
        </is>
      </c>
      <c r="G3061" s="2" t="n">
        <v>630000</v>
      </c>
      <c r="H3061" s="2" t="inlineStr">
        <is>
          <t>Servicios externos</t>
        </is>
      </c>
      <c r="I3061" s="9" t="n">
        <v>1521.76</v>
      </c>
      <c r="J3061" s="9" t="n">
        <v>1662.21</v>
      </c>
      <c r="K3061" s="9" t="n">
        <v>1553.78</v>
      </c>
      <c r="L3061" s="9" t="n">
        <v>1600.31</v>
      </c>
      <c r="M3061" s="9" t="n">
        <v>1716.67</v>
      </c>
      <c r="N3061" s="9" t="n">
        <v>1665.13</v>
      </c>
      <c r="O3061" s="9" t="n">
        <v>1529.3</v>
      </c>
      <c r="P3061" s="9" t="n">
        <v>1630.7</v>
      </c>
      <c r="Q3061" s="9" t="n">
        <v>1518.69</v>
      </c>
      <c r="R3061" s="9" t="n">
        <v>1729.63</v>
      </c>
      <c r="S3061" s="9" t="n">
        <v>1670.87</v>
      </c>
      <c r="T3061" s="9" t="n">
        <v>1706.83</v>
      </c>
      <c r="U3061" s="10">
        <f>SUM(I3061:T3061)</f>
        <v/>
      </c>
    </row>
    <row r="3062">
      <c r="A3062" s="2" t="inlineStr">
        <is>
          <t>SN-5000-5200-5210-5210OC0004</t>
        </is>
      </c>
      <c r="B3062" s="2" t="inlineStr">
        <is>
          <t>5210OC0004</t>
        </is>
      </c>
      <c r="C3062" s="2" t="inlineStr">
        <is>
          <t>Consola operador Lixiviación y Merrill</t>
        </is>
      </c>
      <c r="D3062" s="2" t="n">
        <v>1021</v>
      </c>
      <c r="E3062" s="2" t="inlineStr">
        <is>
          <t>CC-5000</t>
        </is>
      </c>
      <c r="F3062" s="2" t="inlineStr">
        <is>
          <t>P01</t>
        </is>
      </c>
      <c r="G3062" s="2" t="n">
        <v>610000</v>
      </c>
      <c r="H3062" s="2" t="inlineStr">
        <is>
          <t>Mano obra interna</t>
        </is>
      </c>
      <c r="I3062" s="9" t="n">
        <v>358.81</v>
      </c>
      <c r="J3062" s="9" t="n">
        <v>355.63</v>
      </c>
      <c r="K3062" s="9" t="n">
        <v>375.73</v>
      </c>
      <c r="L3062" s="9" t="n">
        <v>360.98</v>
      </c>
      <c r="M3062" s="9" t="n">
        <v>337.75</v>
      </c>
      <c r="N3062" s="9" t="n">
        <v>328.04</v>
      </c>
      <c r="O3062" s="9" t="n">
        <v>346.45</v>
      </c>
      <c r="P3062" s="9" t="n">
        <v>347.37</v>
      </c>
      <c r="Q3062" s="9" t="n">
        <v>325.7</v>
      </c>
      <c r="R3062" s="9" t="n">
        <v>378.16</v>
      </c>
      <c r="S3062" s="9" t="n">
        <v>350.78</v>
      </c>
      <c r="T3062" s="9" t="n">
        <v>370.92</v>
      </c>
      <c r="U3062" s="10">
        <f>SUM(I3062:T3062)</f>
        <v/>
      </c>
    </row>
    <row r="3063">
      <c r="A3063" s="2" t="inlineStr">
        <is>
          <t>SN-5000-5200-5210-5210OC0004</t>
        </is>
      </c>
      <c r="B3063" s="2" t="inlineStr">
        <is>
          <t>5210OC0004</t>
        </is>
      </c>
      <c r="C3063" s="2" t="inlineStr">
        <is>
          <t>Consola operador Lixiviación y Merrill</t>
        </is>
      </c>
      <c r="D3063" s="2" t="n">
        <v>1021</v>
      </c>
      <c r="E3063" s="2" t="inlineStr">
        <is>
          <t>CC-5000</t>
        </is>
      </c>
      <c r="F3063" s="2" t="inlineStr">
        <is>
          <t>P01</t>
        </is>
      </c>
      <c r="G3063" s="2" t="n">
        <v>620000</v>
      </c>
      <c r="H3063" s="2" t="inlineStr">
        <is>
          <t>Materiales</t>
        </is>
      </c>
      <c r="I3063" s="9" t="n">
        <v>322.92</v>
      </c>
      <c r="J3063" s="9" t="n">
        <v>294.96</v>
      </c>
      <c r="K3063" s="9" t="n">
        <v>320.46</v>
      </c>
      <c r="L3063" s="9" t="n">
        <v>324.12</v>
      </c>
      <c r="M3063" s="9" t="n">
        <v>278.06</v>
      </c>
      <c r="N3063" s="9" t="n">
        <v>280.65</v>
      </c>
      <c r="O3063" s="9" t="n">
        <v>293.93</v>
      </c>
      <c r="P3063" s="9" t="n">
        <v>289.84</v>
      </c>
      <c r="Q3063" s="9" t="n">
        <v>254.72</v>
      </c>
      <c r="R3063" s="9" t="n">
        <v>336.45</v>
      </c>
      <c r="S3063" s="9" t="n">
        <v>269.62</v>
      </c>
      <c r="T3063" s="9" t="n">
        <v>325.27</v>
      </c>
      <c r="U3063" s="10">
        <f>SUM(I3063:T3063)</f>
        <v/>
      </c>
    </row>
    <row r="3064">
      <c r="A3064" s="2" t="inlineStr">
        <is>
          <t>SN-5000-5200-5210-5210OC0004</t>
        </is>
      </c>
      <c r="B3064" s="2" t="inlineStr">
        <is>
          <t>5210OC0004</t>
        </is>
      </c>
      <c r="C3064" s="2" t="inlineStr">
        <is>
          <t>Consola operador Lixiviación y Merrill</t>
        </is>
      </c>
      <c r="D3064" s="2" t="n">
        <v>1021</v>
      </c>
      <c r="E3064" s="2" t="inlineStr">
        <is>
          <t>CC-5000</t>
        </is>
      </c>
      <c r="F3064" s="2" t="inlineStr">
        <is>
          <t>P01</t>
        </is>
      </c>
      <c r="G3064" s="2" t="n">
        <v>630000</v>
      </c>
      <c r="H3064" s="2" t="inlineStr">
        <is>
          <t>Servicios externos</t>
        </is>
      </c>
      <c r="I3064" s="9" t="n">
        <v>357.76</v>
      </c>
      <c r="J3064" s="9" t="n">
        <v>321.95</v>
      </c>
      <c r="K3064" s="9" t="n">
        <v>357.85</v>
      </c>
      <c r="L3064" s="9" t="n">
        <v>340.13</v>
      </c>
      <c r="M3064" s="9" t="n">
        <v>328.87</v>
      </c>
      <c r="N3064" s="9" t="n">
        <v>348.26</v>
      </c>
      <c r="O3064" s="9" t="n">
        <v>339.57</v>
      </c>
      <c r="P3064" s="9" t="n">
        <v>343.04</v>
      </c>
      <c r="Q3064" s="9" t="n">
        <v>339.78</v>
      </c>
      <c r="R3064" s="9" t="n">
        <v>348.55</v>
      </c>
      <c r="S3064" s="9" t="n">
        <v>340.04</v>
      </c>
      <c r="T3064" s="9" t="n">
        <v>355.55</v>
      </c>
      <c r="U3064" s="10">
        <f>SUM(I3064:T3064)</f>
        <v/>
      </c>
    </row>
    <row r="3065">
      <c r="A3065" s="2" t="inlineStr">
        <is>
          <t>SN-5000-5200-5210-5210OC0006</t>
        </is>
      </c>
      <c r="B3065" s="2" t="inlineStr">
        <is>
          <t>5210OC0006</t>
        </is>
      </c>
      <c r="C3065" s="2" t="inlineStr">
        <is>
          <t>Consola operador agua y relaves</t>
        </is>
      </c>
      <c r="D3065" s="2" t="n">
        <v>1022</v>
      </c>
      <c r="E3065" s="2" t="inlineStr">
        <is>
          <t>CC-5000</t>
        </is>
      </c>
      <c r="F3065" s="2" t="inlineStr">
        <is>
          <t>P01</t>
        </is>
      </c>
      <c r="G3065" s="2" t="n">
        <v>610000</v>
      </c>
      <c r="H3065" s="2" t="inlineStr">
        <is>
          <t>Mano obra interna</t>
        </is>
      </c>
      <c r="I3065" s="9" t="n">
        <v>1991.59</v>
      </c>
      <c r="J3065" s="9" t="n">
        <v>1954.41</v>
      </c>
      <c r="K3065" s="9" t="n">
        <v>1901.18</v>
      </c>
      <c r="L3065" s="9" t="n">
        <v>1880.71</v>
      </c>
      <c r="M3065" s="9" t="n">
        <v>1834.58</v>
      </c>
      <c r="N3065" s="9" t="n">
        <v>1834.98</v>
      </c>
      <c r="O3065" s="9" t="n">
        <v>1903.84</v>
      </c>
      <c r="P3065" s="9" t="n">
        <v>1769.64</v>
      </c>
      <c r="Q3065" s="9" t="n">
        <v>1604.68</v>
      </c>
      <c r="R3065" s="9" t="n">
        <v>2142.13</v>
      </c>
      <c r="S3065" s="9" t="n">
        <v>1725.38</v>
      </c>
      <c r="T3065" s="9" t="n">
        <v>1922.36</v>
      </c>
      <c r="U3065" s="10">
        <f>SUM(I3065:T3065)</f>
        <v/>
      </c>
    </row>
    <row r="3066">
      <c r="A3066" s="2" t="inlineStr">
        <is>
          <t>SN-5000-5200-5210-5210OC0006</t>
        </is>
      </c>
      <c r="B3066" s="2" t="inlineStr">
        <is>
          <t>5210OC0006</t>
        </is>
      </c>
      <c r="C3066" s="2" t="inlineStr">
        <is>
          <t>Consola operador agua y relaves</t>
        </is>
      </c>
      <c r="D3066" s="2" t="n">
        <v>1022</v>
      </c>
      <c r="E3066" s="2" t="inlineStr">
        <is>
          <t>CC-5000</t>
        </is>
      </c>
      <c r="F3066" s="2" t="inlineStr">
        <is>
          <t>P01</t>
        </is>
      </c>
      <c r="G3066" s="2" t="n">
        <v>620000</v>
      </c>
      <c r="H3066" s="2" t="inlineStr">
        <is>
          <t>Materiales</t>
        </is>
      </c>
      <c r="I3066" s="9" t="n">
        <v>2044.68</v>
      </c>
      <c r="J3066" s="9" t="n">
        <v>2081.87</v>
      </c>
      <c r="K3066" s="9" t="n">
        <v>2000.61</v>
      </c>
      <c r="L3066" s="9" t="n">
        <v>2273.66</v>
      </c>
      <c r="M3066" s="9" t="n">
        <v>1902.89</v>
      </c>
      <c r="N3066" s="9" t="n">
        <v>1958.58</v>
      </c>
      <c r="O3066" s="9" t="n">
        <v>2082.18</v>
      </c>
      <c r="P3066" s="9" t="n">
        <v>2163.59</v>
      </c>
      <c r="Q3066" s="9" t="n">
        <v>1809.27</v>
      </c>
      <c r="R3066" s="9" t="n">
        <v>2210.18</v>
      </c>
      <c r="S3066" s="9" t="n">
        <v>1938.78</v>
      </c>
      <c r="T3066" s="9" t="n">
        <v>2036.61</v>
      </c>
      <c r="U3066" s="10">
        <f>SUM(I3066:T3066)</f>
        <v/>
      </c>
    </row>
    <row r="3067">
      <c r="A3067" s="2" t="inlineStr">
        <is>
          <t>SN-5000-5200-5210-5210OC0006</t>
        </is>
      </c>
      <c r="B3067" s="2" t="inlineStr">
        <is>
          <t>5210OC0006</t>
        </is>
      </c>
      <c r="C3067" s="2" t="inlineStr">
        <is>
          <t>Consola operador agua y relaves</t>
        </is>
      </c>
      <c r="D3067" s="2" t="n">
        <v>1022</v>
      </c>
      <c r="E3067" s="2" t="inlineStr">
        <is>
          <t>CC-5000</t>
        </is>
      </c>
      <c r="F3067" s="2" t="inlineStr">
        <is>
          <t>P01</t>
        </is>
      </c>
      <c r="G3067" s="2" t="n">
        <v>630000</v>
      </c>
      <c r="H3067" s="2" t="inlineStr">
        <is>
          <t>Servicios externos</t>
        </is>
      </c>
      <c r="I3067" s="9" t="n">
        <v>1847.03</v>
      </c>
      <c r="J3067" s="9" t="n">
        <v>2012.14</v>
      </c>
      <c r="K3067" s="9" t="n">
        <v>2127.61</v>
      </c>
      <c r="L3067" s="9" t="n">
        <v>2137.05</v>
      </c>
      <c r="M3067" s="9" t="n">
        <v>1983.93</v>
      </c>
      <c r="N3067" s="9" t="n">
        <v>1828.41</v>
      </c>
      <c r="O3067" s="9" t="n">
        <v>1942.78</v>
      </c>
      <c r="P3067" s="9" t="n">
        <v>2110.87</v>
      </c>
      <c r="Q3067" s="9" t="n">
        <v>1940.51</v>
      </c>
      <c r="R3067" s="9" t="n">
        <v>2106.5</v>
      </c>
      <c r="S3067" s="9" t="n">
        <v>2036.87</v>
      </c>
      <c r="T3067" s="9" t="n">
        <v>2096.98</v>
      </c>
      <c r="U3067" s="10">
        <f>SUM(I3067:T3067)</f>
        <v/>
      </c>
    </row>
    <row r="3068">
      <c r="A3068" s="2" t="inlineStr">
        <is>
          <t>SN-5000-5200-5210-5210OC0007</t>
        </is>
      </c>
      <c r="B3068" s="2" t="inlineStr">
        <is>
          <t>5210OC0007</t>
        </is>
      </c>
      <c r="C3068" s="2" t="inlineStr">
        <is>
          <t>Consola operador SCADA eléctrica</t>
        </is>
      </c>
      <c r="D3068" s="2" t="n">
        <v>1023</v>
      </c>
      <c r="E3068" s="2" t="inlineStr">
        <is>
          <t>CC-5000</t>
        </is>
      </c>
      <c r="F3068" s="2" t="inlineStr">
        <is>
          <t>P01</t>
        </is>
      </c>
      <c r="G3068" s="2" t="n">
        <v>610000</v>
      </c>
      <c r="H3068" s="2" t="inlineStr">
        <is>
          <t>Mano obra interna</t>
        </is>
      </c>
      <c r="I3068" s="9" t="n">
        <v>982.52</v>
      </c>
      <c r="J3068" s="9" t="n">
        <v>973.62</v>
      </c>
      <c r="K3068" s="9" t="n">
        <v>1025.14</v>
      </c>
      <c r="L3068" s="9" t="n">
        <v>893.3099999999999</v>
      </c>
      <c r="M3068" s="9" t="n">
        <v>994.29</v>
      </c>
      <c r="N3068" s="9" t="n">
        <v>870.2</v>
      </c>
      <c r="O3068" s="9" t="n">
        <v>926.51</v>
      </c>
      <c r="P3068" s="9" t="n">
        <v>978.02</v>
      </c>
      <c r="Q3068" s="9" t="n">
        <v>893.41</v>
      </c>
      <c r="R3068" s="9" t="n">
        <v>1071.84</v>
      </c>
      <c r="S3068" s="9" t="n">
        <v>890.8200000000001</v>
      </c>
      <c r="T3068" s="9" t="n">
        <v>929.73</v>
      </c>
      <c r="U3068" s="10">
        <f>SUM(I3068:T3068)</f>
        <v/>
      </c>
    </row>
    <row r="3069">
      <c r="A3069" s="2" t="inlineStr">
        <is>
          <t>SN-5000-5200-5210-5210OC0007</t>
        </is>
      </c>
      <c r="B3069" s="2" t="inlineStr">
        <is>
          <t>5210OC0007</t>
        </is>
      </c>
      <c r="C3069" s="2" t="inlineStr">
        <is>
          <t>Consola operador SCADA eléctrica</t>
        </is>
      </c>
      <c r="D3069" s="2" t="n">
        <v>1023</v>
      </c>
      <c r="E3069" s="2" t="inlineStr">
        <is>
          <t>CC-5000</t>
        </is>
      </c>
      <c r="F3069" s="2" t="inlineStr">
        <is>
          <t>P01</t>
        </is>
      </c>
      <c r="G3069" s="2" t="n">
        <v>620000</v>
      </c>
      <c r="H3069" s="2" t="inlineStr">
        <is>
          <t>Materiales</t>
        </is>
      </c>
      <c r="I3069" s="9" t="n">
        <v>725.5700000000001</v>
      </c>
      <c r="J3069" s="9" t="n">
        <v>729.4400000000001</v>
      </c>
      <c r="K3069" s="9" t="n">
        <v>714.1799999999999</v>
      </c>
      <c r="L3069" s="9" t="n">
        <v>726.42</v>
      </c>
      <c r="M3069" s="9" t="n">
        <v>675.85</v>
      </c>
      <c r="N3069" s="9" t="n">
        <v>713.4400000000001</v>
      </c>
      <c r="O3069" s="9" t="n">
        <v>665.04</v>
      </c>
      <c r="P3069" s="9" t="n">
        <v>737.96</v>
      </c>
      <c r="Q3069" s="9" t="n">
        <v>652.7</v>
      </c>
      <c r="R3069" s="9" t="n">
        <v>714.54</v>
      </c>
      <c r="S3069" s="9" t="n">
        <v>731.33</v>
      </c>
      <c r="T3069" s="9" t="n">
        <v>724.21</v>
      </c>
      <c r="U3069" s="10">
        <f>SUM(I3069:T3069)</f>
        <v/>
      </c>
    </row>
    <row r="3070">
      <c r="A3070" s="2" t="inlineStr">
        <is>
          <t>SN-5000-5200-5210-5210OC0007</t>
        </is>
      </c>
      <c r="B3070" s="2" t="inlineStr">
        <is>
          <t>5210OC0007</t>
        </is>
      </c>
      <c r="C3070" s="2" t="inlineStr">
        <is>
          <t>Consola operador SCADA eléctrica</t>
        </is>
      </c>
      <c r="D3070" s="2" t="n">
        <v>1023</v>
      </c>
      <c r="E3070" s="2" t="inlineStr">
        <is>
          <t>CC-5000</t>
        </is>
      </c>
      <c r="F3070" s="2" t="inlineStr">
        <is>
          <t>P01</t>
        </is>
      </c>
      <c r="G3070" s="2" t="n">
        <v>630000</v>
      </c>
      <c r="H3070" s="2" t="inlineStr">
        <is>
          <t>Servicios externos</t>
        </is>
      </c>
      <c r="I3070" s="9" t="n">
        <v>892.4</v>
      </c>
      <c r="J3070" s="9" t="n">
        <v>850.72</v>
      </c>
      <c r="K3070" s="9" t="n">
        <v>901.67</v>
      </c>
      <c r="L3070" s="9" t="n">
        <v>897.62</v>
      </c>
      <c r="M3070" s="9" t="n">
        <v>846.0599999999999</v>
      </c>
      <c r="N3070" s="9" t="n">
        <v>788.53</v>
      </c>
      <c r="O3070" s="9" t="n">
        <v>808.61</v>
      </c>
      <c r="P3070" s="9" t="n">
        <v>896.55</v>
      </c>
      <c r="Q3070" s="9" t="n">
        <v>843.61</v>
      </c>
      <c r="R3070" s="9" t="n">
        <v>888.29</v>
      </c>
      <c r="S3070" s="9" t="n">
        <v>765.35</v>
      </c>
      <c r="T3070" s="9" t="n">
        <v>817.42</v>
      </c>
      <c r="U3070" s="10">
        <f>SUM(I3070:T3070)</f>
        <v/>
      </c>
    </row>
    <row r="3071">
      <c r="A3071" s="2" t="inlineStr">
        <is>
          <t>SN-5000-5200-5210-5210OC0008</t>
        </is>
      </c>
      <c r="B3071" s="2" t="inlineStr">
        <is>
          <t>5210OC0008</t>
        </is>
      </c>
      <c r="C3071" s="2" t="inlineStr">
        <is>
          <t>Consola operador de despacho</t>
        </is>
      </c>
      <c r="D3071" s="2" t="n">
        <v>1024</v>
      </c>
      <c r="E3071" s="2" t="inlineStr">
        <is>
          <t>CC-5000</t>
        </is>
      </c>
      <c r="F3071" s="2" t="inlineStr">
        <is>
          <t>P01</t>
        </is>
      </c>
      <c r="G3071" s="2" t="n">
        <v>610000</v>
      </c>
      <c r="H3071" s="2" t="inlineStr">
        <is>
          <t>Mano obra interna</t>
        </is>
      </c>
      <c r="I3071" s="9" t="n">
        <v>2421.46</v>
      </c>
      <c r="J3071" s="9" t="n">
        <v>2575.59</v>
      </c>
      <c r="K3071" s="9" t="n">
        <v>2756.98</v>
      </c>
      <c r="L3071" s="9" t="n">
        <v>2747.96</v>
      </c>
      <c r="M3071" s="9" t="n">
        <v>2282.64</v>
      </c>
      <c r="N3071" s="9" t="n">
        <v>2568.46</v>
      </c>
      <c r="O3071" s="9" t="n">
        <v>2600.37</v>
      </c>
      <c r="P3071" s="9" t="n">
        <v>2334.68</v>
      </c>
      <c r="Q3071" s="9" t="n">
        <v>2298.39</v>
      </c>
      <c r="R3071" s="9" t="n">
        <v>2785.7</v>
      </c>
      <c r="S3071" s="9" t="n">
        <v>2600.12</v>
      </c>
      <c r="T3071" s="9" t="n">
        <v>2403.66</v>
      </c>
      <c r="U3071" s="10">
        <f>SUM(I3071:T3071)</f>
        <v/>
      </c>
    </row>
    <row r="3072">
      <c r="A3072" s="2" t="inlineStr">
        <is>
          <t>SN-5000-5200-5210-5210OC0008</t>
        </is>
      </c>
      <c r="B3072" s="2" t="inlineStr">
        <is>
          <t>5210OC0008</t>
        </is>
      </c>
      <c r="C3072" s="2" t="inlineStr">
        <is>
          <t>Consola operador de despacho</t>
        </is>
      </c>
      <c r="D3072" s="2" t="n">
        <v>1024</v>
      </c>
      <c r="E3072" s="2" t="inlineStr">
        <is>
          <t>CC-5000</t>
        </is>
      </c>
      <c r="F3072" s="2" t="inlineStr">
        <is>
          <t>P01</t>
        </is>
      </c>
      <c r="G3072" s="2" t="n">
        <v>620000</v>
      </c>
      <c r="H3072" s="2" t="inlineStr">
        <is>
          <t>Materiales</t>
        </is>
      </c>
      <c r="I3072" s="9" t="n">
        <v>2071.63</v>
      </c>
      <c r="J3072" s="9" t="n">
        <v>2157.83</v>
      </c>
      <c r="K3072" s="9" t="n">
        <v>2261.44</v>
      </c>
      <c r="L3072" s="9" t="n">
        <v>1992.59</v>
      </c>
      <c r="M3072" s="9" t="n">
        <v>1958.95</v>
      </c>
      <c r="N3072" s="9" t="n">
        <v>2076.02</v>
      </c>
      <c r="O3072" s="9" t="n">
        <v>2115.89</v>
      </c>
      <c r="P3072" s="9" t="n">
        <v>2190.75</v>
      </c>
      <c r="Q3072" s="9" t="n">
        <v>2016.81</v>
      </c>
      <c r="R3072" s="9" t="n">
        <v>2098</v>
      </c>
      <c r="S3072" s="9" t="n">
        <v>2055.25</v>
      </c>
      <c r="T3072" s="9" t="n">
        <v>1919.2</v>
      </c>
      <c r="U3072" s="10">
        <f>SUM(I3072:T3072)</f>
        <v/>
      </c>
    </row>
    <row r="3073">
      <c r="A3073" s="2" t="inlineStr">
        <is>
          <t>SN-5000-5200-5210-5210OC0008</t>
        </is>
      </c>
      <c r="B3073" s="2" t="inlineStr">
        <is>
          <t>5210OC0008</t>
        </is>
      </c>
      <c r="C3073" s="2" t="inlineStr">
        <is>
          <t>Consola operador de despacho</t>
        </is>
      </c>
      <c r="D3073" s="2" t="n">
        <v>1024</v>
      </c>
      <c r="E3073" s="2" t="inlineStr">
        <is>
          <t>CC-5000</t>
        </is>
      </c>
      <c r="F3073" s="2" t="inlineStr">
        <is>
          <t>P01</t>
        </is>
      </c>
      <c r="G3073" s="2" t="n">
        <v>630000</v>
      </c>
      <c r="H3073" s="2" t="inlineStr">
        <is>
          <t>Servicios externos</t>
        </is>
      </c>
      <c r="I3073" s="9" t="n">
        <v>2630.14</v>
      </c>
      <c r="J3073" s="9" t="n">
        <v>2679.06</v>
      </c>
      <c r="K3073" s="9" t="n">
        <v>2807.97</v>
      </c>
      <c r="L3073" s="9" t="n">
        <v>2404.9</v>
      </c>
      <c r="M3073" s="9" t="n">
        <v>2372.73</v>
      </c>
      <c r="N3073" s="9" t="n">
        <v>2417.73</v>
      </c>
      <c r="O3073" s="9" t="n">
        <v>2690.39</v>
      </c>
      <c r="P3073" s="9" t="n">
        <v>2660.8</v>
      </c>
      <c r="Q3073" s="9" t="n">
        <v>2535.34</v>
      </c>
      <c r="R3073" s="9" t="n">
        <v>2785.72</v>
      </c>
      <c r="S3073" s="9" t="n">
        <v>2358.68</v>
      </c>
      <c r="T3073" s="9" t="n">
        <v>2377.38</v>
      </c>
      <c r="U3073" s="10">
        <f>SUM(I3073:T3073)</f>
        <v/>
      </c>
    </row>
    <row r="3074">
      <c r="A3074" s="2" t="inlineStr">
        <is>
          <t>SN-5000-5200-5210-5210OC0009</t>
        </is>
      </c>
      <c r="B3074" s="2" t="inlineStr">
        <is>
          <t>5210OC0009</t>
        </is>
      </c>
      <c r="C3074" s="2" t="inlineStr">
        <is>
          <t>Consola operador de equipos de minería</t>
        </is>
      </c>
      <c r="D3074" s="2" t="n">
        <v>1025</v>
      </c>
      <c r="E3074" s="2" t="inlineStr">
        <is>
          <t>CC-5000</t>
        </is>
      </c>
      <c r="F3074" s="2" t="inlineStr">
        <is>
          <t>P01</t>
        </is>
      </c>
      <c r="G3074" s="2" t="n">
        <v>610000</v>
      </c>
      <c r="H3074" s="2" t="inlineStr">
        <is>
          <t>Mano obra interna</t>
        </is>
      </c>
      <c r="I3074" s="9" t="n">
        <v>1480.14</v>
      </c>
      <c r="J3074" s="9" t="n">
        <v>1483.74</v>
      </c>
      <c r="K3074" s="9" t="n">
        <v>1413.3</v>
      </c>
      <c r="L3074" s="9" t="n">
        <v>1528.1</v>
      </c>
      <c r="M3074" s="9" t="n">
        <v>1372.3</v>
      </c>
      <c r="N3074" s="9" t="n">
        <v>1307.04</v>
      </c>
      <c r="O3074" s="9" t="n">
        <v>1413</v>
      </c>
      <c r="P3074" s="9" t="n">
        <v>1396.29</v>
      </c>
      <c r="Q3074" s="9" t="n">
        <v>1399.8</v>
      </c>
      <c r="R3074" s="9" t="n">
        <v>1513.25</v>
      </c>
      <c r="S3074" s="9" t="n">
        <v>1316.68</v>
      </c>
      <c r="T3074" s="9" t="n">
        <v>1509.75</v>
      </c>
      <c r="U3074" s="10">
        <f>SUM(I3074:T3074)</f>
        <v/>
      </c>
    </row>
    <row r="3075">
      <c r="A3075" s="2" t="inlineStr">
        <is>
          <t>SN-5000-5200-5210-5210OC0009</t>
        </is>
      </c>
      <c r="B3075" s="2" t="inlineStr">
        <is>
          <t>5210OC0009</t>
        </is>
      </c>
      <c r="C3075" s="2" t="inlineStr">
        <is>
          <t>Consola operador de equipos de minería</t>
        </is>
      </c>
      <c r="D3075" s="2" t="n">
        <v>1025</v>
      </c>
      <c r="E3075" s="2" t="inlineStr">
        <is>
          <t>CC-5000</t>
        </is>
      </c>
      <c r="F3075" s="2" t="inlineStr">
        <is>
          <t>P01</t>
        </is>
      </c>
      <c r="G3075" s="2" t="n">
        <v>620000</v>
      </c>
      <c r="H3075" s="2" t="inlineStr">
        <is>
          <t>Materiales</t>
        </is>
      </c>
      <c r="I3075" s="9" t="n">
        <v>1842.73</v>
      </c>
      <c r="J3075" s="9" t="n">
        <v>1667.27</v>
      </c>
      <c r="K3075" s="9" t="n">
        <v>1743.08</v>
      </c>
      <c r="L3075" s="9" t="n">
        <v>1674.64</v>
      </c>
      <c r="M3075" s="9" t="n">
        <v>1627.04</v>
      </c>
      <c r="N3075" s="9" t="n">
        <v>1797.77</v>
      </c>
      <c r="O3075" s="9" t="n">
        <v>1650.21</v>
      </c>
      <c r="P3075" s="9" t="n">
        <v>1757.57</v>
      </c>
      <c r="Q3075" s="9" t="n">
        <v>1693.45</v>
      </c>
      <c r="R3075" s="9" t="n">
        <v>2008.19</v>
      </c>
      <c r="S3075" s="9" t="n">
        <v>1617.21</v>
      </c>
      <c r="T3075" s="9" t="n">
        <v>1771.67</v>
      </c>
      <c r="U3075" s="10">
        <f>SUM(I3075:T3075)</f>
        <v/>
      </c>
    </row>
    <row r="3076">
      <c r="A3076" s="2" t="inlineStr">
        <is>
          <t>SN-5000-5200-5210-5210OC0009</t>
        </is>
      </c>
      <c r="B3076" s="2" t="inlineStr">
        <is>
          <t>5210OC0009</t>
        </is>
      </c>
      <c r="C3076" s="2" t="inlineStr">
        <is>
          <t>Consola operador de equipos de minería</t>
        </is>
      </c>
      <c r="D3076" s="2" t="n">
        <v>1025</v>
      </c>
      <c r="E3076" s="2" t="inlineStr">
        <is>
          <t>CC-5000</t>
        </is>
      </c>
      <c r="F3076" s="2" t="inlineStr">
        <is>
          <t>P01</t>
        </is>
      </c>
      <c r="G3076" s="2" t="n">
        <v>630000</v>
      </c>
      <c r="H3076" s="2" t="inlineStr">
        <is>
          <t>Servicios externos</t>
        </is>
      </c>
      <c r="I3076" s="9" t="n">
        <v>1380.89</v>
      </c>
      <c r="J3076" s="9" t="n">
        <v>1342.86</v>
      </c>
      <c r="K3076" s="9" t="n">
        <v>1472.47</v>
      </c>
      <c r="L3076" s="9" t="n">
        <v>1327.44</v>
      </c>
      <c r="M3076" s="9" t="n">
        <v>1372.79</v>
      </c>
      <c r="N3076" s="9" t="n">
        <v>1278.41</v>
      </c>
      <c r="O3076" s="9" t="n">
        <v>1513.58</v>
      </c>
      <c r="P3076" s="9" t="n">
        <v>1425.25</v>
      </c>
      <c r="Q3076" s="9" t="n">
        <v>1387.56</v>
      </c>
      <c r="R3076" s="9" t="n">
        <v>1444.17</v>
      </c>
      <c r="S3076" s="9" t="n">
        <v>1430.32</v>
      </c>
      <c r="T3076" s="9" t="n">
        <v>1409.11</v>
      </c>
      <c r="U3076" s="10">
        <f>SUM(I3076:T3076)</f>
        <v/>
      </c>
    </row>
    <row r="3077">
      <c r="A3077" s="2" t="inlineStr">
        <is>
          <t>SN-5000-5200-5210-5210SW0031</t>
        </is>
      </c>
      <c r="B3077" s="2" t="inlineStr">
        <is>
          <t>5210SW0031</t>
        </is>
      </c>
      <c r="C3077" s="2" t="inlineStr">
        <is>
          <t>KVM Switch 1 5210CC0003SW001</t>
        </is>
      </c>
      <c r="D3077" s="2" t="n">
        <v>1026</v>
      </c>
      <c r="E3077" s="2" t="inlineStr">
        <is>
          <t>CC-5000</t>
        </is>
      </c>
      <c r="F3077" s="2" t="inlineStr">
        <is>
          <t>P01</t>
        </is>
      </c>
      <c r="G3077" s="2" t="n">
        <v>610000</v>
      </c>
      <c r="H3077" s="2" t="inlineStr">
        <is>
          <t>Mano obra interna</t>
        </is>
      </c>
      <c r="I3077" s="9" t="n">
        <v>1608.65</v>
      </c>
      <c r="J3077" s="9" t="n">
        <v>1552.13</v>
      </c>
      <c r="K3077" s="9" t="n">
        <v>1684.25</v>
      </c>
      <c r="L3077" s="9" t="n">
        <v>1615.42</v>
      </c>
      <c r="M3077" s="9" t="n">
        <v>1411.97</v>
      </c>
      <c r="N3077" s="9" t="n">
        <v>1405.07</v>
      </c>
      <c r="O3077" s="9" t="n">
        <v>1501.58</v>
      </c>
      <c r="P3077" s="9" t="n">
        <v>1421.16</v>
      </c>
      <c r="Q3077" s="9" t="n">
        <v>1472.92</v>
      </c>
      <c r="R3077" s="9" t="n">
        <v>1638.17</v>
      </c>
      <c r="S3077" s="9" t="n">
        <v>1568.4</v>
      </c>
      <c r="T3077" s="9" t="n">
        <v>1556.97</v>
      </c>
      <c r="U3077" s="10">
        <f>SUM(I3077:T3077)</f>
        <v/>
      </c>
    </row>
    <row r="3078">
      <c r="A3078" s="2" t="inlineStr">
        <is>
          <t>SN-5000-5200-5210-5210SW0031</t>
        </is>
      </c>
      <c r="B3078" s="2" t="inlineStr">
        <is>
          <t>5210SW0031</t>
        </is>
      </c>
      <c r="C3078" s="2" t="inlineStr">
        <is>
          <t>KVM Switch 1 5210CC0003SW001</t>
        </is>
      </c>
      <c r="D3078" s="2" t="n">
        <v>1026</v>
      </c>
      <c r="E3078" s="2" t="inlineStr">
        <is>
          <t>CC-5000</t>
        </is>
      </c>
      <c r="F3078" s="2" t="inlineStr">
        <is>
          <t>P01</t>
        </is>
      </c>
      <c r="G3078" s="2" t="n">
        <v>620000</v>
      </c>
      <c r="H3078" s="2" t="inlineStr">
        <is>
          <t>Materiales</t>
        </is>
      </c>
      <c r="I3078" s="9" t="n">
        <v>1567.54</v>
      </c>
      <c r="J3078" s="9" t="n">
        <v>1532.52</v>
      </c>
      <c r="K3078" s="9" t="n">
        <v>1795.85</v>
      </c>
      <c r="L3078" s="9" t="n">
        <v>1817.2</v>
      </c>
      <c r="M3078" s="9" t="n">
        <v>1609.38</v>
      </c>
      <c r="N3078" s="9" t="n">
        <v>1654.35</v>
      </c>
      <c r="O3078" s="9" t="n">
        <v>1682.99</v>
      </c>
      <c r="P3078" s="9" t="n">
        <v>1768.34</v>
      </c>
      <c r="Q3078" s="9" t="n">
        <v>1470.32</v>
      </c>
      <c r="R3078" s="9" t="n">
        <v>1790.62</v>
      </c>
      <c r="S3078" s="9" t="n">
        <v>1572.64</v>
      </c>
      <c r="T3078" s="9" t="n">
        <v>1684.22</v>
      </c>
      <c r="U3078" s="10">
        <f>SUM(I3078:T3078)</f>
        <v/>
      </c>
    </row>
    <row r="3079">
      <c r="A3079" s="2" t="inlineStr">
        <is>
          <t>SN-5000-5200-5210-5210SW0031</t>
        </is>
      </c>
      <c r="B3079" s="2" t="inlineStr">
        <is>
          <t>5210SW0031</t>
        </is>
      </c>
      <c r="C3079" s="2" t="inlineStr">
        <is>
          <t>KVM Switch 1 5210CC0003SW001</t>
        </is>
      </c>
      <c r="D3079" s="2" t="n">
        <v>1026</v>
      </c>
      <c r="E3079" s="2" t="inlineStr">
        <is>
          <t>CC-5000</t>
        </is>
      </c>
      <c r="F3079" s="2" t="inlineStr">
        <is>
          <t>P01</t>
        </is>
      </c>
      <c r="G3079" s="2" t="n">
        <v>630000</v>
      </c>
      <c r="H3079" s="2" t="inlineStr">
        <is>
          <t>Servicios externos</t>
        </is>
      </c>
      <c r="I3079" s="9" t="n">
        <v>1584.06</v>
      </c>
      <c r="J3079" s="9" t="n">
        <v>1559.3</v>
      </c>
      <c r="K3079" s="9" t="n">
        <v>1494.09</v>
      </c>
      <c r="L3079" s="9" t="n">
        <v>1648.17</v>
      </c>
      <c r="M3079" s="9" t="n">
        <v>1586.98</v>
      </c>
      <c r="N3079" s="9" t="n">
        <v>1574.42</v>
      </c>
      <c r="O3079" s="9" t="n">
        <v>1534.55</v>
      </c>
      <c r="P3079" s="9" t="n">
        <v>1442.33</v>
      </c>
      <c r="Q3079" s="9" t="n">
        <v>1436.06</v>
      </c>
      <c r="R3079" s="9" t="n">
        <v>1576.95</v>
      </c>
      <c r="S3079" s="9" t="n">
        <v>1538.15</v>
      </c>
      <c r="T3079" s="9" t="n">
        <v>1461.17</v>
      </c>
      <c r="U3079" s="10">
        <f>SUM(I3079:T3079)</f>
        <v/>
      </c>
    </row>
    <row r="3080">
      <c r="A3080" s="2" t="inlineStr">
        <is>
          <t>SN-5000-5200-5210-5210SW0041</t>
        </is>
      </c>
      <c r="B3080" s="2" t="inlineStr">
        <is>
          <t>5210SW0041</t>
        </is>
      </c>
      <c r="C3080" s="2" t="inlineStr">
        <is>
          <t>KVM Switch 2 5210CC0004SW001</t>
        </is>
      </c>
      <c r="D3080" s="2" t="n">
        <v>1027</v>
      </c>
      <c r="E3080" s="2" t="inlineStr">
        <is>
          <t>CC-5000</t>
        </is>
      </c>
      <c r="F3080" s="2" t="inlineStr">
        <is>
          <t>P01</t>
        </is>
      </c>
      <c r="G3080" s="2" t="n">
        <v>610000</v>
      </c>
      <c r="H3080" s="2" t="inlineStr">
        <is>
          <t>Mano obra interna</t>
        </is>
      </c>
      <c r="I3080" s="9" t="n">
        <v>370.35</v>
      </c>
      <c r="J3080" s="9" t="n">
        <v>352.43</v>
      </c>
      <c r="K3080" s="9" t="n">
        <v>430.59</v>
      </c>
      <c r="L3080" s="9" t="n">
        <v>428.84</v>
      </c>
      <c r="M3080" s="9" t="n">
        <v>388.13</v>
      </c>
      <c r="N3080" s="9" t="n">
        <v>356.13</v>
      </c>
      <c r="O3080" s="9" t="n">
        <v>414.49</v>
      </c>
      <c r="P3080" s="9" t="n">
        <v>414.74</v>
      </c>
      <c r="Q3080" s="9" t="n">
        <v>382.39</v>
      </c>
      <c r="R3080" s="9" t="n">
        <v>422.2</v>
      </c>
      <c r="S3080" s="9" t="n">
        <v>350.71</v>
      </c>
      <c r="T3080" s="9" t="n">
        <v>368.53</v>
      </c>
      <c r="U3080" s="10">
        <f>SUM(I3080:T3080)</f>
        <v/>
      </c>
    </row>
    <row r="3081">
      <c r="A3081" s="2" t="inlineStr">
        <is>
          <t>SN-5000-5200-5210-5210SW0041</t>
        </is>
      </c>
      <c r="B3081" s="2" t="inlineStr">
        <is>
          <t>5210SW0041</t>
        </is>
      </c>
      <c r="C3081" s="2" t="inlineStr">
        <is>
          <t>KVM Switch 2 5210CC0004SW001</t>
        </is>
      </c>
      <c r="D3081" s="2" t="n">
        <v>1027</v>
      </c>
      <c r="E3081" s="2" t="inlineStr">
        <is>
          <t>CC-5000</t>
        </is>
      </c>
      <c r="F3081" s="2" t="inlineStr">
        <is>
          <t>P01</t>
        </is>
      </c>
      <c r="G3081" s="2" t="n">
        <v>620000</v>
      </c>
      <c r="H3081" s="2" t="inlineStr">
        <is>
          <t>Materiales</t>
        </is>
      </c>
      <c r="I3081" s="9" t="n">
        <v>472.78</v>
      </c>
      <c r="J3081" s="9" t="n">
        <v>425.73</v>
      </c>
      <c r="K3081" s="9" t="n">
        <v>438.29</v>
      </c>
      <c r="L3081" s="9" t="n">
        <v>456.79</v>
      </c>
      <c r="M3081" s="9" t="n">
        <v>453.58</v>
      </c>
      <c r="N3081" s="9" t="n">
        <v>433.15</v>
      </c>
      <c r="O3081" s="9" t="n">
        <v>445.14</v>
      </c>
      <c r="P3081" s="9" t="n">
        <v>417.78</v>
      </c>
      <c r="Q3081" s="9" t="n">
        <v>391.21</v>
      </c>
      <c r="R3081" s="9" t="n">
        <v>488.01</v>
      </c>
      <c r="S3081" s="9" t="n">
        <v>443.39</v>
      </c>
      <c r="T3081" s="9" t="n">
        <v>416.12</v>
      </c>
      <c r="U3081" s="10">
        <f>SUM(I3081:T3081)</f>
        <v/>
      </c>
    </row>
    <row r="3082">
      <c r="A3082" s="2" t="inlineStr">
        <is>
          <t>SN-5000-5200-5210-5210SW0041</t>
        </is>
      </c>
      <c r="B3082" s="2" t="inlineStr">
        <is>
          <t>5210SW0041</t>
        </is>
      </c>
      <c r="C3082" s="2" t="inlineStr">
        <is>
          <t>KVM Switch 2 5210CC0004SW001</t>
        </is>
      </c>
      <c r="D3082" s="2" t="n">
        <v>1027</v>
      </c>
      <c r="E3082" s="2" t="inlineStr">
        <is>
          <t>CC-5000</t>
        </is>
      </c>
      <c r="F3082" s="2" t="inlineStr">
        <is>
          <t>P01</t>
        </is>
      </c>
      <c r="G3082" s="2" t="n">
        <v>630000</v>
      </c>
      <c r="H3082" s="2" t="inlineStr">
        <is>
          <t>Servicios externos</t>
        </is>
      </c>
      <c r="I3082" s="9" t="n">
        <v>370.57</v>
      </c>
      <c r="J3082" s="9" t="n">
        <v>341.3</v>
      </c>
      <c r="K3082" s="9" t="n">
        <v>367.66</v>
      </c>
      <c r="L3082" s="9" t="n">
        <v>367.21</v>
      </c>
      <c r="M3082" s="9" t="n">
        <v>364.59</v>
      </c>
      <c r="N3082" s="9" t="n">
        <v>353.81</v>
      </c>
      <c r="O3082" s="9" t="n">
        <v>340.55</v>
      </c>
      <c r="P3082" s="9" t="n">
        <v>354.88</v>
      </c>
      <c r="Q3082" s="9" t="n">
        <v>308.64</v>
      </c>
      <c r="R3082" s="9" t="n">
        <v>401.3</v>
      </c>
      <c r="S3082" s="9" t="n">
        <v>360.42</v>
      </c>
      <c r="T3082" s="9" t="n">
        <v>346.56</v>
      </c>
      <c r="U3082" s="10">
        <f>SUM(I3082:T3082)</f>
        <v/>
      </c>
    </row>
    <row r="3083">
      <c r="A3083" s="2" t="inlineStr">
        <is>
          <t>SN-5000-5200-5210-5210TU0001</t>
        </is>
      </c>
      <c r="B3083" s="2" t="inlineStr">
        <is>
          <t>5210TU0001</t>
        </is>
      </c>
      <c r="C3083" s="2" t="inlineStr">
        <is>
          <t>Tablero distribución UPS</t>
        </is>
      </c>
      <c r="D3083" s="2" t="n">
        <v>1028</v>
      </c>
      <c r="E3083" s="2" t="inlineStr">
        <is>
          <t>CC-5000</t>
        </is>
      </c>
      <c r="F3083" s="2" t="inlineStr">
        <is>
          <t>P01</t>
        </is>
      </c>
      <c r="G3083" s="2" t="n">
        <v>610000</v>
      </c>
      <c r="H3083" s="2" t="inlineStr">
        <is>
          <t>Mano obra interna</t>
        </is>
      </c>
      <c r="I3083" s="9" t="n">
        <v>717.77</v>
      </c>
      <c r="J3083" s="9" t="n">
        <v>752.54</v>
      </c>
      <c r="K3083" s="9" t="n">
        <v>728.02</v>
      </c>
      <c r="L3083" s="9" t="n">
        <v>794</v>
      </c>
      <c r="M3083" s="9" t="n">
        <v>768.54</v>
      </c>
      <c r="N3083" s="9" t="n">
        <v>735.05</v>
      </c>
      <c r="O3083" s="9" t="n">
        <v>800.91</v>
      </c>
      <c r="P3083" s="9" t="n">
        <v>739.79</v>
      </c>
      <c r="Q3083" s="9" t="n">
        <v>748.1</v>
      </c>
      <c r="R3083" s="9" t="n">
        <v>753.9400000000001</v>
      </c>
      <c r="S3083" s="9" t="n">
        <v>685.65</v>
      </c>
      <c r="T3083" s="9" t="n">
        <v>755.5</v>
      </c>
      <c r="U3083" s="10">
        <f>SUM(I3083:T3083)</f>
        <v/>
      </c>
    </row>
    <row r="3084">
      <c r="A3084" s="2" t="inlineStr">
        <is>
          <t>SN-5000-5200-5210-5210TU0001</t>
        </is>
      </c>
      <c r="B3084" s="2" t="inlineStr">
        <is>
          <t>5210TU0001</t>
        </is>
      </c>
      <c r="C3084" s="2" t="inlineStr">
        <is>
          <t>Tablero distribución UPS</t>
        </is>
      </c>
      <c r="D3084" s="2" t="n">
        <v>1028</v>
      </c>
      <c r="E3084" s="2" t="inlineStr">
        <is>
          <t>CC-5000</t>
        </is>
      </c>
      <c r="F3084" s="2" t="inlineStr">
        <is>
          <t>P01</t>
        </is>
      </c>
      <c r="G3084" s="2" t="n">
        <v>620000</v>
      </c>
      <c r="H3084" s="2" t="inlineStr">
        <is>
          <t>Materiales</t>
        </is>
      </c>
      <c r="I3084" s="9" t="n">
        <v>781.61</v>
      </c>
      <c r="J3084" s="9" t="n">
        <v>823.83</v>
      </c>
      <c r="K3084" s="9" t="n">
        <v>827.4400000000001</v>
      </c>
      <c r="L3084" s="9" t="n">
        <v>898.2</v>
      </c>
      <c r="M3084" s="9" t="n">
        <v>823.37</v>
      </c>
      <c r="N3084" s="9" t="n">
        <v>802.34</v>
      </c>
      <c r="O3084" s="9" t="n">
        <v>886.97</v>
      </c>
      <c r="P3084" s="9" t="n">
        <v>861.9</v>
      </c>
      <c r="Q3084" s="9" t="n">
        <v>762.76</v>
      </c>
      <c r="R3084" s="9" t="n">
        <v>889.17</v>
      </c>
      <c r="S3084" s="9" t="n">
        <v>820.1</v>
      </c>
      <c r="T3084" s="9" t="n">
        <v>799.5700000000001</v>
      </c>
      <c r="U3084" s="10">
        <f>SUM(I3084:T3084)</f>
        <v/>
      </c>
    </row>
    <row r="3085">
      <c r="A3085" s="2" t="inlineStr">
        <is>
          <t>SN-5000-5200-5210-5210TU0001</t>
        </is>
      </c>
      <c r="B3085" s="2" t="inlineStr">
        <is>
          <t>5210TU0001</t>
        </is>
      </c>
      <c r="C3085" s="2" t="inlineStr">
        <is>
          <t>Tablero distribución UPS</t>
        </is>
      </c>
      <c r="D3085" s="2" t="n">
        <v>1028</v>
      </c>
      <c r="E3085" s="2" t="inlineStr">
        <is>
          <t>CC-5000</t>
        </is>
      </c>
      <c r="F3085" s="2" t="inlineStr">
        <is>
          <t>P01</t>
        </is>
      </c>
      <c r="G3085" s="2" t="n">
        <v>630000</v>
      </c>
      <c r="H3085" s="2" t="inlineStr">
        <is>
          <t>Servicios externos</t>
        </is>
      </c>
      <c r="I3085" s="9" t="n">
        <v>703.04</v>
      </c>
      <c r="J3085" s="9" t="n">
        <v>730.53</v>
      </c>
      <c r="K3085" s="9" t="n">
        <v>704.16</v>
      </c>
      <c r="L3085" s="9" t="n">
        <v>682.91</v>
      </c>
      <c r="M3085" s="9" t="n">
        <v>671.1900000000001</v>
      </c>
      <c r="N3085" s="9" t="n">
        <v>698.38</v>
      </c>
      <c r="O3085" s="9" t="n">
        <v>723.41</v>
      </c>
      <c r="P3085" s="9" t="n">
        <v>730.98</v>
      </c>
      <c r="Q3085" s="9" t="n">
        <v>642.22</v>
      </c>
      <c r="R3085" s="9" t="n">
        <v>814.9400000000001</v>
      </c>
      <c r="S3085" s="9" t="n">
        <v>682.15</v>
      </c>
      <c r="T3085" s="9" t="n">
        <v>722.26</v>
      </c>
      <c r="U3085" s="10">
        <f>SUM(I3085:T3085)</f>
        <v/>
      </c>
    </row>
    <row r="3086">
      <c r="A3086" s="2" t="inlineStr">
        <is>
          <t>SN-5000-5200-5210-5210UP0001</t>
        </is>
      </c>
      <c r="B3086" s="2" t="inlineStr">
        <is>
          <t>5210UP0001</t>
        </is>
      </c>
      <c r="C3086" s="2" t="inlineStr">
        <is>
          <t>UPS</t>
        </is>
      </c>
      <c r="D3086" s="2" t="n">
        <v>1029</v>
      </c>
      <c r="E3086" s="2" t="inlineStr">
        <is>
          <t>CC-5000</t>
        </is>
      </c>
      <c r="F3086" s="2" t="inlineStr">
        <is>
          <t>P01</t>
        </is>
      </c>
      <c r="G3086" s="2" t="n">
        <v>610000</v>
      </c>
      <c r="H3086" s="2" t="inlineStr">
        <is>
          <t>Mano obra interna</t>
        </is>
      </c>
      <c r="I3086" s="9" t="n">
        <v>3332.31</v>
      </c>
      <c r="J3086" s="9" t="n">
        <v>3063.04</v>
      </c>
      <c r="K3086" s="9" t="n">
        <v>3350.3</v>
      </c>
      <c r="L3086" s="9" t="n">
        <v>3119.19</v>
      </c>
      <c r="M3086" s="9" t="n">
        <v>2907.9</v>
      </c>
      <c r="N3086" s="9" t="n">
        <v>2812.83</v>
      </c>
      <c r="O3086" s="9" t="n">
        <v>3061.75</v>
      </c>
      <c r="P3086" s="9" t="n">
        <v>3080.42</v>
      </c>
      <c r="Q3086" s="9" t="n">
        <v>2794.94</v>
      </c>
      <c r="R3086" s="9" t="n">
        <v>3470.3</v>
      </c>
      <c r="S3086" s="9" t="n">
        <v>2900.53</v>
      </c>
      <c r="T3086" s="9" t="n">
        <v>2965.25</v>
      </c>
      <c r="U3086" s="10">
        <f>SUM(I3086:T3086)</f>
        <v/>
      </c>
    </row>
    <row r="3087">
      <c r="A3087" s="2" t="inlineStr">
        <is>
          <t>SN-5000-5200-5210-5210UP0001</t>
        </is>
      </c>
      <c r="B3087" s="2" t="inlineStr">
        <is>
          <t>5210UP0001</t>
        </is>
      </c>
      <c r="C3087" s="2" t="inlineStr">
        <is>
          <t>UPS</t>
        </is>
      </c>
      <c r="D3087" s="2" t="n">
        <v>1029</v>
      </c>
      <c r="E3087" s="2" t="inlineStr">
        <is>
          <t>CC-5000</t>
        </is>
      </c>
      <c r="F3087" s="2" t="inlineStr">
        <is>
          <t>P01</t>
        </is>
      </c>
      <c r="G3087" s="2" t="n">
        <v>620000</v>
      </c>
      <c r="H3087" s="2" t="inlineStr">
        <is>
          <t>Materiales</t>
        </is>
      </c>
      <c r="I3087" s="9" t="n">
        <v>2370.27</v>
      </c>
      <c r="J3087" s="9" t="n">
        <v>2236.95</v>
      </c>
      <c r="K3087" s="9" t="n">
        <v>2268.81</v>
      </c>
      <c r="L3087" s="9" t="n">
        <v>2323.61</v>
      </c>
      <c r="M3087" s="9" t="n">
        <v>2243.05</v>
      </c>
      <c r="N3087" s="9" t="n">
        <v>2207.08</v>
      </c>
      <c r="O3087" s="9" t="n">
        <v>2120.89</v>
      </c>
      <c r="P3087" s="9" t="n">
        <v>2176.62</v>
      </c>
      <c r="Q3087" s="9" t="n">
        <v>1880.96</v>
      </c>
      <c r="R3087" s="9" t="n">
        <v>2502.01</v>
      </c>
      <c r="S3087" s="9" t="n">
        <v>2252.59</v>
      </c>
      <c r="T3087" s="9" t="n">
        <v>2292.71</v>
      </c>
      <c r="U3087" s="10">
        <f>SUM(I3087:T3087)</f>
        <v/>
      </c>
    </row>
    <row r="3088">
      <c r="A3088" s="2" t="inlineStr">
        <is>
          <t>SN-5000-5200-5210-5210UP0001</t>
        </is>
      </c>
      <c r="B3088" s="2" t="inlineStr">
        <is>
          <t>5210UP0001</t>
        </is>
      </c>
      <c r="C3088" s="2" t="inlineStr">
        <is>
          <t>UPS</t>
        </is>
      </c>
      <c r="D3088" s="2" t="n">
        <v>1029</v>
      </c>
      <c r="E3088" s="2" t="inlineStr">
        <is>
          <t>CC-5000</t>
        </is>
      </c>
      <c r="F3088" s="2" t="inlineStr">
        <is>
          <t>P01</t>
        </is>
      </c>
      <c r="G3088" s="2" t="n">
        <v>630000</v>
      </c>
      <c r="H3088" s="2" t="inlineStr">
        <is>
          <t>Servicios externos</t>
        </is>
      </c>
      <c r="I3088" s="9" t="n">
        <v>2632.45</v>
      </c>
      <c r="J3088" s="9" t="n">
        <v>2514.76</v>
      </c>
      <c r="K3088" s="9" t="n">
        <v>2573.72</v>
      </c>
      <c r="L3088" s="9" t="n">
        <v>2648.71</v>
      </c>
      <c r="M3088" s="9" t="n">
        <v>2370.98</v>
      </c>
      <c r="N3088" s="9" t="n">
        <v>2660.9</v>
      </c>
      <c r="O3088" s="9" t="n">
        <v>2549.91</v>
      </c>
      <c r="P3088" s="9" t="n">
        <v>2754.48</v>
      </c>
      <c r="Q3088" s="9" t="n">
        <v>2487.95</v>
      </c>
      <c r="R3088" s="9" t="n">
        <v>2688.94</v>
      </c>
      <c r="S3088" s="9" t="n">
        <v>2386.63</v>
      </c>
      <c r="T3088" s="9" t="n">
        <v>2826.08</v>
      </c>
      <c r="U3088" s="10">
        <f>SUM(I3088:T3088)</f>
        <v/>
      </c>
    </row>
    <row r="3089">
      <c r="A3089" s="2" t="inlineStr">
        <is>
          <t>SN-5000-5300-5300-5300CC0001</t>
        </is>
      </c>
      <c r="B3089" s="2" t="inlineStr">
        <is>
          <t>5300CC0001</t>
        </is>
      </c>
      <c r="C3089" s="2" t="inlineStr">
        <is>
          <t>Tablero de comunicación</t>
        </is>
      </c>
      <c r="D3089" s="2" t="n">
        <v>1030</v>
      </c>
      <c r="E3089" s="2" t="inlineStr">
        <is>
          <t>CC-5000</t>
        </is>
      </c>
      <c r="F3089" s="2" t="inlineStr">
        <is>
          <t>P01</t>
        </is>
      </c>
      <c r="G3089" s="2" t="n">
        <v>610000</v>
      </c>
      <c r="H3089" s="2" t="inlineStr">
        <is>
          <t>Mano obra interna</t>
        </is>
      </c>
      <c r="I3089" s="9" t="n">
        <v>1374.72</v>
      </c>
      <c r="J3089" s="9" t="n">
        <v>1285.98</v>
      </c>
      <c r="K3089" s="9" t="n">
        <v>1492.83</v>
      </c>
      <c r="L3089" s="9" t="n">
        <v>1388.58</v>
      </c>
      <c r="M3089" s="9" t="n">
        <v>1326.43</v>
      </c>
      <c r="N3089" s="9" t="n">
        <v>1391.63</v>
      </c>
      <c r="O3089" s="9" t="n">
        <v>1443.73</v>
      </c>
      <c r="P3089" s="9" t="n">
        <v>1397.62</v>
      </c>
      <c r="Q3089" s="9" t="n">
        <v>1398.36</v>
      </c>
      <c r="R3089" s="9" t="n">
        <v>1556.34</v>
      </c>
      <c r="S3089" s="9" t="n">
        <v>1443.53</v>
      </c>
      <c r="T3089" s="9" t="n">
        <v>1353.18</v>
      </c>
      <c r="U3089" s="10">
        <f>SUM(I3089:T3089)</f>
        <v/>
      </c>
    </row>
    <row r="3090">
      <c r="A3090" s="2" t="inlineStr">
        <is>
          <t>SN-5000-5300-5300-5300CC0001</t>
        </is>
      </c>
      <c r="B3090" s="2" t="inlineStr">
        <is>
          <t>5300CC0001</t>
        </is>
      </c>
      <c r="C3090" s="2" t="inlineStr">
        <is>
          <t>Tablero de comunicación</t>
        </is>
      </c>
      <c r="D3090" s="2" t="n">
        <v>1030</v>
      </c>
      <c r="E3090" s="2" t="inlineStr">
        <is>
          <t>CC-5000</t>
        </is>
      </c>
      <c r="F3090" s="2" t="inlineStr">
        <is>
          <t>P01</t>
        </is>
      </c>
      <c r="G3090" s="2" t="n">
        <v>620000</v>
      </c>
      <c r="H3090" s="2" t="inlineStr">
        <is>
          <t>Materiales</t>
        </is>
      </c>
      <c r="I3090" s="9" t="n">
        <v>1126.24</v>
      </c>
      <c r="J3090" s="9" t="n">
        <v>1123.67</v>
      </c>
      <c r="K3090" s="9" t="n">
        <v>1306.75</v>
      </c>
      <c r="L3090" s="9" t="n">
        <v>1292.88</v>
      </c>
      <c r="M3090" s="9" t="n">
        <v>1214.15</v>
      </c>
      <c r="N3090" s="9" t="n">
        <v>1129.82</v>
      </c>
      <c r="O3090" s="9" t="n">
        <v>1231.24</v>
      </c>
      <c r="P3090" s="9" t="n">
        <v>1186.96</v>
      </c>
      <c r="Q3090" s="9" t="n">
        <v>1009.27</v>
      </c>
      <c r="R3090" s="9" t="n">
        <v>1270.45</v>
      </c>
      <c r="S3090" s="9" t="n">
        <v>1158.2</v>
      </c>
      <c r="T3090" s="9" t="n">
        <v>1150.46</v>
      </c>
      <c r="U3090" s="10">
        <f>SUM(I3090:T3090)</f>
        <v/>
      </c>
    </row>
    <row r="3091">
      <c r="A3091" s="2" t="inlineStr">
        <is>
          <t>SN-5000-5300-5300-5300CC0001</t>
        </is>
      </c>
      <c r="B3091" s="2" t="inlineStr">
        <is>
          <t>5300CC0001</t>
        </is>
      </c>
      <c r="C3091" s="2" t="inlineStr">
        <is>
          <t>Tablero de comunicación</t>
        </is>
      </c>
      <c r="D3091" s="2" t="n">
        <v>1030</v>
      </c>
      <c r="E3091" s="2" t="inlineStr">
        <is>
          <t>CC-5000</t>
        </is>
      </c>
      <c r="F3091" s="2" t="inlineStr">
        <is>
          <t>P01</t>
        </is>
      </c>
      <c r="G3091" s="2" t="n">
        <v>630000</v>
      </c>
      <c r="H3091" s="2" t="inlineStr">
        <is>
          <t>Servicios externos</t>
        </is>
      </c>
      <c r="I3091" s="9" t="n">
        <v>1124.16</v>
      </c>
      <c r="J3091" s="9" t="n">
        <v>1147.51</v>
      </c>
      <c r="K3091" s="9" t="n">
        <v>1111.96</v>
      </c>
      <c r="L3091" s="9" t="n">
        <v>1208.91</v>
      </c>
      <c r="M3091" s="9" t="n">
        <v>1116.75</v>
      </c>
      <c r="N3091" s="9" t="n">
        <v>1066.73</v>
      </c>
      <c r="O3091" s="9" t="n">
        <v>1199.26</v>
      </c>
      <c r="P3091" s="9" t="n">
        <v>1142.81</v>
      </c>
      <c r="Q3091" s="9" t="n">
        <v>1042.89</v>
      </c>
      <c r="R3091" s="9" t="n">
        <v>1306.71</v>
      </c>
      <c r="S3091" s="9" t="n">
        <v>1082.75</v>
      </c>
      <c r="T3091" s="9" t="n">
        <v>1226.12</v>
      </c>
      <c r="U3091" s="10">
        <f>SUM(I3091:T3091)</f>
        <v/>
      </c>
    </row>
    <row r="3092">
      <c r="A3092" s="2" t="inlineStr">
        <is>
          <t>SN-5000-5300-5300-5300CN0019</t>
        </is>
      </c>
      <c r="B3092" s="2" t="inlineStr">
        <is>
          <t>5300CN0019</t>
        </is>
      </c>
      <c r="C3092" s="2" t="inlineStr">
        <is>
          <t>Puente grúa almacén</t>
        </is>
      </c>
      <c r="D3092" s="2" t="n">
        <v>1031</v>
      </c>
      <c r="E3092" s="2" t="inlineStr">
        <is>
          <t>CC-5000</t>
        </is>
      </c>
      <c r="F3092" s="2" t="inlineStr">
        <is>
          <t>P01</t>
        </is>
      </c>
      <c r="G3092" s="2" t="n">
        <v>610000</v>
      </c>
      <c r="H3092" s="2" t="inlineStr">
        <is>
          <t>Mano obra interna</t>
        </is>
      </c>
      <c r="I3092" s="9" t="n">
        <v>548.8</v>
      </c>
      <c r="J3092" s="9" t="n">
        <v>565.4299999999999</v>
      </c>
      <c r="K3092" s="9" t="n">
        <v>561.8</v>
      </c>
      <c r="L3092" s="9" t="n">
        <v>543.83</v>
      </c>
      <c r="M3092" s="9" t="n">
        <v>521.1900000000001</v>
      </c>
      <c r="N3092" s="9" t="n">
        <v>516.88</v>
      </c>
      <c r="O3092" s="9" t="n">
        <v>585.55</v>
      </c>
      <c r="P3092" s="9" t="n">
        <v>594</v>
      </c>
      <c r="Q3092" s="9" t="n">
        <v>555.34</v>
      </c>
      <c r="R3092" s="9" t="n">
        <v>585.8</v>
      </c>
      <c r="S3092" s="9" t="n">
        <v>559.99</v>
      </c>
      <c r="T3092" s="9" t="n">
        <v>547.62</v>
      </c>
      <c r="U3092" s="10">
        <f>SUM(I3092:T3092)</f>
        <v/>
      </c>
    </row>
    <row r="3093">
      <c r="A3093" s="2" t="inlineStr">
        <is>
          <t>SN-5000-5300-5300-5300CN0019</t>
        </is>
      </c>
      <c r="B3093" s="2" t="inlineStr">
        <is>
          <t>5300CN0019</t>
        </is>
      </c>
      <c r="C3093" s="2" t="inlineStr">
        <is>
          <t>Puente grúa almacén</t>
        </is>
      </c>
      <c r="D3093" s="2" t="n">
        <v>1031</v>
      </c>
      <c r="E3093" s="2" t="inlineStr">
        <is>
          <t>CC-5000</t>
        </is>
      </c>
      <c r="F3093" s="2" t="inlineStr">
        <is>
          <t>P01</t>
        </is>
      </c>
      <c r="G3093" s="2" t="n">
        <v>620000</v>
      </c>
      <c r="H3093" s="2" t="inlineStr">
        <is>
          <t>Materiales</t>
        </is>
      </c>
      <c r="I3093" s="9" t="n">
        <v>591.3200000000001</v>
      </c>
      <c r="J3093" s="9" t="n">
        <v>497.73</v>
      </c>
      <c r="K3093" s="9" t="n">
        <v>606.39</v>
      </c>
      <c r="L3093" s="9" t="n">
        <v>586.65</v>
      </c>
      <c r="M3093" s="9" t="n">
        <v>562.41</v>
      </c>
      <c r="N3093" s="9" t="n">
        <v>537.45</v>
      </c>
      <c r="O3093" s="9" t="n">
        <v>569.29</v>
      </c>
      <c r="P3093" s="9" t="n">
        <v>588.17</v>
      </c>
      <c r="Q3093" s="9" t="n">
        <v>529.7</v>
      </c>
      <c r="R3093" s="9" t="n">
        <v>574.26</v>
      </c>
      <c r="S3093" s="9" t="n">
        <v>537.65</v>
      </c>
      <c r="T3093" s="9" t="n">
        <v>539.1</v>
      </c>
      <c r="U3093" s="10">
        <f>SUM(I3093:T3093)</f>
        <v/>
      </c>
    </row>
    <row r="3094">
      <c r="A3094" s="2" t="inlineStr">
        <is>
          <t>SN-5000-5300-5300-5300CN0019</t>
        </is>
      </c>
      <c r="B3094" s="2" t="inlineStr">
        <is>
          <t>5300CN0019</t>
        </is>
      </c>
      <c r="C3094" s="2" t="inlineStr">
        <is>
          <t>Puente grúa almacén</t>
        </is>
      </c>
      <c r="D3094" s="2" t="n">
        <v>1031</v>
      </c>
      <c r="E3094" s="2" t="inlineStr">
        <is>
          <t>CC-5000</t>
        </is>
      </c>
      <c r="F3094" s="2" t="inlineStr">
        <is>
          <t>P01</t>
        </is>
      </c>
      <c r="G3094" s="2" t="n">
        <v>630000</v>
      </c>
      <c r="H3094" s="2" t="inlineStr">
        <is>
          <t>Servicios externos</t>
        </is>
      </c>
      <c r="I3094" s="9" t="n">
        <v>661.78</v>
      </c>
      <c r="J3094" s="9" t="n">
        <v>606.53</v>
      </c>
      <c r="K3094" s="9" t="n">
        <v>656.8200000000001</v>
      </c>
      <c r="L3094" s="9" t="n">
        <v>663.51</v>
      </c>
      <c r="M3094" s="9" t="n">
        <v>578.22</v>
      </c>
      <c r="N3094" s="9" t="n">
        <v>589.9</v>
      </c>
      <c r="O3094" s="9" t="n">
        <v>607.75</v>
      </c>
      <c r="P3094" s="9" t="n">
        <v>635.26</v>
      </c>
      <c r="Q3094" s="9" t="n">
        <v>556.17</v>
      </c>
      <c r="R3094" s="9" t="n">
        <v>679.01</v>
      </c>
      <c r="S3094" s="9" t="n">
        <v>580.65</v>
      </c>
      <c r="T3094" s="9" t="n">
        <v>579.83</v>
      </c>
      <c r="U3094" s="10">
        <f>SUM(I3094:T3094)</f>
        <v/>
      </c>
    </row>
    <row r="3095">
      <c r="A3095" s="2" t="inlineStr">
        <is>
          <t>SN-5000-5300-5300-5300FA0043</t>
        </is>
      </c>
      <c r="B3095" s="2" t="inlineStr">
        <is>
          <t>5300FA0043</t>
        </is>
      </c>
      <c r="C3095" s="2" t="inlineStr">
        <is>
          <t>Ventilador extractor aire bodega</t>
        </is>
      </c>
      <c r="D3095" s="2" t="n">
        <v>1032</v>
      </c>
      <c r="E3095" s="2" t="inlineStr">
        <is>
          <t>CC-5000</t>
        </is>
      </c>
      <c r="F3095" s="2" t="inlineStr">
        <is>
          <t>P01</t>
        </is>
      </c>
      <c r="G3095" s="2" t="n">
        <v>610000</v>
      </c>
      <c r="H3095" s="2" t="inlineStr">
        <is>
          <t>Mano obra interna</t>
        </is>
      </c>
      <c r="I3095" s="9" t="n">
        <v>1968.79</v>
      </c>
      <c r="J3095" s="9" t="n">
        <v>1871.38</v>
      </c>
      <c r="K3095" s="9" t="n">
        <v>2129.93</v>
      </c>
      <c r="L3095" s="9" t="n">
        <v>2156.77</v>
      </c>
      <c r="M3095" s="9" t="n">
        <v>1911.13</v>
      </c>
      <c r="N3095" s="9" t="n">
        <v>1998.68</v>
      </c>
      <c r="O3095" s="9" t="n">
        <v>2086.82</v>
      </c>
      <c r="P3095" s="9" t="n">
        <v>1936.35</v>
      </c>
      <c r="Q3095" s="9" t="n">
        <v>1882.46</v>
      </c>
      <c r="R3095" s="9" t="n">
        <v>2305.24</v>
      </c>
      <c r="S3095" s="9" t="n">
        <v>1834.45</v>
      </c>
      <c r="T3095" s="9" t="n">
        <v>1966.52</v>
      </c>
      <c r="U3095" s="10">
        <f>SUM(I3095:T3095)</f>
        <v/>
      </c>
    </row>
    <row r="3096">
      <c r="A3096" s="2" t="inlineStr">
        <is>
          <t>SN-5000-5300-5300-5300FA0043</t>
        </is>
      </c>
      <c r="B3096" s="2" t="inlineStr">
        <is>
          <t>5300FA0043</t>
        </is>
      </c>
      <c r="C3096" s="2" t="inlineStr">
        <is>
          <t>Ventilador extractor aire bodega</t>
        </is>
      </c>
      <c r="D3096" s="2" t="n">
        <v>1032</v>
      </c>
      <c r="E3096" s="2" t="inlineStr">
        <is>
          <t>CC-5000</t>
        </is>
      </c>
      <c r="F3096" s="2" t="inlineStr">
        <is>
          <t>P01</t>
        </is>
      </c>
      <c r="G3096" s="2" t="n">
        <v>620000</v>
      </c>
      <c r="H3096" s="2" t="inlineStr">
        <is>
          <t>Materiales</t>
        </is>
      </c>
      <c r="I3096" s="9" t="n">
        <v>2652.03</v>
      </c>
      <c r="J3096" s="9" t="n">
        <v>2452.23</v>
      </c>
      <c r="K3096" s="9" t="n">
        <v>2637.2</v>
      </c>
      <c r="L3096" s="9" t="n">
        <v>2701.29</v>
      </c>
      <c r="M3096" s="9" t="n">
        <v>2614.14</v>
      </c>
      <c r="N3096" s="9" t="n">
        <v>2327.13</v>
      </c>
      <c r="O3096" s="9" t="n">
        <v>2501.94</v>
      </c>
      <c r="P3096" s="9" t="n">
        <v>2557.71</v>
      </c>
      <c r="Q3096" s="9" t="n">
        <v>2171.52</v>
      </c>
      <c r="R3096" s="9" t="n">
        <v>2893.34</v>
      </c>
      <c r="S3096" s="9" t="n">
        <v>2398.23</v>
      </c>
      <c r="T3096" s="9" t="n">
        <v>2488.97</v>
      </c>
      <c r="U3096" s="10">
        <f>SUM(I3096:T3096)</f>
        <v/>
      </c>
    </row>
    <row r="3097">
      <c r="A3097" s="2" t="inlineStr">
        <is>
          <t>SN-5000-5300-5300-5300FA0043</t>
        </is>
      </c>
      <c r="B3097" s="2" t="inlineStr">
        <is>
          <t>5300FA0043</t>
        </is>
      </c>
      <c r="C3097" s="2" t="inlineStr">
        <is>
          <t>Ventilador extractor aire bodega</t>
        </is>
      </c>
      <c r="D3097" s="2" t="n">
        <v>1032</v>
      </c>
      <c r="E3097" s="2" t="inlineStr">
        <is>
          <t>CC-5000</t>
        </is>
      </c>
      <c r="F3097" s="2" t="inlineStr">
        <is>
          <t>P01</t>
        </is>
      </c>
      <c r="G3097" s="2" t="n">
        <v>630000</v>
      </c>
      <c r="H3097" s="2" t="inlineStr">
        <is>
          <t>Servicios externos</t>
        </is>
      </c>
      <c r="I3097" s="9" t="n">
        <v>2407.17</v>
      </c>
      <c r="J3097" s="9" t="n">
        <v>2291.04</v>
      </c>
      <c r="K3097" s="9" t="n">
        <v>2667.56</v>
      </c>
      <c r="L3097" s="9" t="n">
        <v>2519.54</v>
      </c>
      <c r="M3097" s="9" t="n">
        <v>2590.6</v>
      </c>
      <c r="N3097" s="9" t="n">
        <v>2235.32</v>
      </c>
      <c r="O3097" s="9" t="n">
        <v>2465.81</v>
      </c>
      <c r="P3097" s="9" t="n">
        <v>2403.25</v>
      </c>
      <c r="Q3097" s="9" t="n">
        <v>2427.43</v>
      </c>
      <c r="R3097" s="9" t="n">
        <v>2590.13</v>
      </c>
      <c r="S3097" s="9" t="n">
        <v>2414.84</v>
      </c>
      <c r="T3097" s="9" t="n">
        <v>2678.72</v>
      </c>
      <c r="U3097" s="10">
        <f>SUM(I3097:T3097)</f>
        <v/>
      </c>
    </row>
    <row r="3098">
      <c r="A3098" s="2" t="inlineStr">
        <is>
          <t>SN-7000-7200-7200-7200CN0024</t>
        </is>
      </c>
      <c r="B3098" s="2" t="inlineStr">
        <is>
          <t>7200CN0024</t>
        </is>
      </c>
      <c r="C3098" s="2" t="inlineStr">
        <is>
          <t>Grua pescante pozos</t>
        </is>
      </c>
      <c r="D3098" s="2" t="n">
        <v>1033</v>
      </c>
      <c r="E3098" s="2" t="inlineStr">
        <is>
          <t>CC-7000</t>
        </is>
      </c>
      <c r="F3098" s="2" t="inlineStr">
        <is>
          <t>P01</t>
        </is>
      </c>
      <c r="G3098" s="2" t="n">
        <v>610000</v>
      </c>
      <c r="H3098" s="2" t="inlineStr">
        <is>
          <t>Mano obra interna</t>
        </is>
      </c>
      <c r="I3098" s="9" t="n">
        <v>169.34</v>
      </c>
      <c r="J3098" s="9" t="n">
        <v>155.96</v>
      </c>
      <c r="K3098" s="9" t="n">
        <v>167.14</v>
      </c>
      <c r="L3098" s="9" t="n">
        <v>168.67</v>
      </c>
      <c r="M3098" s="9" t="n">
        <v>168.03</v>
      </c>
      <c r="N3098" s="9" t="n">
        <v>162.66</v>
      </c>
      <c r="O3098" s="9" t="n">
        <v>171.3</v>
      </c>
      <c r="P3098" s="9" t="n">
        <v>168.01</v>
      </c>
      <c r="Q3098" s="9" t="n">
        <v>140.68</v>
      </c>
      <c r="R3098" s="9" t="n">
        <v>179.58</v>
      </c>
      <c r="S3098" s="9" t="n">
        <v>162.86</v>
      </c>
      <c r="T3098" s="9" t="n">
        <v>172.38</v>
      </c>
      <c r="U3098" s="10">
        <f>SUM(I3098:T3098)</f>
        <v/>
      </c>
    </row>
    <row r="3099">
      <c r="A3099" s="2" t="inlineStr">
        <is>
          <t>SN-7000-7200-7200-7200CN0024</t>
        </is>
      </c>
      <c r="B3099" s="2" t="inlineStr">
        <is>
          <t>7200CN0024</t>
        </is>
      </c>
      <c r="C3099" s="2" t="inlineStr">
        <is>
          <t>Grua pescante pozos</t>
        </is>
      </c>
      <c r="D3099" s="2" t="n">
        <v>1033</v>
      </c>
      <c r="E3099" s="2" t="inlineStr">
        <is>
          <t>CC-7000</t>
        </is>
      </c>
      <c r="F3099" s="2" t="inlineStr">
        <is>
          <t>P01</t>
        </is>
      </c>
      <c r="G3099" s="2" t="n">
        <v>620000</v>
      </c>
      <c r="H3099" s="2" t="inlineStr">
        <is>
          <t>Materiales</t>
        </is>
      </c>
      <c r="I3099" s="9" t="n">
        <v>164.64</v>
      </c>
      <c r="J3099" s="9" t="n">
        <v>162.54</v>
      </c>
      <c r="K3099" s="9" t="n">
        <v>153.1</v>
      </c>
      <c r="L3099" s="9" t="n">
        <v>166.51</v>
      </c>
      <c r="M3099" s="9" t="n">
        <v>158.69</v>
      </c>
      <c r="N3099" s="9" t="n">
        <v>165.35</v>
      </c>
      <c r="O3099" s="9" t="n">
        <v>171.47</v>
      </c>
      <c r="P3099" s="9" t="n">
        <v>168.58</v>
      </c>
      <c r="Q3099" s="9" t="n">
        <v>139.28</v>
      </c>
      <c r="R3099" s="9" t="n">
        <v>170.95</v>
      </c>
      <c r="S3099" s="9" t="n">
        <v>160.79</v>
      </c>
      <c r="T3099" s="9" t="n">
        <v>151.13</v>
      </c>
      <c r="U3099" s="10">
        <f>SUM(I3099:T3099)</f>
        <v/>
      </c>
    </row>
    <row r="3100">
      <c r="A3100" s="2" t="inlineStr">
        <is>
          <t>SN-7000-7200-7200-7200CN0024</t>
        </is>
      </c>
      <c r="B3100" s="2" t="inlineStr">
        <is>
          <t>7200CN0024</t>
        </is>
      </c>
      <c r="C3100" s="2" t="inlineStr">
        <is>
          <t>Grua pescante pozos</t>
        </is>
      </c>
      <c r="D3100" s="2" t="n">
        <v>1033</v>
      </c>
      <c r="E3100" s="2" t="inlineStr">
        <is>
          <t>CC-7000</t>
        </is>
      </c>
      <c r="F3100" s="2" t="inlineStr">
        <is>
          <t>P01</t>
        </is>
      </c>
      <c r="G3100" s="2" t="n">
        <v>630000</v>
      </c>
      <c r="H3100" s="2" t="inlineStr">
        <is>
          <t>Servicios externos</t>
        </is>
      </c>
      <c r="I3100" s="9" t="n">
        <v>140.15</v>
      </c>
      <c r="J3100" s="9" t="n">
        <v>119.77</v>
      </c>
      <c r="K3100" s="9" t="n">
        <v>123.79</v>
      </c>
      <c r="L3100" s="9" t="n">
        <v>133.83</v>
      </c>
      <c r="M3100" s="9" t="n">
        <v>137.07</v>
      </c>
      <c r="N3100" s="9" t="n">
        <v>130.21</v>
      </c>
      <c r="O3100" s="9" t="n">
        <v>139.16</v>
      </c>
      <c r="P3100" s="9" t="n">
        <v>134.42</v>
      </c>
      <c r="Q3100" s="9" t="n">
        <v>119.13</v>
      </c>
      <c r="R3100" s="9" t="n">
        <v>149.37</v>
      </c>
      <c r="S3100" s="9" t="n">
        <v>123.68</v>
      </c>
      <c r="T3100" s="9" t="n">
        <v>128.05</v>
      </c>
      <c r="U3100" s="10">
        <f>SUM(I3100:T3100)</f>
        <v/>
      </c>
    </row>
    <row r="3101">
      <c r="A3101" s="2" t="inlineStr">
        <is>
          <t>SN-7000-7200-7200-7200CT0001</t>
        </is>
      </c>
      <c r="B3101" s="2" t="inlineStr">
        <is>
          <t>7200CT0001</t>
        </is>
      </c>
      <c r="C3101" s="2" t="inlineStr">
        <is>
          <t>Sistema CCTV pozos agua y cañerías</t>
        </is>
      </c>
      <c r="D3101" s="2" t="n">
        <v>1034</v>
      </c>
      <c r="E3101" s="2" t="inlineStr">
        <is>
          <t>CC-7000</t>
        </is>
      </c>
      <c r="F3101" s="2" t="inlineStr">
        <is>
          <t>P01</t>
        </is>
      </c>
      <c r="G3101" s="2" t="n">
        <v>610000</v>
      </c>
      <c r="H3101" s="2" t="inlineStr">
        <is>
          <t>Mano obra interna</t>
        </is>
      </c>
      <c r="I3101" s="9" t="n">
        <v>1696.52</v>
      </c>
      <c r="J3101" s="9" t="n">
        <v>1662.58</v>
      </c>
      <c r="K3101" s="9" t="n">
        <v>1595.28</v>
      </c>
      <c r="L3101" s="9" t="n">
        <v>1607.5</v>
      </c>
      <c r="M3101" s="9" t="n">
        <v>1665.83</v>
      </c>
      <c r="N3101" s="9" t="n">
        <v>1403.23</v>
      </c>
      <c r="O3101" s="9" t="n">
        <v>1655.01</v>
      </c>
      <c r="P3101" s="9" t="n">
        <v>1569.62</v>
      </c>
      <c r="Q3101" s="9" t="n">
        <v>1443.9</v>
      </c>
      <c r="R3101" s="9" t="n">
        <v>1691.99</v>
      </c>
      <c r="S3101" s="9" t="n">
        <v>1511.92</v>
      </c>
      <c r="T3101" s="9" t="n">
        <v>1671.82</v>
      </c>
      <c r="U3101" s="10">
        <f>SUM(I3101:T3101)</f>
        <v/>
      </c>
    </row>
    <row r="3102">
      <c r="A3102" s="2" t="inlineStr">
        <is>
          <t>SN-7000-7200-7200-7200CT0001</t>
        </is>
      </c>
      <c r="B3102" s="2" t="inlineStr">
        <is>
          <t>7200CT0001</t>
        </is>
      </c>
      <c r="C3102" s="2" t="inlineStr">
        <is>
          <t>Sistema CCTV pozos agua y cañerías</t>
        </is>
      </c>
      <c r="D3102" s="2" t="n">
        <v>1034</v>
      </c>
      <c r="E3102" s="2" t="inlineStr">
        <is>
          <t>CC-7000</t>
        </is>
      </c>
      <c r="F3102" s="2" t="inlineStr">
        <is>
          <t>P01</t>
        </is>
      </c>
      <c r="G3102" s="2" t="n">
        <v>620000</v>
      </c>
      <c r="H3102" s="2" t="inlineStr">
        <is>
          <t>Materiales</t>
        </is>
      </c>
      <c r="I3102" s="9" t="n">
        <v>1806.85</v>
      </c>
      <c r="J3102" s="9" t="n">
        <v>1838.47</v>
      </c>
      <c r="K3102" s="9" t="n">
        <v>1896.31</v>
      </c>
      <c r="L3102" s="9" t="n">
        <v>1762.38</v>
      </c>
      <c r="M3102" s="9" t="n">
        <v>1778.55</v>
      </c>
      <c r="N3102" s="9" t="n">
        <v>1739.74</v>
      </c>
      <c r="O3102" s="9" t="n">
        <v>1637.99</v>
      </c>
      <c r="P3102" s="9" t="n">
        <v>1741.57</v>
      </c>
      <c r="Q3102" s="9" t="n">
        <v>1779.91</v>
      </c>
      <c r="R3102" s="9" t="n">
        <v>1953.35</v>
      </c>
      <c r="S3102" s="9" t="n">
        <v>1670.27</v>
      </c>
      <c r="T3102" s="9" t="n">
        <v>1726.75</v>
      </c>
      <c r="U3102" s="10">
        <f>SUM(I3102:T3102)</f>
        <v/>
      </c>
    </row>
    <row r="3103">
      <c r="A3103" s="2" t="inlineStr">
        <is>
          <t>SN-7000-7200-7200-7200CT0001</t>
        </is>
      </c>
      <c r="B3103" s="2" t="inlineStr">
        <is>
          <t>7200CT0001</t>
        </is>
      </c>
      <c r="C3103" s="2" t="inlineStr">
        <is>
          <t>Sistema CCTV pozos agua y cañerías</t>
        </is>
      </c>
      <c r="D3103" s="2" t="n">
        <v>1034</v>
      </c>
      <c r="E3103" s="2" t="inlineStr">
        <is>
          <t>CC-7000</t>
        </is>
      </c>
      <c r="F3103" s="2" t="inlineStr">
        <is>
          <t>P01</t>
        </is>
      </c>
      <c r="G3103" s="2" t="n">
        <v>630000</v>
      </c>
      <c r="H3103" s="2" t="inlineStr">
        <is>
          <t>Servicios externos</t>
        </is>
      </c>
      <c r="I3103" s="9" t="n">
        <v>1497.85</v>
      </c>
      <c r="J3103" s="9" t="n">
        <v>1396.1</v>
      </c>
      <c r="K3103" s="9" t="n">
        <v>1448.13</v>
      </c>
      <c r="L3103" s="9" t="n">
        <v>1490.45</v>
      </c>
      <c r="M3103" s="9" t="n">
        <v>1500.56</v>
      </c>
      <c r="N3103" s="9" t="n">
        <v>1344.6</v>
      </c>
      <c r="O3103" s="9" t="n">
        <v>1382.67</v>
      </c>
      <c r="P3103" s="9" t="n">
        <v>1378.7</v>
      </c>
      <c r="Q3103" s="9" t="n">
        <v>1336.03</v>
      </c>
      <c r="R3103" s="9" t="n">
        <v>1527.93</v>
      </c>
      <c r="S3103" s="9" t="n">
        <v>1452.18</v>
      </c>
      <c r="T3103" s="9" t="n">
        <v>1502.14</v>
      </c>
      <c r="U3103" s="10">
        <f>SUM(I3103:T3103)</f>
        <v/>
      </c>
    </row>
    <row r="3104">
      <c r="A3104" s="2" t="inlineStr">
        <is>
          <t>SN-7000-7200-7200-7200DP0002</t>
        </is>
      </c>
      <c r="B3104" s="2" t="inlineStr">
        <is>
          <t>7200DP0002</t>
        </is>
      </c>
      <c r="C3104" s="2" t="inlineStr">
        <is>
          <t>Tablero distribución fuerza y alumbrado</t>
        </is>
      </c>
      <c r="D3104" s="2" t="n">
        <v>1035</v>
      </c>
      <c r="E3104" s="2" t="inlineStr">
        <is>
          <t>CC-7000</t>
        </is>
      </c>
      <c r="F3104" s="2" t="inlineStr">
        <is>
          <t>P01</t>
        </is>
      </c>
      <c r="G3104" s="2" t="n">
        <v>610000</v>
      </c>
      <c r="H3104" s="2" t="inlineStr">
        <is>
          <t>Mano obra interna</t>
        </is>
      </c>
      <c r="I3104" s="9" t="n">
        <v>2475.81</v>
      </c>
      <c r="J3104" s="9" t="n">
        <v>2269.32</v>
      </c>
      <c r="K3104" s="9" t="n">
        <v>2220</v>
      </c>
      <c r="L3104" s="9" t="n">
        <v>2276.25</v>
      </c>
      <c r="M3104" s="9" t="n">
        <v>2451.14</v>
      </c>
      <c r="N3104" s="9" t="n">
        <v>2369.23</v>
      </c>
      <c r="O3104" s="9" t="n">
        <v>2213.01</v>
      </c>
      <c r="P3104" s="9" t="n">
        <v>2178.17</v>
      </c>
      <c r="Q3104" s="9" t="n">
        <v>2141.76</v>
      </c>
      <c r="R3104" s="9" t="n">
        <v>2475.59</v>
      </c>
      <c r="S3104" s="9" t="n">
        <v>2196.81</v>
      </c>
      <c r="T3104" s="9" t="n">
        <v>2347.55</v>
      </c>
      <c r="U3104" s="10">
        <f>SUM(I3104:T3104)</f>
        <v/>
      </c>
    </row>
    <row r="3105">
      <c r="A3105" s="2" t="inlineStr">
        <is>
          <t>SN-7000-7200-7200-7200DP0002</t>
        </is>
      </c>
      <c r="B3105" s="2" t="inlineStr">
        <is>
          <t>7200DP0002</t>
        </is>
      </c>
      <c r="C3105" s="2" t="inlineStr">
        <is>
          <t>Tablero distribución fuerza y alumbrado</t>
        </is>
      </c>
      <c r="D3105" s="2" t="n">
        <v>1035</v>
      </c>
      <c r="E3105" s="2" t="inlineStr">
        <is>
          <t>CC-7000</t>
        </is>
      </c>
      <c r="F3105" s="2" t="inlineStr">
        <is>
          <t>P01</t>
        </is>
      </c>
      <c r="G3105" s="2" t="n">
        <v>620000</v>
      </c>
      <c r="H3105" s="2" t="inlineStr">
        <is>
          <t>Materiales</t>
        </is>
      </c>
      <c r="I3105" s="9" t="n">
        <v>2088.23</v>
      </c>
      <c r="J3105" s="9" t="n">
        <v>2171.09</v>
      </c>
      <c r="K3105" s="9" t="n">
        <v>2404.53</v>
      </c>
      <c r="L3105" s="9" t="n">
        <v>2098.82</v>
      </c>
      <c r="M3105" s="9" t="n">
        <v>2228.04</v>
      </c>
      <c r="N3105" s="9" t="n">
        <v>2063.42</v>
      </c>
      <c r="O3105" s="9" t="n">
        <v>2108.99</v>
      </c>
      <c r="P3105" s="9" t="n">
        <v>2301.33</v>
      </c>
      <c r="Q3105" s="9" t="n">
        <v>2015.09</v>
      </c>
      <c r="R3105" s="9" t="n">
        <v>2382.19</v>
      </c>
      <c r="S3105" s="9" t="n">
        <v>2091.05</v>
      </c>
      <c r="T3105" s="9" t="n">
        <v>2064.04</v>
      </c>
      <c r="U3105" s="10">
        <f>SUM(I3105:T3105)</f>
        <v/>
      </c>
    </row>
    <row r="3106">
      <c r="A3106" s="2" t="inlineStr">
        <is>
          <t>SN-7000-7200-7200-7200DP0002</t>
        </is>
      </c>
      <c r="B3106" s="2" t="inlineStr">
        <is>
          <t>7200DP0002</t>
        </is>
      </c>
      <c r="C3106" s="2" t="inlineStr">
        <is>
          <t>Tablero distribución fuerza y alumbrado</t>
        </is>
      </c>
      <c r="D3106" s="2" t="n">
        <v>1035</v>
      </c>
      <c r="E3106" s="2" t="inlineStr">
        <is>
          <t>CC-7000</t>
        </is>
      </c>
      <c r="F3106" s="2" t="inlineStr">
        <is>
          <t>P01</t>
        </is>
      </c>
      <c r="G3106" s="2" t="n">
        <v>630000</v>
      </c>
      <c r="H3106" s="2" t="inlineStr">
        <is>
          <t>Servicios externos</t>
        </is>
      </c>
      <c r="I3106" s="9" t="n">
        <v>2482.23</v>
      </c>
      <c r="J3106" s="9" t="n">
        <v>2265.81</v>
      </c>
      <c r="K3106" s="9" t="n">
        <v>2580.44</v>
      </c>
      <c r="L3106" s="9" t="n">
        <v>2320.39</v>
      </c>
      <c r="M3106" s="9" t="n">
        <v>2324.35</v>
      </c>
      <c r="N3106" s="9" t="n">
        <v>2461.22</v>
      </c>
      <c r="O3106" s="9" t="n">
        <v>2282.43</v>
      </c>
      <c r="P3106" s="9" t="n">
        <v>2519.46</v>
      </c>
      <c r="Q3106" s="9" t="n">
        <v>2458.25</v>
      </c>
      <c r="R3106" s="9" t="n">
        <v>2516.97</v>
      </c>
      <c r="S3106" s="9" t="n">
        <v>2353.23</v>
      </c>
      <c r="T3106" s="9" t="n">
        <v>2530.31</v>
      </c>
      <c r="U3106" s="10">
        <f>SUM(I3106:T3106)</f>
        <v/>
      </c>
    </row>
    <row r="3107">
      <c r="A3107" s="2" t="inlineStr">
        <is>
          <t>SN-7000-7200-7200-7200DX0002</t>
        </is>
      </c>
      <c r="B3107" s="2" t="inlineStr">
        <is>
          <t>7200DX0002</t>
        </is>
      </c>
      <c r="C3107" s="2" t="inlineStr">
        <is>
          <t>Transformador distribución potencia</t>
        </is>
      </c>
      <c r="D3107" s="2" t="n">
        <v>1036</v>
      </c>
      <c r="E3107" s="2" t="inlineStr">
        <is>
          <t>CC-7000</t>
        </is>
      </c>
      <c r="F3107" s="2" t="inlineStr">
        <is>
          <t>P01</t>
        </is>
      </c>
      <c r="G3107" s="2" t="n">
        <v>610000</v>
      </c>
      <c r="H3107" s="2" t="inlineStr">
        <is>
          <t>Mano obra interna</t>
        </is>
      </c>
      <c r="I3107" s="9" t="n">
        <v>2125.53</v>
      </c>
      <c r="J3107" s="9" t="n">
        <v>1980.98</v>
      </c>
      <c r="K3107" s="9" t="n">
        <v>1988.9</v>
      </c>
      <c r="L3107" s="9" t="n">
        <v>1950.53</v>
      </c>
      <c r="M3107" s="9" t="n">
        <v>2100.72</v>
      </c>
      <c r="N3107" s="9" t="n">
        <v>1871.36</v>
      </c>
      <c r="O3107" s="9" t="n">
        <v>2157.32</v>
      </c>
      <c r="P3107" s="9" t="n">
        <v>2120.63</v>
      </c>
      <c r="Q3107" s="9" t="n">
        <v>1764.5</v>
      </c>
      <c r="R3107" s="9" t="n">
        <v>2097.67</v>
      </c>
      <c r="S3107" s="9" t="n">
        <v>1911.73</v>
      </c>
      <c r="T3107" s="9" t="n">
        <v>2104.45</v>
      </c>
      <c r="U3107" s="10">
        <f>SUM(I3107:T3107)</f>
        <v/>
      </c>
    </row>
    <row r="3108">
      <c r="A3108" s="2" t="inlineStr">
        <is>
          <t>SN-7000-7200-7200-7200DX0002</t>
        </is>
      </c>
      <c r="B3108" s="2" t="inlineStr">
        <is>
          <t>7200DX0002</t>
        </is>
      </c>
      <c r="C3108" s="2" t="inlineStr">
        <is>
          <t>Transformador distribución potencia</t>
        </is>
      </c>
      <c r="D3108" s="2" t="n">
        <v>1036</v>
      </c>
      <c r="E3108" s="2" t="inlineStr">
        <is>
          <t>CC-7000</t>
        </is>
      </c>
      <c r="F3108" s="2" t="inlineStr">
        <is>
          <t>P01</t>
        </is>
      </c>
      <c r="G3108" s="2" t="n">
        <v>620000</v>
      </c>
      <c r="H3108" s="2" t="inlineStr">
        <is>
          <t>Materiales</t>
        </is>
      </c>
      <c r="I3108" s="9" t="n">
        <v>2109.27</v>
      </c>
      <c r="J3108" s="9" t="n">
        <v>2101.21</v>
      </c>
      <c r="K3108" s="9" t="n">
        <v>2247.46</v>
      </c>
      <c r="L3108" s="9" t="n">
        <v>2156.47</v>
      </c>
      <c r="M3108" s="9" t="n">
        <v>2215.5</v>
      </c>
      <c r="N3108" s="9" t="n">
        <v>2117.43</v>
      </c>
      <c r="O3108" s="9" t="n">
        <v>2158.27</v>
      </c>
      <c r="P3108" s="9" t="n">
        <v>2226.89</v>
      </c>
      <c r="Q3108" s="9" t="n">
        <v>2021.2</v>
      </c>
      <c r="R3108" s="9" t="n">
        <v>2336.72</v>
      </c>
      <c r="S3108" s="9" t="n">
        <v>2070.81</v>
      </c>
      <c r="T3108" s="9" t="n">
        <v>2270.15</v>
      </c>
      <c r="U3108" s="10">
        <f>SUM(I3108:T3108)</f>
        <v/>
      </c>
    </row>
    <row r="3109">
      <c r="A3109" s="2" t="inlineStr">
        <is>
          <t>SN-7000-7200-7200-7200DX0002</t>
        </is>
      </c>
      <c r="B3109" s="2" t="inlineStr">
        <is>
          <t>7200DX0002</t>
        </is>
      </c>
      <c r="C3109" s="2" t="inlineStr">
        <is>
          <t>Transformador distribución potencia</t>
        </is>
      </c>
      <c r="D3109" s="2" t="n">
        <v>1036</v>
      </c>
      <c r="E3109" s="2" t="inlineStr">
        <is>
          <t>CC-7000</t>
        </is>
      </c>
      <c r="F3109" s="2" t="inlineStr">
        <is>
          <t>P01</t>
        </is>
      </c>
      <c r="G3109" s="2" t="n">
        <v>630000</v>
      </c>
      <c r="H3109" s="2" t="inlineStr">
        <is>
          <t>Servicios externos</t>
        </is>
      </c>
      <c r="I3109" s="9" t="n">
        <v>1958.17</v>
      </c>
      <c r="J3109" s="9" t="n">
        <v>1830.89</v>
      </c>
      <c r="K3109" s="9" t="n">
        <v>1963.77</v>
      </c>
      <c r="L3109" s="9" t="n">
        <v>1909.86</v>
      </c>
      <c r="M3109" s="9" t="n">
        <v>1973.45</v>
      </c>
      <c r="N3109" s="9" t="n">
        <v>1842.79</v>
      </c>
      <c r="O3109" s="9" t="n">
        <v>1991.38</v>
      </c>
      <c r="P3109" s="9" t="n">
        <v>1959.66</v>
      </c>
      <c r="Q3109" s="9" t="n">
        <v>1888.2</v>
      </c>
      <c r="R3109" s="9" t="n">
        <v>2252.14</v>
      </c>
      <c r="S3109" s="9" t="n">
        <v>1945.3</v>
      </c>
      <c r="T3109" s="9" t="n">
        <v>1902.68</v>
      </c>
      <c r="U3109" s="10">
        <f>SUM(I3109:T3109)</f>
        <v/>
      </c>
    </row>
    <row r="3110">
      <c r="A3110" s="2" t="inlineStr">
        <is>
          <t>SN-7000-7200-7200-7200FP1001</t>
        </is>
      </c>
      <c r="B3110" s="2" t="inlineStr">
        <is>
          <t>7200FP1001</t>
        </is>
      </c>
      <c r="C3110" s="2" t="inlineStr">
        <is>
          <t>Tablero SCI</t>
        </is>
      </c>
      <c r="D3110" s="2" t="n">
        <v>1037</v>
      </c>
      <c r="E3110" s="2" t="inlineStr">
        <is>
          <t>CC-7000</t>
        </is>
      </c>
      <c r="F3110" s="2" t="inlineStr">
        <is>
          <t>P01</t>
        </is>
      </c>
      <c r="G3110" s="2" t="n">
        <v>610000</v>
      </c>
      <c r="H3110" s="2" t="inlineStr">
        <is>
          <t>Mano obra interna</t>
        </is>
      </c>
      <c r="I3110" s="9" t="n">
        <v>1455.96</v>
      </c>
      <c r="J3110" s="9" t="n">
        <v>1454.5</v>
      </c>
      <c r="K3110" s="9" t="n">
        <v>1429.82</v>
      </c>
      <c r="L3110" s="9" t="n">
        <v>1485.66</v>
      </c>
      <c r="M3110" s="9" t="n">
        <v>1570.96</v>
      </c>
      <c r="N3110" s="9" t="n">
        <v>1335.4</v>
      </c>
      <c r="O3110" s="9" t="n">
        <v>1602.81</v>
      </c>
      <c r="P3110" s="9" t="n">
        <v>1578.94</v>
      </c>
      <c r="Q3110" s="9" t="n">
        <v>1465.35</v>
      </c>
      <c r="R3110" s="9" t="n">
        <v>1705.84</v>
      </c>
      <c r="S3110" s="9" t="n">
        <v>1349.84</v>
      </c>
      <c r="T3110" s="9" t="n">
        <v>1432.34</v>
      </c>
      <c r="U3110" s="10">
        <f>SUM(I3110:T3110)</f>
        <v/>
      </c>
    </row>
    <row r="3111">
      <c r="A3111" s="2" t="inlineStr">
        <is>
          <t>SN-7000-7200-7200-7200FP1001</t>
        </is>
      </c>
      <c r="B3111" s="2" t="inlineStr">
        <is>
          <t>7200FP1001</t>
        </is>
      </c>
      <c r="C3111" s="2" t="inlineStr">
        <is>
          <t>Tablero SCI</t>
        </is>
      </c>
      <c r="D3111" s="2" t="n">
        <v>1037</v>
      </c>
      <c r="E3111" s="2" t="inlineStr">
        <is>
          <t>CC-7000</t>
        </is>
      </c>
      <c r="F3111" s="2" t="inlineStr">
        <is>
          <t>P01</t>
        </is>
      </c>
      <c r="G3111" s="2" t="n">
        <v>620000</v>
      </c>
      <c r="H3111" s="2" t="inlineStr">
        <is>
          <t>Materiales</t>
        </is>
      </c>
      <c r="I3111" s="9" t="n">
        <v>1455.35</v>
      </c>
      <c r="J3111" s="9" t="n">
        <v>1455.9</v>
      </c>
      <c r="K3111" s="9" t="n">
        <v>1651.15</v>
      </c>
      <c r="L3111" s="9" t="n">
        <v>1492.04</v>
      </c>
      <c r="M3111" s="9" t="n">
        <v>1442.89</v>
      </c>
      <c r="N3111" s="9" t="n">
        <v>1494.31</v>
      </c>
      <c r="O3111" s="9" t="n">
        <v>1422.79</v>
      </c>
      <c r="P3111" s="9" t="n">
        <v>1485.09</v>
      </c>
      <c r="Q3111" s="9" t="n">
        <v>1368.79</v>
      </c>
      <c r="R3111" s="9" t="n">
        <v>1730.51</v>
      </c>
      <c r="S3111" s="9" t="n">
        <v>1475.05</v>
      </c>
      <c r="T3111" s="9" t="n">
        <v>1578.91</v>
      </c>
      <c r="U3111" s="10">
        <f>SUM(I3111:T3111)</f>
        <v/>
      </c>
    </row>
    <row r="3112">
      <c r="A3112" s="2" t="inlineStr">
        <is>
          <t>SN-7000-7200-7200-7200FP1001</t>
        </is>
      </c>
      <c r="B3112" s="2" t="inlineStr">
        <is>
          <t>7200FP1001</t>
        </is>
      </c>
      <c r="C3112" s="2" t="inlineStr">
        <is>
          <t>Tablero SCI</t>
        </is>
      </c>
      <c r="D3112" s="2" t="n">
        <v>1037</v>
      </c>
      <c r="E3112" s="2" t="inlineStr">
        <is>
          <t>CC-7000</t>
        </is>
      </c>
      <c r="F3112" s="2" t="inlineStr">
        <is>
          <t>P01</t>
        </is>
      </c>
      <c r="G3112" s="2" t="n">
        <v>630000</v>
      </c>
      <c r="H3112" s="2" t="inlineStr">
        <is>
          <t>Servicios externos</t>
        </is>
      </c>
      <c r="I3112" s="9" t="n">
        <v>1617.62</v>
      </c>
      <c r="J3112" s="9" t="n">
        <v>1418.89</v>
      </c>
      <c r="K3112" s="9" t="n">
        <v>1580.37</v>
      </c>
      <c r="L3112" s="9" t="n">
        <v>1625.75</v>
      </c>
      <c r="M3112" s="9" t="n">
        <v>1469.52</v>
      </c>
      <c r="N3112" s="9" t="n">
        <v>1419.39</v>
      </c>
      <c r="O3112" s="9" t="n">
        <v>1392.65</v>
      </c>
      <c r="P3112" s="9" t="n">
        <v>1455.71</v>
      </c>
      <c r="Q3112" s="9" t="n">
        <v>1458.17</v>
      </c>
      <c r="R3112" s="9" t="n">
        <v>1505.76</v>
      </c>
      <c r="S3112" s="9" t="n">
        <v>1531.36</v>
      </c>
      <c r="T3112" s="9" t="n">
        <v>1545.13</v>
      </c>
      <c r="U3112" s="10">
        <f>SUM(I3112:T3112)</f>
        <v/>
      </c>
    </row>
    <row r="3113">
      <c r="A3113" s="2" t="inlineStr">
        <is>
          <t>SN-7000-7200-7200-7200FP1002</t>
        </is>
      </c>
      <c r="B3113" s="2" t="inlineStr">
        <is>
          <t>7200FP1002</t>
        </is>
      </c>
      <c r="C3113" s="2" t="inlineStr">
        <is>
          <t>Tablero SCI</t>
        </is>
      </c>
      <c r="D3113" s="2" t="n">
        <v>1038</v>
      </c>
      <c r="E3113" s="2" t="inlineStr">
        <is>
          <t>CC-7000</t>
        </is>
      </c>
      <c r="F3113" s="2" t="inlineStr">
        <is>
          <t>P01</t>
        </is>
      </c>
      <c r="G3113" s="2" t="n">
        <v>610000</v>
      </c>
      <c r="H3113" s="2" t="inlineStr">
        <is>
          <t>Mano obra interna</t>
        </is>
      </c>
      <c r="I3113" s="9" t="n">
        <v>430.83</v>
      </c>
      <c r="J3113" s="9" t="n">
        <v>389.5</v>
      </c>
      <c r="K3113" s="9" t="n">
        <v>412.64</v>
      </c>
      <c r="L3113" s="9" t="n">
        <v>413.52</v>
      </c>
      <c r="M3113" s="9" t="n">
        <v>406.95</v>
      </c>
      <c r="N3113" s="9" t="n">
        <v>427.14</v>
      </c>
      <c r="O3113" s="9" t="n">
        <v>410.23</v>
      </c>
      <c r="P3113" s="9" t="n">
        <v>420.2</v>
      </c>
      <c r="Q3113" s="9" t="n">
        <v>368.87</v>
      </c>
      <c r="R3113" s="9" t="n">
        <v>468.83</v>
      </c>
      <c r="S3113" s="9" t="n">
        <v>409.45</v>
      </c>
      <c r="T3113" s="9" t="n">
        <v>421.05</v>
      </c>
      <c r="U3113" s="10">
        <f>SUM(I3113:T3113)</f>
        <v/>
      </c>
    </row>
    <row r="3114">
      <c r="A3114" s="2" t="inlineStr">
        <is>
          <t>SN-7000-7200-7200-7200FP1002</t>
        </is>
      </c>
      <c r="B3114" s="2" t="inlineStr">
        <is>
          <t>7200FP1002</t>
        </is>
      </c>
      <c r="C3114" s="2" t="inlineStr">
        <is>
          <t>Tablero SCI</t>
        </is>
      </c>
      <c r="D3114" s="2" t="n">
        <v>1038</v>
      </c>
      <c r="E3114" s="2" t="inlineStr">
        <is>
          <t>CC-7000</t>
        </is>
      </c>
      <c r="F3114" s="2" t="inlineStr">
        <is>
          <t>P01</t>
        </is>
      </c>
      <c r="G3114" s="2" t="n">
        <v>620000</v>
      </c>
      <c r="H3114" s="2" t="inlineStr">
        <is>
          <t>Materiales</t>
        </is>
      </c>
      <c r="I3114" s="9" t="n">
        <v>505.53</v>
      </c>
      <c r="J3114" s="9" t="n">
        <v>470.74</v>
      </c>
      <c r="K3114" s="9" t="n">
        <v>513.28</v>
      </c>
      <c r="L3114" s="9" t="n">
        <v>481.29</v>
      </c>
      <c r="M3114" s="9" t="n">
        <v>485.39</v>
      </c>
      <c r="N3114" s="9" t="n">
        <v>439.15</v>
      </c>
      <c r="O3114" s="9" t="n">
        <v>435.46</v>
      </c>
      <c r="P3114" s="9" t="n">
        <v>502.55</v>
      </c>
      <c r="Q3114" s="9" t="n">
        <v>410.65</v>
      </c>
      <c r="R3114" s="9" t="n">
        <v>482.65</v>
      </c>
      <c r="S3114" s="9" t="n">
        <v>426.87</v>
      </c>
      <c r="T3114" s="9" t="n">
        <v>460.7</v>
      </c>
      <c r="U3114" s="10">
        <f>SUM(I3114:T3114)</f>
        <v/>
      </c>
    </row>
    <row r="3115">
      <c r="A3115" s="2" t="inlineStr">
        <is>
          <t>SN-7000-7200-7200-7200FP1002</t>
        </is>
      </c>
      <c r="B3115" s="2" t="inlineStr">
        <is>
          <t>7200FP1002</t>
        </is>
      </c>
      <c r="C3115" s="2" t="inlineStr">
        <is>
          <t>Tablero SCI</t>
        </is>
      </c>
      <c r="D3115" s="2" t="n">
        <v>1038</v>
      </c>
      <c r="E3115" s="2" t="inlineStr">
        <is>
          <t>CC-7000</t>
        </is>
      </c>
      <c r="F3115" s="2" t="inlineStr">
        <is>
          <t>P01</t>
        </is>
      </c>
      <c r="G3115" s="2" t="n">
        <v>630000</v>
      </c>
      <c r="H3115" s="2" t="inlineStr">
        <is>
          <t>Servicios externos</t>
        </is>
      </c>
      <c r="I3115" s="9" t="n">
        <v>402.48</v>
      </c>
      <c r="J3115" s="9" t="n">
        <v>412.46</v>
      </c>
      <c r="K3115" s="9" t="n">
        <v>371.6</v>
      </c>
      <c r="L3115" s="9" t="n">
        <v>414.2</v>
      </c>
      <c r="M3115" s="9" t="n">
        <v>361.12</v>
      </c>
      <c r="N3115" s="9" t="n">
        <v>342.44</v>
      </c>
      <c r="O3115" s="9" t="n">
        <v>396.77</v>
      </c>
      <c r="P3115" s="9" t="n">
        <v>410.85</v>
      </c>
      <c r="Q3115" s="9" t="n">
        <v>342.46</v>
      </c>
      <c r="R3115" s="9" t="n">
        <v>407.81</v>
      </c>
      <c r="S3115" s="9" t="n">
        <v>355.69</v>
      </c>
      <c r="T3115" s="9" t="n">
        <v>419.35</v>
      </c>
      <c r="U3115" s="10">
        <f>SUM(I3115:T3115)</f>
        <v/>
      </c>
    </row>
    <row r="3116">
      <c r="A3116" s="2" t="inlineStr">
        <is>
          <t>SN-7000-7200-7200-7200IO0001</t>
        </is>
      </c>
      <c r="B3116" s="2" t="inlineStr">
        <is>
          <t>7200IO0001</t>
        </is>
      </c>
      <c r="C3116" s="2" t="inlineStr">
        <is>
          <t xml:space="preserve">Gabinete RIO  </t>
        </is>
      </c>
      <c r="D3116" s="2" t="n">
        <v>1039</v>
      </c>
      <c r="E3116" s="2" t="inlineStr">
        <is>
          <t>CC-7000</t>
        </is>
      </c>
      <c r="F3116" s="2" t="inlineStr">
        <is>
          <t>P01</t>
        </is>
      </c>
      <c r="G3116" s="2" t="n">
        <v>610000</v>
      </c>
      <c r="H3116" s="2" t="inlineStr">
        <is>
          <t>Mano obra interna</t>
        </is>
      </c>
      <c r="I3116" s="9" t="n">
        <v>2157.25</v>
      </c>
      <c r="J3116" s="9" t="n">
        <v>2232.4</v>
      </c>
      <c r="K3116" s="9" t="n">
        <v>2218.13</v>
      </c>
      <c r="L3116" s="9" t="n">
        <v>2329.98</v>
      </c>
      <c r="M3116" s="9" t="n">
        <v>2253.98</v>
      </c>
      <c r="N3116" s="9" t="n">
        <v>2025.87</v>
      </c>
      <c r="O3116" s="9" t="n">
        <v>2161.14</v>
      </c>
      <c r="P3116" s="9" t="n">
        <v>2038.54</v>
      </c>
      <c r="Q3116" s="9" t="n">
        <v>2140.46</v>
      </c>
      <c r="R3116" s="9" t="n">
        <v>2217.72</v>
      </c>
      <c r="S3116" s="9" t="n">
        <v>2157.53</v>
      </c>
      <c r="T3116" s="9" t="n">
        <v>2098.97</v>
      </c>
      <c r="U3116" s="10">
        <f>SUM(I3116:T3116)</f>
        <v/>
      </c>
    </row>
    <row r="3117">
      <c r="A3117" s="2" t="inlineStr">
        <is>
          <t>SN-7000-7200-7200-7200IO0001</t>
        </is>
      </c>
      <c r="B3117" s="2" t="inlineStr">
        <is>
          <t>7200IO0001</t>
        </is>
      </c>
      <c r="C3117" s="2" t="inlineStr">
        <is>
          <t xml:space="preserve">Gabinete RIO  </t>
        </is>
      </c>
      <c r="D3117" s="2" t="n">
        <v>1039</v>
      </c>
      <c r="E3117" s="2" t="inlineStr">
        <is>
          <t>CC-7000</t>
        </is>
      </c>
      <c r="F3117" s="2" t="inlineStr">
        <is>
          <t>P01</t>
        </is>
      </c>
      <c r="G3117" s="2" t="n">
        <v>620000</v>
      </c>
      <c r="H3117" s="2" t="inlineStr">
        <is>
          <t>Materiales</t>
        </is>
      </c>
      <c r="I3117" s="9" t="n">
        <v>2085.57</v>
      </c>
      <c r="J3117" s="9" t="n">
        <v>2168.79</v>
      </c>
      <c r="K3117" s="9" t="n">
        <v>2158.38</v>
      </c>
      <c r="L3117" s="9" t="n">
        <v>2103.9</v>
      </c>
      <c r="M3117" s="9" t="n">
        <v>2064.26</v>
      </c>
      <c r="N3117" s="9" t="n">
        <v>2002.35</v>
      </c>
      <c r="O3117" s="9" t="n">
        <v>2183.64</v>
      </c>
      <c r="P3117" s="9" t="n">
        <v>2139.82</v>
      </c>
      <c r="Q3117" s="9" t="n">
        <v>1892.54</v>
      </c>
      <c r="R3117" s="9" t="n">
        <v>2365.85</v>
      </c>
      <c r="S3117" s="9" t="n">
        <v>2208.78</v>
      </c>
      <c r="T3117" s="9" t="n">
        <v>2239.91</v>
      </c>
      <c r="U3117" s="10">
        <f>SUM(I3117:T3117)</f>
        <v/>
      </c>
    </row>
    <row r="3118">
      <c r="A3118" s="2" t="inlineStr">
        <is>
          <t>SN-7000-7200-7200-7200IO0001</t>
        </is>
      </c>
      <c r="B3118" s="2" t="inlineStr">
        <is>
          <t>7200IO0001</t>
        </is>
      </c>
      <c r="C3118" s="2" t="inlineStr">
        <is>
          <t xml:space="preserve">Gabinete RIO  </t>
        </is>
      </c>
      <c r="D3118" s="2" t="n">
        <v>1039</v>
      </c>
      <c r="E3118" s="2" t="inlineStr">
        <is>
          <t>CC-7000</t>
        </is>
      </c>
      <c r="F3118" s="2" t="inlineStr">
        <is>
          <t>P01</t>
        </is>
      </c>
      <c r="G3118" s="2" t="n">
        <v>630000</v>
      </c>
      <c r="H3118" s="2" t="inlineStr">
        <is>
          <t>Servicios externos</t>
        </is>
      </c>
      <c r="I3118" s="9" t="n">
        <v>2485.58</v>
      </c>
      <c r="J3118" s="9" t="n">
        <v>2693.95</v>
      </c>
      <c r="K3118" s="9" t="n">
        <v>2686.45</v>
      </c>
      <c r="L3118" s="9" t="n">
        <v>2668.23</v>
      </c>
      <c r="M3118" s="9" t="n">
        <v>2582.64</v>
      </c>
      <c r="N3118" s="9" t="n">
        <v>2417.87</v>
      </c>
      <c r="O3118" s="9" t="n">
        <v>2529.8</v>
      </c>
      <c r="P3118" s="9" t="n">
        <v>2654.58</v>
      </c>
      <c r="Q3118" s="9" t="n">
        <v>2245.45</v>
      </c>
      <c r="R3118" s="9" t="n">
        <v>2845.58</v>
      </c>
      <c r="S3118" s="9" t="n">
        <v>2609.1</v>
      </c>
      <c r="T3118" s="9" t="n">
        <v>2579.62</v>
      </c>
      <c r="U3118" s="10">
        <f>SUM(I3118:T3118)</f>
        <v/>
      </c>
    </row>
    <row r="3119">
      <c r="A3119" s="2" t="inlineStr">
        <is>
          <t>SN-7000-7200-7200-7200PR0002</t>
        </is>
      </c>
      <c r="B3119" s="2" t="inlineStr">
        <is>
          <t>7200PR0002</t>
        </is>
      </c>
      <c r="C3119" s="2" t="inlineStr">
        <is>
          <t>Tablero de enchufes</t>
        </is>
      </c>
      <c r="D3119" s="2" t="n">
        <v>1040</v>
      </c>
      <c r="E3119" s="2" t="inlineStr">
        <is>
          <t>CC-7000</t>
        </is>
      </c>
      <c r="F3119" s="2" t="inlineStr">
        <is>
          <t>P01</t>
        </is>
      </c>
      <c r="G3119" s="2" t="n">
        <v>610000</v>
      </c>
      <c r="H3119" s="2" t="inlineStr">
        <is>
          <t>Mano obra interna</t>
        </is>
      </c>
      <c r="I3119" s="9" t="n">
        <v>887.71</v>
      </c>
      <c r="J3119" s="9" t="n">
        <v>837.52</v>
      </c>
      <c r="K3119" s="9" t="n">
        <v>878.49</v>
      </c>
      <c r="L3119" s="9" t="n">
        <v>881.79</v>
      </c>
      <c r="M3119" s="9" t="n">
        <v>832.5599999999999</v>
      </c>
      <c r="N3119" s="9" t="n">
        <v>838.75</v>
      </c>
      <c r="O3119" s="9" t="n">
        <v>883.54</v>
      </c>
      <c r="P3119" s="9" t="n">
        <v>982.85</v>
      </c>
      <c r="Q3119" s="9" t="n">
        <v>915.12</v>
      </c>
      <c r="R3119" s="9" t="n">
        <v>933.64</v>
      </c>
      <c r="S3119" s="9" t="n">
        <v>841.76</v>
      </c>
      <c r="T3119" s="9" t="n">
        <v>923.71</v>
      </c>
      <c r="U3119" s="10">
        <f>SUM(I3119:T3119)</f>
        <v/>
      </c>
    </row>
    <row r="3120">
      <c r="A3120" s="2" t="inlineStr">
        <is>
          <t>SN-7000-7200-7200-7200PR0002</t>
        </is>
      </c>
      <c r="B3120" s="2" t="inlineStr">
        <is>
          <t>7200PR0002</t>
        </is>
      </c>
      <c r="C3120" s="2" t="inlineStr">
        <is>
          <t>Tablero de enchufes</t>
        </is>
      </c>
      <c r="D3120" s="2" t="n">
        <v>1040</v>
      </c>
      <c r="E3120" s="2" t="inlineStr">
        <is>
          <t>CC-7000</t>
        </is>
      </c>
      <c r="F3120" s="2" t="inlineStr">
        <is>
          <t>P01</t>
        </is>
      </c>
      <c r="G3120" s="2" t="n">
        <v>620000</v>
      </c>
      <c r="H3120" s="2" t="inlineStr">
        <is>
          <t>Materiales</t>
        </is>
      </c>
      <c r="I3120" s="9" t="n">
        <v>837.86</v>
      </c>
      <c r="J3120" s="9" t="n">
        <v>794.79</v>
      </c>
      <c r="K3120" s="9" t="n">
        <v>822.4299999999999</v>
      </c>
      <c r="L3120" s="9" t="n">
        <v>881.5700000000001</v>
      </c>
      <c r="M3120" s="9" t="n">
        <v>854.35</v>
      </c>
      <c r="N3120" s="9" t="n">
        <v>845.4</v>
      </c>
      <c r="O3120" s="9" t="n">
        <v>784.23</v>
      </c>
      <c r="P3120" s="9" t="n">
        <v>870.52</v>
      </c>
      <c r="Q3120" s="9" t="n">
        <v>768.15</v>
      </c>
      <c r="R3120" s="9" t="n">
        <v>897.49</v>
      </c>
      <c r="S3120" s="9" t="n">
        <v>844.37</v>
      </c>
      <c r="T3120" s="9" t="n">
        <v>891.35</v>
      </c>
      <c r="U3120" s="10">
        <f>SUM(I3120:T3120)</f>
        <v/>
      </c>
    </row>
    <row r="3121">
      <c r="A3121" s="2" t="inlineStr">
        <is>
          <t>SN-7000-7200-7200-7200PR0002</t>
        </is>
      </c>
      <c r="B3121" s="2" t="inlineStr">
        <is>
          <t>7200PR0002</t>
        </is>
      </c>
      <c r="C3121" s="2" t="inlineStr">
        <is>
          <t>Tablero de enchufes</t>
        </is>
      </c>
      <c r="D3121" s="2" t="n">
        <v>1040</v>
      </c>
      <c r="E3121" s="2" t="inlineStr">
        <is>
          <t>CC-7000</t>
        </is>
      </c>
      <c r="F3121" s="2" t="inlineStr">
        <is>
          <t>P01</t>
        </is>
      </c>
      <c r="G3121" s="2" t="n">
        <v>630000</v>
      </c>
      <c r="H3121" s="2" t="inlineStr">
        <is>
          <t>Servicios externos</t>
        </is>
      </c>
      <c r="I3121" s="9" t="n">
        <v>997.75</v>
      </c>
      <c r="J3121" s="9" t="n">
        <v>984.96</v>
      </c>
      <c r="K3121" s="9" t="n">
        <v>1052.49</v>
      </c>
      <c r="L3121" s="9" t="n">
        <v>1077.68</v>
      </c>
      <c r="M3121" s="9" t="n">
        <v>1016.46</v>
      </c>
      <c r="N3121" s="9" t="n">
        <v>937.13</v>
      </c>
      <c r="O3121" s="9" t="n">
        <v>989.05</v>
      </c>
      <c r="P3121" s="9" t="n">
        <v>929.01</v>
      </c>
      <c r="Q3121" s="9" t="n">
        <v>995.8200000000001</v>
      </c>
      <c r="R3121" s="9" t="n">
        <v>1009.13</v>
      </c>
      <c r="S3121" s="9" t="n">
        <v>982.17</v>
      </c>
      <c r="T3121" s="9" t="n">
        <v>1077.09</v>
      </c>
      <c r="U3121" s="10">
        <f>SUM(I3121:T3121)</f>
        <v/>
      </c>
    </row>
    <row r="3122">
      <c r="A3122" s="2" t="inlineStr">
        <is>
          <t>SN-7000-7200-7200-7200PU0422</t>
        </is>
      </c>
      <c r="B3122" s="2" t="inlineStr">
        <is>
          <t>7200PU0422</t>
        </is>
      </c>
      <c r="C3122" s="2" t="inlineStr">
        <is>
          <t>Bomba agua pozo</t>
        </is>
      </c>
      <c r="D3122" s="2" t="n">
        <v>1041</v>
      </c>
      <c r="E3122" s="2" t="inlineStr">
        <is>
          <t>CC-7000</t>
        </is>
      </c>
      <c r="F3122" s="2" t="inlineStr">
        <is>
          <t>P01</t>
        </is>
      </c>
      <c r="G3122" s="2" t="n">
        <v>610000</v>
      </c>
      <c r="H3122" s="2" t="inlineStr">
        <is>
          <t>Mano obra interna</t>
        </is>
      </c>
      <c r="I3122" s="9" t="n">
        <v>2994.94</v>
      </c>
      <c r="J3122" s="9" t="n">
        <v>2890.99</v>
      </c>
      <c r="K3122" s="9" t="n">
        <v>2684.56</v>
      </c>
      <c r="L3122" s="9" t="n">
        <v>2820.85</v>
      </c>
      <c r="M3122" s="9" t="n">
        <v>2855.08</v>
      </c>
      <c r="N3122" s="9" t="n">
        <v>2643.13</v>
      </c>
      <c r="O3122" s="9" t="n">
        <v>2820.87</v>
      </c>
      <c r="P3122" s="9" t="n">
        <v>2839.55</v>
      </c>
      <c r="Q3122" s="9" t="n">
        <v>2460.44</v>
      </c>
      <c r="R3122" s="9" t="n">
        <v>2976.39</v>
      </c>
      <c r="S3122" s="9" t="n">
        <v>2505.5</v>
      </c>
      <c r="T3122" s="9" t="n">
        <v>2681.66</v>
      </c>
      <c r="U3122" s="10">
        <f>SUM(I3122:T3122)</f>
        <v/>
      </c>
    </row>
    <row r="3123">
      <c r="A3123" s="2" t="inlineStr">
        <is>
          <t>SN-7000-7200-7200-7200PU0422</t>
        </is>
      </c>
      <c r="B3123" s="2" t="inlineStr">
        <is>
          <t>7200PU0422</t>
        </is>
      </c>
      <c r="C3123" s="2" t="inlineStr">
        <is>
          <t>Bomba agua pozo</t>
        </is>
      </c>
      <c r="D3123" s="2" t="n">
        <v>1041</v>
      </c>
      <c r="E3123" s="2" t="inlineStr">
        <is>
          <t>CC-7000</t>
        </is>
      </c>
      <c r="F3123" s="2" t="inlineStr">
        <is>
          <t>P01</t>
        </is>
      </c>
      <c r="G3123" s="2" t="n">
        <v>620000</v>
      </c>
      <c r="H3123" s="2" t="inlineStr">
        <is>
          <t>Materiales</t>
        </is>
      </c>
      <c r="I3123" s="9" t="n">
        <v>2868.11</v>
      </c>
      <c r="J3123" s="9" t="n">
        <v>2580.01</v>
      </c>
      <c r="K3123" s="9" t="n">
        <v>2981.88</v>
      </c>
      <c r="L3123" s="9" t="n">
        <v>2780.39</v>
      </c>
      <c r="M3123" s="9" t="n">
        <v>2933.09</v>
      </c>
      <c r="N3123" s="9" t="n">
        <v>2607.14</v>
      </c>
      <c r="O3123" s="9" t="n">
        <v>2622.45</v>
      </c>
      <c r="P3123" s="9" t="n">
        <v>2889.31</v>
      </c>
      <c r="Q3123" s="9" t="n">
        <v>2612.95</v>
      </c>
      <c r="R3123" s="9" t="n">
        <v>2940.33</v>
      </c>
      <c r="S3123" s="9" t="n">
        <v>2626.22</v>
      </c>
      <c r="T3123" s="9" t="n">
        <v>2660.61</v>
      </c>
      <c r="U3123" s="10">
        <f>SUM(I3123:T3123)</f>
        <v/>
      </c>
    </row>
    <row r="3124">
      <c r="A3124" s="2" t="inlineStr">
        <is>
          <t>SN-7000-7200-7200-7200PU0422</t>
        </is>
      </c>
      <c r="B3124" s="2" t="inlineStr">
        <is>
          <t>7200PU0422</t>
        </is>
      </c>
      <c r="C3124" s="2" t="inlineStr">
        <is>
          <t>Bomba agua pozo</t>
        </is>
      </c>
      <c r="D3124" s="2" t="n">
        <v>1041</v>
      </c>
      <c r="E3124" s="2" t="inlineStr">
        <is>
          <t>CC-7000</t>
        </is>
      </c>
      <c r="F3124" s="2" t="inlineStr">
        <is>
          <t>P01</t>
        </is>
      </c>
      <c r="G3124" s="2" t="n">
        <v>630000</v>
      </c>
      <c r="H3124" s="2" t="inlineStr">
        <is>
          <t>Servicios externos</t>
        </is>
      </c>
      <c r="I3124" s="9" t="n">
        <v>2496.62</v>
      </c>
      <c r="J3124" s="9" t="n">
        <v>2605.76</v>
      </c>
      <c r="K3124" s="9" t="n">
        <v>2901.68</v>
      </c>
      <c r="L3124" s="9" t="n">
        <v>2830.84</v>
      </c>
      <c r="M3124" s="9" t="n">
        <v>2419.99</v>
      </c>
      <c r="N3124" s="9" t="n">
        <v>2682.86</v>
      </c>
      <c r="O3124" s="9" t="n">
        <v>2625.82</v>
      </c>
      <c r="P3124" s="9" t="n">
        <v>2512.12</v>
      </c>
      <c r="Q3124" s="9" t="n">
        <v>2561.42</v>
      </c>
      <c r="R3124" s="9" t="n">
        <v>2771.39</v>
      </c>
      <c r="S3124" s="9" t="n">
        <v>2459.28</v>
      </c>
      <c r="T3124" s="9" t="n">
        <v>2538.62</v>
      </c>
      <c r="U3124" s="10">
        <f>SUM(I3124:T3124)</f>
        <v/>
      </c>
    </row>
    <row r="3125">
      <c r="A3125" s="2" t="inlineStr">
        <is>
          <t>SN-7000-7200-7200-7200PU0423</t>
        </is>
      </c>
      <c r="B3125" s="2" t="inlineStr">
        <is>
          <t>7200PU0423</t>
        </is>
      </c>
      <c r="C3125" s="2" t="inlineStr">
        <is>
          <t>Bomba transferencia agua fresca</t>
        </is>
      </c>
      <c r="D3125" s="2" t="n">
        <v>1042</v>
      </c>
      <c r="E3125" s="2" t="inlineStr">
        <is>
          <t>CC-7000</t>
        </is>
      </c>
      <c r="F3125" s="2" t="inlineStr">
        <is>
          <t>P01</t>
        </is>
      </c>
      <c r="G3125" s="2" t="n">
        <v>610000</v>
      </c>
      <c r="H3125" s="2" t="inlineStr">
        <is>
          <t>Mano obra interna</t>
        </is>
      </c>
      <c r="I3125" s="9" t="n">
        <v>410.62</v>
      </c>
      <c r="J3125" s="9" t="n">
        <v>443.07</v>
      </c>
      <c r="K3125" s="9" t="n">
        <v>441.76</v>
      </c>
      <c r="L3125" s="9" t="n">
        <v>435.98</v>
      </c>
      <c r="M3125" s="9" t="n">
        <v>391.84</v>
      </c>
      <c r="N3125" s="9" t="n">
        <v>432.24</v>
      </c>
      <c r="O3125" s="9" t="n">
        <v>429.93</v>
      </c>
      <c r="P3125" s="9" t="n">
        <v>425.77</v>
      </c>
      <c r="Q3125" s="9" t="n">
        <v>417.24</v>
      </c>
      <c r="R3125" s="9" t="n">
        <v>431.52</v>
      </c>
      <c r="S3125" s="9" t="n">
        <v>407.6</v>
      </c>
      <c r="T3125" s="9" t="n">
        <v>441.9</v>
      </c>
      <c r="U3125" s="10">
        <f>SUM(I3125:T3125)</f>
        <v/>
      </c>
    </row>
    <row r="3126">
      <c r="A3126" s="2" t="inlineStr">
        <is>
          <t>SN-7000-7200-7200-7200PU0423</t>
        </is>
      </c>
      <c r="B3126" s="2" t="inlineStr">
        <is>
          <t>7200PU0423</t>
        </is>
      </c>
      <c r="C3126" s="2" t="inlineStr">
        <is>
          <t>Bomba transferencia agua fresca</t>
        </is>
      </c>
      <c r="D3126" s="2" t="n">
        <v>1042</v>
      </c>
      <c r="E3126" s="2" t="inlineStr">
        <is>
          <t>CC-7000</t>
        </is>
      </c>
      <c r="F3126" s="2" t="inlineStr">
        <is>
          <t>P01</t>
        </is>
      </c>
      <c r="G3126" s="2" t="n">
        <v>620000</v>
      </c>
      <c r="H3126" s="2" t="inlineStr">
        <is>
          <t>Materiales</t>
        </is>
      </c>
      <c r="I3126" s="9" t="n">
        <v>398.68</v>
      </c>
      <c r="J3126" s="9" t="n">
        <v>392.25</v>
      </c>
      <c r="K3126" s="9" t="n">
        <v>410.95</v>
      </c>
      <c r="L3126" s="9" t="n">
        <v>453.68</v>
      </c>
      <c r="M3126" s="9" t="n">
        <v>395.92</v>
      </c>
      <c r="N3126" s="9" t="n">
        <v>374.87</v>
      </c>
      <c r="O3126" s="9" t="n">
        <v>432.94</v>
      </c>
      <c r="P3126" s="9" t="n">
        <v>406.01</v>
      </c>
      <c r="Q3126" s="9" t="n">
        <v>379.62</v>
      </c>
      <c r="R3126" s="9" t="n">
        <v>447.24</v>
      </c>
      <c r="S3126" s="9" t="n">
        <v>404.46</v>
      </c>
      <c r="T3126" s="9" t="n">
        <v>423.66</v>
      </c>
      <c r="U3126" s="10">
        <f>SUM(I3126:T3126)</f>
        <v/>
      </c>
    </row>
    <row r="3127">
      <c r="A3127" s="2" t="inlineStr">
        <is>
          <t>SN-7000-7200-7200-7200PU0423</t>
        </is>
      </c>
      <c r="B3127" s="2" t="inlineStr">
        <is>
          <t>7200PU0423</t>
        </is>
      </c>
      <c r="C3127" s="2" t="inlineStr">
        <is>
          <t>Bomba transferencia agua fresca</t>
        </is>
      </c>
      <c r="D3127" s="2" t="n">
        <v>1042</v>
      </c>
      <c r="E3127" s="2" t="inlineStr">
        <is>
          <t>CC-7000</t>
        </is>
      </c>
      <c r="F3127" s="2" t="inlineStr">
        <is>
          <t>P01</t>
        </is>
      </c>
      <c r="G3127" s="2" t="n">
        <v>630000</v>
      </c>
      <c r="H3127" s="2" t="inlineStr">
        <is>
          <t>Servicios externos</t>
        </is>
      </c>
      <c r="I3127" s="9" t="n">
        <v>385.91</v>
      </c>
      <c r="J3127" s="9" t="n">
        <v>336.94</v>
      </c>
      <c r="K3127" s="9" t="n">
        <v>358.73</v>
      </c>
      <c r="L3127" s="9" t="n">
        <v>348.4</v>
      </c>
      <c r="M3127" s="9" t="n">
        <v>371.17</v>
      </c>
      <c r="N3127" s="9" t="n">
        <v>348.48</v>
      </c>
      <c r="O3127" s="9" t="n">
        <v>374.54</v>
      </c>
      <c r="P3127" s="9" t="n">
        <v>368.23</v>
      </c>
      <c r="Q3127" s="9" t="n">
        <v>313.61</v>
      </c>
      <c r="R3127" s="9" t="n">
        <v>375.57</v>
      </c>
      <c r="S3127" s="9" t="n">
        <v>348.6</v>
      </c>
      <c r="T3127" s="9" t="n">
        <v>353.63</v>
      </c>
      <c r="U3127" s="10">
        <f>SUM(I3127:T3127)</f>
        <v/>
      </c>
    </row>
    <row r="3128">
      <c r="A3128" s="2" t="inlineStr">
        <is>
          <t>SN-7000-7200-7200-7200PU0424</t>
        </is>
      </c>
      <c r="B3128" s="2" t="inlineStr">
        <is>
          <t>7200PU0424</t>
        </is>
      </c>
      <c r="C3128" s="2" t="inlineStr">
        <is>
          <t>Bomba transferencia agua fresca</t>
        </is>
      </c>
      <c r="D3128" s="2" t="n">
        <v>1043</v>
      </c>
      <c r="E3128" s="2" t="inlineStr">
        <is>
          <t>CC-7000</t>
        </is>
      </c>
      <c r="F3128" s="2" t="inlineStr">
        <is>
          <t>P01</t>
        </is>
      </c>
      <c r="G3128" s="2" t="n">
        <v>610000</v>
      </c>
      <c r="H3128" s="2" t="inlineStr">
        <is>
          <t>Mano obra interna</t>
        </is>
      </c>
      <c r="I3128" s="9" t="n">
        <v>1951.68</v>
      </c>
      <c r="J3128" s="9" t="n">
        <v>1848.17</v>
      </c>
      <c r="K3128" s="9" t="n">
        <v>1816.03</v>
      </c>
      <c r="L3128" s="9" t="n">
        <v>1923.04</v>
      </c>
      <c r="M3128" s="9" t="n">
        <v>1822.81</v>
      </c>
      <c r="N3128" s="9" t="n">
        <v>1588.72</v>
      </c>
      <c r="O3128" s="9" t="n">
        <v>1771.25</v>
      </c>
      <c r="P3128" s="9" t="n">
        <v>1743.22</v>
      </c>
      <c r="Q3128" s="9" t="n">
        <v>1604.42</v>
      </c>
      <c r="R3128" s="9" t="n">
        <v>1869.22</v>
      </c>
      <c r="S3128" s="9" t="n">
        <v>1871.06</v>
      </c>
      <c r="T3128" s="9" t="n">
        <v>1827.82</v>
      </c>
      <c r="U3128" s="10">
        <f>SUM(I3128:T3128)</f>
        <v/>
      </c>
    </row>
    <row r="3129">
      <c r="A3129" s="2" t="inlineStr">
        <is>
          <t>SN-7000-7200-7200-7200PU0424</t>
        </is>
      </c>
      <c r="B3129" s="2" t="inlineStr">
        <is>
          <t>7200PU0424</t>
        </is>
      </c>
      <c r="C3129" s="2" t="inlineStr">
        <is>
          <t>Bomba transferencia agua fresca</t>
        </is>
      </c>
      <c r="D3129" s="2" t="n">
        <v>1043</v>
      </c>
      <c r="E3129" s="2" t="inlineStr">
        <is>
          <t>CC-7000</t>
        </is>
      </c>
      <c r="F3129" s="2" t="inlineStr">
        <is>
          <t>P01</t>
        </is>
      </c>
      <c r="G3129" s="2" t="n">
        <v>620000</v>
      </c>
      <c r="H3129" s="2" t="inlineStr">
        <is>
          <t>Materiales</t>
        </is>
      </c>
      <c r="I3129" s="9" t="n">
        <v>2070.13</v>
      </c>
      <c r="J3129" s="9" t="n">
        <v>1983.82</v>
      </c>
      <c r="K3129" s="9" t="n">
        <v>2328.63</v>
      </c>
      <c r="L3129" s="9" t="n">
        <v>2170.38</v>
      </c>
      <c r="M3129" s="9" t="n">
        <v>2236.01</v>
      </c>
      <c r="N3129" s="9" t="n">
        <v>1889.62</v>
      </c>
      <c r="O3129" s="9" t="n">
        <v>2267.64</v>
      </c>
      <c r="P3129" s="9" t="n">
        <v>2094.71</v>
      </c>
      <c r="Q3129" s="9" t="n">
        <v>1869.06</v>
      </c>
      <c r="R3129" s="9" t="n">
        <v>2358.92</v>
      </c>
      <c r="S3129" s="9" t="n">
        <v>2154.88</v>
      </c>
      <c r="T3129" s="9" t="n">
        <v>2000.39</v>
      </c>
      <c r="U3129" s="10">
        <f>SUM(I3129:T3129)</f>
        <v/>
      </c>
    </row>
    <row r="3130">
      <c r="A3130" s="2" t="inlineStr">
        <is>
          <t>SN-7000-7200-7200-7200PU0424</t>
        </is>
      </c>
      <c r="B3130" s="2" t="inlineStr">
        <is>
          <t>7200PU0424</t>
        </is>
      </c>
      <c r="C3130" s="2" t="inlineStr">
        <is>
          <t>Bomba transferencia agua fresca</t>
        </is>
      </c>
      <c r="D3130" s="2" t="n">
        <v>1043</v>
      </c>
      <c r="E3130" s="2" t="inlineStr">
        <is>
          <t>CC-7000</t>
        </is>
      </c>
      <c r="F3130" s="2" t="inlineStr">
        <is>
          <t>P01</t>
        </is>
      </c>
      <c r="G3130" s="2" t="n">
        <v>630000</v>
      </c>
      <c r="H3130" s="2" t="inlineStr">
        <is>
          <t>Servicios externos</t>
        </is>
      </c>
      <c r="I3130" s="9" t="n">
        <v>2333.12</v>
      </c>
      <c r="J3130" s="9" t="n">
        <v>2119.73</v>
      </c>
      <c r="K3130" s="9" t="n">
        <v>2158.21</v>
      </c>
      <c r="L3130" s="9" t="n">
        <v>2225.53</v>
      </c>
      <c r="M3130" s="9" t="n">
        <v>2094.68</v>
      </c>
      <c r="N3130" s="9" t="n">
        <v>2116.31</v>
      </c>
      <c r="O3130" s="9" t="n">
        <v>2316.61</v>
      </c>
      <c r="P3130" s="9" t="n">
        <v>2270.7</v>
      </c>
      <c r="Q3130" s="9" t="n">
        <v>2041.34</v>
      </c>
      <c r="R3130" s="9" t="n">
        <v>2243.71</v>
      </c>
      <c r="S3130" s="9" t="n">
        <v>2301.76</v>
      </c>
      <c r="T3130" s="9" t="n">
        <v>2165.91</v>
      </c>
      <c r="U3130" s="10">
        <f>SUM(I3130:T3130)</f>
        <v/>
      </c>
    </row>
    <row r="3131">
      <c r="A3131" s="2" t="inlineStr">
        <is>
          <t>SN-7000-7200-7200-7200PU0425</t>
        </is>
      </c>
      <c r="B3131" s="2" t="inlineStr">
        <is>
          <t>7200PU0425</t>
        </is>
      </c>
      <c r="C3131" s="2" t="inlineStr">
        <is>
          <t>Bomba agua recuperada</t>
        </is>
      </c>
      <c r="D3131" s="2" t="n">
        <v>1044</v>
      </c>
      <c r="E3131" s="2" t="inlineStr">
        <is>
          <t>CC-7000</t>
        </is>
      </c>
      <c r="F3131" s="2" t="inlineStr">
        <is>
          <t>P01</t>
        </is>
      </c>
      <c r="G3131" s="2" t="n">
        <v>610000</v>
      </c>
      <c r="H3131" s="2" t="inlineStr">
        <is>
          <t>Mano obra interna</t>
        </is>
      </c>
      <c r="I3131" s="9" t="n">
        <v>1425.77</v>
      </c>
      <c r="J3131" s="9" t="n">
        <v>1402.4</v>
      </c>
      <c r="K3131" s="9" t="n">
        <v>1517.15</v>
      </c>
      <c r="L3131" s="9" t="n">
        <v>1499.69</v>
      </c>
      <c r="M3131" s="9" t="n">
        <v>1440.19</v>
      </c>
      <c r="N3131" s="9" t="n">
        <v>1291.42</v>
      </c>
      <c r="O3131" s="9" t="n">
        <v>1292.68</v>
      </c>
      <c r="P3131" s="9" t="n">
        <v>1382.3</v>
      </c>
      <c r="Q3131" s="9" t="n">
        <v>1172.4</v>
      </c>
      <c r="R3131" s="9" t="n">
        <v>1400.39</v>
      </c>
      <c r="S3131" s="9" t="n">
        <v>1216.13</v>
      </c>
      <c r="T3131" s="9" t="n">
        <v>1314.35</v>
      </c>
      <c r="U3131" s="10">
        <f>SUM(I3131:T3131)</f>
        <v/>
      </c>
    </row>
    <row r="3132">
      <c r="A3132" s="2" t="inlineStr">
        <is>
          <t>SN-7000-7200-7200-7200PU0425</t>
        </is>
      </c>
      <c r="B3132" s="2" t="inlineStr">
        <is>
          <t>7200PU0425</t>
        </is>
      </c>
      <c r="C3132" s="2" t="inlineStr">
        <is>
          <t>Bomba agua recuperada</t>
        </is>
      </c>
      <c r="D3132" s="2" t="n">
        <v>1044</v>
      </c>
      <c r="E3132" s="2" t="inlineStr">
        <is>
          <t>CC-7000</t>
        </is>
      </c>
      <c r="F3132" s="2" t="inlineStr">
        <is>
          <t>P01</t>
        </is>
      </c>
      <c r="G3132" s="2" t="n">
        <v>620000</v>
      </c>
      <c r="H3132" s="2" t="inlineStr">
        <is>
          <t>Materiales</t>
        </is>
      </c>
      <c r="I3132" s="9" t="n">
        <v>1399.31</v>
      </c>
      <c r="J3132" s="9" t="n">
        <v>1344.7</v>
      </c>
      <c r="K3132" s="9" t="n">
        <v>1514.85</v>
      </c>
      <c r="L3132" s="9" t="n">
        <v>1465.19</v>
      </c>
      <c r="M3132" s="9" t="n">
        <v>1476.49</v>
      </c>
      <c r="N3132" s="9" t="n">
        <v>1321.62</v>
      </c>
      <c r="O3132" s="9" t="n">
        <v>1344.33</v>
      </c>
      <c r="P3132" s="9" t="n">
        <v>1309.37</v>
      </c>
      <c r="Q3132" s="9" t="n">
        <v>1333.88</v>
      </c>
      <c r="R3132" s="9" t="n">
        <v>1586.14</v>
      </c>
      <c r="S3132" s="9" t="n">
        <v>1281.69</v>
      </c>
      <c r="T3132" s="9" t="n">
        <v>1501.01</v>
      </c>
      <c r="U3132" s="10">
        <f>SUM(I3132:T3132)</f>
        <v/>
      </c>
    </row>
    <row r="3133">
      <c r="A3133" s="2" t="inlineStr">
        <is>
          <t>SN-7000-7200-7200-7200PU0425</t>
        </is>
      </c>
      <c r="B3133" s="2" t="inlineStr">
        <is>
          <t>7200PU0425</t>
        </is>
      </c>
      <c r="C3133" s="2" t="inlineStr">
        <is>
          <t>Bomba agua recuperada</t>
        </is>
      </c>
      <c r="D3133" s="2" t="n">
        <v>1044</v>
      </c>
      <c r="E3133" s="2" t="inlineStr">
        <is>
          <t>CC-7000</t>
        </is>
      </c>
      <c r="F3133" s="2" t="inlineStr">
        <is>
          <t>P01</t>
        </is>
      </c>
      <c r="G3133" s="2" t="n">
        <v>630000</v>
      </c>
      <c r="H3133" s="2" t="inlineStr">
        <is>
          <t>Servicios externos</t>
        </is>
      </c>
      <c r="I3133" s="9" t="n">
        <v>1393.08</v>
      </c>
      <c r="J3133" s="9" t="n">
        <v>1457.7</v>
      </c>
      <c r="K3133" s="9" t="n">
        <v>1497.61</v>
      </c>
      <c r="L3133" s="9" t="n">
        <v>1367.29</v>
      </c>
      <c r="M3133" s="9" t="n">
        <v>1408.98</v>
      </c>
      <c r="N3133" s="9" t="n">
        <v>1446.5</v>
      </c>
      <c r="O3133" s="9" t="n">
        <v>1460.53</v>
      </c>
      <c r="P3133" s="9" t="n">
        <v>1395.53</v>
      </c>
      <c r="Q3133" s="9" t="n">
        <v>1439.39</v>
      </c>
      <c r="R3133" s="9" t="n">
        <v>1495.05</v>
      </c>
      <c r="S3133" s="9" t="n">
        <v>1345.4</v>
      </c>
      <c r="T3133" s="9" t="n">
        <v>1434.37</v>
      </c>
      <c r="U3133" s="10">
        <f>SUM(I3133:T3133)</f>
        <v/>
      </c>
    </row>
    <row r="3134">
      <c r="A3134" s="2" t="inlineStr">
        <is>
          <t>SN-7000-7200-7200-7200PU0426</t>
        </is>
      </c>
      <c r="B3134" s="2" t="inlineStr">
        <is>
          <t>7200PU0426</t>
        </is>
      </c>
      <c r="C3134" s="2" t="inlineStr">
        <is>
          <t>Bomba agua pozo</t>
        </is>
      </c>
      <c r="D3134" s="2" t="n">
        <v>1045</v>
      </c>
      <c r="E3134" s="2" t="inlineStr">
        <is>
          <t>CC-7000</t>
        </is>
      </c>
      <c r="F3134" s="2" t="inlineStr">
        <is>
          <t>P01</t>
        </is>
      </c>
      <c r="G3134" s="2" t="n">
        <v>610000</v>
      </c>
      <c r="H3134" s="2" t="inlineStr">
        <is>
          <t>Mano obra interna</t>
        </is>
      </c>
      <c r="I3134" s="9" t="n">
        <v>2385.86</v>
      </c>
      <c r="J3134" s="9" t="n">
        <v>2365.96</v>
      </c>
      <c r="K3134" s="9" t="n">
        <v>2591.66</v>
      </c>
      <c r="L3134" s="9" t="n">
        <v>2493.9</v>
      </c>
      <c r="M3134" s="9" t="n">
        <v>2189.14</v>
      </c>
      <c r="N3134" s="9" t="n">
        <v>2334.71</v>
      </c>
      <c r="O3134" s="9" t="n">
        <v>2428.15</v>
      </c>
      <c r="P3134" s="9" t="n">
        <v>2232.76</v>
      </c>
      <c r="Q3134" s="9" t="n">
        <v>2112.22</v>
      </c>
      <c r="R3134" s="9" t="n">
        <v>2602</v>
      </c>
      <c r="S3134" s="9" t="n">
        <v>2165.16</v>
      </c>
      <c r="T3134" s="9" t="n">
        <v>2258.35</v>
      </c>
      <c r="U3134" s="10">
        <f>SUM(I3134:T3134)</f>
        <v/>
      </c>
    </row>
    <row r="3135">
      <c r="A3135" s="2" t="inlineStr">
        <is>
          <t>SN-7000-7200-7200-7200PU0426</t>
        </is>
      </c>
      <c r="B3135" s="2" t="inlineStr">
        <is>
          <t>7200PU0426</t>
        </is>
      </c>
      <c r="C3135" s="2" t="inlineStr">
        <is>
          <t>Bomba agua pozo</t>
        </is>
      </c>
      <c r="D3135" s="2" t="n">
        <v>1045</v>
      </c>
      <c r="E3135" s="2" t="inlineStr">
        <is>
          <t>CC-7000</t>
        </is>
      </c>
      <c r="F3135" s="2" t="inlineStr">
        <is>
          <t>P01</t>
        </is>
      </c>
      <c r="G3135" s="2" t="n">
        <v>620000</v>
      </c>
      <c r="H3135" s="2" t="inlineStr">
        <is>
          <t>Materiales</t>
        </is>
      </c>
      <c r="I3135" s="9" t="n">
        <v>2322.05</v>
      </c>
      <c r="J3135" s="9" t="n">
        <v>1968.03</v>
      </c>
      <c r="K3135" s="9" t="n">
        <v>2192.77</v>
      </c>
      <c r="L3135" s="9" t="n">
        <v>2228.92</v>
      </c>
      <c r="M3135" s="9" t="n">
        <v>2181.74</v>
      </c>
      <c r="N3135" s="9" t="n">
        <v>2212.62</v>
      </c>
      <c r="O3135" s="9" t="n">
        <v>2207.75</v>
      </c>
      <c r="P3135" s="9" t="n">
        <v>2183.66</v>
      </c>
      <c r="Q3135" s="9" t="n">
        <v>2152.26</v>
      </c>
      <c r="R3135" s="9" t="n">
        <v>2149.69</v>
      </c>
      <c r="S3135" s="9" t="n">
        <v>1934.27</v>
      </c>
      <c r="T3135" s="9" t="n">
        <v>2197.04</v>
      </c>
      <c r="U3135" s="10">
        <f>SUM(I3135:T3135)</f>
        <v/>
      </c>
    </row>
    <row r="3136">
      <c r="A3136" s="2" t="inlineStr">
        <is>
          <t>SN-7000-7200-7200-7200PU0426</t>
        </is>
      </c>
      <c r="B3136" s="2" t="inlineStr">
        <is>
          <t>7200PU0426</t>
        </is>
      </c>
      <c r="C3136" s="2" t="inlineStr">
        <is>
          <t>Bomba agua pozo</t>
        </is>
      </c>
      <c r="D3136" s="2" t="n">
        <v>1045</v>
      </c>
      <c r="E3136" s="2" t="inlineStr">
        <is>
          <t>CC-7000</t>
        </is>
      </c>
      <c r="F3136" s="2" t="inlineStr">
        <is>
          <t>P01</t>
        </is>
      </c>
      <c r="G3136" s="2" t="n">
        <v>630000</v>
      </c>
      <c r="H3136" s="2" t="inlineStr">
        <is>
          <t>Servicios externos</t>
        </is>
      </c>
      <c r="I3136" s="9" t="n">
        <v>1873</v>
      </c>
      <c r="J3136" s="9" t="n">
        <v>1871.79</v>
      </c>
      <c r="K3136" s="9" t="n">
        <v>2079.81</v>
      </c>
      <c r="L3136" s="9" t="n">
        <v>2126.62</v>
      </c>
      <c r="M3136" s="9" t="n">
        <v>1815.03</v>
      </c>
      <c r="N3136" s="9" t="n">
        <v>1887.19</v>
      </c>
      <c r="O3136" s="9" t="n">
        <v>1898.19</v>
      </c>
      <c r="P3136" s="9" t="n">
        <v>2012.31</v>
      </c>
      <c r="Q3136" s="9" t="n">
        <v>1840.18</v>
      </c>
      <c r="R3136" s="9" t="n">
        <v>2259.53</v>
      </c>
      <c r="S3136" s="9" t="n">
        <v>1758.23</v>
      </c>
      <c r="T3136" s="9" t="n">
        <v>1980.89</v>
      </c>
      <c r="U3136" s="10">
        <f>SUM(I3136:T3136)</f>
        <v/>
      </c>
    </row>
    <row r="3137">
      <c r="A3137" s="2" t="inlineStr">
        <is>
          <t>SN-7000-7200-7200-7200PU0427</t>
        </is>
      </c>
      <c r="B3137" s="2" t="inlineStr">
        <is>
          <t>7200PU0427</t>
        </is>
      </c>
      <c r="C3137" s="2" t="inlineStr">
        <is>
          <t>Bomba transferencia agua fresca</t>
        </is>
      </c>
      <c r="D3137" s="2" t="n">
        <v>1046</v>
      </c>
      <c r="E3137" s="2" t="inlineStr">
        <is>
          <t>CC-7000</t>
        </is>
      </c>
      <c r="F3137" s="2" t="inlineStr">
        <is>
          <t>P01</t>
        </is>
      </c>
      <c r="G3137" s="2" t="n">
        <v>610000</v>
      </c>
      <c r="H3137" s="2" t="inlineStr">
        <is>
          <t>Mano obra interna</t>
        </is>
      </c>
      <c r="I3137" s="9" t="n">
        <v>2636.79</v>
      </c>
      <c r="J3137" s="9" t="n">
        <v>2672.02</v>
      </c>
      <c r="K3137" s="9" t="n">
        <v>2823.42</v>
      </c>
      <c r="L3137" s="9" t="n">
        <v>2581.71</v>
      </c>
      <c r="M3137" s="9" t="n">
        <v>2668.04</v>
      </c>
      <c r="N3137" s="9" t="n">
        <v>2368.81</v>
      </c>
      <c r="O3137" s="9" t="n">
        <v>2366.07</v>
      </c>
      <c r="P3137" s="9" t="n">
        <v>2711.76</v>
      </c>
      <c r="Q3137" s="9" t="n">
        <v>2244.78</v>
      </c>
      <c r="R3137" s="9" t="n">
        <v>2555.48</v>
      </c>
      <c r="S3137" s="9" t="n">
        <v>2427.68</v>
      </c>
      <c r="T3137" s="9" t="n">
        <v>2555.67</v>
      </c>
      <c r="U3137" s="10">
        <f>SUM(I3137:T3137)</f>
        <v/>
      </c>
    </row>
    <row r="3138">
      <c r="A3138" s="2" t="inlineStr">
        <is>
          <t>SN-7000-7200-7200-7200PU0427</t>
        </is>
      </c>
      <c r="B3138" s="2" t="inlineStr">
        <is>
          <t>7200PU0427</t>
        </is>
      </c>
      <c r="C3138" s="2" t="inlineStr">
        <is>
          <t>Bomba transferencia agua fresca</t>
        </is>
      </c>
      <c r="D3138" s="2" t="n">
        <v>1046</v>
      </c>
      <c r="E3138" s="2" t="inlineStr">
        <is>
          <t>CC-7000</t>
        </is>
      </c>
      <c r="F3138" s="2" t="inlineStr">
        <is>
          <t>P01</t>
        </is>
      </c>
      <c r="G3138" s="2" t="n">
        <v>620000</v>
      </c>
      <c r="H3138" s="2" t="inlineStr">
        <is>
          <t>Materiales</t>
        </is>
      </c>
      <c r="I3138" s="9" t="n">
        <v>2524.27</v>
      </c>
      <c r="J3138" s="9" t="n">
        <v>2283.7</v>
      </c>
      <c r="K3138" s="9" t="n">
        <v>2424.95</v>
      </c>
      <c r="L3138" s="9" t="n">
        <v>2315.66</v>
      </c>
      <c r="M3138" s="9" t="n">
        <v>2334.31</v>
      </c>
      <c r="N3138" s="9" t="n">
        <v>2347</v>
      </c>
      <c r="O3138" s="9" t="n">
        <v>2508.52</v>
      </c>
      <c r="P3138" s="9" t="n">
        <v>2529.73</v>
      </c>
      <c r="Q3138" s="9" t="n">
        <v>2165.94</v>
      </c>
      <c r="R3138" s="9" t="n">
        <v>2738.09</v>
      </c>
      <c r="S3138" s="9" t="n">
        <v>2204.41</v>
      </c>
      <c r="T3138" s="9" t="n">
        <v>2200.85</v>
      </c>
      <c r="U3138" s="10">
        <f>SUM(I3138:T3138)</f>
        <v/>
      </c>
    </row>
    <row r="3139">
      <c r="A3139" s="2" t="inlineStr">
        <is>
          <t>SN-7000-7200-7200-7200PU0427</t>
        </is>
      </c>
      <c r="B3139" s="2" t="inlineStr">
        <is>
          <t>7200PU0427</t>
        </is>
      </c>
      <c r="C3139" s="2" t="inlineStr">
        <is>
          <t>Bomba transferencia agua fresca</t>
        </is>
      </c>
      <c r="D3139" s="2" t="n">
        <v>1046</v>
      </c>
      <c r="E3139" s="2" t="inlineStr">
        <is>
          <t>CC-7000</t>
        </is>
      </c>
      <c r="F3139" s="2" t="inlineStr">
        <is>
          <t>P01</t>
        </is>
      </c>
      <c r="G3139" s="2" t="n">
        <v>630000</v>
      </c>
      <c r="H3139" s="2" t="inlineStr">
        <is>
          <t>Servicios externos</t>
        </is>
      </c>
      <c r="I3139" s="9" t="n">
        <v>2805.35</v>
      </c>
      <c r="J3139" s="9" t="n">
        <v>2648.94</v>
      </c>
      <c r="K3139" s="9" t="n">
        <v>3191.56</v>
      </c>
      <c r="L3139" s="9" t="n">
        <v>3099.24</v>
      </c>
      <c r="M3139" s="9" t="n">
        <v>2684.88</v>
      </c>
      <c r="N3139" s="9" t="n">
        <v>2892.57</v>
      </c>
      <c r="O3139" s="9" t="n">
        <v>3057.97</v>
      </c>
      <c r="P3139" s="9" t="n">
        <v>3082.7</v>
      </c>
      <c r="Q3139" s="9" t="n">
        <v>2715.72</v>
      </c>
      <c r="R3139" s="9" t="n">
        <v>3226.02</v>
      </c>
      <c r="S3139" s="9" t="n">
        <v>2922.28</v>
      </c>
      <c r="T3139" s="9" t="n">
        <v>3028.88</v>
      </c>
      <c r="U3139" s="10">
        <f>SUM(I3139:T3139)</f>
        <v/>
      </c>
    </row>
    <row r="3140">
      <c r="A3140" s="2" t="inlineStr">
        <is>
          <t>SN-7000-7200-7200-7200SP0001</t>
        </is>
      </c>
      <c r="B3140" s="2" t="inlineStr">
        <is>
          <t>7200SP0001</t>
        </is>
      </c>
      <c r="C3140" s="2" t="inlineStr">
        <is>
          <t>Piscina almacenamiento derrames agua fresca</t>
        </is>
      </c>
      <c r="D3140" s="2" t="n">
        <v>1047</v>
      </c>
      <c r="E3140" s="2" t="inlineStr">
        <is>
          <t>CC-7000</t>
        </is>
      </c>
      <c r="F3140" s="2" t="inlineStr">
        <is>
          <t>P01</t>
        </is>
      </c>
      <c r="G3140" s="2" t="n">
        <v>610000</v>
      </c>
      <c r="H3140" s="2" t="inlineStr">
        <is>
          <t>Mano obra interna</t>
        </is>
      </c>
      <c r="I3140" s="9" t="n">
        <v>1232.67</v>
      </c>
      <c r="J3140" s="9" t="n">
        <v>1176.31</v>
      </c>
      <c r="K3140" s="9" t="n">
        <v>1334.44</v>
      </c>
      <c r="L3140" s="9" t="n">
        <v>1192.97</v>
      </c>
      <c r="M3140" s="9" t="n">
        <v>1107.86</v>
      </c>
      <c r="N3140" s="9" t="n">
        <v>1194.32</v>
      </c>
      <c r="O3140" s="9" t="n">
        <v>1144.03</v>
      </c>
      <c r="P3140" s="9" t="n">
        <v>1203.75</v>
      </c>
      <c r="Q3140" s="9" t="n">
        <v>1043.4</v>
      </c>
      <c r="R3140" s="9" t="n">
        <v>1317.03</v>
      </c>
      <c r="S3140" s="9" t="n">
        <v>1242.53</v>
      </c>
      <c r="T3140" s="9" t="n">
        <v>1259.51</v>
      </c>
      <c r="U3140" s="10">
        <f>SUM(I3140:T3140)</f>
        <v/>
      </c>
    </row>
    <row r="3141">
      <c r="A3141" s="2" t="inlineStr">
        <is>
          <t>SN-7000-7200-7200-7200SP0001</t>
        </is>
      </c>
      <c r="B3141" s="2" t="inlineStr">
        <is>
          <t>7200SP0001</t>
        </is>
      </c>
      <c r="C3141" s="2" t="inlineStr">
        <is>
          <t>Piscina almacenamiento derrames agua fresca</t>
        </is>
      </c>
      <c r="D3141" s="2" t="n">
        <v>1047</v>
      </c>
      <c r="E3141" s="2" t="inlineStr">
        <is>
          <t>CC-7000</t>
        </is>
      </c>
      <c r="F3141" s="2" t="inlineStr">
        <is>
          <t>P01</t>
        </is>
      </c>
      <c r="G3141" s="2" t="n">
        <v>620000</v>
      </c>
      <c r="H3141" s="2" t="inlineStr">
        <is>
          <t>Materiales</t>
        </is>
      </c>
      <c r="I3141" s="9" t="n">
        <v>1112.34</v>
      </c>
      <c r="J3141" s="9" t="n">
        <v>967.1</v>
      </c>
      <c r="K3141" s="9" t="n">
        <v>1034.7</v>
      </c>
      <c r="L3141" s="9" t="n">
        <v>1035.27</v>
      </c>
      <c r="M3141" s="9" t="n">
        <v>1081.49</v>
      </c>
      <c r="N3141" s="9" t="n">
        <v>901.91</v>
      </c>
      <c r="O3141" s="9" t="n">
        <v>1045.61</v>
      </c>
      <c r="P3141" s="9" t="n">
        <v>990.12</v>
      </c>
      <c r="Q3141" s="9" t="n">
        <v>879.5700000000001</v>
      </c>
      <c r="R3141" s="9" t="n">
        <v>1168.76</v>
      </c>
      <c r="S3141" s="9" t="n">
        <v>994.98</v>
      </c>
      <c r="T3141" s="9" t="n">
        <v>1070</v>
      </c>
      <c r="U3141" s="10">
        <f>SUM(I3141:T3141)</f>
        <v/>
      </c>
    </row>
    <row r="3142">
      <c r="A3142" s="2" t="inlineStr">
        <is>
          <t>SN-7000-7200-7200-7200SP0001</t>
        </is>
      </c>
      <c r="B3142" s="2" t="inlineStr">
        <is>
          <t>7200SP0001</t>
        </is>
      </c>
      <c r="C3142" s="2" t="inlineStr">
        <is>
          <t>Piscina almacenamiento derrames agua fresca</t>
        </is>
      </c>
      <c r="D3142" s="2" t="n">
        <v>1047</v>
      </c>
      <c r="E3142" s="2" t="inlineStr">
        <is>
          <t>CC-7000</t>
        </is>
      </c>
      <c r="F3142" s="2" t="inlineStr">
        <is>
          <t>P01</t>
        </is>
      </c>
      <c r="G3142" s="2" t="n">
        <v>630000</v>
      </c>
      <c r="H3142" s="2" t="inlineStr">
        <is>
          <t>Servicios externos</t>
        </is>
      </c>
      <c r="I3142" s="9" t="n">
        <v>1071.9</v>
      </c>
      <c r="J3142" s="9" t="n">
        <v>1044.74</v>
      </c>
      <c r="K3142" s="9" t="n">
        <v>1028.22</v>
      </c>
      <c r="L3142" s="9" t="n">
        <v>1041.91</v>
      </c>
      <c r="M3142" s="9" t="n">
        <v>1072.71</v>
      </c>
      <c r="N3142" s="9" t="n">
        <v>1017.01</v>
      </c>
      <c r="O3142" s="9" t="n">
        <v>999.39</v>
      </c>
      <c r="P3142" s="9" t="n">
        <v>1033.6</v>
      </c>
      <c r="Q3142" s="9" t="n">
        <v>980.83</v>
      </c>
      <c r="R3142" s="9" t="n">
        <v>1004.15</v>
      </c>
      <c r="S3142" s="9" t="n">
        <v>989.4400000000001</v>
      </c>
      <c r="T3142" s="9" t="n">
        <v>1102.09</v>
      </c>
      <c r="U3142" s="10">
        <f>SUM(I3142:T3142)</f>
        <v/>
      </c>
    </row>
    <row r="3143">
      <c r="A3143" s="2" t="inlineStr">
        <is>
          <t>SN-7000-7200-7200-7200TK0052</t>
        </is>
      </c>
      <c r="B3143" s="2" t="inlineStr">
        <is>
          <t>7200TK0052</t>
        </is>
      </c>
      <c r="C3143" s="2" t="inlineStr">
        <is>
          <t>Estanque agua fresca</t>
        </is>
      </c>
      <c r="D3143" s="2" t="n">
        <v>1048</v>
      </c>
      <c r="E3143" s="2" t="inlineStr">
        <is>
          <t>CC-7000</t>
        </is>
      </c>
      <c r="F3143" s="2" t="inlineStr">
        <is>
          <t>P01</t>
        </is>
      </c>
      <c r="G3143" s="2" t="n">
        <v>610000</v>
      </c>
      <c r="H3143" s="2" t="inlineStr">
        <is>
          <t>Mano obra interna</t>
        </is>
      </c>
      <c r="I3143" s="9" t="n">
        <v>1062.02</v>
      </c>
      <c r="J3143" s="9" t="n">
        <v>911.54</v>
      </c>
      <c r="K3143" s="9" t="n">
        <v>1099.6</v>
      </c>
      <c r="L3143" s="9" t="n">
        <v>1027.26</v>
      </c>
      <c r="M3143" s="9" t="n">
        <v>934.24</v>
      </c>
      <c r="N3143" s="9" t="n">
        <v>970.73</v>
      </c>
      <c r="O3143" s="9" t="n">
        <v>1044.61</v>
      </c>
      <c r="P3143" s="9" t="n">
        <v>925.83</v>
      </c>
      <c r="Q3143" s="9" t="n">
        <v>980.78</v>
      </c>
      <c r="R3143" s="9" t="n">
        <v>1136.88</v>
      </c>
      <c r="S3143" s="9" t="n">
        <v>881.8099999999999</v>
      </c>
      <c r="T3143" s="9" t="n">
        <v>1066.67</v>
      </c>
      <c r="U3143" s="10">
        <f>SUM(I3143:T3143)</f>
        <v/>
      </c>
    </row>
    <row r="3144">
      <c r="A3144" s="2" t="inlineStr">
        <is>
          <t>SN-7000-7200-7200-7200TK0052</t>
        </is>
      </c>
      <c r="B3144" s="2" t="inlineStr">
        <is>
          <t>7200TK0052</t>
        </is>
      </c>
      <c r="C3144" s="2" t="inlineStr">
        <is>
          <t>Estanque agua fresca</t>
        </is>
      </c>
      <c r="D3144" s="2" t="n">
        <v>1048</v>
      </c>
      <c r="E3144" s="2" t="inlineStr">
        <is>
          <t>CC-7000</t>
        </is>
      </c>
      <c r="F3144" s="2" t="inlineStr">
        <is>
          <t>P01</t>
        </is>
      </c>
      <c r="G3144" s="2" t="n">
        <v>620000</v>
      </c>
      <c r="H3144" s="2" t="inlineStr">
        <is>
          <t>Materiales</t>
        </is>
      </c>
      <c r="I3144" s="9" t="n">
        <v>919.8099999999999</v>
      </c>
      <c r="J3144" s="9" t="n">
        <v>926.7</v>
      </c>
      <c r="K3144" s="9" t="n">
        <v>983.4</v>
      </c>
      <c r="L3144" s="9" t="n">
        <v>970.4</v>
      </c>
      <c r="M3144" s="9" t="n">
        <v>1002.84</v>
      </c>
      <c r="N3144" s="9" t="n">
        <v>909.13</v>
      </c>
      <c r="O3144" s="9" t="n">
        <v>1044.55</v>
      </c>
      <c r="P3144" s="9" t="n">
        <v>1049.27</v>
      </c>
      <c r="Q3144" s="9" t="n">
        <v>879.1900000000001</v>
      </c>
      <c r="R3144" s="9" t="n">
        <v>1050.78</v>
      </c>
      <c r="S3144" s="9" t="n">
        <v>950.62</v>
      </c>
      <c r="T3144" s="9" t="n">
        <v>999.99</v>
      </c>
      <c r="U3144" s="10">
        <f>SUM(I3144:T3144)</f>
        <v/>
      </c>
    </row>
    <row r="3145">
      <c r="A3145" s="2" t="inlineStr">
        <is>
          <t>SN-7000-7200-7200-7200TK0052</t>
        </is>
      </c>
      <c r="B3145" s="2" t="inlineStr">
        <is>
          <t>7200TK0052</t>
        </is>
      </c>
      <c r="C3145" s="2" t="inlineStr">
        <is>
          <t>Estanque agua fresca</t>
        </is>
      </c>
      <c r="D3145" s="2" t="n">
        <v>1048</v>
      </c>
      <c r="E3145" s="2" t="inlineStr">
        <is>
          <t>CC-7000</t>
        </is>
      </c>
      <c r="F3145" s="2" t="inlineStr">
        <is>
          <t>P01</t>
        </is>
      </c>
      <c r="G3145" s="2" t="n">
        <v>630000</v>
      </c>
      <c r="H3145" s="2" t="inlineStr">
        <is>
          <t>Servicios externos</t>
        </is>
      </c>
      <c r="I3145" s="9" t="n">
        <v>824.49</v>
      </c>
      <c r="J3145" s="9" t="n">
        <v>780.4400000000001</v>
      </c>
      <c r="K3145" s="9" t="n">
        <v>824.8099999999999</v>
      </c>
      <c r="L3145" s="9" t="n">
        <v>928.05</v>
      </c>
      <c r="M3145" s="9" t="n">
        <v>814.75</v>
      </c>
      <c r="N3145" s="9" t="n">
        <v>760.53</v>
      </c>
      <c r="O3145" s="9" t="n">
        <v>870.51</v>
      </c>
      <c r="P3145" s="9" t="n">
        <v>794.6799999999999</v>
      </c>
      <c r="Q3145" s="9" t="n">
        <v>739.63</v>
      </c>
      <c r="R3145" s="9" t="n">
        <v>938.0599999999999</v>
      </c>
      <c r="S3145" s="9" t="n">
        <v>838.08</v>
      </c>
      <c r="T3145" s="9" t="n">
        <v>802.39</v>
      </c>
      <c r="U3145" s="10">
        <f>SUM(I3145:T3145)</f>
        <v/>
      </c>
    </row>
    <row r="3146">
      <c r="A3146" s="2" t="inlineStr">
        <is>
          <t>SN-7000-7200-7200-7200US0001</t>
        </is>
      </c>
      <c r="B3146" s="2" t="inlineStr">
        <is>
          <t>7200US0001</t>
        </is>
      </c>
      <c r="C3146" s="2" t="inlineStr">
        <is>
          <t>Subestación unitaria</t>
        </is>
      </c>
      <c r="D3146" s="2" t="n">
        <v>1049</v>
      </c>
      <c r="E3146" s="2" t="inlineStr">
        <is>
          <t>CC-7000</t>
        </is>
      </c>
      <c r="F3146" s="2" t="inlineStr">
        <is>
          <t>P01</t>
        </is>
      </c>
      <c r="G3146" s="2" t="n">
        <v>610000</v>
      </c>
      <c r="H3146" s="2" t="inlineStr">
        <is>
          <t>Mano obra interna</t>
        </is>
      </c>
      <c r="I3146" s="9" t="n">
        <v>739.88</v>
      </c>
      <c r="J3146" s="9" t="n">
        <v>726.6</v>
      </c>
      <c r="K3146" s="9" t="n">
        <v>784.22</v>
      </c>
      <c r="L3146" s="9" t="n">
        <v>722.4400000000001</v>
      </c>
      <c r="M3146" s="9" t="n">
        <v>716.9299999999999</v>
      </c>
      <c r="N3146" s="9" t="n">
        <v>732.92</v>
      </c>
      <c r="O3146" s="9" t="n">
        <v>782.17</v>
      </c>
      <c r="P3146" s="9" t="n">
        <v>777.5700000000001</v>
      </c>
      <c r="Q3146" s="9" t="n">
        <v>679.24</v>
      </c>
      <c r="R3146" s="9" t="n">
        <v>792.37</v>
      </c>
      <c r="S3146" s="9" t="n">
        <v>712.22</v>
      </c>
      <c r="T3146" s="9" t="n">
        <v>787.02</v>
      </c>
      <c r="U3146" s="10">
        <f>SUM(I3146:T3146)</f>
        <v/>
      </c>
    </row>
    <row r="3147">
      <c r="A3147" s="2" t="inlineStr">
        <is>
          <t>SN-7000-7200-7200-7200US0001</t>
        </is>
      </c>
      <c r="B3147" s="2" t="inlineStr">
        <is>
          <t>7200US0001</t>
        </is>
      </c>
      <c r="C3147" s="2" t="inlineStr">
        <is>
          <t>Subestación unitaria</t>
        </is>
      </c>
      <c r="D3147" s="2" t="n">
        <v>1049</v>
      </c>
      <c r="E3147" s="2" t="inlineStr">
        <is>
          <t>CC-7000</t>
        </is>
      </c>
      <c r="F3147" s="2" t="inlineStr">
        <is>
          <t>P01</t>
        </is>
      </c>
      <c r="G3147" s="2" t="n">
        <v>620000</v>
      </c>
      <c r="H3147" s="2" t="inlineStr">
        <is>
          <t>Materiales</t>
        </is>
      </c>
      <c r="I3147" s="9" t="n">
        <v>812.45</v>
      </c>
      <c r="J3147" s="9" t="n">
        <v>764.59</v>
      </c>
      <c r="K3147" s="9" t="n">
        <v>830.1799999999999</v>
      </c>
      <c r="L3147" s="9" t="n">
        <v>810.3</v>
      </c>
      <c r="M3147" s="9" t="n">
        <v>870.6900000000001</v>
      </c>
      <c r="N3147" s="9" t="n">
        <v>755.17</v>
      </c>
      <c r="O3147" s="9" t="n">
        <v>779.1</v>
      </c>
      <c r="P3147" s="9" t="n">
        <v>872.41</v>
      </c>
      <c r="Q3147" s="9" t="n">
        <v>713.34</v>
      </c>
      <c r="R3147" s="9" t="n">
        <v>851.02</v>
      </c>
      <c r="S3147" s="9" t="n">
        <v>786.66</v>
      </c>
      <c r="T3147" s="9" t="n">
        <v>845.47</v>
      </c>
      <c r="U3147" s="10">
        <f>SUM(I3147:T3147)</f>
        <v/>
      </c>
    </row>
    <row r="3148">
      <c r="A3148" s="2" t="inlineStr">
        <is>
          <t>SN-7000-7200-7200-7200US0001</t>
        </is>
      </c>
      <c r="B3148" s="2" t="inlineStr">
        <is>
          <t>7200US0001</t>
        </is>
      </c>
      <c r="C3148" s="2" t="inlineStr">
        <is>
          <t>Subestación unitaria</t>
        </is>
      </c>
      <c r="D3148" s="2" t="n">
        <v>1049</v>
      </c>
      <c r="E3148" s="2" t="inlineStr">
        <is>
          <t>CC-7000</t>
        </is>
      </c>
      <c r="F3148" s="2" t="inlineStr">
        <is>
          <t>P01</t>
        </is>
      </c>
      <c r="G3148" s="2" t="n">
        <v>630000</v>
      </c>
      <c r="H3148" s="2" t="inlineStr">
        <is>
          <t>Servicios externos</t>
        </is>
      </c>
      <c r="I3148" s="9" t="n">
        <v>715.78</v>
      </c>
      <c r="J3148" s="9" t="n">
        <v>657.67</v>
      </c>
      <c r="K3148" s="9" t="n">
        <v>732.39</v>
      </c>
      <c r="L3148" s="9" t="n">
        <v>706.48</v>
      </c>
      <c r="M3148" s="9" t="n">
        <v>733.13</v>
      </c>
      <c r="N3148" s="9" t="n">
        <v>661.72</v>
      </c>
      <c r="O3148" s="9" t="n">
        <v>695.59</v>
      </c>
      <c r="P3148" s="9" t="n">
        <v>711.4</v>
      </c>
      <c r="Q3148" s="9" t="n">
        <v>613.71</v>
      </c>
      <c r="R3148" s="9" t="n">
        <v>715.0599999999999</v>
      </c>
      <c r="S3148" s="9" t="n">
        <v>710.72</v>
      </c>
      <c r="T3148" s="9" t="n">
        <v>686.1900000000001</v>
      </c>
      <c r="U3148" s="10">
        <f>SUM(I3148:T3148)</f>
        <v/>
      </c>
    </row>
    <row r="3149">
      <c r="A3149" s="2" t="inlineStr">
        <is>
          <t>SN-7000-7200-7200-7200US0002</t>
        </is>
      </c>
      <c r="B3149" s="2" t="inlineStr">
        <is>
          <t>7200US0002</t>
        </is>
      </c>
      <c r="C3149" s="2" t="inlineStr">
        <is>
          <t>Subestación unitaria</t>
        </is>
      </c>
      <c r="D3149" s="2" t="n">
        <v>1050</v>
      </c>
      <c r="E3149" s="2" t="inlineStr">
        <is>
          <t>CC-7000</t>
        </is>
      </c>
      <c r="F3149" s="2" t="inlineStr">
        <is>
          <t>P01</t>
        </is>
      </c>
      <c r="G3149" s="2" t="n">
        <v>610000</v>
      </c>
      <c r="H3149" s="2" t="inlineStr">
        <is>
          <t>Mano obra interna</t>
        </is>
      </c>
      <c r="I3149" s="9" t="n">
        <v>1763.73</v>
      </c>
      <c r="J3149" s="9" t="n">
        <v>1912.35</v>
      </c>
      <c r="K3149" s="9" t="n">
        <v>2053.91</v>
      </c>
      <c r="L3149" s="9" t="n">
        <v>1849.22</v>
      </c>
      <c r="M3149" s="9" t="n">
        <v>1829.17</v>
      </c>
      <c r="N3149" s="9" t="n">
        <v>1749.35</v>
      </c>
      <c r="O3149" s="9" t="n">
        <v>1964.01</v>
      </c>
      <c r="P3149" s="9" t="n">
        <v>1700.59</v>
      </c>
      <c r="Q3149" s="9" t="n">
        <v>1761.22</v>
      </c>
      <c r="R3149" s="9" t="n">
        <v>2040.03</v>
      </c>
      <c r="S3149" s="9" t="n">
        <v>1754.04</v>
      </c>
      <c r="T3149" s="9" t="n">
        <v>1789.92</v>
      </c>
      <c r="U3149" s="10">
        <f>SUM(I3149:T3149)</f>
        <v/>
      </c>
    </row>
    <row r="3150">
      <c r="A3150" s="2" t="inlineStr">
        <is>
          <t>SN-7000-7200-7200-7200US0002</t>
        </is>
      </c>
      <c r="B3150" s="2" t="inlineStr">
        <is>
          <t>7200US0002</t>
        </is>
      </c>
      <c r="C3150" s="2" t="inlineStr">
        <is>
          <t>Subestación unitaria</t>
        </is>
      </c>
      <c r="D3150" s="2" t="n">
        <v>1050</v>
      </c>
      <c r="E3150" s="2" t="inlineStr">
        <is>
          <t>CC-7000</t>
        </is>
      </c>
      <c r="F3150" s="2" t="inlineStr">
        <is>
          <t>P01</t>
        </is>
      </c>
      <c r="G3150" s="2" t="n">
        <v>620000</v>
      </c>
      <c r="H3150" s="2" t="inlineStr">
        <is>
          <t>Materiales</t>
        </is>
      </c>
      <c r="I3150" s="9" t="n">
        <v>1664.16</v>
      </c>
      <c r="J3150" s="9" t="n">
        <v>1425.51</v>
      </c>
      <c r="K3150" s="9" t="n">
        <v>1621.01</v>
      </c>
      <c r="L3150" s="9" t="n">
        <v>1540.57</v>
      </c>
      <c r="M3150" s="9" t="n">
        <v>1481.5</v>
      </c>
      <c r="N3150" s="9" t="n">
        <v>1488.44</v>
      </c>
      <c r="O3150" s="9" t="n">
        <v>1655.17</v>
      </c>
      <c r="P3150" s="9" t="n">
        <v>1583.61</v>
      </c>
      <c r="Q3150" s="9" t="n">
        <v>1514.75</v>
      </c>
      <c r="R3150" s="9" t="n">
        <v>1704.41</v>
      </c>
      <c r="S3150" s="9" t="n">
        <v>1553.37</v>
      </c>
      <c r="T3150" s="9" t="n">
        <v>1561.43</v>
      </c>
      <c r="U3150" s="10">
        <f>SUM(I3150:T3150)</f>
        <v/>
      </c>
    </row>
    <row r="3151">
      <c r="A3151" s="2" t="inlineStr">
        <is>
          <t>SN-7000-7200-7200-7200US0002</t>
        </is>
      </c>
      <c r="B3151" s="2" t="inlineStr">
        <is>
          <t>7200US0002</t>
        </is>
      </c>
      <c r="C3151" s="2" t="inlineStr">
        <is>
          <t>Subestación unitaria</t>
        </is>
      </c>
      <c r="D3151" s="2" t="n">
        <v>1050</v>
      </c>
      <c r="E3151" s="2" t="inlineStr">
        <is>
          <t>CC-7000</t>
        </is>
      </c>
      <c r="F3151" s="2" t="inlineStr">
        <is>
          <t>P01</t>
        </is>
      </c>
      <c r="G3151" s="2" t="n">
        <v>630000</v>
      </c>
      <c r="H3151" s="2" t="inlineStr">
        <is>
          <t>Servicios externos</t>
        </is>
      </c>
      <c r="I3151" s="9" t="n">
        <v>1977.26</v>
      </c>
      <c r="J3151" s="9" t="n">
        <v>1922.76</v>
      </c>
      <c r="K3151" s="9" t="n">
        <v>2005.53</v>
      </c>
      <c r="L3151" s="9" t="n">
        <v>1920.77</v>
      </c>
      <c r="M3151" s="9" t="n">
        <v>1833.85</v>
      </c>
      <c r="N3151" s="9" t="n">
        <v>1724.99</v>
      </c>
      <c r="O3151" s="9" t="n">
        <v>2004.78</v>
      </c>
      <c r="P3151" s="9" t="n">
        <v>1869.6</v>
      </c>
      <c r="Q3151" s="9" t="n">
        <v>1770.49</v>
      </c>
      <c r="R3151" s="9" t="n">
        <v>2228.44</v>
      </c>
      <c r="S3151" s="9" t="n">
        <v>1894.37</v>
      </c>
      <c r="T3151" s="9" t="n">
        <v>1838.35</v>
      </c>
      <c r="U3151" s="10">
        <f>SUM(I3151:T3151)</f>
        <v/>
      </c>
    </row>
    <row r="3152">
      <c r="A3152" s="2" t="inlineStr">
        <is>
          <t>SN-7000-7200-7220-7220WL0001</t>
        </is>
      </c>
      <c r="B3152" s="2" t="inlineStr">
        <is>
          <t>7220WL0001</t>
        </is>
      </c>
      <c r="C3152" s="2" t="inlineStr">
        <is>
          <t>Línea agua 7220-7218-RA6A-10"-WFR-N</t>
        </is>
      </c>
      <c r="D3152" s="2" t="n">
        <v>1051</v>
      </c>
      <c r="E3152" s="2" t="inlineStr">
        <is>
          <t>CC-7000</t>
        </is>
      </c>
      <c r="F3152" s="2" t="inlineStr">
        <is>
          <t>P01</t>
        </is>
      </c>
      <c r="G3152" s="2" t="n">
        <v>610000</v>
      </c>
      <c r="H3152" s="2" t="inlineStr">
        <is>
          <t>Mano obra interna</t>
        </is>
      </c>
      <c r="I3152" s="9" t="n">
        <v>2204.99</v>
      </c>
      <c r="J3152" s="9" t="n">
        <v>2232.3</v>
      </c>
      <c r="K3152" s="9" t="n">
        <v>2322.49</v>
      </c>
      <c r="L3152" s="9" t="n">
        <v>2200.95</v>
      </c>
      <c r="M3152" s="9" t="n">
        <v>2087.67</v>
      </c>
      <c r="N3152" s="9" t="n">
        <v>2049.65</v>
      </c>
      <c r="O3152" s="9" t="n">
        <v>2103.81</v>
      </c>
      <c r="P3152" s="9" t="n">
        <v>2165.36</v>
      </c>
      <c r="Q3152" s="9" t="n">
        <v>2258.78</v>
      </c>
      <c r="R3152" s="9" t="n">
        <v>2385.97</v>
      </c>
      <c r="S3152" s="9" t="n">
        <v>2302.57</v>
      </c>
      <c r="T3152" s="9" t="n">
        <v>2298.99</v>
      </c>
      <c r="U3152" s="10">
        <f>SUM(I3152:T3152)</f>
        <v/>
      </c>
    </row>
    <row r="3153">
      <c r="A3153" s="2" t="inlineStr">
        <is>
          <t>SN-7000-7200-7220-7220WL0001</t>
        </is>
      </c>
      <c r="B3153" s="2" t="inlineStr">
        <is>
          <t>7220WL0001</t>
        </is>
      </c>
      <c r="C3153" s="2" t="inlineStr">
        <is>
          <t>Línea agua 7220-7218-RA6A-10"-WFR-N</t>
        </is>
      </c>
      <c r="D3153" s="2" t="n">
        <v>1051</v>
      </c>
      <c r="E3153" s="2" t="inlineStr">
        <is>
          <t>CC-7000</t>
        </is>
      </c>
      <c r="F3153" s="2" t="inlineStr">
        <is>
          <t>P01</t>
        </is>
      </c>
      <c r="G3153" s="2" t="n">
        <v>620000</v>
      </c>
      <c r="H3153" s="2" t="inlineStr">
        <is>
          <t>Materiales</t>
        </is>
      </c>
      <c r="I3153" s="9" t="n">
        <v>2039.55</v>
      </c>
      <c r="J3153" s="9" t="n">
        <v>2007.11</v>
      </c>
      <c r="K3153" s="9" t="n">
        <v>2184.69</v>
      </c>
      <c r="L3153" s="9" t="n">
        <v>2292.52</v>
      </c>
      <c r="M3153" s="9" t="n">
        <v>1939.25</v>
      </c>
      <c r="N3153" s="9" t="n">
        <v>2023.51</v>
      </c>
      <c r="O3153" s="9" t="n">
        <v>1963.16</v>
      </c>
      <c r="P3153" s="9" t="n">
        <v>2097.97</v>
      </c>
      <c r="Q3153" s="9" t="n">
        <v>2008.59</v>
      </c>
      <c r="R3153" s="9" t="n">
        <v>2369.22</v>
      </c>
      <c r="S3153" s="9" t="n">
        <v>1928.26</v>
      </c>
      <c r="T3153" s="9" t="n">
        <v>2031.08</v>
      </c>
      <c r="U3153" s="10">
        <f>SUM(I3153:T3153)</f>
        <v/>
      </c>
    </row>
    <row r="3154">
      <c r="A3154" s="2" t="inlineStr">
        <is>
          <t>SN-7000-7200-7220-7220WL0001</t>
        </is>
      </c>
      <c r="B3154" s="2" t="inlineStr">
        <is>
          <t>7220WL0001</t>
        </is>
      </c>
      <c r="C3154" s="2" t="inlineStr">
        <is>
          <t>Línea agua 7220-7218-RA6A-10"-WFR-N</t>
        </is>
      </c>
      <c r="D3154" s="2" t="n">
        <v>1051</v>
      </c>
      <c r="E3154" s="2" t="inlineStr">
        <is>
          <t>CC-7000</t>
        </is>
      </c>
      <c r="F3154" s="2" t="inlineStr">
        <is>
          <t>P01</t>
        </is>
      </c>
      <c r="G3154" s="2" t="n">
        <v>630000</v>
      </c>
      <c r="H3154" s="2" t="inlineStr">
        <is>
          <t>Servicios externos</t>
        </is>
      </c>
      <c r="I3154" s="9" t="n">
        <v>2155.33</v>
      </c>
      <c r="J3154" s="9" t="n">
        <v>1881.53</v>
      </c>
      <c r="K3154" s="9" t="n">
        <v>1993.98</v>
      </c>
      <c r="L3154" s="9" t="n">
        <v>1977</v>
      </c>
      <c r="M3154" s="9" t="n">
        <v>1805.44</v>
      </c>
      <c r="N3154" s="9" t="n">
        <v>1951.6</v>
      </c>
      <c r="O3154" s="9" t="n">
        <v>1879.1</v>
      </c>
      <c r="P3154" s="9" t="n">
        <v>2017.71</v>
      </c>
      <c r="Q3154" s="9" t="n">
        <v>1813.07</v>
      </c>
      <c r="R3154" s="9" t="n">
        <v>2146.57</v>
      </c>
      <c r="S3154" s="9" t="n">
        <v>1757.95</v>
      </c>
      <c r="T3154" s="9" t="n">
        <v>2108.35</v>
      </c>
      <c r="U3154" s="10">
        <f>SUM(I3154:T3154)</f>
        <v/>
      </c>
    </row>
    <row r="3155">
      <c r="A3155" s="2" t="inlineStr">
        <is>
          <t>SN-7000-7200-7220-7220WL0002</t>
        </is>
      </c>
      <c r="B3155" s="2" t="inlineStr">
        <is>
          <t>7220WL0002</t>
        </is>
      </c>
      <c r="C3155" s="2" t="inlineStr">
        <is>
          <t>Línea agua 7220-9012-RA6A-6"-WFR-N</t>
        </is>
      </c>
      <c r="D3155" s="2" t="n">
        <v>1052</v>
      </c>
      <c r="E3155" s="2" t="inlineStr">
        <is>
          <t>CC-7000</t>
        </is>
      </c>
      <c r="F3155" s="2" t="inlineStr">
        <is>
          <t>P01</t>
        </is>
      </c>
      <c r="G3155" s="2" t="n">
        <v>610000</v>
      </c>
      <c r="H3155" s="2" t="inlineStr">
        <is>
          <t>Mano obra interna</t>
        </is>
      </c>
      <c r="I3155" s="9" t="n">
        <v>2236.69</v>
      </c>
      <c r="J3155" s="9" t="n">
        <v>2200.84</v>
      </c>
      <c r="K3155" s="9" t="n">
        <v>2214.56</v>
      </c>
      <c r="L3155" s="9" t="n">
        <v>2123.25</v>
      </c>
      <c r="M3155" s="9" t="n">
        <v>2272.32</v>
      </c>
      <c r="N3155" s="9" t="n">
        <v>1966.97</v>
      </c>
      <c r="O3155" s="9" t="n">
        <v>2287.12</v>
      </c>
      <c r="P3155" s="9" t="n">
        <v>2014.14</v>
      </c>
      <c r="Q3155" s="9" t="n">
        <v>1950.34</v>
      </c>
      <c r="R3155" s="9" t="n">
        <v>2167.2</v>
      </c>
      <c r="S3155" s="9" t="n">
        <v>1900.4</v>
      </c>
      <c r="T3155" s="9" t="n">
        <v>2081.61</v>
      </c>
      <c r="U3155" s="10">
        <f>SUM(I3155:T3155)</f>
        <v/>
      </c>
    </row>
    <row r="3156">
      <c r="A3156" s="2" t="inlineStr">
        <is>
          <t>SN-7000-7200-7220-7220WL0002</t>
        </is>
      </c>
      <c r="B3156" s="2" t="inlineStr">
        <is>
          <t>7220WL0002</t>
        </is>
      </c>
      <c r="C3156" s="2" t="inlineStr">
        <is>
          <t>Línea agua 7220-9012-RA6A-6"-WFR-N</t>
        </is>
      </c>
      <c r="D3156" s="2" t="n">
        <v>1052</v>
      </c>
      <c r="E3156" s="2" t="inlineStr">
        <is>
          <t>CC-7000</t>
        </is>
      </c>
      <c r="F3156" s="2" t="inlineStr">
        <is>
          <t>P01</t>
        </is>
      </c>
      <c r="G3156" s="2" t="n">
        <v>620000</v>
      </c>
      <c r="H3156" s="2" t="inlineStr">
        <is>
          <t>Materiales</t>
        </is>
      </c>
      <c r="I3156" s="9" t="n">
        <v>2133.67</v>
      </c>
      <c r="J3156" s="9" t="n">
        <v>1989.79</v>
      </c>
      <c r="K3156" s="9" t="n">
        <v>1841.7</v>
      </c>
      <c r="L3156" s="9" t="n">
        <v>1894.32</v>
      </c>
      <c r="M3156" s="9" t="n">
        <v>1971.38</v>
      </c>
      <c r="N3156" s="9" t="n">
        <v>1823.91</v>
      </c>
      <c r="O3156" s="9" t="n">
        <v>2043.09</v>
      </c>
      <c r="P3156" s="9" t="n">
        <v>1939.26</v>
      </c>
      <c r="Q3156" s="9" t="n">
        <v>1849.54</v>
      </c>
      <c r="R3156" s="9" t="n">
        <v>2123.75</v>
      </c>
      <c r="S3156" s="9" t="n">
        <v>1918.77</v>
      </c>
      <c r="T3156" s="9" t="n">
        <v>1883.01</v>
      </c>
      <c r="U3156" s="10">
        <f>SUM(I3156:T3156)</f>
        <v/>
      </c>
    </row>
    <row r="3157">
      <c r="A3157" s="2" t="inlineStr">
        <is>
          <t>SN-7000-7200-7220-7220WL0002</t>
        </is>
      </c>
      <c r="B3157" s="2" t="inlineStr">
        <is>
          <t>7220WL0002</t>
        </is>
      </c>
      <c r="C3157" s="2" t="inlineStr">
        <is>
          <t>Línea agua 7220-9012-RA6A-6"-WFR-N</t>
        </is>
      </c>
      <c r="D3157" s="2" t="n">
        <v>1052</v>
      </c>
      <c r="E3157" s="2" t="inlineStr">
        <is>
          <t>CC-7000</t>
        </is>
      </c>
      <c r="F3157" s="2" t="inlineStr">
        <is>
          <t>P01</t>
        </is>
      </c>
      <c r="G3157" s="2" t="n">
        <v>630000</v>
      </c>
      <c r="H3157" s="2" t="inlineStr">
        <is>
          <t>Servicios externos</t>
        </is>
      </c>
      <c r="I3157" s="9" t="n">
        <v>2008.24</v>
      </c>
      <c r="J3157" s="9" t="n">
        <v>2116.81</v>
      </c>
      <c r="K3157" s="9" t="n">
        <v>2172.45</v>
      </c>
      <c r="L3157" s="9" t="n">
        <v>2256.73</v>
      </c>
      <c r="M3157" s="9" t="n">
        <v>1999.16</v>
      </c>
      <c r="N3157" s="9" t="n">
        <v>2006.02</v>
      </c>
      <c r="O3157" s="9" t="n">
        <v>2012.27</v>
      </c>
      <c r="P3157" s="9" t="n">
        <v>2156.67</v>
      </c>
      <c r="Q3157" s="9" t="n">
        <v>2082.99</v>
      </c>
      <c r="R3157" s="9" t="n">
        <v>2382.95</v>
      </c>
      <c r="S3157" s="9" t="n">
        <v>2197.77</v>
      </c>
      <c r="T3157" s="9" t="n">
        <v>2313.46</v>
      </c>
      <c r="U3157" s="10">
        <f>SUM(I3157:T3157)</f>
        <v/>
      </c>
    </row>
    <row r="3158">
      <c r="A3158" s="2" t="inlineStr">
        <is>
          <t>SN-7000-7200-72ER-7200BA0001</t>
        </is>
      </c>
      <c r="B3158" s="2" t="inlineStr">
        <is>
          <t>7200BA0001</t>
        </is>
      </c>
      <c r="C3158" s="2" t="inlineStr">
        <is>
          <t>Banco baterías UPS</t>
        </is>
      </c>
      <c r="D3158" s="2" t="n">
        <v>1053</v>
      </c>
      <c r="E3158" s="2" t="inlineStr">
        <is>
          <t>CC-7000</t>
        </is>
      </c>
      <c r="F3158" s="2" t="inlineStr">
        <is>
          <t>P01</t>
        </is>
      </c>
      <c r="G3158" s="2" t="n">
        <v>610000</v>
      </c>
      <c r="H3158" s="2" t="inlineStr">
        <is>
          <t>Mano obra interna</t>
        </is>
      </c>
      <c r="I3158" s="9" t="n">
        <v>667.9299999999999</v>
      </c>
      <c r="J3158" s="9" t="n">
        <v>637.1799999999999</v>
      </c>
      <c r="K3158" s="9" t="n">
        <v>692.97</v>
      </c>
      <c r="L3158" s="9" t="n">
        <v>747.04</v>
      </c>
      <c r="M3158" s="9" t="n">
        <v>661.03</v>
      </c>
      <c r="N3158" s="9" t="n">
        <v>616.46</v>
      </c>
      <c r="O3158" s="9" t="n">
        <v>725.89</v>
      </c>
      <c r="P3158" s="9" t="n">
        <v>664.54</v>
      </c>
      <c r="Q3158" s="9" t="n">
        <v>649.84</v>
      </c>
      <c r="R3158" s="9" t="n">
        <v>764.21</v>
      </c>
      <c r="S3158" s="9" t="n">
        <v>691.77</v>
      </c>
      <c r="T3158" s="9" t="n">
        <v>722.8</v>
      </c>
      <c r="U3158" s="10">
        <f>SUM(I3158:T3158)</f>
        <v/>
      </c>
    </row>
    <row r="3159">
      <c r="A3159" s="2" t="inlineStr">
        <is>
          <t>SN-7000-7200-72ER-7200BA0001</t>
        </is>
      </c>
      <c r="B3159" s="2" t="inlineStr">
        <is>
          <t>7200BA0001</t>
        </is>
      </c>
      <c r="C3159" s="2" t="inlineStr">
        <is>
          <t>Banco baterías UPS</t>
        </is>
      </c>
      <c r="D3159" s="2" t="n">
        <v>1053</v>
      </c>
      <c r="E3159" s="2" t="inlineStr">
        <is>
          <t>CC-7000</t>
        </is>
      </c>
      <c r="F3159" s="2" t="inlineStr">
        <is>
          <t>P01</t>
        </is>
      </c>
      <c r="G3159" s="2" t="n">
        <v>620000</v>
      </c>
      <c r="H3159" s="2" t="inlineStr">
        <is>
          <t>Materiales</t>
        </is>
      </c>
      <c r="I3159" s="9" t="n">
        <v>718.01</v>
      </c>
      <c r="J3159" s="9" t="n">
        <v>664.22</v>
      </c>
      <c r="K3159" s="9" t="n">
        <v>725.5599999999999</v>
      </c>
      <c r="L3159" s="9" t="n">
        <v>737.79</v>
      </c>
      <c r="M3159" s="9" t="n">
        <v>661.6900000000001</v>
      </c>
      <c r="N3159" s="9" t="n">
        <v>633.5599999999999</v>
      </c>
      <c r="O3159" s="9" t="n">
        <v>668.14</v>
      </c>
      <c r="P3159" s="9" t="n">
        <v>690.0700000000001</v>
      </c>
      <c r="Q3159" s="9" t="n">
        <v>591.96</v>
      </c>
      <c r="R3159" s="9" t="n">
        <v>771.66</v>
      </c>
      <c r="S3159" s="9" t="n">
        <v>624.78</v>
      </c>
      <c r="T3159" s="9" t="n">
        <v>654.3</v>
      </c>
      <c r="U3159" s="10">
        <f>SUM(I3159:T3159)</f>
        <v/>
      </c>
    </row>
    <row r="3160">
      <c r="A3160" s="2" t="inlineStr">
        <is>
          <t>SN-7000-7200-72ER-7200BA0001</t>
        </is>
      </c>
      <c r="B3160" s="2" t="inlineStr">
        <is>
          <t>7200BA0001</t>
        </is>
      </c>
      <c r="C3160" s="2" t="inlineStr">
        <is>
          <t>Banco baterías UPS</t>
        </is>
      </c>
      <c r="D3160" s="2" t="n">
        <v>1053</v>
      </c>
      <c r="E3160" s="2" t="inlineStr">
        <is>
          <t>CC-7000</t>
        </is>
      </c>
      <c r="F3160" s="2" t="inlineStr">
        <is>
          <t>P01</t>
        </is>
      </c>
      <c r="G3160" s="2" t="n">
        <v>630000</v>
      </c>
      <c r="H3160" s="2" t="inlineStr">
        <is>
          <t>Servicios externos</t>
        </is>
      </c>
      <c r="I3160" s="9" t="n">
        <v>570.5599999999999</v>
      </c>
      <c r="J3160" s="9" t="n">
        <v>525.1</v>
      </c>
      <c r="K3160" s="9" t="n">
        <v>557.5700000000001</v>
      </c>
      <c r="L3160" s="9" t="n">
        <v>603.26</v>
      </c>
      <c r="M3160" s="9" t="n">
        <v>576.76</v>
      </c>
      <c r="N3160" s="9" t="n">
        <v>557.61</v>
      </c>
      <c r="O3160" s="9" t="n">
        <v>559.23</v>
      </c>
      <c r="P3160" s="9" t="n">
        <v>584.05</v>
      </c>
      <c r="Q3160" s="9" t="n">
        <v>536.86</v>
      </c>
      <c r="R3160" s="9" t="n">
        <v>638.6</v>
      </c>
      <c r="S3160" s="9" t="n">
        <v>497.23</v>
      </c>
      <c r="T3160" s="9" t="n">
        <v>518.0700000000001</v>
      </c>
      <c r="U3160" s="10">
        <f>SUM(I3160:T3160)</f>
        <v/>
      </c>
    </row>
    <row r="3161">
      <c r="A3161" s="2" t="inlineStr">
        <is>
          <t>SN-7000-7200-72ER-7200CC0001</t>
        </is>
      </c>
      <c r="B3161" s="2" t="inlineStr">
        <is>
          <t>7200CC0001</t>
        </is>
      </c>
      <c r="C3161" s="2" t="inlineStr">
        <is>
          <t>Tablero de comunicación</t>
        </is>
      </c>
      <c r="D3161" s="2" t="n">
        <v>1054</v>
      </c>
      <c r="E3161" s="2" t="inlineStr">
        <is>
          <t>CC-7000</t>
        </is>
      </c>
      <c r="F3161" s="2" t="inlineStr">
        <is>
          <t>P01</t>
        </is>
      </c>
      <c r="G3161" s="2" t="n">
        <v>610000</v>
      </c>
      <c r="H3161" s="2" t="inlineStr">
        <is>
          <t>Mano obra interna</t>
        </is>
      </c>
      <c r="I3161" s="9" t="n">
        <v>1704.57</v>
      </c>
      <c r="J3161" s="9" t="n">
        <v>1564.83</v>
      </c>
      <c r="K3161" s="9" t="n">
        <v>1592.88</v>
      </c>
      <c r="L3161" s="9" t="n">
        <v>1600.19</v>
      </c>
      <c r="M3161" s="9" t="n">
        <v>1627.88</v>
      </c>
      <c r="N3161" s="9" t="n">
        <v>1596.41</v>
      </c>
      <c r="O3161" s="9" t="n">
        <v>1620.65</v>
      </c>
      <c r="P3161" s="9" t="n">
        <v>1626.24</v>
      </c>
      <c r="Q3161" s="9" t="n">
        <v>1412.69</v>
      </c>
      <c r="R3161" s="9" t="n">
        <v>1676.15</v>
      </c>
      <c r="S3161" s="9" t="n">
        <v>1605.82</v>
      </c>
      <c r="T3161" s="9" t="n">
        <v>1658.24</v>
      </c>
      <c r="U3161" s="10">
        <f>SUM(I3161:T3161)</f>
        <v/>
      </c>
    </row>
    <row r="3162">
      <c r="A3162" s="2" t="inlineStr">
        <is>
          <t>SN-7000-7200-72ER-7200CC0001</t>
        </is>
      </c>
      <c r="B3162" s="2" t="inlineStr">
        <is>
          <t>7200CC0001</t>
        </is>
      </c>
      <c r="C3162" s="2" t="inlineStr">
        <is>
          <t>Tablero de comunicación</t>
        </is>
      </c>
      <c r="D3162" s="2" t="n">
        <v>1054</v>
      </c>
      <c r="E3162" s="2" t="inlineStr">
        <is>
          <t>CC-7000</t>
        </is>
      </c>
      <c r="F3162" s="2" t="inlineStr">
        <is>
          <t>P01</t>
        </is>
      </c>
      <c r="G3162" s="2" t="n">
        <v>620000</v>
      </c>
      <c r="H3162" s="2" t="inlineStr">
        <is>
          <t>Materiales</t>
        </is>
      </c>
      <c r="I3162" s="9" t="n">
        <v>1746.17</v>
      </c>
      <c r="J3162" s="9" t="n">
        <v>1677.16</v>
      </c>
      <c r="K3162" s="9" t="n">
        <v>1784.41</v>
      </c>
      <c r="L3162" s="9" t="n">
        <v>1903.39</v>
      </c>
      <c r="M3162" s="9" t="n">
        <v>1829.97</v>
      </c>
      <c r="N3162" s="9" t="n">
        <v>1882.12</v>
      </c>
      <c r="O3162" s="9" t="n">
        <v>1896.54</v>
      </c>
      <c r="P3162" s="9" t="n">
        <v>1776.46</v>
      </c>
      <c r="Q3162" s="9" t="n">
        <v>1618.63</v>
      </c>
      <c r="R3162" s="9" t="n">
        <v>2093.45</v>
      </c>
      <c r="S3162" s="9" t="n">
        <v>1768.19</v>
      </c>
      <c r="T3162" s="9" t="n">
        <v>1911.5</v>
      </c>
      <c r="U3162" s="10">
        <f>SUM(I3162:T3162)</f>
        <v/>
      </c>
    </row>
    <row r="3163">
      <c r="A3163" s="2" t="inlineStr">
        <is>
          <t>SN-7000-7200-72ER-7200CC0001</t>
        </is>
      </c>
      <c r="B3163" s="2" t="inlineStr">
        <is>
          <t>7200CC0001</t>
        </is>
      </c>
      <c r="C3163" s="2" t="inlineStr">
        <is>
          <t>Tablero de comunicación</t>
        </is>
      </c>
      <c r="D3163" s="2" t="n">
        <v>1054</v>
      </c>
      <c r="E3163" s="2" t="inlineStr">
        <is>
          <t>CC-7000</t>
        </is>
      </c>
      <c r="F3163" s="2" t="inlineStr">
        <is>
          <t>P01</t>
        </is>
      </c>
      <c r="G3163" s="2" t="n">
        <v>630000</v>
      </c>
      <c r="H3163" s="2" t="inlineStr">
        <is>
          <t>Servicios externos</t>
        </is>
      </c>
      <c r="I3163" s="9" t="n">
        <v>1691.04</v>
      </c>
      <c r="J3163" s="9" t="n">
        <v>1617.39</v>
      </c>
      <c r="K3163" s="9" t="n">
        <v>1787.57</v>
      </c>
      <c r="L3163" s="9" t="n">
        <v>1766.47</v>
      </c>
      <c r="M3163" s="9" t="n">
        <v>1797.88</v>
      </c>
      <c r="N3163" s="9" t="n">
        <v>1725.62</v>
      </c>
      <c r="O3163" s="9" t="n">
        <v>1901</v>
      </c>
      <c r="P3163" s="9" t="n">
        <v>1867.4</v>
      </c>
      <c r="Q3163" s="9" t="n">
        <v>1644.45</v>
      </c>
      <c r="R3163" s="9" t="n">
        <v>1906.15</v>
      </c>
      <c r="S3163" s="9" t="n">
        <v>1758.75</v>
      </c>
      <c r="T3163" s="9" t="n">
        <v>1683.01</v>
      </c>
      <c r="U3163" s="10">
        <f>SUM(I3163:T3163)</f>
        <v/>
      </c>
    </row>
    <row r="3164">
      <c r="A3164" s="2" t="inlineStr">
        <is>
          <t>SN-7000-7200-72ER-7200CC0002</t>
        </is>
      </c>
      <c r="B3164" s="2" t="inlineStr">
        <is>
          <t>7200CC0002</t>
        </is>
      </c>
      <c r="C3164" s="2" t="inlineStr">
        <is>
          <t>Tablero de comunicación</t>
        </is>
      </c>
      <c r="D3164" s="2" t="n">
        <v>1055</v>
      </c>
      <c r="E3164" s="2" t="inlineStr">
        <is>
          <t>CC-7000</t>
        </is>
      </c>
      <c r="F3164" s="2" t="inlineStr">
        <is>
          <t>P01</t>
        </is>
      </c>
      <c r="G3164" s="2" t="n">
        <v>610000</v>
      </c>
      <c r="H3164" s="2" t="inlineStr">
        <is>
          <t>Mano obra interna</t>
        </is>
      </c>
      <c r="I3164" s="9" t="n">
        <v>348.03</v>
      </c>
      <c r="J3164" s="9" t="n">
        <v>356.71</v>
      </c>
      <c r="K3164" s="9" t="n">
        <v>376.88</v>
      </c>
      <c r="L3164" s="9" t="n">
        <v>351.94</v>
      </c>
      <c r="M3164" s="9" t="n">
        <v>315.04</v>
      </c>
      <c r="N3164" s="9" t="n">
        <v>328.79</v>
      </c>
      <c r="O3164" s="9" t="n">
        <v>345.37</v>
      </c>
      <c r="P3164" s="9" t="n">
        <v>355.37</v>
      </c>
      <c r="Q3164" s="9" t="n">
        <v>293.54</v>
      </c>
      <c r="R3164" s="9" t="n">
        <v>364.59</v>
      </c>
      <c r="S3164" s="9" t="n">
        <v>351.31</v>
      </c>
      <c r="T3164" s="9" t="n">
        <v>372.07</v>
      </c>
      <c r="U3164" s="10">
        <f>SUM(I3164:T3164)</f>
        <v/>
      </c>
    </row>
    <row r="3165">
      <c r="A3165" s="2" t="inlineStr">
        <is>
          <t>SN-7000-7200-72ER-7200CC0002</t>
        </is>
      </c>
      <c r="B3165" s="2" t="inlineStr">
        <is>
          <t>7200CC0002</t>
        </is>
      </c>
      <c r="C3165" s="2" t="inlineStr">
        <is>
          <t>Tablero de comunicación</t>
        </is>
      </c>
      <c r="D3165" s="2" t="n">
        <v>1055</v>
      </c>
      <c r="E3165" s="2" t="inlineStr">
        <is>
          <t>CC-7000</t>
        </is>
      </c>
      <c r="F3165" s="2" t="inlineStr">
        <is>
          <t>P01</t>
        </is>
      </c>
      <c r="G3165" s="2" t="n">
        <v>620000</v>
      </c>
      <c r="H3165" s="2" t="inlineStr">
        <is>
          <t>Materiales</t>
        </is>
      </c>
      <c r="I3165" s="9" t="n">
        <v>283.13</v>
      </c>
      <c r="J3165" s="9" t="n">
        <v>243.26</v>
      </c>
      <c r="K3165" s="9" t="n">
        <v>284.85</v>
      </c>
      <c r="L3165" s="9" t="n">
        <v>258.06</v>
      </c>
      <c r="M3165" s="9" t="n">
        <v>278.17</v>
      </c>
      <c r="N3165" s="9" t="n">
        <v>258.15</v>
      </c>
      <c r="O3165" s="9" t="n">
        <v>257.71</v>
      </c>
      <c r="P3165" s="9" t="n">
        <v>252.46</v>
      </c>
      <c r="Q3165" s="9" t="n">
        <v>233.4</v>
      </c>
      <c r="R3165" s="9" t="n">
        <v>290.52</v>
      </c>
      <c r="S3165" s="9" t="n">
        <v>269.51</v>
      </c>
      <c r="T3165" s="9" t="n">
        <v>276.54</v>
      </c>
      <c r="U3165" s="10">
        <f>SUM(I3165:T3165)</f>
        <v/>
      </c>
    </row>
    <row r="3166">
      <c r="A3166" s="2" t="inlineStr">
        <is>
          <t>SN-7000-7200-72ER-7200CC0002</t>
        </is>
      </c>
      <c r="B3166" s="2" t="inlineStr">
        <is>
          <t>7200CC0002</t>
        </is>
      </c>
      <c r="C3166" s="2" t="inlineStr">
        <is>
          <t>Tablero de comunicación</t>
        </is>
      </c>
      <c r="D3166" s="2" t="n">
        <v>1055</v>
      </c>
      <c r="E3166" s="2" t="inlineStr">
        <is>
          <t>CC-7000</t>
        </is>
      </c>
      <c r="F3166" s="2" t="inlineStr">
        <is>
          <t>P01</t>
        </is>
      </c>
      <c r="G3166" s="2" t="n">
        <v>630000</v>
      </c>
      <c r="H3166" s="2" t="inlineStr">
        <is>
          <t>Servicios externos</t>
        </is>
      </c>
      <c r="I3166" s="9" t="n">
        <v>341.25</v>
      </c>
      <c r="J3166" s="9" t="n">
        <v>339.19</v>
      </c>
      <c r="K3166" s="9" t="n">
        <v>343.62</v>
      </c>
      <c r="L3166" s="9" t="n">
        <v>311.78</v>
      </c>
      <c r="M3166" s="9" t="n">
        <v>331.34</v>
      </c>
      <c r="N3166" s="9" t="n">
        <v>297.12</v>
      </c>
      <c r="O3166" s="9" t="n">
        <v>345.42</v>
      </c>
      <c r="P3166" s="9" t="n">
        <v>313.34</v>
      </c>
      <c r="Q3166" s="9" t="n">
        <v>287.9</v>
      </c>
      <c r="R3166" s="9" t="n">
        <v>330.58</v>
      </c>
      <c r="S3166" s="9" t="n">
        <v>317.52</v>
      </c>
      <c r="T3166" s="9" t="n">
        <v>304.34</v>
      </c>
      <c r="U3166" s="10">
        <f>SUM(I3166:T3166)</f>
        <v/>
      </c>
    </row>
    <row r="3167">
      <c r="A3167" s="2" t="inlineStr">
        <is>
          <t>SN-7000-7200-72ER-7200CC0003</t>
        </is>
      </c>
      <c r="B3167" s="2" t="inlineStr">
        <is>
          <t>7200CC0003</t>
        </is>
      </c>
      <c r="C3167" s="2" t="inlineStr">
        <is>
          <t>Tablero de comunicación</t>
        </is>
      </c>
      <c r="D3167" s="2" t="n">
        <v>1056</v>
      </c>
      <c r="E3167" s="2" t="inlineStr">
        <is>
          <t>CC-7000</t>
        </is>
      </c>
      <c r="F3167" s="2" t="inlineStr">
        <is>
          <t>P01</t>
        </is>
      </c>
      <c r="G3167" s="2" t="n">
        <v>610000</v>
      </c>
      <c r="H3167" s="2" t="inlineStr">
        <is>
          <t>Mano obra interna</t>
        </is>
      </c>
      <c r="I3167" s="9" t="n">
        <v>1107.18</v>
      </c>
      <c r="J3167" s="9" t="n">
        <v>1068.34</v>
      </c>
      <c r="K3167" s="9" t="n">
        <v>1072.93</v>
      </c>
      <c r="L3167" s="9" t="n">
        <v>1099.62</v>
      </c>
      <c r="M3167" s="9" t="n">
        <v>1095.49</v>
      </c>
      <c r="N3167" s="9" t="n">
        <v>1049.84</v>
      </c>
      <c r="O3167" s="9" t="n">
        <v>1081.24</v>
      </c>
      <c r="P3167" s="9" t="n">
        <v>1038.29</v>
      </c>
      <c r="Q3167" s="9" t="n">
        <v>1010.65</v>
      </c>
      <c r="R3167" s="9" t="n">
        <v>1263.29</v>
      </c>
      <c r="S3167" s="9" t="n">
        <v>1075.03</v>
      </c>
      <c r="T3167" s="9" t="n">
        <v>1100.03</v>
      </c>
      <c r="U3167" s="10">
        <f>SUM(I3167:T3167)</f>
        <v/>
      </c>
    </row>
    <row r="3168">
      <c r="A3168" s="2" t="inlineStr">
        <is>
          <t>SN-7000-7200-72ER-7200CC0003</t>
        </is>
      </c>
      <c r="B3168" s="2" t="inlineStr">
        <is>
          <t>7200CC0003</t>
        </is>
      </c>
      <c r="C3168" s="2" t="inlineStr">
        <is>
          <t>Tablero de comunicación</t>
        </is>
      </c>
      <c r="D3168" s="2" t="n">
        <v>1056</v>
      </c>
      <c r="E3168" s="2" t="inlineStr">
        <is>
          <t>CC-7000</t>
        </is>
      </c>
      <c r="F3168" s="2" t="inlineStr">
        <is>
          <t>P01</t>
        </is>
      </c>
      <c r="G3168" s="2" t="n">
        <v>620000</v>
      </c>
      <c r="H3168" s="2" t="inlineStr">
        <is>
          <t>Materiales</t>
        </is>
      </c>
      <c r="I3168" s="9" t="n">
        <v>916.16</v>
      </c>
      <c r="J3168" s="9" t="n">
        <v>848.51</v>
      </c>
      <c r="K3168" s="9" t="n">
        <v>937.0599999999999</v>
      </c>
      <c r="L3168" s="9" t="n">
        <v>980.53</v>
      </c>
      <c r="M3168" s="9" t="n">
        <v>815.86</v>
      </c>
      <c r="N3168" s="9" t="n">
        <v>805.53</v>
      </c>
      <c r="O3168" s="9" t="n">
        <v>844.41</v>
      </c>
      <c r="P3168" s="9" t="n">
        <v>881.51</v>
      </c>
      <c r="Q3168" s="9" t="n">
        <v>767.4400000000001</v>
      </c>
      <c r="R3168" s="9" t="n">
        <v>956.03</v>
      </c>
      <c r="S3168" s="9" t="n">
        <v>920.4</v>
      </c>
      <c r="T3168" s="9" t="n">
        <v>832.35</v>
      </c>
      <c r="U3168" s="10">
        <f>SUM(I3168:T3168)</f>
        <v/>
      </c>
    </row>
    <row r="3169">
      <c r="A3169" s="2" t="inlineStr">
        <is>
          <t>SN-7000-7200-72ER-7200CC0003</t>
        </is>
      </c>
      <c r="B3169" s="2" t="inlineStr">
        <is>
          <t>7200CC0003</t>
        </is>
      </c>
      <c r="C3169" s="2" t="inlineStr">
        <is>
          <t>Tablero de comunicación</t>
        </is>
      </c>
      <c r="D3169" s="2" t="n">
        <v>1056</v>
      </c>
      <c r="E3169" s="2" t="inlineStr">
        <is>
          <t>CC-7000</t>
        </is>
      </c>
      <c r="F3169" s="2" t="inlineStr">
        <is>
          <t>P01</t>
        </is>
      </c>
      <c r="G3169" s="2" t="n">
        <v>630000</v>
      </c>
      <c r="H3169" s="2" t="inlineStr">
        <is>
          <t>Servicios externos</t>
        </is>
      </c>
      <c r="I3169" s="9" t="n">
        <v>971.79</v>
      </c>
      <c r="J3169" s="9" t="n">
        <v>850.21</v>
      </c>
      <c r="K3169" s="9" t="n">
        <v>879</v>
      </c>
      <c r="L3169" s="9" t="n">
        <v>953.49</v>
      </c>
      <c r="M3169" s="9" t="n">
        <v>833.4400000000001</v>
      </c>
      <c r="N3169" s="9" t="n">
        <v>915.84</v>
      </c>
      <c r="O3169" s="9" t="n">
        <v>850.86</v>
      </c>
      <c r="P3169" s="9" t="n">
        <v>916.6799999999999</v>
      </c>
      <c r="Q3169" s="9" t="n">
        <v>883.3200000000001</v>
      </c>
      <c r="R3169" s="9" t="n">
        <v>944.79</v>
      </c>
      <c r="S3169" s="9" t="n">
        <v>828.5</v>
      </c>
      <c r="T3169" s="9" t="n">
        <v>879.24</v>
      </c>
      <c r="U3169" s="10">
        <f>SUM(I3169:T3169)</f>
        <v/>
      </c>
    </row>
    <row r="3170">
      <c r="A3170" s="2" t="inlineStr">
        <is>
          <t>SN-7000-7200-72ER-7200CS0001</t>
        </is>
      </c>
      <c r="B3170" s="2" t="inlineStr">
        <is>
          <t>7200CS0001</t>
        </is>
      </c>
      <c r="C3170" s="2" t="inlineStr">
        <is>
          <t>Gabinete control Pozos Agua</t>
        </is>
      </c>
      <c r="D3170" s="2" t="n">
        <v>1057</v>
      </c>
      <c r="E3170" s="2" t="inlineStr">
        <is>
          <t>CC-7000</t>
        </is>
      </c>
      <c r="F3170" s="2" t="inlineStr">
        <is>
          <t>P01</t>
        </is>
      </c>
      <c r="G3170" s="2" t="n">
        <v>610000</v>
      </c>
      <c r="H3170" s="2" t="inlineStr">
        <is>
          <t>Mano obra interna</t>
        </is>
      </c>
      <c r="I3170" s="9" t="n">
        <v>954.17</v>
      </c>
      <c r="J3170" s="9" t="n">
        <v>848.14</v>
      </c>
      <c r="K3170" s="9" t="n">
        <v>965.8099999999999</v>
      </c>
      <c r="L3170" s="9" t="n">
        <v>955.71</v>
      </c>
      <c r="M3170" s="9" t="n">
        <v>966.85</v>
      </c>
      <c r="N3170" s="9" t="n">
        <v>850.13</v>
      </c>
      <c r="O3170" s="9" t="n">
        <v>958.15</v>
      </c>
      <c r="P3170" s="9" t="n">
        <v>896.47</v>
      </c>
      <c r="Q3170" s="9" t="n">
        <v>895.95</v>
      </c>
      <c r="R3170" s="9" t="n">
        <v>912.09</v>
      </c>
      <c r="S3170" s="9" t="n">
        <v>830.49</v>
      </c>
      <c r="T3170" s="9" t="n">
        <v>969.75</v>
      </c>
      <c r="U3170" s="10">
        <f>SUM(I3170:T3170)</f>
        <v/>
      </c>
    </row>
    <row r="3171">
      <c r="A3171" s="2" t="inlineStr">
        <is>
          <t>SN-7000-7200-72ER-7200CS0001</t>
        </is>
      </c>
      <c r="B3171" s="2" t="inlineStr">
        <is>
          <t>7200CS0001</t>
        </is>
      </c>
      <c r="C3171" s="2" t="inlineStr">
        <is>
          <t>Gabinete control Pozos Agua</t>
        </is>
      </c>
      <c r="D3171" s="2" t="n">
        <v>1057</v>
      </c>
      <c r="E3171" s="2" t="inlineStr">
        <is>
          <t>CC-7000</t>
        </is>
      </c>
      <c r="F3171" s="2" t="inlineStr">
        <is>
          <t>P01</t>
        </is>
      </c>
      <c r="G3171" s="2" t="n">
        <v>620000</v>
      </c>
      <c r="H3171" s="2" t="inlineStr">
        <is>
          <t>Materiales</t>
        </is>
      </c>
      <c r="I3171" s="9" t="n">
        <v>893.4</v>
      </c>
      <c r="J3171" s="9" t="n">
        <v>903.38</v>
      </c>
      <c r="K3171" s="9" t="n">
        <v>914.37</v>
      </c>
      <c r="L3171" s="9" t="n">
        <v>850.86</v>
      </c>
      <c r="M3171" s="9" t="n">
        <v>826.15</v>
      </c>
      <c r="N3171" s="9" t="n">
        <v>802</v>
      </c>
      <c r="O3171" s="9" t="n">
        <v>917.29</v>
      </c>
      <c r="P3171" s="9" t="n">
        <v>870.72</v>
      </c>
      <c r="Q3171" s="9" t="n">
        <v>792.9400000000001</v>
      </c>
      <c r="R3171" s="9" t="n">
        <v>1042.87</v>
      </c>
      <c r="S3171" s="9" t="n">
        <v>821.45</v>
      </c>
      <c r="T3171" s="9" t="n">
        <v>942.2</v>
      </c>
      <c r="U3171" s="10">
        <f>SUM(I3171:T3171)</f>
        <v/>
      </c>
    </row>
    <row r="3172">
      <c r="A3172" s="2" t="inlineStr">
        <is>
          <t>SN-7000-7200-72ER-7200CS0001</t>
        </is>
      </c>
      <c r="B3172" s="2" t="inlineStr">
        <is>
          <t>7200CS0001</t>
        </is>
      </c>
      <c r="C3172" s="2" t="inlineStr">
        <is>
          <t>Gabinete control Pozos Agua</t>
        </is>
      </c>
      <c r="D3172" s="2" t="n">
        <v>1057</v>
      </c>
      <c r="E3172" s="2" t="inlineStr">
        <is>
          <t>CC-7000</t>
        </is>
      </c>
      <c r="F3172" s="2" t="inlineStr">
        <is>
          <t>P01</t>
        </is>
      </c>
      <c r="G3172" s="2" t="n">
        <v>630000</v>
      </c>
      <c r="H3172" s="2" t="inlineStr">
        <is>
          <t>Servicios externos</t>
        </is>
      </c>
      <c r="I3172" s="9" t="n">
        <v>881.42</v>
      </c>
      <c r="J3172" s="9" t="n">
        <v>857.66</v>
      </c>
      <c r="K3172" s="9" t="n">
        <v>952.49</v>
      </c>
      <c r="L3172" s="9" t="n">
        <v>933.87</v>
      </c>
      <c r="M3172" s="9" t="n">
        <v>906.1</v>
      </c>
      <c r="N3172" s="9" t="n">
        <v>880.04</v>
      </c>
      <c r="O3172" s="9" t="n">
        <v>978.63</v>
      </c>
      <c r="P3172" s="9" t="n">
        <v>846.73</v>
      </c>
      <c r="Q3172" s="9" t="n">
        <v>884.8200000000001</v>
      </c>
      <c r="R3172" s="9" t="n">
        <v>941.9400000000001</v>
      </c>
      <c r="S3172" s="9" t="n">
        <v>865.5</v>
      </c>
      <c r="T3172" s="9" t="n">
        <v>865.1900000000001</v>
      </c>
      <c r="U3172" s="10">
        <f>SUM(I3172:T3172)</f>
        <v/>
      </c>
    </row>
    <row r="3173">
      <c r="A3173" s="2" t="inlineStr">
        <is>
          <t>SN-7000-7200-72ER-7200DP0001</t>
        </is>
      </c>
      <c r="B3173" s="2" t="inlineStr">
        <is>
          <t>7200DP0001</t>
        </is>
      </c>
      <c r="C3173" s="2" t="inlineStr">
        <is>
          <t>Tablero distribución potencia</t>
        </is>
      </c>
      <c r="D3173" s="2" t="n">
        <v>1058</v>
      </c>
      <c r="E3173" s="2" t="inlineStr">
        <is>
          <t>CC-7000</t>
        </is>
      </c>
      <c r="F3173" s="2" t="inlineStr">
        <is>
          <t>P01</t>
        </is>
      </c>
      <c r="G3173" s="2" t="n">
        <v>610000</v>
      </c>
      <c r="H3173" s="2" t="inlineStr">
        <is>
          <t>Mano obra interna</t>
        </is>
      </c>
      <c r="I3173" s="9" t="n">
        <v>1045.92</v>
      </c>
      <c r="J3173" s="9" t="n">
        <v>900.4299999999999</v>
      </c>
      <c r="K3173" s="9" t="n">
        <v>971.73</v>
      </c>
      <c r="L3173" s="9" t="n">
        <v>978.26</v>
      </c>
      <c r="M3173" s="9" t="n">
        <v>905.62</v>
      </c>
      <c r="N3173" s="9" t="n">
        <v>973.29</v>
      </c>
      <c r="O3173" s="9" t="n">
        <v>1022.32</v>
      </c>
      <c r="P3173" s="9" t="n">
        <v>1028.74</v>
      </c>
      <c r="Q3173" s="9" t="n">
        <v>921.6799999999999</v>
      </c>
      <c r="R3173" s="9" t="n">
        <v>1054.85</v>
      </c>
      <c r="S3173" s="9" t="n">
        <v>909.87</v>
      </c>
      <c r="T3173" s="9" t="n">
        <v>1016.12</v>
      </c>
      <c r="U3173" s="10">
        <f>SUM(I3173:T3173)</f>
        <v/>
      </c>
    </row>
    <row r="3174">
      <c r="A3174" s="2" t="inlineStr">
        <is>
          <t>SN-7000-7200-72ER-7200DP0001</t>
        </is>
      </c>
      <c r="B3174" s="2" t="inlineStr">
        <is>
          <t>7200DP0001</t>
        </is>
      </c>
      <c r="C3174" s="2" t="inlineStr">
        <is>
          <t>Tablero distribución potencia</t>
        </is>
      </c>
      <c r="D3174" s="2" t="n">
        <v>1058</v>
      </c>
      <c r="E3174" s="2" t="inlineStr">
        <is>
          <t>CC-7000</t>
        </is>
      </c>
      <c r="F3174" s="2" t="inlineStr">
        <is>
          <t>P01</t>
        </is>
      </c>
      <c r="G3174" s="2" t="n">
        <v>620000</v>
      </c>
      <c r="H3174" s="2" t="inlineStr">
        <is>
          <t>Materiales</t>
        </is>
      </c>
      <c r="I3174" s="9" t="n">
        <v>1013.8</v>
      </c>
      <c r="J3174" s="9" t="n">
        <v>977.6799999999999</v>
      </c>
      <c r="K3174" s="9" t="n">
        <v>1014.52</v>
      </c>
      <c r="L3174" s="9" t="n">
        <v>922.76</v>
      </c>
      <c r="M3174" s="9" t="n">
        <v>894.67</v>
      </c>
      <c r="N3174" s="9" t="n">
        <v>932.78</v>
      </c>
      <c r="O3174" s="9" t="n">
        <v>957.8200000000001</v>
      </c>
      <c r="P3174" s="9" t="n">
        <v>953.02</v>
      </c>
      <c r="Q3174" s="9" t="n">
        <v>829.38</v>
      </c>
      <c r="R3174" s="9" t="n">
        <v>1049.08</v>
      </c>
      <c r="S3174" s="9" t="n">
        <v>905.4</v>
      </c>
      <c r="T3174" s="9" t="n">
        <v>929.27</v>
      </c>
      <c r="U3174" s="10">
        <f>SUM(I3174:T3174)</f>
        <v/>
      </c>
    </row>
    <row r="3175">
      <c r="A3175" s="2" t="inlineStr">
        <is>
          <t>SN-7000-7200-72ER-7200DP0001</t>
        </is>
      </c>
      <c r="B3175" s="2" t="inlineStr">
        <is>
          <t>7200DP0001</t>
        </is>
      </c>
      <c r="C3175" s="2" t="inlineStr">
        <is>
          <t>Tablero distribución potencia</t>
        </is>
      </c>
      <c r="D3175" s="2" t="n">
        <v>1058</v>
      </c>
      <c r="E3175" s="2" t="inlineStr">
        <is>
          <t>CC-7000</t>
        </is>
      </c>
      <c r="F3175" s="2" t="inlineStr">
        <is>
          <t>P01</t>
        </is>
      </c>
      <c r="G3175" s="2" t="n">
        <v>630000</v>
      </c>
      <c r="H3175" s="2" t="inlineStr">
        <is>
          <t>Servicios externos</t>
        </is>
      </c>
      <c r="I3175" s="9" t="n">
        <v>1073.42</v>
      </c>
      <c r="J3175" s="9" t="n">
        <v>1079.35</v>
      </c>
      <c r="K3175" s="9" t="n">
        <v>1097.43</v>
      </c>
      <c r="L3175" s="9" t="n">
        <v>1109.4</v>
      </c>
      <c r="M3175" s="9" t="n">
        <v>980.72</v>
      </c>
      <c r="N3175" s="9" t="n">
        <v>1016.25</v>
      </c>
      <c r="O3175" s="9" t="n">
        <v>1079.76</v>
      </c>
      <c r="P3175" s="9" t="n">
        <v>1067.56</v>
      </c>
      <c r="Q3175" s="9" t="n">
        <v>1051.01</v>
      </c>
      <c r="R3175" s="9" t="n">
        <v>1118.63</v>
      </c>
      <c r="S3175" s="9" t="n">
        <v>1099.07</v>
      </c>
      <c r="T3175" s="9" t="n">
        <v>1068.72</v>
      </c>
      <c r="U3175" s="10">
        <f>SUM(I3175:T3175)</f>
        <v/>
      </c>
    </row>
    <row r="3176">
      <c r="A3176" s="2" t="inlineStr">
        <is>
          <t>SN-7000-7200-72ER-7200DP0010</t>
        </is>
      </c>
      <c r="B3176" s="2" t="inlineStr">
        <is>
          <t>7200DP0010</t>
        </is>
      </c>
      <c r="C3176" s="2" t="inlineStr">
        <is>
          <t>Tablero distribución potencia SS/AA</t>
        </is>
      </c>
      <c r="D3176" s="2" t="n">
        <v>1059</v>
      </c>
      <c r="E3176" s="2" t="inlineStr">
        <is>
          <t>CC-7000</t>
        </is>
      </c>
      <c r="F3176" s="2" t="inlineStr">
        <is>
          <t>P01</t>
        </is>
      </c>
      <c r="G3176" s="2" t="n">
        <v>610000</v>
      </c>
      <c r="H3176" s="2" t="inlineStr">
        <is>
          <t>Mano obra interna</t>
        </is>
      </c>
      <c r="I3176" s="9" t="n">
        <v>836.39</v>
      </c>
      <c r="J3176" s="9" t="n">
        <v>822.59</v>
      </c>
      <c r="K3176" s="9" t="n">
        <v>942.91</v>
      </c>
      <c r="L3176" s="9" t="n">
        <v>826.7</v>
      </c>
      <c r="M3176" s="9" t="n">
        <v>933.34</v>
      </c>
      <c r="N3176" s="9" t="n">
        <v>797.27</v>
      </c>
      <c r="O3176" s="9" t="n">
        <v>934.08</v>
      </c>
      <c r="P3176" s="9" t="n">
        <v>878.91</v>
      </c>
      <c r="Q3176" s="9" t="n">
        <v>825.12</v>
      </c>
      <c r="R3176" s="9" t="n">
        <v>883.1799999999999</v>
      </c>
      <c r="S3176" s="9" t="n">
        <v>830.99</v>
      </c>
      <c r="T3176" s="9" t="n">
        <v>841.38</v>
      </c>
      <c r="U3176" s="10">
        <f>SUM(I3176:T3176)</f>
        <v/>
      </c>
    </row>
    <row r="3177">
      <c r="A3177" s="2" t="inlineStr">
        <is>
          <t>SN-7000-7200-72ER-7200DP0010</t>
        </is>
      </c>
      <c r="B3177" s="2" t="inlineStr">
        <is>
          <t>7200DP0010</t>
        </is>
      </c>
      <c r="C3177" s="2" t="inlineStr">
        <is>
          <t>Tablero distribución potencia SS/AA</t>
        </is>
      </c>
      <c r="D3177" s="2" t="n">
        <v>1059</v>
      </c>
      <c r="E3177" s="2" t="inlineStr">
        <is>
          <t>CC-7000</t>
        </is>
      </c>
      <c r="F3177" s="2" t="inlineStr">
        <is>
          <t>P01</t>
        </is>
      </c>
      <c r="G3177" s="2" t="n">
        <v>620000</v>
      </c>
      <c r="H3177" s="2" t="inlineStr">
        <is>
          <t>Materiales</t>
        </is>
      </c>
      <c r="I3177" s="9" t="n">
        <v>824.89</v>
      </c>
      <c r="J3177" s="9" t="n">
        <v>815.88</v>
      </c>
      <c r="K3177" s="9" t="n">
        <v>876.95</v>
      </c>
      <c r="L3177" s="9" t="n">
        <v>815.04</v>
      </c>
      <c r="M3177" s="9" t="n">
        <v>759.41</v>
      </c>
      <c r="N3177" s="9" t="n">
        <v>745.92</v>
      </c>
      <c r="O3177" s="9" t="n">
        <v>846.4400000000001</v>
      </c>
      <c r="P3177" s="9" t="n">
        <v>755.5599999999999</v>
      </c>
      <c r="Q3177" s="9" t="n">
        <v>761.33</v>
      </c>
      <c r="R3177" s="9" t="n">
        <v>797.0599999999999</v>
      </c>
      <c r="S3177" s="9" t="n">
        <v>744.37</v>
      </c>
      <c r="T3177" s="9" t="n">
        <v>825.34</v>
      </c>
      <c r="U3177" s="10">
        <f>SUM(I3177:T3177)</f>
        <v/>
      </c>
    </row>
    <row r="3178">
      <c r="A3178" s="2" t="inlineStr">
        <is>
          <t>SN-7000-7200-72ER-7200DP0010</t>
        </is>
      </c>
      <c r="B3178" s="2" t="inlineStr">
        <is>
          <t>7200DP0010</t>
        </is>
      </c>
      <c r="C3178" s="2" t="inlineStr">
        <is>
          <t>Tablero distribución potencia SS/AA</t>
        </is>
      </c>
      <c r="D3178" s="2" t="n">
        <v>1059</v>
      </c>
      <c r="E3178" s="2" t="inlineStr">
        <is>
          <t>CC-7000</t>
        </is>
      </c>
      <c r="F3178" s="2" t="inlineStr">
        <is>
          <t>P01</t>
        </is>
      </c>
      <c r="G3178" s="2" t="n">
        <v>630000</v>
      </c>
      <c r="H3178" s="2" t="inlineStr">
        <is>
          <t>Servicios externos</t>
        </is>
      </c>
      <c r="I3178" s="9" t="n">
        <v>802.09</v>
      </c>
      <c r="J3178" s="9" t="n">
        <v>794.52</v>
      </c>
      <c r="K3178" s="9" t="n">
        <v>776.96</v>
      </c>
      <c r="L3178" s="9" t="n">
        <v>775.67</v>
      </c>
      <c r="M3178" s="9" t="n">
        <v>801.36</v>
      </c>
      <c r="N3178" s="9" t="n">
        <v>756.58</v>
      </c>
      <c r="O3178" s="9" t="n">
        <v>725.77</v>
      </c>
      <c r="P3178" s="9" t="n">
        <v>807.36</v>
      </c>
      <c r="Q3178" s="9" t="n">
        <v>746.23</v>
      </c>
      <c r="R3178" s="9" t="n">
        <v>791.02</v>
      </c>
      <c r="S3178" s="9" t="n">
        <v>791.5599999999999</v>
      </c>
      <c r="T3178" s="9" t="n">
        <v>801.03</v>
      </c>
      <c r="U3178" s="10">
        <f>SUM(I3178:T3178)</f>
        <v/>
      </c>
    </row>
    <row r="3179">
      <c r="A3179" s="2" t="inlineStr">
        <is>
          <t>SN-7000-7200-72ER-7200DX0001</t>
        </is>
      </c>
      <c r="B3179" s="2" t="inlineStr">
        <is>
          <t>7200DX0001</t>
        </is>
      </c>
      <c r="C3179" s="2" t="inlineStr">
        <is>
          <t>Transformador distribución potencia</t>
        </is>
      </c>
      <c r="D3179" s="2" t="n">
        <v>1060</v>
      </c>
      <c r="E3179" s="2" t="inlineStr">
        <is>
          <t>CC-7000</t>
        </is>
      </c>
      <c r="F3179" s="2" t="inlineStr">
        <is>
          <t>P01</t>
        </is>
      </c>
      <c r="G3179" s="2" t="n">
        <v>610000</v>
      </c>
      <c r="H3179" s="2" t="inlineStr">
        <is>
          <t>Mano obra interna</t>
        </is>
      </c>
      <c r="I3179" s="9" t="n">
        <v>1878.18</v>
      </c>
      <c r="J3179" s="9" t="n">
        <v>1822.33</v>
      </c>
      <c r="K3179" s="9" t="n">
        <v>2006.57</v>
      </c>
      <c r="L3179" s="9" t="n">
        <v>1934.86</v>
      </c>
      <c r="M3179" s="9" t="n">
        <v>1746.5</v>
      </c>
      <c r="N3179" s="9" t="n">
        <v>1635.99</v>
      </c>
      <c r="O3179" s="9" t="n">
        <v>1926.38</v>
      </c>
      <c r="P3179" s="9" t="n">
        <v>1921.99</v>
      </c>
      <c r="Q3179" s="9" t="n">
        <v>1608.4</v>
      </c>
      <c r="R3179" s="9" t="n">
        <v>1827.75</v>
      </c>
      <c r="S3179" s="9" t="n">
        <v>1824.12</v>
      </c>
      <c r="T3179" s="9" t="n">
        <v>1915.44</v>
      </c>
      <c r="U3179" s="10">
        <f>SUM(I3179:T3179)</f>
        <v/>
      </c>
    </row>
    <row r="3180">
      <c r="A3180" s="2" t="inlineStr">
        <is>
          <t>SN-7000-7200-72ER-7200DX0001</t>
        </is>
      </c>
      <c r="B3180" s="2" t="inlineStr">
        <is>
          <t>7200DX0001</t>
        </is>
      </c>
      <c r="C3180" s="2" t="inlineStr">
        <is>
          <t>Transformador distribución potencia</t>
        </is>
      </c>
      <c r="D3180" s="2" t="n">
        <v>1060</v>
      </c>
      <c r="E3180" s="2" t="inlineStr">
        <is>
          <t>CC-7000</t>
        </is>
      </c>
      <c r="F3180" s="2" t="inlineStr">
        <is>
          <t>P01</t>
        </is>
      </c>
      <c r="G3180" s="2" t="n">
        <v>620000</v>
      </c>
      <c r="H3180" s="2" t="inlineStr">
        <is>
          <t>Materiales</t>
        </is>
      </c>
      <c r="I3180" s="9" t="n">
        <v>1850.77</v>
      </c>
      <c r="J3180" s="9" t="n">
        <v>1677.22</v>
      </c>
      <c r="K3180" s="9" t="n">
        <v>1751.56</v>
      </c>
      <c r="L3180" s="9" t="n">
        <v>1753.72</v>
      </c>
      <c r="M3180" s="9" t="n">
        <v>1752.9</v>
      </c>
      <c r="N3180" s="9" t="n">
        <v>1770.12</v>
      </c>
      <c r="O3180" s="9" t="n">
        <v>1765.87</v>
      </c>
      <c r="P3180" s="9" t="n">
        <v>1707.14</v>
      </c>
      <c r="Q3180" s="9" t="n">
        <v>1744.39</v>
      </c>
      <c r="R3180" s="9" t="n">
        <v>1768.38</v>
      </c>
      <c r="S3180" s="9" t="n">
        <v>1790.32</v>
      </c>
      <c r="T3180" s="9" t="n">
        <v>1873.19</v>
      </c>
      <c r="U3180" s="10">
        <f>SUM(I3180:T3180)</f>
        <v/>
      </c>
    </row>
    <row r="3181">
      <c r="A3181" s="2" t="inlineStr">
        <is>
          <t>SN-7000-7200-72ER-7200DX0001</t>
        </is>
      </c>
      <c r="B3181" s="2" t="inlineStr">
        <is>
          <t>7200DX0001</t>
        </is>
      </c>
      <c r="C3181" s="2" t="inlineStr">
        <is>
          <t>Transformador distribución potencia</t>
        </is>
      </c>
      <c r="D3181" s="2" t="n">
        <v>1060</v>
      </c>
      <c r="E3181" s="2" t="inlineStr">
        <is>
          <t>CC-7000</t>
        </is>
      </c>
      <c r="F3181" s="2" t="inlineStr">
        <is>
          <t>P01</t>
        </is>
      </c>
      <c r="G3181" s="2" t="n">
        <v>630000</v>
      </c>
      <c r="H3181" s="2" t="inlineStr">
        <is>
          <t>Servicios externos</t>
        </is>
      </c>
      <c r="I3181" s="9" t="n">
        <v>1770.69</v>
      </c>
      <c r="J3181" s="9" t="n">
        <v>1902.52</v>
      </c>
      <c r="K3181" s="9" t="n">
        <v>1897.89</v>
      </c>
      <c r="L3181" s="9" t="n">
        <v>1727.39</v>
      </c>
      <c r="M3181" s="9" t="n">
        <v>1916.45</v>
      </c>
      <c r="N3181" s="9" t="n">
        <v>1700.35</v>
      </c>
      <c r="O3181" s="9" t="n">
        <v>1777.29</v>
      </c>
      <c r="P3181" s="9" t="n">
        <v>1862.9</v>
      </c>
      <c r="Q3181" s="9" t="n">
        <v>1740.32</v>
      </c>
      <c r="R3181" s="9" t="n">
        <v>1919.32</v>
      </c>
      <c r="S3181" s="9" t="n">
        <v>1663.61</v>
      </c>
      <c r="T3181" s="9" t="n">
        <v>1865.04</v>
      </c>
      <c r="U3181" s="10">
        <f>SUM(I3181:T3181)</f>
        <v/>
      </c>
    </row>
    <row r="3182">
      <c r="A3182" s="2" t="inlineStr">
        <is>
          <t>SN-7000-7200-72ER-7200FD0001</t>
        </is>
      </c>
      <c r="B3182" s="2" t="inlineStr">
        <is>
          <t>7200FD0001</t>
        </is>
      </c>
      <c r="C3182" s="2" t="inlineStr">
        <is>
          <t>Sistema detección fuego y humo</t>
        </is>
      </c>
      <c r="D3182" s="2" t="n">
        <v>1061</v>
      </c>
      <c r="E3182" s="2" t="inlineStr">
        <is>
          <t>CC-7000</t>
        </is>
      </c>
      <c r="F3182" s="2" t="inlineStr">
        <is>
          <t>P01</t>
        </is>
      </c>
      <c r="G3182" s="2" t="n">
        <v>610000</v>
      </c>
      <c r="H3182" s="2" t="inlineStr">
        <is>
          <t>Mano obra interna</t>
        </is>
      </c>
      <c r="I3182" s="9" t="n">
        <v>2910.79</v>
      </c>
      <c r="J3182" s="9" t="n">
        <v>2648.53</v>
      </c>
      <c r="K3182" s="9" t="n">
        <v>2846.11</v>
      </c>
      <c r="L3182" s="9" t="n">
        <v>2558.96</v>
      </c>
      <c r="M3182" s="9" t="n">
        <v>2836.5</v>
      </c>
      <c r="N3182" s="9" t="n">
        <v>2506.27</v>
      </c>
      <c r="O3182" s="9" t="n">
        <v>2754.25</v>
      </c>
      <c r="P3182" s="9" t="n">
        <v>2873.29</v>
      </c>
      <c r="Q3182" s="9" t="n">
        <v>2634.3</v>
      </c>
      <c r="R3182" s="9" t="n">
        <v>2971.46</v>
      </c>
      <c r="S3182" s="9" t="n">
        <v>2694.89</v>
      </c>
      <c r="T3182" s="9" t="n">
        <v>2920.25</v>
      </c>
      <c r="U3182" s="10">
        <f>SUM(I3182:T3182)</f>
        <v/>
      </c>
    </row>
    <row r="3183">
      <c r="A3183" s="2" t="inlineStr">
        <is>
          <t>SN-7000-7200-72ER-7200FD0001</t>
        </is>
      </c>
      <c r="B3183" s="2" t="inlineStr">
        <is>
          <t>7200FD0001</t>
        </is>
      </c>
      <c r="C3183" s="2" t="inlineStr">
        <is>
          <t>Sistema detección fuego y humo</t>
        </is>
      </c>
      <c r="D3183" s="2" t="n">
        <v>1061</v>
      </c>
      <c r="E3183" s="2" t="inlineStr">
        <is>
          <t>CC-7000</t>
        </is>
      </c>
      <c r="F3183" s="2" t="inlineStr">
        <is>
          <t>P01</t>
        </is>
      </c>
      <c r="G3183" s="2" t="n">
        <v>620000</v>
      </c>
      <c r="H3183" s="2" t="inlineStr">
        <is>
          <t>Materiales</t>
        </is>
      </c>
      <c r="I3183" s="9" t="n">
        <v>2992.46</v>
      </c>
      <c r="J3183" s="9" t="n">
        <v>2909.14</v>
      </c>
      <c r="K3183" s="9" t="n">
        <v>2804.14</v>
      </c>
      <c r="L3183" s="9" t="n">
        <v>2930.17</v>
      </c>
      <c r="M3183" s="9" t="n">
        <v>2760.14</v>
      </c>
      <c r="N3183" s="9" t="n">
        <v>2724.18</v>
      </c>
      <c r="O3183" s="9" t="n">
        <v>2956.84</v>
      </c>
      <c r="P3183" s="9" t="n">
        <v>2716.97</v>
      </c>
      <c r="Q3183" s="9" t="n">
        <v>2474.52</v>
      </c>
      <c r="R3183" s="9" t="n">
        <v>3055.4</v>
      </c>
      <c r="S3183" s="9" t="n">
        <v>2709.38</v>
      </c>
      <c r="T3183" s="9" t="n">
        <v>2886.27</v>
      </c>
      <c r="U3183" s="10">
        <f>SUM(I3183:T3183)</f>
        <v/>
      </c>
    </row>
    <row r="3184">
      <c r="A3184" s="2" t="inlineStr">
        <is>
          <t>SN-7000-7200-72ER-7200FD0001</t>
        </is>
      </c>
      <c r="B3184" s="2" t="inlineStr">
        <is>
          <t>7200FD0001</t>
        </is>
      </c>
      <c r="C3184" s="2" t="inlineStr">
        <is>
          <t>Sistema detección fuego y humo</t>
        </is>
      </c>
      <c r="D3184" s="2" t="n">
        <v>1061</v>
      </c>
      <c r="E3184" s="2" t="inlineStr">
        <is>
          <t>CC-7000</t>
        </is>
      </c>
      <c r="F3184" s="2" t="inlineStr">
        <is>
          <t>P01</t>
        </is>
      </c>
      <c r="G3184" s="2" t="n">
        <v>630000</v>
      </c>
      <c r="H3184" s="2" t="inlineStr">
        <is>
          <t>Servicios externos</t>
        </is>
      </c>
      <c r="I3184" s="9" t="n">
        <v>3096.4</v>
      </c>
      <c r="J3184" s="9" t="n">
        <v>2811.62</v>
      </c>
      <c r="K3184" s="9" t="n">
        <v>2873.37</v>
      </c>
      <c r="L3184" s="9" t="n">
        <v>3057.5</v>
      </c>
      <c r="M3184" s="9" t="n">
        <v>2978.79</v>
      </c>
      <c r="N3184" s="9" t="n">
        <v>2799.56</v>
      </c>
      <c r="O3184" s="9" t="n">
        <v>2802.24</v>
      </c>
      <c r="P3184" s="9" t="n">
        <v>2712.41</v>
      </c>
      <c r="Q3184" s="9" t="n">
        <v>2630.49</v>
      </c>
      <c r="R3184" s="9" t="n">
        <v>3144.45</v>
      </c>
      <c r="S3184" s="9" t="n">
        <v>2973.07</v>
      </c>
      <c r="T3184" s="9" t="n">
        <v>3148.13</v>
      </c>
      <c r="U3184" s="10">
        <f>SUM(I3184:T3184)</f>
        <v/>
      </c>
    </row>
    <row r="3185">
      <c r="A3185" s="2" t="inlineStr">
        <is>
          <t>SN-7000-7200-72ER-7200FS0001</t>
        </is>
      </c>
      <c r="B3185" s="2" t="inlineStr">
        <is>
          <t>7200FS0001</t>
        </is>
      </c>
      <c r="C3185" s="2" t="inlineStr">
        <is>
          <t>Sistema supresión fuego</t>
        </is>
      </c>
      <c r="D3185" s="2" t="n">
        <v>1062</v>
      </c>
      <c r="E3185" s="2" t="inlineStr">
        <is>
          <t>CC-7000</t>
        </is>
      </c>
      <c r="F3185" s="2" t="inlineStr">
        <is>
          <t>P01</t>
        </is>
      </c>
      <c r="G3185" s="2" t="n">
        <v>610000</v>
      </c>
      <c r="H3185" s="2" t="inlineStr">
        <is>
          <t>Mano obra interna</t>
        </is>
      </c>
      <c r="I3185" s="9" t="n">
        <v>303.04</v>
      </c>
      <c r="J3185" s="9" t="n">
        <v>301.17</v>
      </c>
      <c r="K3185" s="9" t="n">
        <v>302.53</v>
      </c>
      <c r="L3185" s="9" t="n">
        <v>300.27</v>
      </c>
      <c r="M3185" s="9" t="n">
        <v>298.87</v>
      </c>
      <c r="N3185" s="9" t="n">
        <v>263.96</v>
      </c>
      <c r="O3185" s="9" t="n">
        <v>261.38</v>
      </c>
      <c r="P3185" s="9" t="n">
        <v>305.28</v>
      </c>
      <c r="Q3185" s="9" t="n">
        <v>263.43</v>
      </c>
      <c r="R3185" s="9" t="n">
        <v>319.62</v>
      </c>
      <c r="S3185" s="9" t="n">
        <v>288.09</v>
      </c>
      <c r="T3185" s="9" t="n">
        <v>282.92</v>
      </c>
      <c r="U3185" s="10">
        <f>SUM(I3185:T3185)</f>
        <v/>
      </c>
    </row>
    <row r="3186">
      <c r="A3186" s="2" t="inlineStr">
        <is>
          <t>SN-7000-7200-72ER-7200FS0001</t>
        </is>
      </c>
      <c r="B3186" s="2" t="inlineStr">
        <is>
          <t>7200FS0001</t>
        </is>
      </c>
      <c r="C3186" s="2" t="inlineStr">
        <is>
          <t>Sistema supresión fuego</t>
        </is>
      </c>
      <c r="D3186" s="2" t="n">
        <v>1062</v>
      </c>
      <c r="E3186" s="2" t="inlineStr">
        <is>
          <t>CC-7000</t>
        </is>
      </c>
      <c r="F3186" s="2" t="inlineStr">
        <is>
          <t>P01</t>
        </is>
      </c>
      <c r="G3186" s="2" t="n">
        <v>620000</v>
      </c>
      <c r="H3186" s="2" t="inlineStr">
        <is>
          <t>Materiales</t>
        </is>
      </c>
      <c r="I3186" s="9" t="n">
        <v>303.08</v>
      </c>
      <c r="J3186" s="9" t="n">
        <v>277.53</v>
      </c>
      <c r="K3186" s="9" t="n">
        <v>285.72</v>
      </c>
      <c r="L3186" s="9" t="n">
        <v>303.61</v>
      </c>
      <c r="M3186" s="9" t="n">
        <v>274.21</v>
      </c>
      <c r="N3186" s="9" t="n">
        <v>275.1</v>
      </c>
      <c r="O3186" s="9" t="n">
        <v>280.31</v>
      </c>
      <c r="P3186" s="9" t="n">
        <v>304.54</v>
      </c>
      <c r="Q3186" s="9" t="n">
        <v>290.96</v>
      </c>
      <c r="R3186" s="9" t="n">
        <v>322.11</v>
      </c>
      <c r="S3186" s="9" t="n">
        <v>281.48</v>
      </c>
      <c r="T3186" s="9" t="n">
        <v>323.18</v>
      </c>
      <c r="U3186" s="10">
        <f>SUM(I3186:T3186)</f>
        <v/>
      </c>
    </row>
    <row r="3187">
      <c r="A3187" s="2" t="inlineStr">
        <is>
          <t>SN-7000-7200-72ER-7200FS0001</t>
        </is>
      </c>
      <c r="B3187" s="2" t="inlineStr">
        <is>
          <t>7200FS0001</t>
        </is>
      </c>
      <c r="C3187" s="2" t="inlineStr">
        <is>
          <t>Sistema supresión fuego</t>
        </is>
      </c>
      <c r="D3187" s="2" t="n">
        <v>1062</v>
      </c>
      <c r="E3187" s="2" t="inlineStr">
        <is>
          <t>CC-7000</t>
        </is>
      </c>
      <c r="F3187" s="2" t="inlineStr">
        <is>
          <t>P01</t>
        </is>
      </c>
      <c r="G3187" s="2" t="n">
        <v>630000</v>
      </c>
      <c r="H3187" s="2" t="inlineStr">
        <is>
          <t>Servicios externos</t>
        </is>
      </c>
      <c r="I3187" s="9" t="n">
        <v>249.74</v>
      </c>
      <c r="J3187" s="9" t="n">
        <v>239.92</v>
      </c>
      <c r="K3187" s="9" t="n">
        <v>254.55</v>
      </c>
      <c r="L3187" s="9" t="n">
        <v>246.99</v>
      </c>
      <c r="M3187" s="9" t="n">
        <v>240.51</v>
      </c>
      <c r="N3187" s="9" t="n">
        <v>232.09</v>
      </c>
      <c r="O3187" s="9" t="n">
        <v>252.9</v>
      </c>
      <c r="P3187" s="9" t="n">
        <v>247.96</v>
      </c>
      <c r="Q3187" s="9" t="n">
        <v>240.33</v>
      </c>
      <c r="R3187" s="9" t="n">
        <v>272.98</v>
      </c>
      <c r="S3187" s="9" t="n">
        <v>232.1</v>
      </c>
      <c r="T3187" s="9" t="n">
        <v>269.01</v>
      </c>
      <c r="U3187" s="10">
        <f>SUM(I3187:T3187)</f>
        <v/>
      </c>
    </row>
    <row r="3188">
      <c r="A3188" s="2" t="inlineStr">
        <is>
          <t>SN-7000-7200-72ER-7200JP0001</t>
        </is>
      </c>
      <c r="B3188" s="2" t="inlineStr">
        <is>
          <t>7200JP0001</t>
        </is>
      </c>
      <c r="C3188" s="2" t="inlineStr">
        <is>
          <t>Tablero distribución instrumentación</t>
        </is>
      </c>
      <c r="D3188" s="2" t="n">
        <v>1063</v>
      </c>
      <c r="E3188" s="2" t="inlineStr">
        <is>
          <t>CC-7000</t>
        </is>
      </c>
      <c r="F3188" s="2" t="inlineStr">
        <is>
          <t>P01</t>
        </is>
      </c>
      <c r="G3188" s="2" t="n">
        <v>610000</v>
      </c>
      <c r="H3188" s="2" t="inlineStr">
        <is>
          <t>Mano obra interna</t>
        </is>
      </c>
      <c r="I3188" s="9" t="n">
        <v>1722.31</v>
      </c>
      <c r="J3188" s="9" t="n">
        <v>1665.43</v>
      </c>
      <c r="K3188" s="9" t="n">
        <v>1930.32</v>
      </c>
      <c r="L3188" s="9" t="n">
        <v>1884.92</v>
      </c>
      <c r="M3188" s="9" t="n">
        <v>1769.61</v>
      </c>
      <c r="N3188" s="9" t="n">
        <v>1654.78</v>
      </c>
      <c r="O3188" s="9" t="n">
        <v>1775.76</v>
      </c>
      <c r="P3188" s="9" t="n">
        <v>1823.89</v>
      </c>
      <c r="Q3188" s="9" t="n">
        <v>1763.68</v>
      </c>
      <c r="R3188" s="9" t="n">
        <v>1943.55</v>
      </c>
      <c r="S3188" s="9" t="n">
        <v>1667.43</v>
      </c>
      <c r="T3188" s="9" t="n">
        <v>1680.14</v>
      </c>
      <c r="U3188" s="10">
        <f>SUM(I3188:T3188)</f>
        <v/>
      </c>
    </row>
    <row r="3189">
      <c r="A3189" s="2" t="inlineStr">
        <is>
          <t>SN-7000-7200-72ER-7200JP0001</t>
        </is>
      </c>
      <c r="B3189" s="2" t="inlineStr">
        <is>
          <t>7200JP0001</t>
        </is>
      </c>
      <c r="C3189" s="2" t="inlineStr">
        <is>
          <t>Tablero distribución instrumentación</t>
        </is>
      </c>
      <c r="D3189" s="2" t="n">
        <v>1063</v>
      </c>
      <c r="E3189" s="2" t="inlineStr">
        <is>
          <t>CC-7000</t>
        </is>
      </c>
      <c r="F3189" s="2" t="inlineStr">
        <is>
          <t>P01</t>
        </is>
      </c>
      <c r="G3189" s="2" t="n">
        <v>620000</v>
      </c>
      <c r="H3189" s="2" t="inlineStr">
        <is>
          <t>Materiales</t>
        </is>
      </c>
      <c r="I3189" s="9" t="n">
        <v>1622.16</v>
      </c>
      <c r="J3189" s="9" t="n">
        <v>1445.22</v>
      </c>
      <c r="K3189" s="9" t="n">
        <v>1596.12</v>
      </c>
      <c r="L3189" s="9" t="n">
        <v>1636.44</v>
      </c>
      <c r="M3189" s="9" t="n">
        <v>1488.58</v>
      </c>
      <c r="N3189" s="9" t="n">
        <v>1523.72</v>
      </c>
      <c r="O3189" s="9" t="n">
        <v>1572.59</v>
      </c>
      <c r="P3189" s="9" t="n">
        <v>1535.44</v>
      </c>
      <c r="Q3189" s="9" t="n">
        <v>1536.3</v>
      </c>
      <c r="R3189" s="9" t="n">
        <v>1724.87</v>
      </c>
      <c r="S3189" s="9" t="n">
        <v>1468.69</v>
      </c>
      <c r="T3189" s="9" t="n">
        <v>1651.45</v>
      </c>
      <c r="U3189" s="10">
        <f>SUM(I3189:T3189)</f>
        <v/>
      </c>
    </row>
    <row r="3190">
      <c r="A3190" s="2" t="inlineStr">
        <is>
          <t>SN-7000-7200-72ER-7200JP0001</t>
        </is>
      </c>
      <c r="B3190" s="2" t="inlineStr">
        <is>
          <t>7200JP0001</t>
        </is>
      </c>
      <c r="C3190" s="2" t="inlineStr">
        <is>
          <t>Tablero distribución instrumentación</t>
        </is>
      </c>
      <c r="D3190" s="2" t="n">
        <v>1063</v>
      </c>
      <c r="E3190" s="2" t="inlineStr">
        <is>
          <t>CC-7000</t>
        </is>
      </c>
      <c r="F3190" s="2" t="inlineStr">
        <is>
          <t>P01</t>
        </is>
      </c>
      <c r="G3190" s="2" t="n">
        <v>630000</v>
      </c>
      <c r="H3190" s="2" t="inlineStr">
        <is>
          <t>Servicios externos</t>
        </is>
      </c>
      <c r="I3190" s="9" t="n">
        <v>1973.75</v>
      </c>
      <c r="J3190" s="9" t="n">
        <v>1860.3</v>
      </c>
      <c r="K3190" s="9" t="n">
        <v>1868.91</v>
      </c>
      <c r="L3190" s="9" t="n">
        <v>1842.22</v>
      </c>
      <c r="M3190" s="9" t="n">
        <v>1873.22</v>
      </c>
      <c r="N3190" s="9" t="n">
        <v>1661.79</v>
      </c>
      <c r="O3190" s="9" t="n">
        <v>1942.67</v>
      </c>
      <c r="P3190" s="9" t="n">
        <v>1807.57</v>
      </c>
      <c r="Q3190" s="9" t="n">
        <v>1755.42</v>
      </c>
      <c r="R3190" s="9" t="n">
        <v>1991.81</v>
      </c>
      <c r="S3190" s="9" t="n">
        <v>1793.78</v>
      </c>
      <c r="T3190" s="9" t="n">
        <v>1946.06</v>
      </c>
      <c r="U3190" s="10">
        <f>SUM(I3190:T3190)</f>
        <v/>
      </c>
    </row>
    <row r="3191">
      <c r="A3191" s="2" t="inlineStr">
        <is>
          <t>SN-7000-7200-72ER-7200JX0001</t>
        </is>
      </c>
      <c r="B3191" s="2" t="inlineStr">
        <is>
          <t>7200JX0001</t>
        </is>
      </c>
      <c r="C3191" s="2" t="inlineStr">
        <is>
          <t>Transformador distribución instrumentos</t>
        </is>
      </c>
      <c r="D3191" s="2" t="n">
        <v>1064</v>
      </c>
      <c r="E3191" s="2" t="inlineStr">
        <is>
          <t>CC-7000</t>
        </is>
      </c>
      <c r="F3191" s="2" t="inlineStr">
        <is>
          <t>P01</t>
        </is>
      </c>
      <c r="G3191" s="2" t="n">
        <v>610000</v>
      </c>
      <c r="H3191" s="2" t="inlineStr">
        <is>
          <t>Mano obra interna</t>
        </is>
      </c>
      <c r="I3191" s="9" t="n">
        <v>256.82</v>
      </c>
      <c r="J3191" s="9" t="n">
        <v>240.49</v>
      </c>
      <c r="K3191" s="9" t="n">
        <v>285.05</v>
      </c>
      <c r="L3191" s="9" t="n">
        <v>284.31</v>
      </c>
      <c r="M3191" s="9" t="n">
        <v>245.41</v>
      </c>
      <c r="N3191" s="9" t="n">
        <v>242.89</v>
      </c>
      <c r="O3191" s="9" t="n">
        <v>253.03</v>
      </c>
      <c r="P3191" s="9" t="n">
        <v>280.18</v>
      </c>
      <c r="Q3191" s="9" t="n">
        <v>232.41</v>
      </c>
      <c r="R3191" s="9" t="n">
        <v>267.52</v>
      </c>
      <c r="S3191" s="9" t="n">
        <v>240.76</v>
      </c>
      <c r="T3191" s="9" t="n">
        <v>275.72</v>
      </c>
      <c r="U3191" s="10">
        <f>SUM(I3191:T3191)</f>
        <v/>
      </c>
    </row>
    <row r="3192">
      <c r="A3192" s="2" t="inlineStr">
        <is>
          <t>SN-7000-7200-72ER-7200JX0001</t>
        </is>
      </c>
      <c r="B3192" s="2" t="inlineStr">
        <is>
          <t>7200JX0001</t>
        </is>
      </c>
      <c r="C3192" s="2" t="inlineStr">
        <is>
          <t>Transformador distribución instrumentos</t>
        </is>
      </c>
      <c r="D3192" s="2" t="n">
        <v>1064</v>
      </c>
      <c r="E3192" s="2" t="inlineStr">
        <is>
          <t>CC-7000</t>
        </is>
      </c>
      <c r="F3192" s="2" t="inlineStr">
        <is>
          <t>P01</t>
        </is>
      </c>
      <c r="G3192" s="2" t="n">
        <v>620000</v>
      </c>
      <c r="H3192" s="2" t="inlineStr">
        <is>
          <t>Materiales</t>
        </is>
      </c>
      <c r="I3192" s="9" t="n">
        <v>271.79</v>
      </c>
      <c r="J3192" s="9" t="n">
        <v>251.23</v>
      </c>
      <c r="K3192" s="9" t="n">
        <v>283.27</v>
      </c>
      <c r="L3192" s="9" t="n">
        <v>263.99</v>
      </c>
      <c r="M3192" s="9" t="n">
        <v>249.37</v>
      </c>
      <c r="N3192" s="9" t="n">
        <v>274.97</v>
      </c>
      <c r="O3192" s="9" t="n">
        <v>287.07</v>
      </c>
      <c r="P3192" s="9" t="n">
        <v>291.27</v>
      </c>
      <c r="Q3192" s="9" t="n">
        <v>251.09</v>
      </c>
      <c r="R3192" s="9" t="n">
        <v>282.48</v>
      </c>
      <c r="S3192" s="9" t="n">
        <v>273.53</v>
      </c>
      <c r="T3192" s="9" t="n">
        <v>260.83</v>
      </c>
      <c r="U3192" s="10">
        <f>SUM(I3192:T3192)</f>
        <v/>
      </c>
    </row>
    <row r="3193">
      <c r="A3193" s="2" t="inlineStr">
        <is>
          <t>SN-7000-7200-72ER-7200JX0001</t>
        </is>
      </c>
      <c r="B3193" s="2" t="inlineStr">
        <is>
          <t>7200JX0001</t>
        </is>
      </c>
      <c r="C3193" s="2" t="inlineStr">
        <is>
          <t>Transformador distribución instrumentos</t>
        </is>
      </c>
      <c r="D3193" s="2" t="n">
        <v>1064</v>
      </c>
      <c r="E3193" s="2" t="inlineStr">
        <is>
          <t>CC-7000</t>
        </is>
      </c>
      <c r="F3193" s="2" t="inlineStr">
        <is>
          <t>P01</t>
        </is>
      </c>
      <c r="G3193" s="2" t="n">
        <v>630000</v>
      </c>
      <c r="H3193" s="2" t="inlineStr">
        <is>
          <t>Servicios externos</t>
        </is>
      </c>
      <c r="I3193" s="9" t="n">
        <v>217.08</v>
      </c>
      <c r="J3193" s="9" t="n">
        <v>233.7</v>
      </c>
      <c r="K3193" s="9" t="n">
        <v>236.7</v>
      </c>
      <c r="L3193" s="9" t="n">
        <v>212.92</v>
      </c>
      <c r="M3193" s="9" t="n">
        <v>204.75</v>
      </c>
      <c r="N3193" s="9" t="n">
        <v>223.19</v>
      </c>
      <c r="O3193" s="9" t="n">
        <v>232.11</v>
      </c>
      <c r="P3193" s="9" t="n">
        <v>227.19</v>
      </c>
      <c r="Q3193" s="9" t="n">
        <v>195.99</v>
      </c>
      <c r="R3193" s="9" t="n">
        <v>237.91</v>
      </c>
      <c r="S3193" s="9" t="n">
        <v>217.76</v>
      </c>
      <c r="T3193" s="9" t="n">
        <v>240.12</v>
      </c>
      <c r="U3193" s="10">
        <f>SUM(I3193:T3193)</f>
        <v/>
      </c>
    </row>
    <row r="3194">
      <c r="A3194" s="2" t="inlineStr">
        <is>
          <t>SN-7000-7200-72ER-7200LP0001</t>
        </is>
      </c>
      <c r="B3194" s="2" t="inlineStr">
        <is>
          <t>7200LP0001</t>
        </is>
      </c>
      <c r="C3194" s="2" t="inlineStr">
        <is>
          <t>Tablero distribución alumbrado</t>
        </is>
      </c>
      <c r="D3194" s="2" t="n">
        <v>1065</v>
      </c>
      <c r="E3194" s="2" t="inlineStr">
        <is>
          <t>CC-7000</t>
        </is>
      </c>
      <c r="F3194" s="2" t="inlineStr">
        <is>
          <t>P01</t>
        </is>
      </c>
      <c r="G3194" s="2" t="n">
        <v>610000</v>
      </c>
      <c r="H3194" s="2" t="inlineStr">
        <is>
          <t>Mano obra interna</t>
        </is>
      </c>
      <c r="I3194" s="9" t="n">
        <v>774.84</v>
      </c>
      <c r="J3194" s="9" t="n">
        <v>704.85</v>
      </c>
      <c r="K3194" s="9" t="n">
        <v>774.08</v>
      </c>
      <c r="L3194" s="9" t="n">
        <v>736.71</v>
      </c>
      <c r="M3194" s="9" t="n">
        <v>789.62</v>
      </c>
      <c r="N3194" s="9" t="n">
        <v>695.47</v>
      </c>
      <c r="O3194" s="9" t="n">
        <v>747.4400000000001</v>
      </c>
      <c r="P3194" s="9" t="n">
        <v>745.42</v>
      </c>
      <c r="Q3194" s="9" t="n">
        <v>746.11</v>
      </c>
      <c r="R3194" s="9" t="n">
        <v>850.2</v>
      </c>
      <c r="S3194" s="9" t="n">
        <v>681.08</v>
      </c>
      <c r="T3194" s="9" t="n">
        <v>715.16</v>
      </c>
      <c r="U3194" s="10">
        <f>SUM(I3194:T3194)</f>
        <v/>
      </c>
    </row>
    <row r="3195">
      <c r="A3195" s="2" t="inlineStr">
        <is>
          <t>SN-7000-7200-72ER-7200LP0001</t>
        </is>
      </c>
      <c r="B3195" s="2" t="inlineStr">
        <is>
          <t>7200LP0001</t>
        </is>
      </c>
      <c r="C3195" s="2" t="inlineStr">
        <is>
          <t>Tablero distribución alumbrado</t>
        </is>
      </c>
      <c r="D3195" s="2" t="n">
        <v>1065</v>
      </c>
      <c r="E3195" s="2" t="inlineStr">
        <is>
          <t>CC-7000</t>
        </is>
      </c>
      <c r="F3195" s="2" t="inlineStr">
        <is>
          <t>P01</t>
        </is>
      </c>
      <c r="G3195" s="2" t="n">
        <v>620000</v>
      </c>
      <c r="H3195" s="2" t="inlineStr">
        <is>
          <t>Materiales</t>
        </is>
      </c>
      <c r="I3195" s="9" t="n">
        <v>837.28</v>
      </c>
      <c r="J3195" s="9" t="n">
        <v>787.87</v>
      </c>
      <c r="K3195" s="9" t="n">
        <v>896.11</v>
      </c>
      <c r="L3195" s="9" t="n">
        <v>797.6799999999999</v>
      </c>
      <c r="M3195" s="9" t="n">
        <v>883.48</v>
      </c>
      <c r="N3195" s="9" t="n">
        <v>732.92</v>
      </c>
      <c r="O3195" s="9" t="n">
        <v>779.45</v>
      </c>
      <c r="P3195" s="9" t="n">
        <v>804.13</v>
      </c>
      <c r="Q3195" s="9" t="n">
        <v>773.55</v>
      </c>
      <c r="R3195" s="9" t="n">
        <v>854.21</v>
      </c>
      <c r="S3195" s="9" t="n">
        <v>833.64</v>
      </c>
      <c r="T3195" s="9" t="n">
        <v>822.9</v>
      </c>
      <c r="U3195" s="10">
        <f>SUM(I3195:T3195)</f>
        <v/>
      </c>
    </row>
    <row r="3196">
      <c r="A3196" s="2" t="inlineStr">
        <is>
          <t>SN-7000-7200-72ER-7200LP0001</t>
        </is>
      </c>
      <c r="B3196" s="2" t="inlineStr">
        <is>
          <t>7200LP0001</t>
        </is>
      </c>
      <c r="C3196" s="2" t="inlineStr">
        <is>
          <t>Tablero distribución alumbrado</t>
        </is>
      </c>
      <c r="D3196" s="2" t="n">
        <v>1065</v>
      </c>
      <c r="E3196" s="2" t="inlineStr">
        <is>
          <t>CC-7000</t>
        </is>
      </c>
      <c r="F3196" s="2" t="inlineStr">
        <is>
          <t>P01</t>
        </is>
      </c>
      <c r="G3196" s="2" t="n">
        <v>630000</v>
      </c>
      <c r="H3196" s="2" t="inlineStr">
        <is>
          <t>Servicios externos</t>
        </is>
      </c>
      <c r="I3196" s="9" t="n">
        <v>752.48</v>
      </c>
      <c r="J3196" s="9" t="n">
        <v>733.2</v>
      </c>
      <c r="K3196" s="9" t="n">
        <v>730.7</v>
      </c>
      <c r="L3196" s="9" t="n">
        <v>745.27</v>
      </c>
      <c r="M3196" s="9" t="n">
        <v>646.21</v>
      </c>
      <c r="N3196" s="9" t="n">
        <v>639.98</v>
      </c>
      <c r="O3196" s="9" t="n">
        <v>675.97</v>
      </c>
      <c r="P3196" s="9" t="n">
        <v>745.79</v>
      </c>
      <c r="Q3196" s="9" t="n">
        <v>648.3200000000001</v>
      </c>
      <c r="R3196" s="9" t="n">
        <v>690.54</v>
      </c>
      <c r="S3196" s="9" t="n">
        <v>660</v>
      </c>
      <c r="T3196" s="9" t="n">
        <v>649.86</v>
      </c>
      <c r="U3196" s="10">
        <f>SUM(I3196:T3196)</f>
        <v/>
      </c>
    </row>
    <row r="3197">
      <c r="A3197" s="2" t="inlineStr">
        <is>
          <t>SN-7000-7200-72ER-7200LX0001</t>
        </is>
      </c>
      <c r="B3197" s="2" t="inlineStr">
        <is>
          <t>7200LX0001</t>
        </is>
      </c>
      <c r="C3197" s="2" t="inlineStr">
        <is>
          <t>Transformador distribución alumbrado</t>
        </is>
      </c>
      <c r="D3197" s="2" t="n">
        <v>1066</v>
      </c>
      <c r="E3197" s="2" t="inlineStr">
        <is>
          <t>CC-7000</t>
        </is>
      </c>
      <c r="F3197" s="2" t="inlineStr">
        <is>
          <t>P01</t>
        </is>
      </c>
      <c r="G3197" s="2" t="n">
        <v>610000</v>
      </c>
      <c r="H3197" s="2" t="inlineStr">
        <is>
          <t>Mano obra interna</t>
        </is>
      </c>
      <c r="I3197" s="9" t="n">
        <v>640.11</v>
      </c>
      <c r="J3197" s="9" t="n">
        <v>604.48</v>
      </c>
      <c r="K3197" s="9" t="n">
        <v>602.89</v>
      </c>
      <c r="L3197" s="9" t="n">
        <v>605.92</v>
      </c>
      <c r="M3197" s="9" t="n">
        <v>630.1799999999999</v>
      </c>
      <c r="N3197" s="9" t="n">
        <v>622.77</v>
      </c>
      <c r="O3197" s="9" t="n">
        <v>622.26</v>
      </c>
      <c r="P3197" s="9" t="n">
        <v>654.53</v>
      </c>
      <c r="Q3197" s="9" t="n">
        <v>556.29</v>
      </c>
      <c r="R3197" s="9" t="n">
        <v>639.97</v>
      </c>
      <c r="S3197" s="9" t="n">
        <v>644.66</v>
      </c>
      <c r="T3197" s="9" t="n">
        <v>624.51</v>
      </c>
      <c r="U3197" s="10">
        <f>SUM(I3197:T3197)</f>
        <v/>
      </c>
    </row>
    <row r="3198">
      <c r="A3198" s="2" t="inlineStr">
        <is>
          <t>SN-7000-7200-72ER-7200LX0001</t>
        </is>
      </c>
      <c r="B3198" s="2" t="inlineStr">
        <is>
          <t>7200LX0001</t>
        </is>
      </c>
      <c r="C3198" s="2" t="inlineStr">
        <is>
          <t>Transformador distribución alumbrado</t>
        </is>
      </c>
      <c r="D3198" s="2" t="n">
        <v>1066</v>
      </c>
      <c r="E3198" s="2" t="inlineStr">
        <is>
          <t>CC-7000</t>
        </is>
      </c>
      <c r="F3198" s="2" t="inlineStr">
        <is>
          <t>P01</t>
        </is>
      </c>
      <c r="G3198" s="2" t="n">
        <v>620000</v>
      </c>
      <c r="H3198" s="2" t="inlineStr">
        <is>
          <t>Materiales</t>
        </is>
      </c>
      <c r="I3198" s="9" t="n">
        <v>696.9299999999999</v>
      </c>
      <c r="J3198" s="9" t="n">
        <v>619.8099999999999</v>
      </c>
      <c r="K3198" s="9" t="n">
        <v>605.03</v>
      </c>
      <c r="L3198" s="9" t="n">
        <v>696.75</v>
      </c>
      <c r="M3198" s="9" t="n">
        <v>581.47</v>
      </c>
      <c r="N3198" s="9" t="n">
        <v>624.91</v>
      </c>
      <c r="O3198" s="9" t="n">
        <v>619.3099999999999</v>
      </c>
      <c r="P3198" s="9" t="n">
        <v>633.59</v>
      </c>
      <c r="Q3198" s="9" t="n">
        <v>597.53</v>
      </c>
      <c r="R3198" s="9" t="n">
        <v>676.98</v>
      </c>
      <c r="S3198" s="9" t="n">
        <v>643.8099999999999</v>
      </c>
      <c r="T3198" s="9" t="n">
        <v>691.09</v>
      </c>
      <c r="U3198" s="10">
        <f>SUM(I3198:T3198)</f>
        <v/>
      </c>
    </row>
    <row r="3199">
      <c r="A3199" s="2" t="inlineStr">
        <is>
          <t>SN-7000-7200-72ER-7200LX0001</t>
        </is>
      </c>
      <c r="B3199" s="2" t="inlineStr">
        <is>
          <t>7200LX0001</t>
        </is>
      </c>
      <c r="C3199" s="2" t="inlineStr">
        <is>
          <t>Transformador distribución alumbrado</t>
        </is>
      </c>
      <c r="D3199" s="2" t="n">
        <v>1066</v>
      </c>
      <c r="E3199" s="2" t="inlineStr">
        <is>
          <t>CC-7000</t>
        </is>
      </c>
      <c r="F3199" s="2" t="inlineStr">
        <is>
          <t>P01</t>
        </is>
      </c>
      <c r="G3199" s="2" t="n">
        <v>630000</v>
      </c>
      <c r="H3199" s="2" t="inlineStr">
        <is>
          <t>Servicios externos</t>
        </is>
      </c>
      <c r="I3199" s="9" t="n">
        <v>617.73</v>
      </c>
      <c r="J3199" s="9" t="n">
        <v>534.85</v>
      </c>
      <c r="K3199" s="9" t="n">
        <v>555.64</v>
      </c>
      <c r="L3199" s="9" t="n">
        <v>633.14</v>
      </c>
      <c r="M3199" s="9" t="n">
        <v>570.4299999999999</v>
      </c>
      <c r="N3199" s="9" t="n">
        <v>521.33</v>
      </c>
      <c r="O3199" s="9" t="n">
        <v>584.1</v>
      </c>
      <c r="P3199" s="9" t="n">
        <v>555.09</v>
      </c>
      <c r="Q3199" s="9" t="n">
        <v>534.4</v>
      </c>
      <c r="R3199" s="9" t="n">
        <v>635.08</v>
      </c>
      <c r="S3199" s="9" t="n">
        <v>591.96</v>
      </c>
      <c r="T3199" s="9" t="n">
        <v>539.36</v>
      </c>
      <c r="U3199" s="10">
        <f>SUM(I3199:T3199)</f>
        <v/>
      </c>
    </row>
    <row r="3200">
      <c r="A3200" s="2" t="inlineStr">
        <is>
          <t>SN-7000-7200-72ER-7200MC0011</t>
        </is>
      </c>
      <c r="B3200" s="2" t="inlineStr">
        <is>
          <t>7200MC0011</t>
        </is>
      </c>
      <c r="C3200" s="2" t="inlineStr">
        <is>
          <t xml:space="preserve">Centro control motores 400V/1200A/65kA </t>
        </is>
      </c>
      <c r="D3200" s="2" t="n">
        <v>1067</v>
      </c>
      <c r="E3200" s="2" t="inlineStr">
        <is>
          <t>CC-7000</t>
        </is>
      </c>
      <c r="F3200" s="2" t="inlineStr">
        <is>
          <t>P01</t>
        </is>
      </c>
      <c r="G3200" s="2" t="n">
        <v>610000</v>
      </c>
      <c r="H3200" s="2" t="inlineStr">
        <is>
          <t>Mano obra interna</t>
        </is>
      </c>
      <c r="I3200" s="9" t="n">
        <v>641.34</v>
      </c>
      <c r="J3200" s="9" t="n">
        <v>618.8200000000001</v>
      </c>
      <c r="K3200" s="9" t="n">
        <v>742.3</v>
      </c>
      <c r="L3200" s="9" t="n">
        <v>734.33</v>
      </c>
      <c r="M3200" s="9" t="n">
        <v>691.2</v>
      </c>
      <c r="N3200" s="9" t="n">
        <v>656.8200000000001</v>
      </c>
      <c r="O3200" s="9" t="n">
        <v>709.34</v>
      </c>
      <c r="P3200" s="9" t="n">
        <v>623.71</v>
      </c>
      <c r="Q3200" s="9" t="n">
        <v>587.14</v>
      </c>
      <c r="R3200" s="9" t="n">
        <v>703.11</v>
      </c>
      <c r="S3200" s="9" t="n">
        <v>684.77</v>
      </c>
      <c r="T3200" s="9" t="n">
        <v>678.5700000000001</v>
      </c>
      <c r="U3200" s="10">
        <f>SUM(I3200:T3200)</f>
        <v/>
      </c>
    </row>
    <row r="3201">
      <c r="A3201" s="2" t="inlineStr">
        <is>
          <t>SN-7000-7200-72ER-7200MC0011</t>
        </is>
      </c>
      <c r="B3201" s="2" t="inlineStr">
        <is>
          <t>7200MC0011</t>
        </is>
      </c>
      <c r="C3201" s="2" t="inlineStr">
        <is>
          <t xml:space="preserve">Centro control motores 400V/1200A/65kA </t>
        </is>
      </c>
      <c r="D3201" s="2" t="n">
        <v>1067</v>
      </c>
      <c r="E3201" s="2" t="inlineStr">
        <is>
          <t>CC-7000</t>
        </is>
      </c>
      <c r="F3201" s="2" t="inlineStr">
        <is>
          <t>P01</t>
        </is>
      </c>
      <c r="G3201" s="2" t="n">
        <v>620000</v>
      </c>
      <c r="H3201" s="2" t="inlineStr">
        <is>
          <t>Materiales</t>
        </is>
      </c>
      <c r="I3201" s="9" t="n">
        <v>697.74</v>
      </c>
      <c r="J3201" s="9" t="n">
        <v>720.33</v>
      </c>
      <c r="K3201" s="9" t="n">
        <v>782.78</v>
      </c>
      <c r="L3201" s="9" t="n">
        <v>710.27</v>
      </c>
      <c r="M3201" s="9" t="n">
        <v>720.53</v>
      </c>
      <c r="N3201" s="9" t="n">
        <v>664.6900000000001</v>
      </c>
      <c r="O3201" s="9" t="n">
        <v>748.24</v>
      </c>
      <c r="P3201" s="9" t="n">
        <v>711.04</v>
      </c>
      <c r="Q3201" s="9" t="n">
        <v>647.97</v>
      </c>
      <c r="R3201" s="9" t="n">
        <v>760.61</v>
      </c>
      <c r="S3201" s="9" t="n">
        <v>646.39</v>
      </c>
      <c r="T3201" s="9" t="n">
        <v>767.52</v>
      </c>
      <c r="U3201" s="10">
        <f>SUM(I3201:T3201)</f>
        <v/>
      </c>
    </row>
    <row r="3202">
      <c r="A3202" s="2" t="inlineStr">
        <is>
          <t>SN-7000-7200-72ER-7200MC0011</t>
        </is>
      </c>
      <c r="B3202" s="2" t="inlineStr">
        <is>
          <t>7200MC0011</t>
        </is>
      </c>
      <c r="C3202" s="2" t="inlineStr">
        <is>
          <t xml:space="preserve">Centro control motores 400V/1200A/65kA </t>
        </is>
      </c>
      <c r="D3202" s="2" t="n">
        <v>1067</v>
      </c>
      <c r="E3202" s="2" t="inlineStr">
        <is>
          <t>CC-7000</t>
        </is>
      </c>
      <c r="F3202" s="2" t="inlineStr">
        <is>
          <t>P01</t>
        </is>
      </c>
      <c r="G3202" s="2" t="n">
        <v>630000</v>
      </c>
      <c r="H3202" s="2" t="inlineStr">
        <is>
          <t>Servicios externos</t>
        </is>
      </c>
      <c r="I3202" s="9" t="n">
        <v>822.04</v>
      </c>
      <c r="J3202" s="9" t="n">
        <v>760.45</v>
      </c>
      <c r="K3202" s="9" t="n">
        <v>855.71</v>
      </c>
      <c r="L3202" s="9" t="n">
        <v>819.7</v>
      </c>
      <c r="M3202" s="9" t="n">
        <v>768.12</v>
      </c>
      <c r="N3202" s="9" t="n">
        <v>715.61</v>
      </c>
      <c r="O3202" s="9" t="n">
        <v>858.95</v>
      </c>
      <c r="P3202" s="9" t="n">
        <v>845.91</v>
      </c>
      <c r="Q3202" s="9" t="n">
        <v>791.91</v>
      </c>
      <c r="R3202" s="9" t="n">
        <v>863.17</v>
      </c>
      <c r="S3202" s="9" t="n">
        <v>814.0700000000001</v>
      </c>
      <c r="T3202" s="9" t="n">
        <v>830.83</v>
      </c>
      <c r="U3202" s="10">
        <f>SUM(I3202:T3202)</f>
        <v/>
      </c>
    </row>
    <row r="3203">
      <c r="A3203" s="2" t="inlineStr">
        <is>
          <t>SN-7000-7200-72ER-7200MC0012</t>
        </is>
      </c>
      <c r="B3203" s="2" t="inlineStr">
        <is>
          <t>7200MC0012</t>
        </is>
      </c>
      <c r="C3203" s="2" t="inlineStr">
        <is>
          <t>Centro control motores 400V/1200A/65KA</t>
        </is>
      </c>
      <c r="D3203" s="2" t="n">
        <v>1068</v>
      </c>
      <c r="E3203" s="2" t="inlineStr">
        <is>
          <t>CC-7000</t>
        </is>
      </c>
      <c r="F3203" s="2" t="inlineStr">
        <is>
          <t>P01</t>
        </is>
      </c>
      <c r="G3203" s="2" t="n">
        <v>610000</v>
      </c>
      <c r="H3203" s="2" t="inlineStr">
        <is>
          <t>Mano obra interna</t>
        </is>
      </c>
      <c r="I3203" s="9" t="n">
        <v>1282.38</v>
      </c>
      <c r="J3203" s="9" t="n">
        <v>1266.45</v>
      </c>
      <c r="K3203" s="9" t="n">
        <v>1307.05</v>
      </c>
      <c r="L3203" s="9" t="n">
        <v>1270.92</v>
      </c>
      <c r="M3203" s="9" t="n">
        <v>1225.24</v>
      </c>
      <c r="N3203" s="9" t="n">
        <v>1165.94</v>
      </c>
      <c r="O3203" s="9" t="n">
        <v>1258.83</v>
      </c>
      <c r="P3203" s="9" t="n">
        <v>1188.68</v>
      </c>
      <c r="Q3203" s="9" t="n">
        <v>1052.11</v>
      </c>
      <c r="R3203" s="9" t="n">
        <v>1339.36</v>
      </c>
      <c r="S3203" s="9" t="n">
        <v>1230.23</v>
      </c>
      <c r="T3203" s="9" t="n">
        <v>1177.89</v>
      </c>
      <c r="U3203" s="10">
        <f>SUM(I3203:T3203)</f>
        <v/>
      </c>
    </row>
    <row r="3204">
      <c r="A3204" s="2" t="inlineStr">
        <is>
          <t>SN-7000-7200-72ER-7200MC0012</t>
        </is>
      </c>
      <c r="B3204" s="2" t="inlineStr">
        <is>
          <t>7200MC0012</t>
        </is>
      </c>
      <c r="C3204" s="2" t="inlineStr">
        <is>
          <t>Centro control motores 400V/1200A/65KA</t>
        </is>
      </c>
      <c r="D3204" s="2" t="n">
        <v>1068</v>
      </c>
      <c r="E3204" s="2" t="inlineStr">
        <is>
          <t>CC-7000</t>
        </is>
      </c>
      <c r="F3204" s="2" t="inlineStr">
        <is>
          <t>P01</t>
        </is>
      </c>
      <c r="G3204" s="2" t="n">
        <v>620000</v>
      </c>
      <c r="H3204" s="2" t="inlineStr">
        <is>
          <t>Materiales</t>
        </is>
      </c>
      <c r="I3204" s="9" t="n">
        <v>1294.1</v>
      </c>
      <c r="J3204" s="9" t="n">
        <v>1387.12</v>
      </c>
      <c r="K3204" s="9" t="n">
        <v>1396.75</v>
      </c>
      <c r="L3204" s="9" t="n">
        <v>1359.2</v>
      </c>
      <c r="M3204" s="9" t="n">
        <v>1359.98</v>
      </c>
      <c r="N3204" s="9" t="n">
        <v>1320.54</v>
      </c>
      <c r="O3204" s="9" t="n">
        <v>1398.51</v>
      </c>
      <c r="P3204" s="9" t="n">
        <v>1398.67</v>
      </c>
      <c r="Q3204" s="9" t="n">
        <v>1136.75</v>
      </c>
      <c r="R3204" s="9" t="n">
        <v>1332.87</v>
      </c>
      <c r="S3204" s="9" t="n">
        <v>1339.72</v>
      </c>
      <c r="T3204" s="9" t="n">
        <v>1430.09</v>
      </c>
      <c r="U3204" s="10">
        <f>SUM(I3204:T3204)</f>
        <v/>
      </c>
    </row>
    <row r="3205">
      <c r="A3205" s="2" t="inlineStr">
        <is>
          <t>SN-7000-7200-72ER-7200MC0012</t>
        </is>
      </c>
      <c r="B3205" s="2" t="inlineStr">
        <is>
          <t>7200MC0012</t>
        </is>
      </c>
      <c r="C3205" s="2" t="inlineStr">
        <is>
          <t>Centro control motores 400V/1200A/65KA</t>
        </is>
      </c>
      <c r="D3205" s="2" t="n">
        <v>1068</v>
      </c>
      <c r="E3205" s="2" t="inlineStr">
        <is>
          <t>CC-7000</t>
        </is>
      </c>
      <c r="F3205" s="2" t="inlineStr">
        <is>
          <t>P01</t>
        </is>
      </c>
      <c r="G3205" s="2" t="n">
        <v>630000</v>
      </c>
      <c r="H3205" s="2" t="inlineStr">
        <is>
          <t>Servicios externos</t>
        </is>
      </c>
      <c r="I3205" s="9" t="n">
        <v>1120.78</v>
      </c>
      <c r="J3205" s="9" t="n">
        <v>1140.25</v>
      </c>
      <c r="K3205" s="9" t="n">
        <v>1206.25</v>
      </c>
      <c r="L3205" s="9" t="n">
        <v>1268.71</v>
      </c>
      <c r="M3205" s="9" t="n">
        <v>1093.89</v>
      </c>
      <c r="N3205" s="9" t="n">
        <v>1086.85</v>
      </c>
      <c r="O3205" s="9" t="n">
        <v>1267.27</v>
      </c>
      <c r="P3205" s="9" t="n">
        <v>1124.93</v>
      </c>
      <c r="Q3205" s="9" t="n">
        <v>1155.23</v>
      </c>
      <c r="R3205" s="9" t="n">
        <v>1256.52</v>
      </c>
      <c r="S3205" s="9" t="n">
        <v>1183.55</v>
      </c>
      <c r="T3205" s="9" t="n">
        <v>1126.82</v>
      </c>
      <c r="U3205" s="10">
        <f>SUM(I3205:T3205)</f>
        <v/>
      </c>
    </row>
    <row r="3206">
      <c r="A3206" s="2" t="inlineStr">
        <is>
          <t>SN-7000-7200-72ER-7200SC0001</t>
        </is>
      </c>
      <c r="B3206" s="2" t="inlineStr">
        <is>
          <t>7200SC0001</t>
        </is>
      </c>
      <c r="C3206" s="2" t="inlineStr">
        <is>
          <t>Panel sistema Scada</t>
        </is>
      </c>
      <c r="D3206" s="2" t="n">
        <v>1069</v>
      </c>
      <c r="E3206" s="2" t="inlineStr">
        <is>
          <t>CC-7000</t>
        </is>
      </c>
      <c r="F3206" s="2" t="inlineStr">
        <is>
          <t>P01</t>
        </is>
      </c>
      <c r="G3206" s="2" t="n">
        <v>610000</v>
      </c>
      <c r="H3206" s="2" t="inlineStr">
        <is>
          <t>Mano obra interna</t>
        </is>
      </c>
      <c r="I3206" s="9" t="n">
        <v>1161.56</v>
      </c>
      <c r="J3206" s="9" t="n">
        <v>1199.09</v>
      </c>
      <c r="K3206" s="9" t="n">
        <v>1200.21</v>
      </c>
      <c r="L3206" s="9" t="n">
        <v>1091.44</v>
      </c>
      <c r="M3206" s="9" t="n">
        <v>1194.84</v>
      </c>
      <c r="N3206" s="9" t="n">
        <v>1022.62</v>
      </c>
      <c r="O3206" s="9" t="n">
        <v>1232.3</v>
      </c>
      <c r="P3206" s="9" t="n">
        <v>1097.76</v>
      </c>
      <c r="Q3206" s="9" t="n">
        <v>1070.02</v>
      </c>
      <c r="R3206" s="9" t="n">
        <v>1157.02</v>
      </c>
      <c r="S3206" s="9" t="n">
        <v>1125.93</v>
      </c>
      <c r="T3206" s="9" t="n">
        <v>1168.28</v>
      </c>
      <c r="U3206" s="10">
        <f>SUM(I3206:T3206)</f>
        <v/>
      </c>
    </row>
    <row r="3207">
      <c r="A3207" s="2" t="inlineStr">
        <is>
          <t>SN-7000-7200-72ER-7200SC0001</t>
        </is>
      </c>
      <c r="B3207" s="2" t="inlineStr">
        <is>
          <t>7200SC0001</t>
        </is>
      </c>
      <c r="C3207" s="2" t="inlineStr">
        <is>
          <t>Panel sistema Scada</t>
        </is>
      </c>
      <c r="D3207" s="2" t="n">
        <v>1069</v>
      </c>
      <c r="E3207" s="2" t="inlineStr">
        <is>
          <t>CC-7000</t>
        </is>
      </c>
      <c r="F3207" s="2" t="inlineStr">
        <is>
          <t>P01</t>
        </is>
      </c>
      <c r="G3207" s="2" t="n">
        <v>620000</v>
      </c>
      <c r="H3207" s="2" t="inlineStr">
        <is>
          <t>Materiales</t>
        </is>
      </c>
      <c r="I3207" s="9" t="n">
        <v>1077.77</v>
      </c>
      <c r="J3207" s="9" t="n">
        <v>1191.34</v>
      </c>
      <c r="K3207" s="9" t="n">
        <v>1233.57</v>
      </c>
      <c r="L3207" s="9" t="n">
        <v>1190.47</v>
      </c>
      <c r="M3207" s="9" t="n">
        <v>1141.76</v>
      </c>
      <c r="N3207" s="9" t="n">
        <v>1124.42</v>
      </c>
      <c r="O3207" s="9" t="n">
        <v>1076.03</v>
      </c>
      <c r="P3207" s="9" t="n">
        <v>1218.55</v>
      </c>
      <c r="Q3207" s="9" t="n">
        <v>1025.1</v>
      </c>
      <c r="R3207" s="9" t="n">
        <v>1260.75</v>
      </c>
      <c r="S3207" s="9" t="n">
        <v>1122.95</v>
      </c>
      <c r="T3207" s="9" t="n">
        <v>1182.75</v>
      </c>
      <c r="U3207" s="10">
        <f>SUM(I3207:T3207)</f>
        <v/>
      </c>
    </row>
    <row r="3208">
      <c r="A3208" s="2" t="inlineStr">
        <is>
          <t>SN-7000-7200-72ER-7200SC0001</t>
        </is>
      </c>
      <c r="B3208" s="2" t="inlineStr">
        <is>
          <t>7200SC0001</t>
        </is>
      </c>
      <c r="C3208" s="2" t="inlineStr">
        <is>
          <t>Panel sistema Scada</t>
        </is>
      </c>
      <c r="D3208" s="2" t="n">
        <v>1069</v>
      </c>
      <c r="E3208" s="2" t="inlineStr">
        <is>
          <t>CC-7000</t>
        </is>
      </c>
      <c r="F3208" s="2" t="inlineStr">
        <is>
          <t>P01</t>
        </is>
      </c>
      <c r="G3208" s="2" t="n">
        <v>630000</v>
      </c>
      <c r="H3208" s="2" t="inlineStr">
        <is>
          <t>Servicios externos</t>
        </is>
      </c>
      <c r="I3208" s="9" t="n">
        <v>1306.12</v>
      </c>
      <c r="J3208" s="9" t="n">
        <v>1354.5</v>
      </c>
      <c r="K3208" s="9" t="n">
        <v>1385.97</v>
      </c>
      <c r="L3208" s="9" t="n">
        <v>1260.11</v>
      </c>
      <c r="M3208" s="9" t="n">
        <v>1290.98</v>
      </c>
      <c r="N3208" s="9" t="n">
        <v>1332.91</v>
      </c>
      <c r="O3208" s="9" t="n">
        <v>1284.15</v>
      </c>
      <c r="P3208" s="9" t="n">
        <v>1317.9</v>
      </c>
      <c r="Q3208" s="9" t="n">
        <v>1228.98</v>
      </c>
      <c r="R3208" s="9" t="n">
        <v>1453.3</v>
      </c>
      <c r="S3208" s="9" t="n">
        <v>1359.07</v>
      </c>
      <c r="T3208" s="9" t="n">
        <v>1272.17</v>
      </c>
      <c r="U3208" s="10">
        <f>SUM(I3208:T3208)</f>
        <v/>
      </c>
    </row>
    <row r="3209">
      <c r="A3209" s="2" t="inlineStr">
        <is>
          <t>SN-7000-7200-72ER-7200SG0011</t>
        </is>
      </c>
      <c r="B3209" s="2" t="inlineStr">
        <is>
          <t>7200SG0011</t>
        </is>
      </c>
      <c r="C3209" s="2" t="inlineStr">
        <is>
          <t>Switch gear 400 V, 1200 A, 65 kA</t>
        </is>
      </c>
      <c r="D3209" s="2" t="n">
        <v>1070</v>
      </c>
      <c r="E3209" s="2" t="inlineStr">
        <is>
          <t>CC-7000</t>
        </is>
      </c>
      <c r="F3209" s="2" t="inlineStr">
        <is>
          <t>P01</t>
        </is>
      </c>
      <c r="G3209" s="2" t="n">
        <v>610000</v>
      </c>
      <c r="H3209" s="2" t="inlineStr">
        <is>
          <t>Mano obra interna</t>
        </is>
      </c>
      <c r="I3209" s="9" t="n">
        <v>2852.56</v>
      </c>
      <c r="J3209" s="9" t="n">
        <v>2694.8</v>
      </c>
      <c r="K3209" s="9" t="n">
        <v>3114</v>
      </c>
      <c r="L3209" s="9" t="n">
        <v>2663.45</v>
      </c>
      <c r="M3209" s="9" t="n">
        <v>2630.08</v>
      </c>
      <c r="N3209" s="9" t="n">
        <v>2805.29</v>
      </c>
      <c r="O3209" s="9" t="n">
        <v>2722.76</v>
      </c>
      <c r="P3209" s="9" t="n">
        <v>2927.41</v>
      </c>
      <c r="Q3209" s="9" t="n">
        <v>2773.04</v>
      </c>
      <c r="R3209" s="9" t="n">
        <v>2930.66</v>
      </c>
      <c r="S3209" s="9" t="n">
        <v>2603.29</v>
      </c>
      <c r="T3209" s="9" t="n">
        <v>2707.68</v>
      </c>
      <c r="U3209" s="10">
        <f>SUM(I3209:T3209)</f>
        <v/>
      </c>
    </row>
    <row r="3210">
      <c r="A3210" s="2" t="inlineStr">
        <is>
          <t>SN-7000-7200-72ER-7200SG0011</t>
        </is>
      </c>
      <c r="B3210" s="2" t="inlineStr">
        <is>
          <t>7200SG0011</t>
        </is>
      </c>
      <c r="C3210" s="2" t="inlineStr">
        <is>
          <t>Switch gear 400 V, 1200 A, 65 kA</t>
        </is>
      </c>
      <c r="D3210" s="2" t="n">
        <v>1070</v>
      </c>
      <c r="E3210" s="2" t="inlineStr">
        <is>
          <t>CC-7000</t>
        </is>
      </c>
      <c r="F3210" s="2" t="inlineStr">
        <is>
          <t>P01</t>
        </is>
      </c>
      <c r="G3210" s="2" t="n">
        <v>620000</v>
      </c>
      <c r="H3210" s="2" t="inlineStr">
        <is>
          <t>Materiales</t>
        </is>
      </c>
      <c r="I3210" s="9" t="n">
        <v>2427.83</v>
      </c>
      <c r="J3210" s="9" t="n">
        <v>2576.41</v>
      </c>
      <c r="K3210" s="9" t="n">
        <v>2658.53</v>
      </c>
      <c r="L3210" s="9" t="n">
        <v>2323.5</v>
      </c>
      <c r="M3210" s="9" t="n">
        <v>2591.06</v>
      </c>
      <c r="N3210" s="9" t="n">
        <v>2202.59</v>
      </c>
      <c r="O3210" s="9" t="n">
        <v>2532.79</v>
      </c>
      <c r="P3210" s="9" t="n">
        <v>2330.78</v>
      </c>
      <c r="Q3210" s="9" t="n">
        <v>2138.47</v>
      </c>
      <c r="R3210" s="9" t="n">
        <v>2774.73</v>
      </c>
      <c r="S3210" s="9" t="n">
        <v>2378.83</v>
      </c>
      <c r="T3210" s="9" t="n">
        <v>2546.68</v>
      </c>
      <c r="U3210" s="10">
        <f>SUM(I3210:T3210)</f>
        <v/>
      </c>
    </row>
    <row r="3211">
      <c r="A3211" s="2" t="inlineStr">
        <is>
          <t>SN-7000-7200-72ER-7200SG0011</t>
        </is>
      </c>
      <c r="B3211" s="2" t="inlineStr">
        <is>
          <t>7200SG0011</t>
        </is>
      </c>
      <c r="C3211" s="2" t="inlineStr">
        <is>
          <t>Switch gear 400 V, 1200 A, 65 kA</t>
        </is>
      </c>
      <c r="D3211" s="2" t="n">
        <v>1070</v>
      </c>
      <c r="E3211" s="2" t="inlineStr">
        <is>
          <t>CC-7000</t>
        </is>
      </c>
      <c r="F3211" s="2" t="inlineStr">
        <is>
          <t>P01</t>
        </is>
      </c>
      <c r="G3211" s="2" t="n">
        <v>630000</v>
      </c>
      <c r="H3211" s="2" t="inlineStr">
        <is>
          <t>Servicios externos</t>
        </is>
      </c>
      <c r="I3211" s="9" t="n">
        <v>2494.85</v>
      </c>
      <c r="J3211" s="9" t="n">
        <v>2685.13</v>
      </c>
      <c r="K3211" s="9" t="n">
        <v>2847.67</v>
      </c>
      <c r="L3211" s="9" t="n">
        <v>2486.72</v>
      </c>
      <c r="M3211" s="9" t="n">
        <v>2546.91</v>
      </c>
      <c r="N3211" s="9" t="n">
        <v>2533.41</v>
      </c>
      <c r="O3211" s="9" t="n">
        <v>2671.14</v>
      </c>
      <c r="P3211" s="9" t="n">
        <v>2656.59</v>
      </c>
      <c r="Q3211" s="9" t="n">
        <v>2519.7</v>
      </c>
      <c r="R3211" s="9" t="n">
        <v>3043.17</v>
      </c>
      <c r="S3211" s="9" t="n">
        <v>2497.39</v>
      </c>
      <c r="T3211" s="9" t="n">
        <v>2688.87</v>
      </c>
      <c r="U3211" s="10">
        <f>SUM(I3211:T3211)</f>
        <v/>
      </c>
    </row>
    <row r="3212">
      <c r="A3212" s="2" t="inlineStr">
        <is>
          <t>SN-7000-7200-72ER-7200TU0001</t>
        </is>
      </c>
      <c r="B3212" s="2" t="inlineStr">
        <is>
          <t>7200TU0001</t>
        </is>
      </c>
      <c r="C3212" s="2" t="inlineStr">
        <is>
          <t>Tablero distribución UPS</t>
        </is>
      </c>
      <c r="D3212" s="2" t="n">
        <v>1071</v>
      </c>
      <c r="E3212" s="2" t="inlineStr">
        <is>
          <t>CC-7000</t>
        </is>
      </c>
      <c r="F3212" s="2" t="inlineStr">
        <is>
          <t>P01</t>
        </is>
      </c>
      <c r="G3212" s="2" t="n">
        <v>610000</v>
      </c>
      <c r="H3212" s="2" t="inlineStr">
        <is>
          <t>Mano obra interna</t>
        </is>
      </c>
      <c r="I3212" s="9" t="n">
        <v>2360.47</v>
      </c>
      <c r="J3212" s="9" t="n">
        <v>2203.41</v>
      </c>
      <c r="K3212" s="9" t="n">
        <v>2397.34</v>
      </c>
      <c r="L3212" s="9" t="n">
        <v>2384.74</v>
      </c>
      <c r="M3212" s="9" t="n">
        <v>2285.66</v>
      </c>
      <c r="N3212" s="9" t="n">
        <v>2075.68</v>
      </c>
      <c r="O3212" s="9" t="n">
        <v>2281.78</v>
      </c>
      <c r="P3212" s="9" t="n">
        <v>2416.89</v>
      </c>
      <c r="Q3212" s="9" t="n">
        <v>2246.16</v>
      </c>
      <c r="R3212" s="9" t="n">
        <v>2555.87</v>
      </c>
      <c r="S3212" s="9" t="n">
        <v>2275.4</v>
      </c>
      <c r="T3212" s="9" t="n">
        <v>2184.12</v>
      </c>
      <c r="U3212" s="10">
        <f>SUM(I3212:T3212)</f>
        <v/>
      </c>
    </row>
    <row r="3213">
      <c r="A3213" s="2" t="inlineStr">
        <is>
          <t>SN-7000-7200-72ER-7200TU0001</t>
        </is>
      </c>
      <c r="B3213" s="2" t="inlineStr">
        <is>
          <t>7200TU0001</t>
        </is>
      </c>
      <c r="C3213" s="2" t="inlineStr">
        <is>
          <t>Tablero distribución UPS</t>
        </is>
      </c>
      <c r="D3213" s="2" t="n">
        <v>1071</v>
      </c>
      <c r="E3213" s="2" t="inlineStr">
        <is>
          <t>CC-7000</t>
        </is>
      </c>
      <c r="F3213" s="2" t="inlineStr">
        <is>
          <t>P01</t>
        </is>
      </c>
      <c r="G3213" s="2" t="n">
        <v>620000</v>
      </c>
      <c r="H3213" s="2" t="inlineStr">
        <is>
          <t>Materiales</t>
        </is>
      </c>
      <c r="I3213" s="9" t="n">
        <v>1992.44</v>
      </c>
      <c r="J3213" s="9" t="n">
        <v>2153.85</v>
      </c>
      <c r="K3213" s="9" t="n">
        <v>2075.38</v>
      </c>
      <c r="L3213" s="9" t="n">
        <v>2218.02</v>
      </c>
      <c r="M3213" s="9" t="n">
        <v>2163.46</v>
      </c>
      <c r="N3213" s="9" t="n">
        <v>2114.84</v>
      </c>
      <c r="O3213" s="9" t="n">
        <v>2166.82</v>
      </c>
      <c r="P3213" s="9" t="n">
        <v>2101.3</v>
      </c>
      <c r="Q3213" s="9" t="n">
        <v>1967.88</v>
      </c>
      <c r="R3213" s="9" t="n">
        <v>2180.11</v>
      </c>
      <c r="S3213" s="9" t="n">
        <v>1910.71</v>
      </c>
      <c r="T3213" s="9" t="n">
        <v>1987.39</v>
      </c>
      <c r="U3213" s="10">
        <f>SUM(I3213:T3213)</f>
        <v/>
      </c>
    </row>
    <row r="3214">
      <c r="A3214" s="2" t="inlineStr">
        <is>
          <t>SN-7000-7200-72ER-7200TU0001</t>
        </is>
      </c>
      <c r="B3214" s="2" t="inlineStr">
        <is>
          <t>7200TU0001</t>
        </is>
      </c>
      <c r="C3214" s="2" t="inlineStr">
        <is>
          <t>Tablero distribución UPS</t>
        </is>
      </c>
      <c r="D3214" s="2" t="n">
        <v>1071</v>
      </c>
      <c r="E3214" s="2" t="inlineStr">
        <is>
          <t>CC-7000</t>
        </is>
      </c>
      <c r="F3214" s="2" t="inlineStr">
        <is>
          <t>P01</t>
        </is>
      </c>
      <c r="G3214" s="2" t="n">
        <v>630000</v>
      </c>
      <c r="H3214" s="2" t="inlineStr">
        <is>
          <t>Servicios externos</t>
        </is>
      </c>
      <c r="I3214" s="9" t="n">
        <v>2068.03</v>
      </c>
      <c r="J3214" s="9" t="n">
        <v>1765.43</v>
      </c>
      <c r="K3214" s="9" t="n">
        <v>2024.17</v>
      </c>
      <c r="L3214" s="9" t="n">
        <v>1838.35</v>
      </c>
      <c r="M3214" s="9" t="n">
        <v>2017.25</v>
      </c>
      <c r="N3214" s="9" t="n">
        <v>1772.4</v>
      </c>
      <c r="O3214" s="9" t="n">
        <v>1868.49</v>
      </c>
      <c r="P3214" s="9" t="n">
        <v>1863.94</v>
      </c>
      <c r="Q3214" s="9" t="n">
        <v>1852.62</v>
      </c>
      <c r="R3214" s="9" t="n">
        <v>1950.76</v>
      </c>
      <c r="S3214" s="9" t="n">
        <v>1930.91</v>
      </c>
      <c r="T3214" s="9" t="n">
        <v>1970.71</v>
      </c>
      <c r="U3214" s="10">
        <f>SUM(I3214:T3214)</f>
        <v/>
      </c>
    </row>
    <row r="3215">
      <c r="A3215" s="2" t="inlineStr">
        <is>
          <t>SN-7000-7200-72ER-7200UP0001</t>
        </is>
      </c>
      <c r="B3215" s="2" t="inlineStr">
        <is>
          <t>7200UP0001</t>
        </is>
      </c>
      <c r="C3215" s="2" t="inlineStr">
        <is>
          <t>UPS</t>
        </is>
      </c>
      <c r="D3215" s="2" t="n">
        <v>1072</v>
      </c>
      <c r="E3215" s="2" t="inlineStr">
        <is>
          <t>CC-7000</t>
        </is>
      </c>
      <c r="F3215" s="2" t="inlineStr">
        <is>
          <t>P01</t>
        </is>
      </c>
      <c r="G3215" s="2" t="n">
        <v>610000</v>
      </c>
      <c r="H3215" s="2" t="inlineStr">
        <is>
          <t>Mano obra interna</t>
        </is>
      </c>
      <c r="I3215" s="9" t="n">
        <v>1398.6</v>
      </c>
      <c r="J3215" s="9" t="n">
        <v>1513.93</v>
      </c>
      <c r="K3215" s="9" t="n">
        <v>1450.71</v>
      </c>
      <c r="L3215" s="9" t="n">
        <v>1598.56</v>
      </c>
      <c r="M3215" s="9" t="n">
        <v>1370.88</v>
      </c>
      <c r="N3215" s="9" t="n">
        <v>1433.95</v>
      </c>
      <c r="O3215" s="9" t="n">
        <v>1518.38</v>
      </c>
      <c r="P3215" s="9" t="n">
        <v>1508.45</v>
      </c>
      <c r="Q3215" s="9" t="n">
        <v>1330.3</v>
      </c>
      <c r="R3215" s="9" t="n">
        <v>1683.31</v>
      </c>
      <c r="S3215" s="9" t="n">
        <v>1486.93</v>
      </c>
      <c r="T3215" s="9" t="n">
        <v>1496.72</v>
      </c>
      <c r="U3215" s="10">
        <f>SUM(I3215:T3215)</f>
        <v/>
      </c>
    </row>
    <row r="3216">
      <c r="A3216" s="2" t="inlineStr">
        <is>
          <t>SN-7000-7200-72ER-7200UP0001</t>
        </is>
      </c>
      <c r="B3216" s="2" t="inlineStr">
        <is>
          <t>7200UP0001</t>
        </is>
      </c>
      <c r="C3216" s="2" t="inlineStr">
        <is>
          <t>UPS</t>
        </is>
      </c>
      <c r="D3216" s="2" t="n">
        <v>1072</v>
      </c>
      <c r="E3216" s="2" t="inlineStr">
        <is>
          <t>CC-7000</t>
        </is>
      </c>
      <c r="F3216" s="2" t="inlineStr">
        <is>
          <t>P01</t>
        </is>
      </c>
      <c r="G3216" s="2" t="n">
        <v>620000</v>
      </c>
      <c r="H3216" s="2" t="inlineStr">
        <is>
          <t>Materiales</t>
        </is>
      </c>
      <c r="I3216" s="9" t="n">
        <v>1659.39</v>
      </c>
      <c r="J3216" s="9" t="n">
        <v>1697.28</v>
      </c>
      <c r="K3216" s="9" t="n">
        <v>1764.56</v>
      </c>
      <c r="L3216" s="9" t="n">
        <v>1574.31</v>
      </c>
      <c r="M3216" s="9" t="n">
        <v>1531.36</v>
      </c>
      <c r="N3216" s="9" t="n">
        <v>1656.21</v>
      </c>
      <c r="O3216" s="9" t="n">
        <v>1541.32</v>
      </c>
      <c r="P3216" s="9" t="n">
        <v>1723.84</v>
      </c>
      <c r="Q3216" s="9" t="n">
        <v>1533.12</v>
      </c>
      <c r="R3216" s="9" t="n">
        <v>1609.71</v>
      </c>
      <c r="S3216" s="9" t="n">
        <v>1516.13</v>
      </c>
      <c r="T3216" s="9" t="n">
        <v>1626.08</v>
      </c>
      <c r="U3216" s="10">
        <f>SUM(I3216:T3216)</f>
        <v/>
      </c>
    </row>
    <row r="3217">
      <c r="A3217" s="2" t="inlineStr">
        <is>
          <t>SN-7000-7200-72ER-7200UP0001</t>
        </is>
      </c>
      <c r="B3217" s="2" t="inlineStr">
        <is>
          <t>7200UP0001</t>
        </is>
      </c>
      <c r="C3217" s="2" t="inlineStr">
        <is>
          <t>UPS</t>
        </is>
      </c>
      <c r="D3217" s="2" t="n">
        <v>1072</v>
      </c>
      <c r="E3217" s="2" t="inlineStr">
        <is>
          <t>CC-7000</t>
        </is>
      </c>
      <c r="F3217" s="2" t="inlineStr">
        <is>
          <t>P01</t>
        </is>
      </c>
      <c r="G3217" s="2" t="n">
        <v>630000</v>
      </c>
      <c r="H3217" s="2" t="inlineStr">
        <is>
          <t>Servicios externos</t>
        </is>
      </c>
      <c r="I3217" s="9" t="n">
        <v>1752.57</v>
      </c>
      <c r="J3217" s="9" t="n">
        <v>1685.77</v>
      </c>
      <c r="K3217" s="9" t="n">
        <v>1943.5</v>
      </c>
      <c r="L3217" s="9" t="n">
        <v>1682.59</v>
      </c>
      <c r="M3217" s="9" t="n">
        <v>1761.33</v>
      </c>
      <c r="N3217" s="9" t="n">
        <v>1688.79</v>
      </c>
      <c r="O3217" s="9" t="n">
        <v>1640.91</v>
      </c>
      <c r="P3217" s="9" t="n">
        <v>1647.53</v>
      </c>
      <c r="Q3217" s="9" t="n">
        <v>1612.14</v>
      </c>
      <c r="R3217" s="9" t="n">
        <v>1792.2</v>
      </c>
      <c r="S3217" s="9" t="n">
        <v>1702.82</v>
      </c>
      <c r="T3217" s="9" t="n">
        <v>1822.61</v>
      </c>
      <c r="U3217" s="10">
        <f>SUM(I3217:T3217)</f>
        <v/>
      </c>
    </row>
    <row r="3218">
      <c r="A3218" s="2" t="inlineStr">
        <is>
          <t>SN-7000-7200-72ER-7200VF0422</t>
        </is>
      </c>
      <c r="B3218" s="2" t="inlineStr">
        <is>
          <t>7200VF0422</t>
        </is>
      </c>
      <c r="C3218" s="2" t="inlineStr">
        <is>
          <t>Variador frecuencia 7200PU0422M1VF</t>
        </is>
      </c>
      <c r="D3218" s="2" t="n">
        <v>1073</v>
      </c>
      <c r="E3218" s="2" t="inlineStr">
        <is>
          <t>CC-7000</t>
        </is>
      </c>
      <c r="F3218" s="2" t="inlineStr">
        <is>
          <t>P01</t>
        </is>
      </c>
      <c r="G3218" s="2" t="n">
        <v>610000</v>
      </c>
      <c r="H3218" s="2" t="inlineStr">
        <is>
          <t>Mano obra interna</t>
        </is>
      </c>
      <c r="I3218" s="9" t="n">
        <v>181.87</v>
      </c>
      <c r="J3218" s="9" t="n">
        <v>170.81</v>
      </c>
      <c r="K3218" s="9" t="n">
        <v>171.63</v>
      </c>
      <c r="L3218" s="9" t="n">
        <v>173.44</v>
      </c>
      <c r="M3218" s="9" t="n">
        <v>172.76</v>
      </c>
      <c r="N3218" s="9" t="n">
        <v>180.55</v>
      </c>
      <c r="O3218" s="9" t="n">
        <v>168.51</v>
      </c>
      <c r="P3218" s="9" t="n">
        <v>174.26</v>
      </c>
      <c r="Q3218" s="9" t="n">
        <v>170.74</v>
      </c>
      <c r="R3218" s="9" t="n">
        <v>196.98</v>
      </c>
      <c r="S3218" s="9" t="n">
        <v>183.95</v>
      </c>
      <c r="T3218" s="9" t="n">
        <v>170.6</v>
      </c>
      <c r="U3218" s="10">
        <f>SUM(I3218:T3218)</f>
        <v/>
      </c>
    </row>
    <row r="3219">
      <c r="A3219" s="2" t="inlineStr">
        <is>
          <t>SN-7000-7200-72ER-7200VF0422</t>
        </is>
      </c>
      <c r="B3219" s="2" t="inlineStr">
        <is>
          <t>7200VF0422</t>
        </is>
      </c>
      <c r="C3219" s="2" t="inlineStr">
        <is>
          <t>Variador frecuencia 7200PU0422M1VF</t>
        </is>
      </c>
      <c r="D3219" s="2" t="n">
        <v>1073</v>
      </c>
      <c r="E3219" s="2" t="inlineStr">
        <is>
          <t>CC-7000</t>
        </is>
      </c>
      <c r="F3219" s="2" t="inlineStr">
        <is>
          <t>P01</t>
        </is>
      </c>
      <c r="G3219" s="2" t="n">
        <v>620000</v>
      </c>
      <c r="H3219" s="2" t="inlineStr">
        <is>
          <t>Materiales</t>
        </is>
      </c>
      <c r="I3219" s="9" t="n">
        <v>135.53</v>
      </c>
      <c r="J3219" s="9" t="n">
        <v>127.04</v>
      </c>
      <c r="K3219" s="9" t="n">
        <v>142.07</v>
      </c>
      <c r="L3219" s="9" t="n">
        <v>148.57</v>
      </c>
      <c r="M3219" s="9" t="n">
        <v>139.31</v>
      </c>
      <c r="N3219" s="9" t="n">
        <v>123.03</v>
      </c>
      <c r="O3219" s="9" t="n">
        <v>128.31</v>
      </c>
      <c r="P3219" s="9" t="n">
        <v>145.54</v>
      </c>
      <c r="Q3219" s="9" t="n">
        <v>126.95</v>
      </c>
      <c r="R3219" s="9" t="n">
        <v>157.36</v>
      </c>
      <c r="S3219" s="9" t="n">
        <v>137.28</v>
      </c>
      <c r="T3219" s="9" t="n">
        <v>149.62</v>
      </c>
      <c r="U3219" s="10">
        <f>SUM(I3219:T3219)</f>
        <v/>
      </c>
    </row>
    <row r="3220">
      <c r="A3220" s="2" t="inlineStr">
        <is>
          <t>SN-7000-7200-72ER-7200VF0422</t>
        </is>
      </c>
      <c r="B3220" s="2" t="inlineStr">
        <is>
          <t>7200VF0422</t>
        </is>
      </c>
      <c r="C3220" s="2" t="inlineStr">
        <is>
          <t>Variador frecuencia 7200PU0422M1VF</t>
        </is>
      </c>
      <c r="D3220" s="2" t="n">
        <v>1073</v>
      </c>
      <c r="E3220" s="2" t="inlineStr">
        <is>
          <t>CC-7000</t>
        </is>
      </c>
      <c r="F3220" s="2" t="inlineStr">
        <is>
          <t>P01</t>
        </is>
      </c>
      <c r="G3220" s="2" t="n">
        <v>630000</v>
      </c>
      <c r="H3220" s="2" t="inlineStr">
        <is>
          <t>Servicios externos</t>
        </is>
      </c>
      <c r="I3220" s="9" t="n">
        <v>182.94</v>
      </c>
      <c r="J3220" s="9" t="n">
        <v>186.34</v>
      </c>
      <c r="K3220" s="9" t="n">
        <v>186.58</v>
      </c>
      <c r="L3220" s="9" t="n">
        <v>177.77</v>
      </c>
      <c r="M3220" s="9" t="n">
        <v>172.37</v>
      </c>
      <c r="N3220" s="9" t="n">
        <v>170.86</v>
      </c>
      <c r="O3220" s="9" t="n">
        <v>170.48</v>
      </c>
      <c r="P3220" s="9" t="n">
        <v>172.2</v>
      </c>
      <c r="Q3220" s="9" t="n">
        <v>169.15</v>
      </c>
      <c r="R3220" s="9" t="n">
        <v>210.18</v>
      </c>
      <c r="S3220" s="9" t="n">
        <v>178.08</v>
      </c>
      <c r="T3220" s="9" t="n">
        <v>181.7</v>
      </c>
      <c r="U3220" s="10">
        <f>SUM(I3220:T3220)</f>
        <v/>
      </c>
    </row>
    <row r="3221">
      <c r="A3221" s="2" t="inlineStr">
        <is>
          <t>SN-7000-7200-72ER-7200VF0423</t>
        </is>
      </c>
      <c r="B3221" s="2" t="inlineStr">
        <is>
          <t>7200VF0423</t>
        </is>
      </c>
      <c r="C3221" s="2" t="inlineStr">
        <is>
          <t>Variador frecuencia 7200PU0423M1VF</t>
        </is>
      </c>
      <c r="D3221" s="2" t="n">
        <v>1074</v>
      </c>
      <c r="E3221" s="2" t="inlineStr">
        <is>
          <t>CC-7000</t>
        </is>
      </c>
      <c r="F3221" s="2" t="inlineStr">
        <is>
          <t>P01</t>
        </is>
      </c>
      <c r="G3221" s="2" t="n">
        <v>610000</v>
      </c>
      <c r="H3221" s="2" t="inlineStr">
        <is>
          <t>Mano obra interna</t>
        </is>
      </c>
      <c r="I3221" s="9" t="n">
        <v>1710.12</v>
      </c>
      <c r="J3221" s="9" t="n">
        <v>1778.16</v>
      </c>
      <c r="K3221" s="9" t="n">
        <v>1917.83</v>
      </c>
      <c r="L3221" s="9" t="n">
        <v>1770.57</v>
      </c>
      <c r="M3221" s="9" t="n">
        <v>1756.78</v>
      </c>
      <c r="N3221" s="9" t="n">
        <v>1739.2</v>
      </c>
      <c r="O3221" s="9" t="n">
        <v>1637.17</v>
      </c>
      <c r="P3221" s="9" t="n">
        <v>1717.58</v>
      </c>
      <c r="Q3221" s="9" t="n">
        <v>1699.41</v>
      </c>
      <c r="R3221" s="9" t="n">
        <v>1955.06</v>
      </c>
      <c r="S3221" s="9" t="n">
        <v>1582.82</v>
      </c>
      <c r="T3221" s="9" t="n">
        <v>1712.05</v>
      </c>
      <c r="U3221" s="10">
        <f>SUM(I3221:T3221)</f>
        <v/>
      </c>
    </row>
    <row r="3222">
      <c r="A3222" s="2" t="inlineStr">
        <is>
          <t>SN-7000-7200-72ER-7200VF0423</t>
        </is>
      </c>
      <c r="B3222" s="2" t="inlineStr">
        <is>
          <t>7200VF0423</t>
        </is>
      </c>
      <c r="C3222" s="2" t="inlineStr">
        <is>
          <t>Variador frecuencia 7200PU0423M1VF</t>
        </is>
      </c>
      <c r="D3222" s="2" t="n">
        <v>1074</v>
      </c>
      <c r="E3222" s="2" t="inlineStr">
        <is>
          <t>CC-7000</t>
        </is>
      </c>
      <c r="F3222" s="2" t="inlineStr">
        <is>
          <t>P01</t>
        </is>
      </c>
      <c r="G3222" s="2" t="n">
        <v>620000</v>
      </c>
      <c r="H3222" s="2" t="inlineStr">
        <is>
          <t>Materiales</t>
        </is>
      </c>
      <c r="I3222" s="9" t="n">
        <v>1889.26</v>
      </c>
      <c r="J3222" s="9" t="n">
        <v>1987.02</v>
      </c>
      <c r="K3222" s="9" t="n">
        <v>1832.53</v>
      </c>
      <c r="L3222" s="9" t="n">
        <v>1866.01</v>
      </c>
      <c r="M3222" s="9" t="n">
        <v>1834.55</v>
      </c>
      <c r="N3222" s="9" t="n">
        <v>1961.51</v>
      </c>
      <c r="O3222" s="9" t="n">
        <v>2012.92</v>
      </c>
      <c r="P3222" s="9" t="n">
        <v>2037.48</v>
      </c>
      <c r="Q3222" s="9" t="n">
        <v>1771.12</v>
      </c>
      <c r="R3222" s="9" t="n">
        <v>2178.5</v>
      </c>
      <c r="S3222" s="9" t="n">
        <v>1964.76</v>
      </c>
      <c r="T3222" s="9" t="n">
        <v>1918.25</v>
      </c>
      <c r="U3222" s="10">
        <f>SUM(I3222:T3222)</f>
        <v/>
      </c>
    </row>
    <row r="3223">
      <c r="A3223" s="2" t="inlineStr">
        <is>
          <t>SN-7000-7200-72ER-7200VF0423</t>
        </is>
      </c>
      <c r="B3223" s="2" t="inlineStr">
        <is>
          <t>7200VF0423</t>
        </is>
      </c>
      <c r="C3223" s="2" t="inlineStr">
        <is>
          <t>Variador frecuencia 7200PU0423M1VF</t>
        </is>
      </c>
      <c r="D3223" s="2" t="n">
        <v>1074</v>
      </c>
      <c r="E3223" s="2" t="inlineStr">
        <is>
          <t>CC-7000</t>
        </is>
      </c>
      <c r="F3223" s="2" t="inlineStr">
        <is>
          <t>P01</t>
        </is>
      </c>
      <c r="G3223" s="2" t="n">
        <v>630000</v>
      </c>
      <c r="H3223" s="2" t="inlineStr">
        <is>
          <t>Servicios externos</t>
        </is>
      </c>
      <c r="I3223" s="9" t="n">
        <v>2191.25</v>
      </c>
      <c r="J3223" s="9" t="n">
        <v>2153.35</v>
      </c>
      <c r="K3223" s="9" t="n">
        <v>2219.54</v>
      </c>
      <c r="L3223" s="9" t="n">
        <v>2168.89</v>
      </c>
      <c r="M3223" s="9" t="n">
        <v>2154.1</v>
      </c>
      <c r="N3223" s="9" t="n">
        <v>1918.09</v>
      </c>
      <c r="O3223" s="9" t="n">
        <v>2125.39</v>
      </c>
      <c r="P3223" s="9" t="n">
        <v>1937.49</v>
      </c>
      <c r="Q3223" s="9" t="n">
        <v>1962.28</v>
      </c>
      <c r="R3223" s="9" t="n">
        <v>2291.74</v>
      </c>
      <c r="S3223" s="9" t="n">
        <v>2035.55</v>
      </c>
      <c r="T3223" s="9" t="n">
        <v>2177.91</v>
      </c>
      <c r="U3223" s="10">
        <f>SUM(I3223:T3223)</f>
        <v/>
      </c>
    </row>
    <row r="3224">
      <c r="A3224" s="2" t="inlineStr">
        <is>
          <t>SN-7000-7200-72ER-7200VF0424</t>
        </is>
      </c>
      <c r="B3224" s="2" t="inlineStr">
        <is>
          <t>7200VF0424</t>
        </is>
      </c>
      <c r="C3224" s="2" t="inlineStr">
        <is>
          <t>Variador frecuencia 7200PU0424M1VF</t>
        </is>
      </c>
      <c r="D3224" s="2" t="n">
        <v>1075</v>
      </c>
      <c r="E3224" s="2" t="inlineStr">
        <is>
          <t>CC-7000</t>
        </is>
      </c>
      <c r="F3224" s="2" t="inlineStr">
        <is>
          <t>P01</t>
        </is>
      </c>
      <c r="G3224" s="2" t="n">
        <v>610000</v>
      </c>
      <c r="H3224" s="2" t="inlineStr">
        <is>
          <t>Mano obra interna</t>
        </is>
      </c>
      <c r="I3224" s="9" t="n">
        <v>973.25</v>
      </c>
      <c r="J3224" s="9" t="n">
        <v>859.27</v>
      </c>
      <c r="K3224" s="9" t="n">
        <v>921.25</v>
      </c>
      <c r="L3224" s="9" t="n">
        <v>989.79</v>
      </c>
      <c r="M3224" s="9" t="n">
        <v>946.15</v>
      </c>
      <c r="N3224" s="9" t="n">
        <v>861.1900000000001</v>
      </c>
      <c r="O3224" s="9" t="n">
        <v>908.16</v>
      </c>
      <c r="P3224" s="9" t="n">
        <v>922.29</v>
      </c>
      <c r="Q3224" s="9" t="n">
        <v>911.6799999999999</v>
      </c>
      <c r="R3224" s="9" t="n">
        <v>1038.76</v>
      </c>
      <c r="S3224" s="9" t="n">
        <v>853.26</v>
      </c>
      <c r="T3224" s="9" t="n">
        <v>1000.61</v>
      </c>
      <c r="U3224" s="10">
        <f>SUM(I3224:T3224)</f>
        <v/>
      </c>
    </row>
    <row r="3225">
      <c r="A3225" s="2" t="inlineStr">
        <is>
          <t>SN-7000-7200-72ER-7200VF0424</t>
        </is>
      </c>
      <c r="B3225" s="2" t="inlineStr">
        <is>
          <t>7200VF0424</t>
        </is>
      </c>
      <c r="C3225" s="2" t="inlineStr">
        <is>
          <t>Variador frecuencia 7200PU0424M1VF</t>
        </is>
      </c>
      <c r="D3225" s="2" t="n">
        <v>1075</v>
      </c>
      <c r="E3225" s="2" t="inlineStr">
        <is>
          <t>CC-7000</t>
        </is>
      </c>
      <c r="F3225" s="2" t="inlineStr">
        <is>
          <t>P01</t>
        </is>
      </c>
      <c r="G3225" s="2" t="n">
        <v>620000</v>
      </c>
      <c r="H3225" s="2" t="inlineStr">
        <is>
          <t>Materiales</t>
        </is>
      </c>
      <c r="I3225" s="9" t="n">
        <v>914.39</v>
      </c>
      <c r="J3225" s="9" t="n">
        <v>806.8200000000001</v>
      </c>
      <c r="K3225" s="9" t="n">
        <v>970.99</v>
      </c>
      <c r="L3225" s="9" t="n">
        <v>831.15</v>
      </c>
      <c r="M3225" s="9" t="n">
        <v>896.11</v>
      </c>
      <c r="N3225" s="9" t="n">
        <v>838.97</v>
      </c>
      <c r="O3225" s="9" t="n">
        <v>814.37</v>
      </c>
      <c r="P3225" s="9" t="n">
        <v>805.15</v>
      </c>
      <c r="Q3225" s="9" t="n">
        <v>793.67</v>
      </c>
      <c r="R3225" s="9" t="n">
        <v>985.59</v>
      </c>
      <c r="S3225" s="9" t="n">
        <v>781.96</v>
      </c>
      <c r="T3225" s="9" t="n">
        <v>913.63</v>
      </c>
      <c r="U3225" s="10">
        <f>SUM(I3225:T3225)</f>
        <v/>
      </c>
    </row>
    <row r="3226">
      <c r="A3226" s="2" t="inlineStr">
        <is>
          <t>SN-7000-7200-72ER-7200VF0424</t>
        </is>
      </c>
      <c r="B3226" s="2" t="inlineStr">
        <is>
          <t>7200VF0424</t>
        </is>
      </c>
      <c r="C3226" s="2" t="inlineStr">
        <is>
          <t>Variador frecuencia 7200PU0424M1VF</t>
        </is>
      </c>
      <c r="D3226" s="2" t="n">
        <v>1075</v>
      </c>
      <c r="E3226" s="2" t="inlineStr">
        <is>
          <t>CC-7000</t>
        </is>
      </c>
      <c r="F3226" s="2" t="inlineStr">
        <is>
          <t>P01</t>
        </is>
      </c>
      <c r="G3226" s="2" t="n">
        <v>630000</v>
      </c>
      <c r="H3226" s="2" t="inlineStr">
        <is>
          <t>Servicios externos</t>
        </is>
      </c>
      <c r="I3226" s="9" t="n">
        <v>960.3200000000001</v>
      </c>
      <c r="J3226" s="9" t="n">
        <v>897.5</v>
      </c>
      <c r="K3226" s="9" t="n">
        <v>1075.3</v>
      </c>
      <c r="L3226" s="9" t="n">
        <v>967.01</v>
      </c>
      <c r="M3226" s="9" t="n">
        <v>907.12</v>
      </c>
      <c r="N3226" s="9" t="n">
        <v>961.58</v>
      </c>
      <c r="O3226" s="9" t="n">
        <v>933.49</v>
      </c>
      <c r="P3226" s="9" t="n">
        <v>972.84</v>
      </c>
      <c r="Q3226" s="9" t="n">
        <v>844.37</v>
      </c>
      <c r="R3226" s="9" t="n">
        <v>1137.16</v>
      </c>
      <c r="S3226" s="9" t="n">
        <v>938.23</v>
      </c>
      <c r="T3226" s="9" t="n">
        <v>1071.1</v>
      </c>
      <c r="U3226" s="10">
        <f>SUM(I3226:T3226)</f>
        <v/>
      </c>
    </row>
    <row r="3227">
      <c r="A3227" s="2" t="inlineStr">
        <is>
          <t>SN-7000-7200-72ER-7200VF0427</t>
        </is>
      </c>
      <c r="B3227" s="2" t="inlineStr">
        <is>
          <t>7200VF0427</t>
        </is>
      </c>
      <c r="C3227" s="2" t="inlineStr">
        <is>
          <t>Variador frecuencia 7200PU0427M1VF</t>
        </is>
      </c>
      <c r="D3227" s="2" t="n">
        <v>1076</v>
      </c>
      <c r="E3227" s="2" t="inlineStr">
        <is>
          <t>CC-7000</t>
        </is>
      </c>
      <c r="F3227" s="2" t="inlineStr">
        <is>
          <t>P01</t>
        </is>
      </c>
      <c r="G3227" s="2" t="n">
        <v>610000</v>
      </c>
      <c r="H3227" s="2" t="inlineStr">
        <is>
          <t>Mano obra interna</t>
        </is>
      </c>
      <c r="I3227" s="9" t="n">
        <v>324.04</v>
      </c>
      <c r="J3227" s="9" t="n">
        <v>341.67</v>
      </c>
      <c r="K3227" s="9" t="n">
        <v>326.48</v>
      </c>
      <c r="L3227" s="9" t="n">
        <v>328.9</v>
      </c>
      <c r="M3227" s="9" t="n">
        <v>300.24</v>
      </c>
      <c r="N3227" s="9" t="n">
        <v>333.72</v>
      </c>
      <c r="O3227" s="9" t="n">
        <v>303.88</v>
      </c>
      <c r="P3227" s="9" t="n">
        <v>339.2</v>
      </c>
      <c r="Q3227" s="9" t="n">
        <v>304.72</v>
      </c>
      <c r="R3227" s="9" t="n">
        <v>326.24</v>
      </c>
      <c r="S3227" s="9" t="n">
        <v>289.84</v>
      </c>
      <c r="T3227" s="9" t="n">
        <v>353.18</v>
      </c>
      <c r="U3227" s="10">
        <f>SUM(I3227:T3227)</f>
        <v/>
      </c>
    </row>
    <row r="3228">
      <c r="A3228" s="2" t="inlineStr">
        <is>
          <t>SN-7000-7200-72ER-7200VF0427</t>
        </is>
      </c>
      <c r="B3228" s="2" t="inlineStr">
        <is>
          <t>7200VF0427</t>
        </is>
      </c>
      <c r="C3228" s="2" t="inlineStr">
        <is>
          <t>Variador frecuencia 7200PU0427M1VF</t>
        </is>
      </c>
      <c r="D3228" s="2" t="n">
        <v>1076</v>
      </c>
      <c r="E3228" s="2" t="inlineStr">
        <is>
          <t>CC-7000</t>
        </is>
      </c>
      <c r="F3228" s="2" t="inlineStr">
        <is>
          <t>P01</t>
        </is>
      </c>
      <c r="G3228" s="2" t="n">
        <v>620000</v>
      </c>
      <c r="H3228" s="2" t="inlineStr">
        <is>
          <t>Materiales</t>
        </is>
      </c>
      <c r="I3228" s="9" t="n">
        <v>363.78</v>
      </c>
      <c r="J3228" s="9" t="n">
        <v>337.44</v>
      </c>
      <c r="K3228" s="9" t="n">
        <v>342.05</v>
      </c>
      <c r="L3228" s="9" t="n">
        <v>363.84</v>
      </c>
      <c r="M3228" s="9" t="n">
        <v>348.39</v>
      </c>
      <c r="N3228" s="9" t="n">
        <v>342.81</v>
      </c>
      <c r="O3228" s="9" t="n">
        <v>338.75</v>
      </c>
      <c r="P3228" s="9" t="n">
        <v>372.71</v>
      </c>
      <c r="Q3228" s="9" t="n">
        <v>299.8</v>
      </c>
      <c r="R3228" s="9" t="n">
        <v>348.07</v>
      </c>
      <c r="S3228" s="9" t="n">
        <v>357.32</v>
      </c>
      <c r="T3228" s="9" t="n">
        <v>359.47</v>
      </c>
      <c r="U3228" s="10">
        <f>SUM(I3228:T3228)</f>
        <v/>
      </c>
    </row>
    <row r="3229">
      <c r="A3229" s="2" t="inlineStr">
        <is>
          <t>SN-7000-7200-72ER-7200VF0427</t>
        </is>
      </c>
      <c r="B3229" s="2" t="inlineStr">
        <is>
          <t>7200VF0427</t>
        </is>
      </c>
      <c r="C3229" s="2" t="inlineStr">
        <is>
          <t>Variador frecuencia 7200PU0427M1VF</t>
        </is>
      </c>
      <c r="D3229" s="2" t="n">
        <v>1076</v>
      </c>
      <c r="E3229" s="2" t="inlineStr">
        <is>
          <t>CC-7000</t>
        </is>
      </c>
      <c r="F3229" s="2" t="inlineStr">
        <is>
          <t>P01</t>
        </is>
      </c>
      <c r="G3229" s="2" t="n">
        <v>630000</v>
      </c>
      <c r="H3229" s="2" t="inlineStr">
        <is>
          <t>Servicios externos</t>
        </is>
      </c>
      <c r="I3229" s="9" t="n">
        <v>332.36</v>
      </c>
      <c r="J3229" s="9" t="n">
        <v>305.42</v>
      </c>
      <c r="K3229" s="9" t="n">
        <v>297.66</v>
      </c>
      <c r="L3229" s="9" t="n">
        <v>327.09</v>
      </c>
      <c r="M3229" s="9" t="n">
        <v>296.53</v>
      </c>
      <c r="N3229" s="9" t="n">
        <v>280.36</v>
      </c>
      <c r="O3229" s="9" t="n">
        <v>298.88</v>
      </c>
      <c r="P3229" s="9" t="n">
        <v>311.05</v>
      </c>
      <c r="Q3229" s="9" t="n">
        <v>269.93</v>
      </c>
      <c r="R3229" s="9" t="n">
        <v>357.64</v>
      </c>
      <c r="S3229" s="9" t="n">
        <v>305.4</v>
      </c>
      <c r="T3229" s="9" t="n">
        <v>306.61</v>
      </c>
      <c r="U3229" s="10">
        <f>SUM(I3229:T3229)</f>
        <v/>
      </c>
    </row>
    <row r="3230">
      <c r="A3230" s="2" t="inlineStr">
        <is>
          <t>SN-8000-8900-8900-8900MO0001</t>
        </is>
      </c>
      <c r="B3230" s="2" t="inlineStr">
        <is>
          <t>8900MO0001</t>
        </is>
      </c>
      <c r="C3230" s="2" t="inlineStr">
        <is>
          <t>Camión riego por carretera</t>
        </is>
      </c>
      <c r="D3230" s="2" t="n">
        <v>1077</v>
      </c>
      <c r="E3230" s="2" t="inlineStr">
        <is>
          <t>CC-8000</t>
        </is>
      </c>
      <c r="F3230" s="2" t="inlineStr">
        <is>
          <t>P01</t>
        </is>
      </c>
      <c r="G3230" s="2" t="n">
        <v>610000</v>
      </c>
      <c r="H3230" s="2" t="inlineStr">
        <is>
          <t>Mano obra interna</t>
        </is>
      </c>
      <c r="I3230" s="9" t="n">
        <v>2562.37</v>
      </c>
      <c r="J3230" s="9" t="n">
        <v>2400.26</v>
      </c>
      <c r="K3230" s="9" t="n">
        <v>2351.73</v>
      </c>
      <c r="L3230" s="9" t="n">
        <v>2293.76</v>
      </c>
      <c r="M3230" s="9" t="n">
        <v>2505.18</v>
      </c>
      <c r="N3230" s="9" t="n">
        <v>2191.24</v>
      </c>
      <c r="O3230" s="9" t="n">
        <v>2210.74</v>
      </c>
      <c r="P3230" s="9" t="n">
        <v>2446.43</v>
      </c>
      <c r="Q3230" s="9" t="n">
        <v>2104.34</v>
      </c>
      <c r="R3230" s="9" t="n">
        <v>2784.02</v>
      </c>
      <c r="S3230" s="9" t="n">
        <v>2454.16</v>
      </c>
      <c r="T3230" s="9" t="n">
        <v>2471.22</v>
      </c>
      <c r="U3230" s="10">
        <f>SUM(I3230:T3230)</f>
        <v/>
      </c>
    </row>
    <row r="3231">
      <c r="A3231" s="2" t="inlineStr">
        <is>
          <t>SN-8000-8900-8900-8900MO0001</t>
        </is>
      </c>
      <c r="B3231" s="2" t="inlineStr">
        <is>
          <t>8900MO0001</t>
        </is>
      </c>
      <c r="C3231" s="2" t="inlineStr">
        <is>
          <t>Camión riego por carretera</t>
        </is>
      </c>
      <c r="D3231" s="2" t="n">
        <v>1077</v>
      </c>
      <c r="E3231" s="2" t="inlineStr">
        <is>
          <t>CC-8000</t>
        </is>
      </c>
      <c r="F3231" s="2" t="inlineStr">
        <is>
          <t>P01</t>
        </is>
      </c>
      <c r="G3231" s="2" t="n">
        <v>620000</v>
      </c>
      <c r="H3231" s="2" t="inlineStr">
        <is>
          <t>Materiales</t>
        </is>
      </c>
      <c r="I3231" s="9" t="n">
        <v>2453.22</v>
      </c>
      <c r="J3231" s="9" t="n">
        <v>2487.71</v>
      </c>
      <c r="K3231" s="9" t="n">
        <v>2549.31</v>
      </c>
      <c r="L3231" s="9" t="n">
        <v>2281.63</v>
      </c>
      <c r="M3231" s="9" t="n">
        <v>2561.11</v>
      </c>
      <c r="N3231" s="9" t="n">
        <v>2441.74</v>
      </c>
      <c r="O3231" s="9" t="n">
        <v>2590.84</v>
      </c>
      <c r="P3231" s="9" t="n">
        <v>2502.02</v>
      </c>
      <c r="Q3231" s="9" t="n">
        <v>2215.99</v>
      </c>
      <c r="R3231" s="9" t="n">
        <v>2481.79</v>
      </c>
      <c r="S3231" s="9" t="n">
        <v>2217.72</v>
      </c>
      <c r="T3231" s="9" t="n">
        <v>2311.15</v>
      </c>
      <c r="U3231" s="10">
        <f>SUM(I3231:T3231)</f>
        <v/>
      </c>
    </row>
    <row r="3232">
      <c r="A3232" s="2" t="inlineStr">
        <is>
          <t>SN-8000-8900-8900-8900MO0001</t>
        </is>
      </c>
      <c r="B3232" s="2" t="inlineStr">
        <is>
          <t>8900MO0001</t>
        </is>
      </c>
      <c r="C3232" s="2" t="inlineStr">
        <is>
          <t>Camión riego por carretera</t>
        </is>
      </c>
      <c r="D3232" s="2" t="n">
        <v>1077</v>
      </c>
      <c r="E3232" s="2" t="inlineStr">
        <is>
          <t>CC-8000</t>
        </is>
      </c>
      <c r="F3232" s="2" t="inlineStr">
        <is>
          <t>P01</t>
        </is>
      </c>
      <c r="G3232" s="2" t="n">
        <v>630000</v>
      </c>
      <c r="H3232" s="2" t="inlineStr">
        <is>
          <t>Servicios externos</t>
        </is>
      </c>
      <c r="I3232" s="9" t="n">
        <v>2060.01</v>
      </c>
      <c r="J3232" s="9" t="n">
        <v>2029.37</v>
      </c>
      <c r="K3232" s="9" t="n">
        <v>2003.62</v>
      </c>
      <c r="L3232" s="9" t="n">
        <v>2061.81</v>
      </c>
      <c r="M3232" s="9" t="n">
        <v>1930.7</v>
      </c>
      <c r="N3232" s="9" t="n">
        <v>1973.96</v>
      </c>
      <c r="O3232" s="9" t="n">
        <v>2159.15</v>
      </c>
      <c r="P3232" s="9" t="n">
        <v>2060.72</v>
      </c>
      <c r="Q3232" s="9" t="n">
        <v>1731.89</v>
      </c>
      <c r="R3232" s="9" t="n">
        <v>2150.85</v>
      </c>
      <c r="S3232" s="9" t="n">
        <v>2021.63</v>
      </c>
      <c r="T3232" s="9" t="n">
        <v>2045.17</v>
      </c>
      <c r="U3232" s="10">
        <f>SUM(I3232:T3232)</f>
        <v/>
      </c>
    </row>
    <row r="3233">
      <c r="A3233" s="2" t="inlineStr">
        <is>
          <t>SN-8000-8900-8900-8900MO0003</t>
        </is>
      </c>
      <c r="B3233" s="2" t="inlineStr">
        <is>
          <t>8900MO0003</t>
        </is>
      </c>
      <c r="C3233" s="2" t="inlineStr">
        <is>
          <t>Bulldozer servicio Stockpile</t>
        </is>
      </c>
      <c r="D3233" s="2" t="n">
        <v>1078</v>
      </c>
      <c r="E3233" s="2" t="inlineStr">
        <is>
          <t>CC-8000</t>
        </is>
      </c>
      <c r="F3233" s="2" t="inlineStr">
        <is>
          <t>P01</t>
        </is>
      </c>
      <c r="G3233" s="2" t="n">
        <v>610000</v>
      </c>
      <c r="H3233" s="2" t="inlineStr">
        <is>
          <t>Mano obra interna</t>
        </is>
      </c>
      <c r="I3233" s="9" t="n">
        <v>2763.17</v>
      </c>
      <c r="J3233" s="9" t="n">
        <v>2774.32</v>
      </c>
      <c r="K3233" s="9" t="n">
        <v>2872.22</v>
      </c>
      <c r="L3233" s="9" t="n">
        <v>3106.14</v>
      </c>
      <c r="M3233" s="9" t="n">
        <v>2895.19</v>
      </c>
      <c r="N3233" s="9" t="n">
        <v>2625.09</v>
      </c>
      <c r="O3233" s="9" t="n">
        <v>2815.65</v>
      </c>
      <c r="P3233" s="9" t="n">
        <v>2922.74</v>
      </c>
      <c r="Q3233" s="9" t="n">
        <v>2928.26</v>
      </c>
      <c r="R3233" s="9" t="n">
        <v>3074.67</v>
      </c>
      <c r="S3233" s="9" t="n">
        <v>2666.37</v>
      </c>
      <c r="T3233" s="9" t="n">
        <v>2956.24</v>
      </c>
      <c r="U3233" s="10">
        <f>SUM(I3233:T3233)</f>
        <v/>
      </c>
    </row>
    <row r="3234">
      <c r="A3234" s="2" t="inlineStr">
        <is>
          <t>SN-8000-8900-8900-8900MO0003</t>
        </is>
      </c>
      <c r="B3234" s="2" t="inlineStr">
        <is>
          <t>8900MO0003</t>
        </is>
      </c>
      <c r="C3234" s="2" t="inlineStr">
        <is>
          <t>Bulldozer servicio Stockpile</t>
        </is>
      </c>
      <c r="D3234" s="2" t="n">
        <v>1078</v>
      </c>
      <c r="E3234" s="2" t="inlineStr">
        <is>
          <t>CC-8000</t>
        </is>
      </c>
      <c r="F3234" s="2" t="inlineStr">
        <is>
          <t>P01</t>
        </is>
      </c>
      <c r="G3234" s="2" t="n">
        <v>620000</v>
      </c>
      <c r="H3234" s="2" t="inlineStr">
        <is>
          <t>Materiales</t>
        </is>
      </c>
      <c r="I3234" s="9" t="n">
        <v>2357.24</v>
      </c>
      <c r="J3234" s="9" t="n">
        <v>2238.4</v>
      </c>
      <c r="K3234" s="9" t="n">
        <v>2428.76</v>
      </c>
      <c r="L3234" s="9" t="n">
        <v>2490.17</v>
      </c>
      <c r="M3234" s="9" t="n">
        <v>2153</v>
      </c>
      <c r="N3234" s="9" t="n">
        <v>2296.87</v>
      </c>
      <c r="O3234" s="9" t="n">
        <v>2450.35</v>
      </c>
      <c r="P3234" s="9" t="n">
        <v>2237.11</v>
      </c>
      <c r="Q3234" s="9" t="n">
        <v>1995.56</v>
      </c>
      <c r="R3234" s="9" t="n">
        <v>2591.11</v>
      </c>
      <c r="S3234" s="9" t="n">
        <v>2283.19</v>
      </c>
      <c r="T3234" s="9" t="n">
        <v>2212.32</v>
      </c>
      <c r="U3234" s="10">
        <f>SUM(I3234:T3234)</f>
        <v/>
      </c>
    </row>
    <row r="3235">
      <c r="A3235" s="2" t="inlineStr">
        <is>
          <t>SN-8000-8900-8900-8900MO0003</t>
        </is>
      </c>
      <c r="B3235" s="2" t="inlineStr">
        <is>
          <t>8900MO0003</t>
        </is>
      </c>
      <c r="C3235" s="2" t="inlineStr">
        <is>
          <t>Bulldozer servicio Stockpile</t>
        </is>
      </c>
      <c r="D3235" s="2" t="n">
        <v>1078</v>
      </c>
      <c r="E3235" s="2" t="inlineStr">
        <is>
          <t>CC-8000</t>
        </is>
      </c>
      <c r="F3235" s="2" t="inlineStr">
        <is>
          <t>P01</t>
        </is>
      </c>
      <c r="G3235" s="2" t="n">
        <v>630000</v>
      </c>
      <c r="H3235" s="2" t="inlineStr">
        <is>
          <t>Servicios externos</t>
        </is>
      </c>
      <c r="I3235" s="9" t="n">
        <v>2446.95</v>
      </c>
      <c r="J3235" s="9" t="n">
        <v>2208.43</v>
      </c>
      <c r="K3235" s="9" t="n">
        <v>2526.34</v>
      </c>
      <c r="L3235" s="9" t="n">
        <v>2493.15</v>
      </c>
      <c r="M3235" s="9" t="n">
        <v>2488.08</v>
      </c>
      <c r="N3235" s="9" t="n">
        <v>2287.8</v>
      </c>
      <c r="O3235" s="9" t="n">
        <v>2396.68</v>
      </c>
      <c r="P3235" s="9" t="n">
        <v>2410.86</v>
      </c>
      <c r="Q3235" s="9" t="n">
        <v>2124.03</v>
      </c>
      <c r="R3235" s="9" t="n">
        <v>2658.75</v>
      </c>
      <c r="S3235" s="9" t="n">
        <v>2351.42</v>
      </c>
      <c r="T3235" s="9" t="n">
        <v>2532.97</v>
      </c>
      <c r="U3235" s="10">
        <f>SUM(I3235:T3235)</f>
        <v/>
      </c>
    </row>
    <row r="3236">
      <c r="A3236" s="2" t="inlineStr">
        <is>
          <t>SN-8000-8900-8900-8900MO0004</t>
        </is>
      </c>
      <c r="B3236" s="2" t="inlineStr">
        <is>
          <t>8900MO0004</t>
        </is>
      </c>
      <c r="C3236" s="2" t="inlineStr">
        <is>
          <t>Elevador horquilla</t>
        </is>
      </c>
      <c r="D3236" s="2" t="n">
        <v>1079</v>
      </c>
      <c r="E3236" s="2" t="inlineStr">
        <is>
          <t>CC-8000</t>
        </is>
      </c>
      <c r="F3236" s="2" t="inlineStr">
        <is>
          <t>P01</t>
        </is>
      </c>
      <c r="G3236" s="2" t="n">
        <v>610000</v>
      </c>
      <c r="H3236" s="2" t="inlineStr">
        <is>
          <t>Mano obra interna</t>
        </is>
      </c>
      <c r="I3236" s="9" t="n">
        <v>2396.15</v>
      </c>
      <c r="J3236" s="9" t="n">
        <v>2138.83</v>
      </c>
      <c r="K3236" s="9" t="n">
        <v>2527.84</v>
      </c>
      <c r="L3236" s="9" t="n">
        <v>2297.07</v>
      </c>
      <c r="M3236" s="9" t="n">
        <v>2441.38</v>
      </c>
      <c r="N3236" s="9" t="n">
        <v>2160.96</v>
      </c>
      <c r="O3236" s="9" t="n">
        <v>2167.2</v>
      </c>
      <c r="P3236" s="9" t="n">
        <v>2435.88</v>
      </c>
      <c r="Q3236" s="9" t="n">
        <v>2238.49</v>
      </c>
      <c r="R3236" s="9" t="n">
        <v>2589.84</v>
      </c>
      <c r="S3236" s="9" t="n">
        <v>2076.94</v>
      </c>
      <c r="T3236" s="9" t="n">
        <v>2471.82</v>
      </c>
      <c r="U3236" s="10">
        <f>SUM(I3236:T3236)</f>
        <v/>
      </c>
    </row>
    <row r="3237">
      <c r="A3237" s="2" t="inlineStr">
        <is>
          <t>SN-8000-8900-8900-8900MO0004</t>
        </is>
      </c>
      <c r="B3237" s="2" t="inlineStr">
        <is>
          <t>8900MO0004</t>
        </is>
      </c>
      <c r="C3237" s="2" t="inlineStr">
        <is>
          <t>Elevador horquilla</t>
        </is>
      </c>
      <c r="D3237" s="2" t="n">
        <v>1079</v>
      </c>
      <c r="E3237" s="2" t="inlineStr">
        <is>
          <t>CC-8000</t>
        </is>
      </c>
      <c r="F3237" s="2" t="inlineStr">
        <is>
          <t>P01</t>
        </is>
      </c>
      <c r="G3237" s="2" t="n">
        <v>620000</v>
      </c>
      <c r="H3237" s="2" t="inlineStr">
        <is>
          <t>Materiales</t>
        </is>
      </c>
      <c r="I3237" s="9" t="n">
        <v>2179.76</v>
      </c>
      <c r="J3237" s="9" t="n">
        <v>2252.62</v>
      </c>
      <c r="K3237" s="9" t="n">
        <v>2272.11</v>
      </c>
      <c r="L3237" s="9" t="n">
        <v>2063.97</v>
      </c>
      <c r="M3237" s="9" t="n">
        <v>2129.87</v>
      </c>
      <c r="N3237" s="9" t="n">
        <v>2096</v>
      </c>
      <c r="O3237" s="9" t="n">
        <v>2283.26</v>
      </c>
      <c r="P3237" s="9" t="n">
        <v>2068.32</v>
      </c>
      <c r="Q3237" s="9" t="n">
        <v>2091.14</v>
      </c>
      <c r="R3237" s="9" t="n">
        <v>2424.66</v>
      </c>
      <c r="S3237" s="9" t="n">
        <v>1953.3</v>
      </c>
      <c r="T3237" s="9" t="n">
        <v>2009.1</v>
      </c>
      <c r="U3237" s="10">
        <f>SUM(I3237:T3237)</f>
        <v/>
      </c>
    </row>
    <row r="3238">
      <c r="A3238" s="2" t="inlineStr">
        <is>
          <t>SN-8000-8900-8900-8900MO0004</t>
        </is>
      </c>
      <c r="B3238" s="2" t="inlineStr">
        <is>
          <t>8900MO0004</t>
        </is>
      </c>
      <c r="C3238" s="2" t="inlineStr">
        <is>
          <t>Elevador horquilla</t>
        </is>
      </c>
      <c r="D3238" s="2" t="n">
        <v>1079</v>
      </c>
      <c r="E3238" s="2" t="inlineStr">
        <is>
          <t>CC-8000</t>
        </is>
      </c>
      <c r="F3238" s="2" t="inlineStr">
        <is>
          <t>P01</t>
        </is>
      </c>
      <c r="G3238" s="2" t="n">
        <v>630000</v>
      </c>
      <c r="H3238" s="2" t="inlineStr">
        <is>
          <t>Servicios externos</t>
        </is>
      </c>
      <c r="I3238" s="9" t="n">
        <v>2264.83</v>
      </c>
      <c r="J3238" s="9" t="n">
        <v>2106.46</v>
      </c>
      <c r="K3238" s="9" t="n">
        <v>2297.14</v>
      </c>
      <c r="L3238" s="9" t="n">
        <v>2209.53</v>
      </c>
      <c r="M3238" s="9" t="n">
        <v>2149.91</v>
      </c>
      <c r="N3238" s="9" t="n">
        <v>1874.18</v>
      </c>
      <c r="O3238" s="9" t="n">
        <v>1981.7</v>
      </c>
      <c r="P3238" s="9" t="n">
        <v>2195.08</v>
      </c>
      <c r="Q3238" s="9" t="n">
        <v>2056.82</v>
      </c>
      <c r="R3238" s="9" t="n">
        <v>2302.1</v>
      </c>
      <c r="S3238" s="9" t="n">
        <v>2082.27</v>
      </c>
      <c r="T3238" s="9" t="n">
        <v>2191.23</v>
      </c>
      <c r="U3238" s="10">
        <f>SUM(I3238:T3238)</f>
        <v/>
      </c>
    </row>
    <row r="3239">
      <c r="A3239" s="2" t="inlineStr">
        <is>
          <t>SN-8000-8900-8900-8900MO0005</t>
        </is>
      </c>
      <c r="B3239" s="2" t="inlineStr">
        <is>
          <t>8900MO0005</t>
        </is>
      </c>
      <c r="C3239" s="2" t="inlineStr">
        <is>
          <t>Camión pluma</t>
        </is>
      </c>
      <c r="D3239" s="2" t="n">
        <v>1080</v>
      </c>
      <c r="E3239" s="2" t="inlineStr">
        <is>
          <t>CC-8000</t>
        </is>
      </c>
      <c r="F3239" s="2" t="inlineStr">
        <is>
          <t>P01</t>
        </is>
      </c>
      <c r="G3239" s="2" t="n">
        <v>610000</v>
      </c>
      <c r="H3239" s="2" t="inlineStr">
        <is>
          <t>Mano obra interna</t>
        </is>
      </c>
      <c r="I3239" s="9" t="n">
        <v>1351.35</v>
      </c>
      <c r="J3239" s="9" t="n">
        <v>1265.23</v>
      </c>
      <c r="K3239" s="9" t="n">
        <v>1351.73</v>
      </c>
      <c r="L3239" s="9" t="n">
        <v>1330.85</v>
      </c>
      <c r="M3239" s="9" t="n">
        <v>1329.47</v>
      </c>
      <c r="N3239" s="9" t="n">
        <v>1196.71</v>
      </c>
      <c r="O3239" s="9" t="n">
        <v>1263.61</v>
      </c>
      <c r="P3239" s="9" t="n">
        <v>1265.82</v>
      </c>
      <c r="Q3239" s="9" t="n">
        <v>1250.41</v>
      </c>
      <c r="R3239" s="9" t="n">
        <v>1374.9</v>
      </c>
      <c r="S3239" s="9" t="n">
        <v>1183.47</v>
      </c>
      <c r="T3239" s="9" t="n">
        <v>1409.37</v>
      </c>
      <c r="U3239" s="10">
        <f>SUM(I3239:T3239)</f>
        <v/>
      </c>
    </row>
    <row r="3240">
      <c r="A3240" s="2" t="inlineStr">
        <is>
          <t>SN-8000-8900-8900-8900MO0005</t>
        </is>
      </c>
      <c r="B3240" s="2" t="inlineStr">
        <is>
          <t>8900MO0005</t>
        </is>
      </c>
      <c r="C3240" s="2" t="inlineStr">
        <is>
          <t>Camión pluma</t>
        </is>
      </c>
      <c r="D3240" s="2" t="n">
        <v>1080</v>
      </c>
      <c r="E3240" s="2" t="inlineStr">
        <is>
          <t>CC-8000</t>
        </is>
      </c>
      <c r="F3240" s="2" t="inlineStr">
        <is>
          <t>P01</t>
        </is>
      </c>
      <c r="G3240" s="2" t="n">
        <v>620000</v>
      </c>
      <c r="H3240" s="2" t="inlineStr">
        <is>
          <t>Materiales</t>
        </is>
      </c>
      <c r="I3240" s="9" t="n">
        <v>1376.51</v>
      </c>
      <c r="J3240" s="9" t="n">
        <v>1455.14</v>
      </c>
      <c r="K3240" s="9" t="n">
        <v>1540.61</v>
      </c>
      <c r="L3240" s="9" t="n">
        <v>1470.08</v>
      </c>
      <c r="M3240" s="9" t="n">
        <v>1456.8</v>
      </c>
      <c r="N3240" s="9" t="n">
        <v>1303.12</v>
      </c>
      <c r="O3240" s="9" t="n">
        <v>1408.56</v>
      </c>
      <c r="P3240" s="9" t="n">
        <v>1359.48</v>
      </c>
      <c r="Q3240" s="9" t="n">
        <v>1314.74</v>
      </c>
      <c r="R3240" s="9" t="n">
        <v>1566.71</v>
      </c>
      <c r="S3240" s="9" t="n">
        <v>1379.59</v>
      </c>
      <c r="T3240" s="9" t="n">
        <v>1481.45</v>
      </c>
      <c r="U3240" s="10">
        <f>SUM(I3240:T3240)</f>
        <v/>
      </c>
    </row>
    <row r="3241">
      <c r="A3241" s="2" t="inlineStr">
        <is>
          <t>SN-8000-8900-8900-8900MO0005</t>
        </is>
      </c>
      <c r="B3241" s="2" t="inlineStr">
        <is>
          <t>8900MO0005</t>
        </is>
      </c>
      <c r="C3241" s="2" t="inlineStr">
        <is>
          <t>Camión pluma</t>
        </is>
      </c>
      <c r="D3241" s="2" t="n">
        <v>1080</v>
      </c>
      <c r="E3241" s="2" t="inlineStr">
        <is>
          <t>CC-8000</t>
        </is>
      </c>
      <c r="F3241" s="2" t="inlineStr">
        <is>
          <t>P01</t>
        </is>
      </c>
      <c r="G3241" s="2" t="n">
        <v>630000</v>
      </c>
      <c r="H3241" s="2" t="inlineStr">
        <is>
          <t>Servicios externos</t>
        </is>
      </c>
      <c r="I3241" s="9" t="n">
        <v>1427.4</v>
      </c>
      <c r="J3241" s="9" t="n">
        <v>1337.5</v>
      </c>
      <c r="K3241" s="9" t="n">
        <v>1427.01</v>
      </c>
      <c r="L3241" s="9" t="n">
        <v>1401.5</v>
      </c>
      <c r="M3241" s="9" t="n">
        <v>1472.64</v>
      </c>
      <c r="N3241" s="9" t="n">
        <v>1447.46</v>
      </c>
      <c r="O3241" s="9" t="n">
        <v>1491.7</v>
      </c>
      <c r="P3241" s="9" t="n">
        <v>1472.26</v>
      </c>
      <c r="Q3241" s="9" t="n">
        <v>1299.46</v>
      </c>
      <c r="R3241" s="9" t="n">
        <v>1605.62</v>
      </c>
      <c r="S3241" s="9" t="n">
        <v>1417.68</v>
      </c>
      <c r="T3241" s="9" t="n">
        <v>1355.66</v>
      </c>
      <c r="U3241" s="10">
        <f>SUM(I3241:T3241)</f>
        <v/>
      </c>
    </row>
    <row r="3242">
      <c r="A3242" s="2" t="inlineStr">
        <is>
          <t>SN-8000-8900-8900-8900MO0006</t>
        </is>
      </c>
      <c r="B3242" s="2" t="inlineStr">
        <is>
          <t>8900MO0006</t>
        </is>
      </c>
      <c r="C3242" s="2" t="inlineStr">
        <is>
          <t>Cargador frontal limpieza pisos</t>
        </is>
      </c>
      <c r="D3242" s="2" t="n">
        <v>1081</v>
      </c>
      <c r="E3242" s="2" t="inlineStr">
        <is>
          <t>CC-8000</t>
        </is>
      </c>
      <c r="F3242" s="2" t="inlineStr">
        <is>
          <t>P01</t>
        </is>
      </c>
      <c r="G3242" s="2" t="n">
        <v>610000</v>
      </c>
      <c r="H3242" s="2" t="inlineStr">
        <is>
          <t>Mano obra interna</t>
        </is>
      </c>
      <c r="I3242" s="9" t="n">
        <v>2515.21</v>
      </c>
      <c r="J3242" s="9" t="n">
        <v>2602.5</v>
      </c>
      <c r="K3242" s="9" t="n">
        <v>2730.64</v>
      </c>
      <c r="L3242" s="9" t="n">
        <v>2845.16</v>
      </c>
      <c r="M3242" s="9" t="n">
        <v>2786.81</v>
      </c>
      <c r="N3242" s="9" t="n">
        <v>2702.98</v>
      </c>
      <c r="O3242" s="9" t="n">
        <v>2672.02</v>
      </c>
      <c r="P3242" s="9" t="n">
        <v>2715</v>
      </c>
      <c r="Q3242" s="9" t="n">
        <v>2296.91</v>
      </c>
      <c r="R3242" s="9" t="n">
        <v>2843.01</v>
      </c>
      <c r="S3242" s="9" t="n">
        <v>2719.78</v>
      </c>
      <c r="T3242" s="9" t="n">
        <v>2661.58</v>
      </c>
      <c r="U3242" s="10">
        <f>SUM(I3242:T3242)</f>
        <v/>
      </c>
    </row>
    <row r="3243">
      <c r="A3243" s="2" t="inlineStr">
        <is>
          <t>SN-8000-8900-8900-8900MO0006</t>
        </is>
      </c>
      <c r="B3243" s="2" t="inlineStr">
        <is>
          <t>8900MO0006</t>
        </is>
      </c>
      <c r="C3243" s="2" t="inlineStr">
        <is>
          <t>Cargador frontal limpieza pisos</t>
        </is>
      </c>
      <c r="D3243" s="2" t="n">
        <v>1081</v>
      </c>
      <c r="E3243" s="2" t="inlineStr">
        <is>
          <t>CC-8000</t>
        </is>
      </c>
      <c r="F3243" s="2" t="inlineStr">
        <is>
          <t>P01</t>
        </is>
      </c>
      <c r="G3243" s="2" t="n">
        <v>620000</v>
      </c>
      <c r="H3243" s="2" t="inlineStr">
        <is>
          <t>Materiales</t>
        </is>
      </c>
      <c r="I3243" s="9" t="n">
        <v>1979.57</v>
      </c>
      <c r="J3243" s="9" t="n">
        <v>1983.23</v>
      </c>
      <c r="K3243" s="9" t="n">
        <v>2012.9</v>
      </c>
      <c r="L3243" s="9" t="n">
        <v>2045.72</v>
      </c>
      <c r="M3243" s="9" t="n">
        <v>1961.76</v>
      </c>
      <c r="N3243" s="9" t="n">
        <v>1890.81</v>
      </c>
      <c r="O3243" s="9" t="n">
        <v>1904.33</v>
      </c>
      <c r="P3243" s="9" t="n">
        <v>2159.8</v>
      </c>
      <c r="Q3243" s="9" t="n">
        <v>1954.37</v>
      </c>
      <c r="R3243" s="9" t="n">
        <v>2239.79</v>
      </c>
      <c r="S3243" s="9" t="n">
        <v>2005.24</v>
      </c>
      <c r="T3243" s="9" t="n">
        <v>2032.71</v>
      </c>
      <c r="U3243" s="10">
        <f>SUM(I3243:T3243)</f>
        <v/>
      </c>
    </row>
    <row r="3244">
      <c r="A3244" s="2" t="inlineStr">
        <is>
          <t>SN-8000-8900-8900-8900MO0006</t>
        </is>
      </c>
      <c r="B3244" s="2" t="inlineStr">
        <is>
          <t>8900MO0006</t>
        </is>
      </c>
      <c r="C3244" s="2" t="inlineStr">
        <is>
          <t>Cargador frontal limpieza pisos</t>
        </is>
      </c>
      <c r="D3244" s="2" t="n">
        <v>1081</v>
      </c>
      <c r="E3244" s="2" t="inlineStr">
        <is>
          <t>CC-8000</t>
        </is>
      </c>
      <c r="F3244" s="2" t="inlineStr">
        <is>
          <t>P01</t>
        </is>
      </c>
      <c r="G3244" s="2" t="n">
        <v>630000</v>
      </c>
      <c r="H3244" s="2" t="inlineStr">
        <is>
          <t>Servicios externos</t>
        </is>
      </c>
      <c r="I3244" s="9" t="n">
        <v>2767.7</v>
      </c>
      <c r="J3244" s="9" t="n">
        <v>2300.62</v>
      </c>
      <c r="K3244" s="9" t="n">
        <v>2440.72</v>
      </c>
      <c r="L3244" s="9" t="n">
        <v>2665.15</v>
      </c>
      <c r="M3244" s="9" t="n">
        <v>2404.39</v>
      </c>
      <c r="N3244" s="9" t="n">
        <v>2584.96</v>
      </c>
      <c r="O3244" s="9" t="n">
        <v>2605.77</v>
      </c>
      <c r="P3244" s="9" t="n">
        <v>2481.33</v>
      </c>
      <c r="Q3244" s="9" t="n">
        <v>2329.29</v>
      </c>
      <c r="R3244" s="9" t="n">
        <v>2819.13</v>
      </c>
      <c r="S3244" s="9" t="n">
        <v>2314.57</v>
      </c>
      <c r="T3244" s="9" t="n">
        <v>2732.23</v>
      </c>
      <c r="U3244" s="10">
        <f>SUM(I3244:T3244)</f>
        <v/>
      </c>
    </row>
    <row r="3245">
      <c r="A3245" s="2" t="inlineStr">
        <is>
          <t>SN-8000-8900-8900-8900MO0009</t>
        </is>
      </c>
      <c r="B3245" s="2" t="inlineStr">
        <is>
          <t>8900MO0009</t>
        </is>
      </c>
      <c r="C3245" s="2" t="inlineStr">
        <is>
          <t>Elevador horquilla</t>
        </is>
      </c>
      <c r="D3245" s="2" t="n">
        <v>1082</v>
      </c>
      <c r="E3245" s="2" t="inlineStr">
        <is>
          <t>CC-8000</t>
        </is>
      </c>
      <c r="F3245" s="2" t="inlineStr">
        <is>
          <t>P01</t>
        </is>
      </c>
      <c r="G3245" s="2" t="n">
        <v>610000</v>
      </c>
      <c r="H3245" s="2" t="inlineStr">
        <is>
          <t>Mano obra interna</t>
        </is>
      </c>
      <c r="I3245" s="9" t="n">
        <v>1111.42</v>
      </c>
      <c r="J3245" s="9" t="n">
        <v>942.96</v>
      </c>
      <c r="K3245" s="9" t="n">
        <v>1083.64</v>
      </c>
      <c r="L3245" s="9" t="n">
        <v>957.4400000000001</v>
      </c>
      <c r="M3245" s="9" t="n">
        <v>989.79</v>
      </c>
      <c r="N3245" s="9" t="n">
        <v>986.96</v>
      </c>
      <c r="O3245" s="9" t="n">
        <v>942.12</v>
      </c>
      <c r="P3245" s="9" t="n">
        <v>1001.31</v>
      </c>
      <c r="Q3245" s="9" t="n">
        <v>911.6799999999999</v>
      </c>
      <c r="R3245" s="9" t="n">
        <v>1090.23</v>
      </c>
      <c r="S3245" s="9" t="n">
        <v>979.65</v>
      </c>
      <c r="T3245" s="9" t="n">
        <v>1073.08</v>
      </c>
      <c r="U3245" s="10">
        <f>SUM(I3245:T3245)</f>
        <v/>
      </c>
    </row>
    <row r="3246">
      <c r="A3246" s="2" t="inlineStr">
        <is>
          <t>SN-8000-8900-8900-8900MO0009</t>
        </is>
      </c>
      <c r="B3246" s="2" t="inlineStr">
        <is>
          <t>8900MO0009</t>
        </is>
      </c>
      <c r="C3246" s="2" t="inlineStr">
        <is>
          <t>Elevador horquilla</t>
        </is>
      </c>
      <c r="D3246" s="2" t="n">
        <v>1082</v>
      </c>
      <c r="E3246" s="2" t="inlineStr">
        <is>
          <t>CC-8000</t>
        </is>
      </c>
      <c r="F3246" s="2" t="inlineStr">
        <is>
          <t>P01</t>
        </is>
      </c>
      <c r="G3246" s="2" t="n">
        <v>620000</v>
      </c>
      <c r="H3246" s="2" t="inlineStr">
        <is>
          <t>Materiales</t>
        </is>
      </c>
      <c r="I3246" s="9" t="n">
        <v>968.02</v>
      </c>
      <c r="J3246" s="9" t="n">
        <v>985</v>
      </c>
      <c r="K3246" s="9" t="n">
        <v>1113.24</v>
      </c>
      <c r="L3246" s="9" t="n">
        <v>1097.53</v>
      </c>
      <c r="M3246" s="9" t="n">
        <v>1015.24</v>
      </c>
      <c r="N3246" s="9" t="n">
        <v>1031.88</v>
      </c>
      <c r="O3246" s="9" t="n">
        <v>1066.22</v>
      </c>
      <c r="P3246" s="9" t="n">
        <v>979.26</v>
      </c>
      <c r="Q3246" s="9" t="n">
        <v>895.9299999999999</v>
      </c>
      <c r="R3246" s="9" t="n">
        <v>1060.92</v>
      </c>
      <c r="S3246" s="9" t="n">
        <v>940.7</v>
      </c>
      <c r="T3246" s="9" t="n">
        <v>1051.43</v>
      </c>
      <c r="U3246" s="10">
        <f>SUM(I3246:T3246)</f>
        <v/>
      </c>
    </row>
    <row r="3247">
      <c r="A3247" s="2" t="inlineStr">
        <is>
          <t>SN-8000-8900-8900-8900MO0009</t>
        </is>
      </c>
      <c r="B3247" s="2" t="inlineStr">
        <is>
          <t>8900MO0009</t>
        </is>
      </c>
      <c r="C3247" s="2" t="inlineStr">
        <is>
          <t>Elevador horquilla</t>
        </is>
      </c>
      <c r="D3247" s="2" t="n">
        <v>1082</v>
      </c>
      <c r="E3247" s="2" t="inlineStr">
        <is>
          <t>CC-8000</t>
        </is>
      </c>
      <c r="F3247" s="2" t="inlineStr">
        <is>
          <t>P01</t>
        </is>
      </c>
      <c r="G3247" s="2" t="n">
        <v>630000</v>
      </c>
      <c r="H3247" s="2" t="inlineStr">
        <is>
          <t>Servicios externos</t>
        </is>
      </c>
      <c r="I3247" s="9" t="n">
        <v>1209.8</v>
      </c>
      <c r="J3247" s="9" t="n">
        <v>1091.94</v>
      </c>
      <c r="K3247" s="9" t="n">
        <v>1259.85</v>
      </c>
      <c r="L3247" s="9" t="n">
        <v>1179.78</v>
      </c>
      <c r="M3247" s="9" t="n">
        <v>1149.57</v>
      </c>
      <c r="N3247" s="9" t="n">
        <v>1204.16</v>
      </c>
      <c r="O3247" s="9" t="n">
        <v>1126.59</v>
      </c>
      <c r="P3247" s="9" t="n">
        <v>1146.1</v>
      </c>
      <c r="Q3247" s="9" t="n">
        <v>1116.74</v>
      </c>
      <c r="R3247" s="9" t="n">
        <v>1334.81</v>
      </c>
      <c r="S3247" s="9" t="n">
        <v>1062.02</v>
      </c>
      <c r="T3247" s="9" t="n">
        <v>1228.58</v>
      </c>
      <c r="U3247" s="10">
        <f>SUM(I3247:T3247)</f>
        <v/>
      </c>
    </row>
    <row r="3248">
      <c r="A3248" s="2" t="inlineStr">
        <is>
          <t>SN-8000-8900-8900-8900MO0010</t>
        </is>
      </c>
      <c r="B3248" s="2" t="inlineStr">
        <is>
          <t>8900MO0010</t>
        </is>
      </c>
      <c r="C3248" s="2" t="inlineStr">
        <is>
          <t>Elevador horquilla</t>
        </is>
      </c>
      <c r="D3248" s="2" t="n">
        <v>1083</v>
      </c>
      <c r="E3248" s="2" t="inlineStr">
        <is>
          <t>CC-8000</t>
        </is>
      </c>
      <c r="F3248" s="2" t="inlineStr">
        <is>
          <t>P01</t>
        </is>
      </c>
      <c r="G3248" s="2" t="n">
        <v>610000</v>
      </c>
      <c r="H3248" s="2" t="inlineStr">
        <is>
          <t>Mano obra interna</t>
        </is>
      </c>
      <c r="I3248" s="9" t="n">
        <v>1640.73</v>
      </c>
      <c r="J3248" s="9" t="n">
        <v>1547.97</v>
      </c>
      <c r="K3248" s="9" t="n">
        <v>1726.53</v>
      </c>
      <c r="L3248" s="9" t="n">
        <v>1595.6</v>
      </c>
      <c r="M3248" s="9" t="n">
        <v>1580.65</v>
      </c>
      <c r="N3248" s="9" t="n">
        <v>1654.61</v>
      </c>
      <c r="O3248" s="9" t="n">
        <v>1651.56</v>
      </c>
      <c r="P3248" s="9" t="n">
        <v>1520.71</v>
      </c>
      <c r="Q3248" s="9" t="n">
        <v>1473.54</v>
      </c>
      <c r="R3248" s="9" t="n">
        <v>1790.65</v>
      </c>
      <c r="S3248" s="9" t="n">
        <v>1570.66</v>
      </c>
      <c r="T3248" s="9" t="n">
        <v>1693.83</v>
      </c>
      <c r="U3248" s="10">
        <f>SUM(I3248:T3248)</f>
        <v/>
      </c>
    </row>
    <row r="3249">
      <c r="A3249" s="2" t="inlineStr">
        <is>
          <t>SN-8000-8900-8900-8900MO0010</t>
        </is>
      </c>
      <c r="B3249" s="2" t="inlineStr">
        <is>
          <t>8900MO0010</t>
        </is>
      </c>
      <c r="C3249" s="2" t="inlineStr">
        <is>
          <t>Elevador horquilla</t>
        </is>
      </c>
      <c r="D3249" s="2" t="n">
        <v>1083</v>
      </c>
      <c r="E3249" s="2" t="inlineStr">
        <is>
          <t>CC-8000</t>
        </is>
      </c>
      <c r="F3249" s="2" t="inlineStr">
        <is>
          <t>P01</t>
        </is>
      </c>
      <c r="G3249" s="2" t="n">
        <v>620000</v>
      </c>
      <c r="H3249" s="2" t="inlineStr">
        <is>
          <t>Materiales</t>
        </is>
      </c>
      <c r="I3249" s="9" t="n">
        <v>1572.18</v>
      </c>
      <c r="J3249" s="9" t="n">
        <v>1640.02</v>
      </c>
      <c r="K3249" s="9" t="n">
        <v>1699.49</v>
      </c>
      <c r="L3249" s="9" t="n">
        <v>1467.75</v>
      </c>
      <c r="M3249" s="9" t="n">
        <v>1471.75</v>
      </c>
      <c r="N3249" s="9" t="n">
        <v>1429.86</v>
      </c>
      <c r="O3249" s="9" t="n">
        <v>1467.5</v>
      </c>
      <c r="P3249" s="9" t="n">
        <v>1497.28</v>
      </c>
      <c r="Q3249" s="9" t="n">
        <v>1420.78</v>
      </c>
      <c r="R3249" s="9" t="n">
        <v>1546.49</v>
      </c>
      <c r="S3249" s="9" t="n">
        <v>1406.35</v>
      </c>
      <c r="T3249" s="9" t="n">
        <v>1466.52</v>
      </c>
      <c r="U3249" s="10">
        <f>SUM(I3249:T3249)</f>
        <v/>
      </c>
    </row>
    <row r="3250">
      <c r="A3250" s="2" t="inlineStr">
        <is>
          <t>SN-8000-8900-8900-8900MO0010</t>
        </is>
      </c>
      <c r="B3250" s="2" t="inlineStr">
        <is>
          <t>8900MO0010</t>
        </is>
      </c>
      <c r="C3250" s="2" t="inlineStr">
        <is>
          <t>Elevador horquilla</t>
        </is>
      </c>
      <c r="D3250" s="2" t="n">
        <v>1083</v>
      </c>
      <c r="E3250" s="2" t="inlineStr">
        <is>
          <t>CC-8000</t>
        </is>
      </c>
      <c r="F3250" s="2" t="inlineStr">
        <is>
          <t>P01</t>
        </is>
      </c>
      <c r="G3250" s="2" t="n">
        <v>630000</v>
      </c>
      <c r="H3250" s="2" t="inlineStr">
        <is>
          <t>Servicios externos</t>
        </is>
      </c>
      <c r="I3250" s="9" t="n">
        <v>1236.35</v>
      </c>
      <c r="J3250" s="9" t="n">
        <v>1164.49</v>
      </c>
      <c r="K3250" s="9" t="n">
        <v>1340.44</v>
      </c>
      <c r="L3250" s="9" t="n">
        <v>1162.57</v>
      </c>
      <c r="M3250" s="9" t="n">
        <v>1284.08</v>
      </c>
      <c r="N3250" s="9" t="n">
        <v>1084.51</v>
      </c>
      <c r="O3250" s="9" t="n">
        <v>1238.43</v>
      </c>
      <c r="P3250" s="9" t="n">
        <v>1164.8</v>
      </c>
      <c r="Q3250" s="9" t="n">
        <v>1189.86</v>
      </c>
      <c r="R3250" s="9" t="n">
        <v>1218.05</v>
      </c>
      <c r="S3250" s="9" t="n">
        <v>1261.04</v>
      </c>
      <c r="T3250" s="9" t="n">
        <v>1143.44</v>
      </c>
      <c r="U3250" s="10">
        <f>SUM(I3250:T3250)</f>
        <v/>
      </c>
    </row>
    <row r="3251">
      <c r="A3251" s="2" t="inlineStr">
        <is>
          <t>SN-8000-8900-8900-8900MO0012</t>
        </is>
      </c>
      <c r="B3251" s="2" t="inlineStr">
        <is>
          <t>8900MO0012</t>
        </is>
      </c>
      <c r="C3251" s="2" t="inlineStr">
        <is>
          <t>Grúa móvil</t>
        </is>
      </c>
      <c r="D3251" s="2" t="n">
        <v>1084</v>
      </c>
      <c r="E3251" s="2" t="inlineStr">
        <is>
          <t>CC-8000</t>
        </is>
      </c>
      <c r="F3251" s="2" t="inlineStr">
        <is>
          <t>P01</t>
        </is>
      </c>
      <c r="G3251" s="2" t="n">
        <v>610000</v>
      </c>
      <c r="H3251" s="2" t="inlineStr">
        <is>
          <t>Mano obra interna</t>
        </is>
      </c>
      <c r="I3251" s="9" t="n">
        <v>831.53</v>
      </c>
      <c r="J3251" s="9" t="n">
        <v>839.89</v>
      </c>
      <c r="K3251" s="9" t="n">
        <v>906.17</v>
      </c>
      <c r="L3251" s="9" t="n">
        <v>827.66</v>
      </c>
      <c r="M3251" s="9" t="n">
        <v>844.15</v>
      </c>
      <c r="N3251" s="9" t="n">
        <v>811.72</v>
      </c>
      <c r="O3251" s="9" t="n">
        <v>828.95</v>
      </c>
      <c r="P3251" s="9" t="n">
        <v>843.64</v>
      </c>
      <c r="Q3251" s="9" t="n">
        <v>706.25</v>
      </c>
      <c r="R3251" s="9" t="n">
        <v>875.23</v>
      </c>
      <c r="S3251" s="9" t="n">
        <v>829.35</v>
      </c>
      <c r="T3251" s="9" t="n">
        <v>827.98</v>
      </c>
      <c r="U3251" s="10">
        <f>SUM(I3251:T3251)</f>
        <v/>
      </c>
    </row>
    <row r="3252">
      <c r="A3252" s="2" t="inlineStr">
        <is>
          <t>SN-8000-8900-8900-8900MO0012</t>
        </is>
      </c>
      <c r="B3252" s="2" t="inlineStr">
        <is>
          <t>8900MO0012</t>
        </is>
      </c>
      <c r="C3252" s="2" t="inlineStr">
        <is>
          <t>Grúa móvil</t>
        </is>
      </c>
      <c r="D3252" s="2" t="n">
        <v>1084</v>
      </c>
      <c r="E3252" s="2" t="inlineStr">
        <is>
          <t>CC-8000</t>
        </is>
      </c>
      <c r="F3252" s="2" t="inlineStr">
        <is>
          <t>P01</t>
        </is>
      </c>
      <c r="G3252" s="2" t="n">
        <v>620000</v>
      </c>
      <c r="H3252" s="2" t="inlineStr">
        <is>
          <t>Materiales</t>
        </is>
      </c>
      <c r="I3252" s="9" t="n">
        <v>1070.16</v>
      </c>
      <c r="J3252" s="9" t="n">
        <v>1037.11</v>
      </c>
      <c r="K3252" s="9" t="n">
        <v>965.89</v>
      </c>
      <c r="L3252" s="9" t="n">
        <v>975.48</v>
      </c>
      <c r="M3252" s="9" t="n">
        <v>910.76</v>
      </c>
      <c r="N3252" s="9" t="n">
        <v>1024.96</v>
      </c>
      <c r="O3252" s="9" t="n">
        <v>953.6</v>
      </c>
      <c r="P3252" s="9" t="n">
        <v>973.29</v>
      </c>
      <c r="Q3252" s="9" t="n">
        <v>893.03</v>
      </c>
      <c r="R3252" s="9" t="n">
        <v>994.21</v>
      </c>
      <c r="S3252" s="9" t="n">
        <v>926.6</v>
      </c>
      <c r="T3252" s="9" t="n">
        <v>945.03</v>
      </c>
      <c r="U3252" s="10">
        <f>SUM(I3252:T3252)</f>
        <v/>
      </c>
    </row>
    <row r="3253">
      <c r="A3253" s="2" t="inlineStr">
        <is>
          <t>SN-8000-8900-8900-8900MO0012</t>
        </is>
      </c>
      <c r="B3253" s="2" t="inlineStr">
        <is>
          <t>8900MO0012</t>
        </is>
      </c>
      <c r="C3253" s="2" t="inlineStr">
        <is>
          <t>Grúa móvil</t>
        </is>
      </c>
      <c r="D3253" s="2" t="n">
        <v>1084</v>
      </c>
      <c r="E3253" s="2" t="inlineStr">
        <is>
          <t>CC-8000</t>
        </is>
      </c>
      <c r="F3253" s="2" t="inlineStr">
        <is>
          <t>P01</t>
        </is>
      </c>
      <c r="G3253" s="2" t="n">
        <v>630000</v>
      </c>
      <c r="H3253" s="2" t="inlineStr">
        <is>
          <t>Servicios externos</t>
        </is>
      </c>
      <c r="I3253" s="9" t="n">
        <v>912.23</v>
      </c>
      <c r="J3253" s="9" t="n">
        <v>844.88</v>
      </c>
      <c r="K3253" s="9" t="n">
        <v>886.2</v>
      </c>
      <c r="L3253" s="9" t="n">
        <v>843.46</v>
      </c>
      <c r="M3253" s="9" t="n">
        <v>863.88</v>
      </c>
      <c r="N3253" s="9" t="n">
        <v>846.9</v>
      </c>
      <c r="O3253" s="9" t="n">
        <v>893.3</v>
      </c>
      <c r="P3253" s="9" t="n">
        <v>777.5700000000001</v>
      </c>
      <c r="Q3253" s="9" t="n">
        <v>821.04</v>
      </c>
      <c r="R3253" s="9" t="n">
        <v>857.26</v>
      </c>
      <c r="S3253" s="9" t="n">
        <v>791.71</v>
      </c>
      <c r="T3253" s="9" t="n">
        <v>822.98</v>
      </c>
      <c r="U3253" s="10">
        <f>SUM(I3253:T3253)</f>
        <v/>
      </c>
    </row>
    <row r="3254">
      <c r="A3254" s="2" t="inlineStr">
        <is>
          <t>SN-8000-8900-8900-8900MO0013</t>
        </is>
      </c>
      <c r="B3254" s="2" t="inlineStr">
        <is>
          <t>8900MO0013</t>
        </is>
      </c>
      <c r="C3254" s="2" t="inlineStr">
        <is>
          <t>Elevador horquilla</t>
        </is>
      </c>
      <c r="D3254" s="2" t="n">
        <v>1085</v>
      </c>
      <c r="E3254" s="2" t="inlineStr">
        <is>
          <t>CC-8000</t>
        </is>
      </c>
      <c r="F3254" s="2" t="inlineStr">
        <is>
          <t>P01</t>
        </is>
      </c>
      <c r="G3254" s="2" t="n">
        <v>610000</v>
      </c>
      <c r="H3254" s="2" t="inlineStr">
        <is>
          <t>Mano obra interna</t>
        </is>
      </c>
      <c r="I3254" s="9" t="n">
        <v>2883.25</v>
      </c>
      <c r="J3254" s="9" t="n">
        <v>2567.41</v>
      </c>
      <c r="K3254" s="9" t="n">
        <v>2998.62</v>
      </c>
      <c r="L3254" s="9" t="n">
        <v>2814.67</v>
      </c>
      <c r="M3254" s="9" t="n">
        <v>2532.86</v>
      </c>
      <c r="N3254" s="9" t="n">
        <v>2622.27</v>
      </c>
      <c r="O3254" s="9" t="n">
        <v>2789.34</v>
      </c>
      <c r="P3254" s="9" t="n">
        <v>2587.05</v>
      </c>
      <c r="Q3254" s="9" t="n">
        <v>2444.1</v>
      </c>
      <c r="R3254" s="9" t="n">
        <v>3235.72</v>
      </c>
      <c r="S3254" s="9" t="n">
        <v>2851.88</v>
      </c>
      <c r="T3254" s="9" t="n">
        <v>2656.53</v>
      </c>
      <c r="U3254" s="10">
        <f>SUM(I3254:T3254)</f>
        <v/>
      </c>
    </row>
    <row r="3255">
      <c r="A3255" s="2" t="inlineStr">
        <is>
          <t>SN-8000-8900-8900-8900MO0013</t>
        </is>
      </c>
      <c r="B3255" s="2" t="inlineStr">
        <is>
          <t>8900MO0013</t>
        </is>
      </c>
      <c r="C3255" s="2" t="inlineStr">
        <is>
          <t>Elevador horquilla</t>
        </is>
      </c>
      <c r="D3255" s="2" t="n">
        <v>1085</v>
      </c>
      <c r="E3255" s="2" t="inlineStr">
        <is>
          <t>CC-8000</t>
        </is>
      </c>
      <c r="F3255" s="2" t="inlineStr">
        <is>
          <t>P01</t>
        </is>
      </c>
      <c r="G3255" s="2" t="n">
        <v>620000</v>
      </c>
      <c r="H3255" s="2" t="inlineStr">
        <is>
          <t>Materiales</t>
        </is>
      </c>
      <c r="I3255" s="9" t="n">
        <v>2592.29</v>
      </c>
      <c r="J3255" s="9" t="n">
        <v>2568.02</v>
      </c>
      <c r="K3255" s="9" t="n">
        <v>2658.72</v>
      </c>
      <c r="L3255" s="9" t="n">
        <v>2455.14</v>
      </c>
      <c r="M3255" s="9" t="n">
        <v>2486.92</v>
      </c>
      <c r="N3255" s="9" t="n">
        <v>2327.29</v>
      </c>
      <c r="O3255" s="9" t="n">
        <v>2585.98</v>
      </c>
      <c r="P3255" s="9" t="n">
        <v>2756.07</v>
      </c>
      <c r="Q3255" s="9" t="n">
        <v>2601.5</v>
      </c>
      <c r="R3255" s="9" t="n">
        <v>2990.95</v>
      </c>
      <c r="S3255" s="9" t="n">
        <v>2701.49</v>
      </c>
      <c r="T3255" s="9" t="n">
        <v>2424.01</v>
      </c>
      <c r="U3255" s="10">
        <f>SUM(I3255:T3255)</f>
        <v/>
      </c>
    </row>
    <row r="3256">
      <c r="A3256" s="2" t="inlineStr">
        <is>
          <t>SN-8000-8900-8900-8900MO0013</t>
        </is>
      </c>
      <c r="B3256" s="2" t="inlineStr">
        <is>
          <t>8900MO0013</t>
        </is>
      </c>
      <c r="C3256" s="2" t="inlineStr">
        <is>
          <t>Elevador horquilla</t>
        </is>
      </c>
      <c r="D3256" s="2" t="n">
        <v>1085</v>
      </c>
      <c r="E3256" s="2" t="inlineStr">
        <is>
          <t>CC-8000</t>
        </is>
      </c>
      <c r="F3256" s="2" t="inlineStr">
        <is>
          <t>P01</t>
        </is>
      </c>
      <c r="G3256" s="2" t="n">
        <v>630000</v>
      </c>
      <c r="H3256" s="2" t="inlineStr">
        <is>
          <t>Servicios externos</t>
        </is>
      </c>
      <c r="I3256" s="9" t="n">
        <v>2672.62</v>
      </c>
      <c r="J3256" s="9" t="n">
        <v>2832.12</v>
      </c>
      <c r="K3256" s="9" t="n">
        <v>2943.39</v>
      </c>
      <c r="L3256" s="9" t="n">
        <v>2742.72</v>
      </c>
      <c r="M3256" s="9" t="n">
        <v>2677.14</v>
      </c>
      <c r="N3256" s="9" t="n">
        <v>2499.77</v>
      </c>
      <c r="O3256" s="9" t="n">
        <v>2626.13</v>
      </c>
      <c r="P3256" s="9" t="n">
        <v>2923.71</v>
      </c>
      <c r="Q3256" s="9" t="n">
        <v>2686.29</v>
      </c>
      <c r="R3256" s="9" t="n">
        <v>2785.36</v>
      </c>
      <c r="S3256" s="9" t="n">
        <v>2535.52</v>
      </c>
      <c r="T3256" s="9" t="n">
        <v>2584.44</v>
      </c>
      <c r="U3256" s="10">
        <f>SUM(I3256:T3256)</f>
        <v/>
      </c>
    </row>
    <row r="3257">
      <c r="A3257" s="2" t="inlineStr">
        <is>
          <t>SN-8000-8900-8900-8900MO0014</t>
        </is>
      </c>
      <c r="B3257" s="2" t="inlineStr">
        <is>
          <t>8900MO0014</t>
        </is>
      </c>
      <c r="C3257" s="2" t="inlineStr">
        <is>
          <t>Cargador</t>
        </is>
      </c>
      <c r="D3257" s="2" t="n">
        <v>1086</v>
      </c>
      <c r="E3257" s="2" t="inlineStr">
        <is>
          <t>CC-8000</t>
        </is>
      </c>
      <c r="F3257" s="2" t="inlineStr">
        <is>
          <t>P01</t>
        </is>
      </c>
      <c r="G3257" s="2" t="n">
        <v>610000</v>
      </c>
      <c r="H3257" s="2" t="inlineStr">
        <is>
          <t>Mano obra interna</t>
        </is>
      </c>
      <c r="I3257" s="9" t="n">
        <v>1683.57</v>
      </c>
      <c r="J3257" s="9" t="n">
        <v>1537.58</v>
      </c>
      <c r="K3257" s="9" t="n">
        <v>1646.6</v>
      </c>
      <c r="L3257" s="9" t="n">
        <v>1645.23</v>
      </c>
      <c r="M3257" s="9" t="n">
        <v>1459.68</v>
      </c>
      <c r="N3257" s="9" t="n">
        <v>1583.24</v>
      </c>
      <c r="O3257" s="9" t="n">
        <v>1555.64</v>
      </c>
      <c r="P3257" s="9" t="n">
        <v>1446.27</v>
      </c>
      <c r="Q3257" s="9" t="n">
        <v>1417.56</v>
      </c>
      <c r="R3257" s="9" t="n">
        <v>1696.9</v>
      </c>
      <c r="S3257" s="9" t="n">
        <v>1463.57</v>
      </c>
      <c r="T3257" s="9" t="n">
        <v>1621.39</v>
      </c>
      <c r="U3257" s="10">
        <f>SUM(I3257:T3257)</f>
        <v/>
      </c>
    </row>
    <row r="3258">
      <c r="A3258" s="2" t="inlineStr">
        <is>
          <t>SN-8000-8900-8900-8900MO0014</t>
        </is>
      </c>
      <c r="B3258" s="2" t="inlineStr">
        <is>
          <t>8900MO0014</t>
        </is>
      </c>
      <c r="C3258" s="2" t="inlineStr">
        <is>
          <t>Cargador</t>
        </is>
      </c>
      <c r="D3258" s="2" t="n">
        <v>1086</v>
      </c>
      <c r="E3258" s="2" t="inlineStr">
        <is>
          <t>CC-8000</t>
        </is>
      </c>
      <c r="F3258" s="2" t="inlineStr">
        <is>
          <t>P01</t>
        </is>
      </c>
      <c r="G3258" s="2" t="n">
        <v>620000</v>
      </c>
      <c r="H3258" s="2" t="inlineStr">
        <is>
          <t>Materiales</t>
        </is>
      </c>
      <c r="I3258" s="9" t="n">
        <v>1540.84</v>
      </c>
      <c r="J3258" s="9" t="n">
        <v>1457.07</v>
      </c>
      <c r="K3258" s="9" t="n">
        <v>1495.13</v>
      </c>
      <c r="L3258" s="9" t="n">
        <v>1420.26</v>
      </c>
      <c r="M3258" s="9" t="n">
        <v>1421.17</v>
      </c>
      <c r="N3258" s="9" t="n">
        <v>1337.1</v>
      </c>
      <c r="O3258" s="9" t="n">
        <v>1547.6</v>
      </c>
      <c r="P3258" s="9" t="n">
        <v>1539.57</v>
      </c>
      <c r="Q3258" s="9" t="n">
        <v>1272.32</v>
      </c>
      <c r="R3258" s="9" t="n">
        <v>1640.41</v>
      </c>
      <c r="S3258" s="9" t="n">
        <v>1445.72</v>
      </c>
      <c r="T3258" s="9" t="n">
        <v>1579.54</v>
      </c>
      <c r="U3258" s="10">
        <f>SUM(I3258:T3258)</f>
        <v/>
      </c>
    </row>
    <row r="3259">
      <c r="A3259" s="2" t="inlineStr">
        <is>
          <t>SN-8000-8900-8900-8900MO0014</t>
        </is>
      </c>
      <c r="B3259" s="2" t="inlineStr">
        <is>
          <t>8900MO0014</t>
        </is>
      </c>
      <c r="C3259" s="2" t="inlineStr">
        <is>
          <t>Cargador</t>
        </is>
      </c>
      <c r="D3259" s="2" t="n">
        <v>1086</v>
      </c>
      <c r="E3259" s="2" t="inlineStr">
        <is>
          <t>CC-8000</t>
        </is>
      </c>
      <c r="F3259" s="2" t="inlineStr">
        <is>
          <t>P01</t>
        </is>
      </c>
      <c r="G3259" s="2" t="n">
        <v>630000</v>
      </c>
      <c r="H3259" s="2" t="inlineStr">
        <is>
          <t>Servicios externos</t>
        </is>
      </c>
      <c r="I3259" s="9" t="n">
        <v>1388.7</v>
      </c>
      <c r="J3259" s="9" t="n">
        <v>1297.45</v>
      </c>
      <c r="K3259" s="9" t="n">
        <v>1261.84</v>
      </c>
      <c r="L3259" s="9" t="n">
        <v>1245.24</v>
      </c>
      <c r="M3259" s="9" t="n">
        <v>1221.45</v>
      </c>
      <c r="N3259" s="9" t="n">
        <v>1214.98</v>
      </c>
      <c r="O3259" s="9" t="n">
        <v>1263.58</v>
      </c>
      <c r="P3259" s="9" t="n">
        <v>1360.62</v>
      </c>
      <c r="Q3259" s="9" t="n">
        <v>1265.09</v>
      </c>
      <c r="R3259" s="9" t="n">
        <v>1523.51</v>
      </c>
      <c r="S3259" s="9" t="n">
        <v>1233.11</v>
      </c>
      <c r="T3259" s="9" t="n">
        <v>1426.67</v>
      </c>
      <c r="U3259" s="10">
        <f>SUM(I3259:T3259)</f>
        <v/>
      </c>
    </row>
    <row r="3260">
      <c r="A3260" s="2" t="inlineStr">
        <is>
          <t>SN-1000-1200-1210-1210FH0001</t>
        </is>
      </c>
      <c r="B3260" s="2" t="inlineStr">
        <is>
          <t>1210FH0001</t>
        </is>
      </c>
      <c r="C3260" s="2" t="inlineStr">
        <is>
          <t>Hidrante / grifos FH0001</t>
        </is>
      </c>
      <c r="D3260" s="2" t="n">
        <v>1087</v>
      </c>
      <c r="E3260" s="2" t="inlineStr">
        <is>
          <t>CC-1000</t>
        </is>
      </c>
      <c r="F3260" s="2" t="inlineStr">
        <is>
          <t>P01</t>
        </is>
      </c>
      <c r="G3260" s="2" t="n">
        <v>610000</v>
      </c>
      <c r="H3260" s="2" t="inlineStr">
        <is>
          <t>Mano obra interna</t>
        </is>
      </c>
      <c r="I3260" s="9" t="n">
        <v>831.54</v>
      </c>
      <c r="J3260" s="9" t="n">
        <v>824.39</v>
      </c>
      <c r="K3260" s="9" t="n">
        <v>868.25</v>
      </c>
      <c r="L3260" s="9" t="n">
        <v>789.41</v>
      </c>
      <c r="M3260" s="9" t="n">
        <v>839.24</v>
      </c>
      <c r="N3260" s="9" t="n">
        <v>807.4400000000001</v>
      </c>
      <c r="O3260" s="9" t="n">
        <v>880.47</v>
      </c>
      <c r="P3260" s="9" t="n">
        <v>868.26</v>
      </c>
      <c r="Q3260" s="9" t="n">
        <v>781.25</v>
      </c>
      <c r="R3260" s="9" t="n">
        <v>908.98</v>
      </c>
      <c r="S3260" s="9" t="n">
        <v>845.45</v>
      </c>
      <c r="T3260" s="9" t="n">
        <v>889.12</v>
      </c>
      <c r="U3260" s="10">
        <f>SUM(I3260:T3260)</f>
        <v/>
      </c>
    </row>
    <row r="3261">
      <c r="A3261" s="2" t="inlineStr">
        <is>
          <t>SN-1000-1200-1210-1210FH0001</t>
        </is>
      </c>
      <c r="B3261" s="2" t="inlineStr">
        <is>
          <t>1210FH0001</t>
        </is>
      </c>
      <c r="C3261" s="2" t="inlineStr">
        <is>
          <t>Hidrante / grifos FH0001</t>
        </is>
      </c>
      <c r="D3261" s="2" t="n">
        <v>1087</v>
      </c>
      <c r="E3261" s="2" t="inlineStr">
        <is>
          <t>CC-1000</t>
        </is>
      </c>
      <c r="F3261" s="2" t="inlineStr">
        <is>
          <t>P01</t>
        </is>
      </c>
      <c r="G3261" s="2" t="n">
        <v>620000</v>
      </c>
      <c r="H3261" s="2" t="inlineStr">
        <is>
          <t>Materiales</t>
        </is>
      </c>
      <c r="I3261" s="9" t="n">
        <v>921.83</v>
      </c>
      <c r="J3261" s="9" t="n">
        <v>799.8099999999999</v>
      </c>
      <c r="K3261" s="9" t="n">
        <v>940.5700000000001</v>
      </c>
      <c r="L3261" s="9" t="n">
        <v>850.1</v>
      </c>
      <c r="M3261" s="9" t="n">
        <v>865.75</v>
      </c>
      <c r="N3261" s="9" t="n">
        <v>815.38</v>
      </c>
      <c r="O3261" s="9" t="n">
        <v>844.95</v>
      </c>
      <c r="P3261" s="9" t="n">
        <v>839.04</v>
      </c>
      <c r="Q3261" s="9" t="n">
        <v>851.9400000000001</v>
      </c>
      <c r="R3261" s="9" t="n">
        <v>974.09</v>
      </c>
      <c r="S3261" s="9" t="n">
        <v>841.45</v>
      </c>
      <c r="T3261" s="9" t="n">
        <v>901.9400000000001</v>
      </c>
      <c r="U3261" s="10">
        <f>SUM(I3261:T3261)</f>
        <v/>
      </c>
    </row>
    <row r="3262">
      <c r="A3262" s="2" t="inlineStr">
        <is>
          <t>SN-1000-1200-1210-1210FH0001</t>
        </is>
      </c>
      <c r="B3262" s="2" t="inlineStr">
        <is>
          <t>1210FH0001</t>
        </is>
      </c>
      <c r="C3262" s="2" t="inlineStr">
        <is>
          <t>Hidrante / grifos FH0001</t>
        </is>
      </c>
      <c r="D3262" s="2" t="n">
        <v>1087</v>
      </c>
      <c r="E3262" s="2" t="inlineStr">
        <is>
          <t>CC-1000</t>
        </is>
      </c>
      <c r="F3262" s="2" t="inlineStr">
        <is>
          <t>P01</t>
        </is>
      </c>
      <c r="G3262" s="2" t="n">
        <v>630000</v>
      </c>
      <c r="H3262" s="2" t="inlineStr">
        <is>
          <t>Servicios externos</t>
        </is>
      </c>
      <c r="I3262" s="9" t="n">
        <v>912.58</v>
      </c>
      <c r="J3262" s="9" t="n">
        <v>902.4</v>
      </c>
      <c r="K3262" s="9" t="n">
        <v>942.63</v>
      </c>
      <c r="L3262" s="9" t="n">
        <v>993.67</v>
      </c>
      <c r="M3262" s="9" t="n">
        <v>878.08</v>
      </c>
      <c r="N3262" s="9" t="n">
        <v>936.52</v>
      </c>
      <c r="O3262" s="9" t="n">
        <v>880.84</v>
      </c>
      <c r="P3262" s="9" t="n">
        <v>851.33</v>
      </c>
      <c r="Q3262" s="9" t="n">
        <v>804.24</v>
      </c>
      <c r="R3262" s="9" t="n">
        <v>968.55</v>
      </c>
      <c r="S3262" s="9" t="n">
        <v>900.9</v>
      </c>
      <c r="T3262" s="9" t="n">
        <v>924.8200000000001</v>
      </c>
      <c r="U3262" s="10">
        <f>SUM(I3262:T3262)</f>
        <v/>
      </c>
    </row>
    <row r="3263">
      <c r="A3263" s="2" t="inlineStr">
        <is>
          <t>SN-1000-1200-1210-1210FH0002</t>
        </is>
      </c>
      <c r="B3263" s="2" t="inlineStr">
        <is>
          <t>1210FH0002</t>
        </is>
      </c>
      <c r="C3263" s="2" t="inlineStr">
        <is>
          <t>Hidrante / grifos FH0002</t>
        </is>
      </c>
      <c r="D3263" s="2" t="n">
        <v>1088</v>
      </c>
      <c r="E3263" s="2" t="inlineStr">
        <is>
          <t>CC-1000</t>
        </is>
      </c>
      <c r="F3263" s="2" t="inlineStr">
        <is>
          <t>P01</t>
        </is>
      </c>
      <c r="G3263" s="2" t="n">
        <v>610000</v>
      </c>
      <c r="H3263" s="2" t="inlineStr">
        <is>
          <t>Mano obra interna</t>
        </is>
      </c>
      <c r="I3263" s="9" t="n">
        <v>2158.01</v>
      </c>
      <c r="J3263" s="9" t="n">
        <v>2173.22</v>
      </c>
      <c r="K3263" s="9" t="n">
        <v>2276.5</v>
      </c>
      <c r="L3263" s="9" t="n">
        <v>2216.75</v>
      </c>
      <c r="M3263" s="9" t="n">
        <v>2221.48</v>
      </c>
      <c r="N3263" s="9" t="n">
        <v>2030.09</v>
      </c>
      <c r="O3263" s="9" t="n">
        <v>1929.15</v>
      </c>
      <c r="P3263" s="9" t="n">
        <v>2021.64</v>
      </c>
      <c r="Q3263" s="9" t="n">
        <v>1894.93</v>
      </c>
      <c r="R3263" s="9" t="n">
        <v>2274.42</v>
      </c>
      <c r="S3263" s="9" t="n">
        <v>2157.59</v>
      </c>
      <c r="T3263" s="9" t="n">
        <v>2239.16</v>
      </c>
      <c r="U3263" s="10">
        <f>SUM(I3263:T3263)</f>
        <v/>
      </c>
    </row>
    <row r="3264">
      <c r="A3264" s="2" t="inlineStr">
        <is>
          <t>SN-1000-1200-1210-1210FH0002</t>
        </is>
      </c>
      <c r="B3264" s="2" t="inlineStr">
        <is>
          <t>1210FH0002</t>
        </is>
      </c>
      <c r="C3264" s="2" t="inlineStr">
        <is>
          <t>Hidrante / grifos FH0002</t>
        </is>
      </c>
      <c r="D3264" s="2" t="n">
        <v>1088</v>
      </c>
      <c r="E3264" s="2" t="inlineStr">
        <is>
          <t>CC-1000</t>
        </is>
      </c>
      <c r="F3264" s="2" t="inlineStr">
        <is>
          <t>P01</t>
        </is>
      </c>
      <c r="G3264" s="2" t="n">
        <v>620000</v>
      </c>
      <c r="H3264" s="2" t="inlineStr">
        <is>
          <t>Materiales</t>
        </is>
      </c>
      <c r="I3264" s="9" t="n">
        <v>2005.14</v>
      </c>
      <c r="J3264" s="9" t="n">
        <v>1977.58</v>
      </c>
      <c r="K3264" s="9" t="n">
        <v>2177.65</v>
      </c>
      <c r="L3264" s="9" t="n">
        <v>1851.21</v>
      </c>
      <c r="M3264" s="9" t="n">
        <v>1926.67</v>
      </c>
      <c r="N3264" s="9" t="n">
        <v>2018.3</v>
      </c>
      <c r="O3264" s="9" t="n">
        <v>2108.58</v>
      </c>
      <c r="P3264" s="9" t="n">
        <v>1903.66</v>
      </c>
      <c r="Q3264" s="9" t="n">
        <v>1676.95</v>
      </c>
      <c r="R3264" s="9" t="n">
        <v>2140.99</v>
      </c>
      <c r="S3264" s="9" t="n">
        <v>2006.88</v>
      </c>
      <c r="T3264" s="9" t="n">
        <v>1931.33</v>
      </c>
      <c r="U3264" s="10">
        <f>SUM(I3264:T3264)</f>
        <v/>
      </c>
    </row>
    <row r="3265">
      <c r="A3265" s="2" t="inlineStr">
        <is>
          <t>SN-1000-1200-1210-1210FH0002</t>
        </is>
      </c>
      <c r="B3265" s="2" t="inlineStr">
        <is>
          <t>1210FH0002</t>
        </is>
      </c>
      <c r="C3265" s="2" t="inlineStr">
        <is>
          <t>Hidrante / grifos FH0002</t>
        </is>
      </c>
      <c r="D3265" s="2" t="n">
        <v>1088</v>
      </c>
      <c r="E3265" s="2" t="inlineStr">
        <is>
          <t>CC-1000</t>
        </is>
      </c>
      <c r="F3265" s="2" t="inlineStr">
        <is>
          <t>P01</t>
        </is>
      </c>
      <c r="G3265" s="2" t="n">
        <v>630000</v>
      </c>
      <c r="H3265" s="2" t="inlineStr">
        <is>
          <t>Servicios externos</t>
        </is>
      </c>
      <c r="I3265" s="9" t="n">
        <v>2396.13</v>
      </c>
      <c r="J3265" s="9" t="n">
        <v>2417.12</v>
      </c>
      <c r="K3265" s="9" t="n">
        <v>2576.47</v>
      </c>
      <c r="L3265" s="9" t="n">
        <v>2403.96</v>
      </c>
      <c r="M3265" s="9" t="n">
        <v>2330.37</v>
      </c>
      <c r="N3265" s="9" t="n">
        <v>2294.74</v>
      </c>
      <c r="O3265" s="9" t="n">
        <v>2542.27</v>
      </c>
      <c r="P3265" s="9" t="n">
        <v>2256.05</v>
      </c>
      <c r="Q3265" s="9" t="n">
        <v>2292.28</v>
      </c>
      <c r="R3265" s="9" t="n">
        <v>2674.71</v>
      </c>
      <c r="S3265" s="9" t="n">
        <v>2356.36</v>
      </c>
      <c r="T3265" s="9" t="n">
        <v>2618.25</v>
      </c>
      <c r="U3265" s="10">
        <f>SUM(I3265:T3265)</f>
        <v/>
      </c>
    </row>
    <row r="3266">
      <c r="A3266" s="2" t="inlineStr">
        <is>
          <t>SN-1000-1200-1210-1210FH0003</t>
        </is>
      </c>
      <c r="B3266" s="2" t="inlineStr">
        <is>
          <t>1210FH0003</t>
        </is>
      </c>
      <c r="C3266" s="2" t="inlineStr">
        <is>
          <t>Hidrante / grifos FH0003</t>
        </is>
      </c>
      <c r="D3266" s="2" t="n">
        <v>1089</v>
      </c>
      <c r="E3266" s="2" t="inlineStr">
        <is>
          <t>CC-1000</t>
        </is>
      </c>
      <c r="F3266" s="2" t="inlineStr">
        <is>
          <t>P01</t>
        </is>
      </c>
      <c r="G3266" s="2" t="n">
        <v>610000</v>
      </c>
      <c r="H3266" s="2" t="inlineStr">
        <is>
          <t>Mano obra interna</t>
        </is>
      </c>
      <c r="I3266" s="9" t="n">
        <v>2043.29</v>
      </c>
      <c r="J3266" s="9" t="n">
        <v>1960.51</v>
      </c>
      <c r="K3266" s="9" t="n">
        <v>2093.18</v>
      </c>
      <c r="L3266" s="9" t="n">
        <v>1885.75</v>
      </c>
      <c r="M3266" s="9" t="n">
        <v>2061.43</v>
      </c>
      <c r="N3266" s="9" t="n">
        <v>1736.17</v>
      </c>
      <c r="O3266" s="9" t="n">
        <v>2004.4</v>
      </c>
      <c r="P3266" s="9" t="n">
        <v>1994.09</v>
      </c>
      <c r="Q3266" s="9" t="n">
        <v>1738.76</v>
      </c>
      <c r="R3266" s="9" t="n">
        <v>1957.76</v>
      </c>
      <c r="S3266" s="9" t="n">
        <v>1787.19</v>
      </c>
      <c r="T3266" s="9" t="n">
        <v>1915.82</v>
      </c>
      <c r="U3266" s="10">
        <f>SUM(I3266:T3266)</f>
        <v/>
      </c>
    </row>
    <row r="3267">
      <c r="A3267" s="2" t="inlineStr">
        <is>
          <t>SN-1000-1200-1210-1210FH0003</t>
        </is>
      </c>
      <c r="B3267" s="2" t="inlineStr">
        <is>
          <t>1210FH0003</t>
        </is>
      </c>
      <c r="C3267" s="2" t="inlineStr">
        <is>
          <t>Hidrante / grifos FH0003</t>
        </is>
      </c>
      <c r="D3267" s="2" t="n">
        <v>1089</v>
      </c>
      <c r="E3267" s="2" t="inlineStr">
        <is>
          <t>CC-1000</t>
        </is>
      </c>
      <c r="F3267" s="2" t="inlineStr">
        <is>
          <t>P01</t>
        </is>
      </c>
      <c r="G3267" s="2" t="n">
        <v>620000</v>
      </c>
      <c r="H3267" s="2" t="inlineStr">
        <is>
          <t>Materiales</t>
        </is>
      </c>
      <c r="I3267" s="9" t="n">
        <v>2194.21</v>
      </c>
      <c r="J3267" s="9" t="n">
        <v>1863.1</v>
      </c>
      <c r="K3267" s="9" t="n">
        <v>2027.27</v>
      </c>
      <c r="L3267" s="9" t="n">
        <v>2207.96</v>
      </c>
      <c r="M3267" s="9" t="n">
        <v>1927.82</v>
      </c>
      <c r="N3267" s="9" t="n">
        <v>2098.6</v>
      </c>
      <c r="O3267" s="9" t="n">
        <v>1955.42</v>
      </c>
      <c r="P3267" s="9" t="n">
        <v>2109.88</v>
      </c>
      <c r="Q3267" s="9" t="n">
        <v>1867.96</v>
      </c>
      <c r="R3267" s="9" t="n">
        <v>2065.51</v>
      </c>
      <c r="S3267" s="9" t="n">
        <v>1891.59</v>
      </c>
      <c r="T3267" s="9" t="n">
        <v>2121.68</v>
      </c>
      <c r="U3267" s="10">
        <f>SUM(I3267:T3267)</f>
        <v/>
      </c>
    </row>
    <row r="3268">
      <c r="A3268" s="2" t="inlineStr">
        <is>
          <t>SN-1000-1200-1210-1210FH0003</t>
        </is>
      </c>
      <c r="B3268" s="2" t="inlineStr">
        <is>
          <t>1210FH0003</t>
        </is>
      </c>
      <c r="C3268" s="2" t="inlineStr">
        <is>
          <t>Hidrante / grifos FH0003</t>
        </is>
      </c>
      <c r="D3268" s="2" t="n">
        <v>1089</v>
      </c>
      <c r="E3268" s="2" t="inlineStr">
        <is>
          <t>CC-1000</t>
        </is>
      </c>
      <c r="F3268" s="2" t="inlineStr">
        <is>
          <t>P01</t>
        </is>
      </c>
      <c r="G3268" s="2" t="n">
        <v>630000</v>
      </c>
      <c r="H3268" s="2" t="inlineStr">
        <is>
          <t>Servicios externos</t>
        </is>
      </c>
      <c r="I3268" s="9" t="n">
        <v>1802.29</v>
      </c>
      <c r="J3268" s="9" t="n">
        <v>1629.68</v>
      </c>
      <c r="K3268" s="9" t="n">
        <v>1776.76</v>
      </c>
      <c r="L3268" s="9" t="n">
        <v>1778.31</v>
      </c>
      <c r="M3268" s="9" t="n">
        <v>1694.61</v>
      </c>
      <c r="N3268" s="9" t="n">
        <v>1580.02</v>
      </c>
      <c r="O3268" s="9" t="n">
        <v>1726.65</v>
      </c>
      <c r="P3268" s="9" t="n">
        <v>1788.81</v>
      </c>
      <c r="Q3268" s="9" t="n">
        <v>1736.76</v>
      </c>
      <c r="R3268" s="9" t="n">
        <v>1959.5</v>
      </c>
      <c r="S3268" s="9" t="n">
        <v>1590.04</v>
      </c>
      <c r="T3268" s="9" t="n">
        <v>1698.25</v>
      </c>
      <c r="U3268" s="10">
        <f>SUM(I3268:T3268)</f>
        <v/>
      </c>
    </row>
    <row r="3269">
      <c r="A3269" s="2" t="inlineStr">
        <is>
          <t>SN-1000-1200-1210-1210FH0004</t>
        </is>
      </c>
      <c r="B3269" s="2" t="inlineStr">
        <is>
          <t>1210FH0004</t>
        </is>
      </c>
      <c r="C3269" s="2" t="inlineStr">
        <is>
          <t>Hidrante / grifos FH0004</t>
        </is>
      </c>
      <c r="D3269" s="2" t="n">
        <v>1090</v>
      </c>
      <c r="E3269" s="2" t="inlineStr">
        <is>
          <t>CC-1000</t>
        </is>
      </c>
      <c r="F3269" s="2" t="inlineStr">
        <is>
          <t>P01</t>
        </is>
      </c>
      <c r="G3269" s="2" t="n">
        <v>610000</v>
      </c>
      <c r="H3269" s="2" t="inlineStr">
        <is>
          <t>Mano obra interna</t>
        </is>
      </c>
      <c r="I3269" s="9" t="n">
        <v>524.35</v>
      </c>
      <c r="J3269" s="9" t="n">
        <v>515.75</v>
      </c>
      <c r="K3269" s="9" t="n">
        <v>535.65</v>
      </c>
      <c r="L3269" s="9" t="n">
        <v>531.92</v>
      </c>
      <c r="M3269" s="9" t="n">
        <v>516.54</v>
      </c>
      <c r="N3269" s="9" t="n">
        <v>504.85</v>
      </c>
      <c r="O3269" s="9" t="n">
        <v>513</v>
      </c>
      <c r="P3269" s="9" t="n">
        <v>525.66</v>
      </c>
      <c r="Q3269" s="9" t="n">
        <v>523.04</v>
      </c>
      <c r="R3269" s="9" t="n">
        <v>563.41</v>
      </c>
      <c r="S3269" s="9" t="n">
        <v>500.3</v>
      </c>
      <c r="T3269" s="9" t="n">
        <v>515.25</v>
      </c>
      <c r="U3269" s="10">
        <f>SUM(I3269:T3269)</f>
        <v/>
      </c>
    </row>
    <row r="3270">
      <c r="A3270" s="2" t="inlineStr">
        <is>
          <t>SN-1000-1200-1210-1210FH0004</t>
        </is>
      </c>
      <c r="B3270" s="2" t="inlineStr">
        <is>
          <t>1210FH0004</t>
        </is>
      </c>
      <c r="C3270" s="2" t="inlineStr">
        <is>
          <t>Hidrante / grifos FH0004</t>
        </is>
      </c>
      <c r="D3270" s="2" t="n">
        <v>1090</v>
      </c>
      <c r="E3270" s="2" t="inlineStr">
        <is>
          <t>CC-1000</t>
        </is>
      </c>
      <c r="F3270" s="2" t="inlineStr">
        <is>
          <t>P01</t>
        </is>
      </c>
      <c r="G3270" s="2" t="n">
        <v>620000</v>
      </c>
      <c r="H3270" s="2" t="inlineStr">
        <is>
          <t>Materiales</t>
        </is>
      </c>
      <c r="I3270" s="9" t="n">
        <v>614.54</v>
      </c>
      <c r="J3270" s="9" t="n">
        <v>522.46</v>
      </c>
      <c r="K3270" s="9" t="n">
        <v>592.8099999999999</v>
      </c>
      <c r="L3270" s="9" t="n">
        <v>597.4</v>
      </c>
      <c r="M3270" s="9" t="n">
        <v>573.21</v>
      </c>
      <c r="N3270" s="9" t="n">
        <v>578.66</v>
      </c>
      <c r="O3270" s="9" t="n">
        <v>604.49</v>
      </c>
      <c r="P3270" s="9" t="n">
        <v>529.9400000000001</v>
      </c>
      <c r="Q3270" s="9" t="n">
        <v>519.49</v>
      </c>
      <c r="R3270" s="9" t="n">
        <v>632.35</v>
      </c>
      <c r="S3270" s="9" t="n">
        <v>592.53</v>
      </c>
      <c r="T3270" s="9" t="n">
        <v>607.47</v>
      </c>
      <c r="U3270" s="10">
        <f>SUM(I3270:T3270)</f>
        <v/>
      </c>
    </row>
    <row r="3271">
      <c r="A3271" s="2" t="inlineStr">
        <is>
          <t>SN-1000-1200-1210-1210FH0004</t>
        </is>
      </c>
      <c r="B3271" s="2" t="inlineStr">
        <is>
          <t>1210FH0004</t>
        </is>
      </c>
      <c r="C3271" s="2" t="inlineStr">
        <is>
          <t>Hidrante / grifos FH0004</t>
        </is>
      </c>
      <c r="D3271" s="2" t="n">
        <v>1090</v>
      </c>
      <c r="E3271" s="2" t="inlineStr">
        <is>
          <t>CC-1000</t>
        </is>
      </c>
      <c r="F3271" s="2" t="inlineStr">
        <is>
          <t>P01</t>
        </is>
      </c>
      <c r="G3271" s="2" t="n">
        <v>630000</v>
      </c>
      <c r="H3271" s="2" t="inlineStr">
        <is>
          <t>Servicios externos</t>
        </is>
      </c>
      <c r="I3271" s="9" t="n">
        <v>513.22</v>
      </c>
      <c r="J3271" s="9" t="n">
        <v>534.91</v>
      </c>
      <c r="K3271" s="9" t="n">
        <v>535.1900000000001</v>
      </c>
      <c r="L3271" s="9" t="n">
        <v>536.67</v>
      </c>
      <c r="M3271" s="9" t="n">
        <v>524.75</v>
      </c>
      <c r="N3271" s="9" t="n">
        <v>466.63</v>
      </c>
      <c r="O3271" s="9" t="n">
        <v>551.08</v>
      </c>
      <c r="P3271" s="9" t="n">
        <v>551.02</v>
      </c>
      <c r="Q3271" s="9" t="n">
        <v>482.66</v>
      </c>
      <c r="R3271" s="9" t="n">
        <v>573.4299999999999</v>
      </c>
      <c r="S3271" s="9" t="n">
        <v>517.41</v>
      </c>
      <c r="T3271" s="9" t="n">
        <v>502.63</v>
      </c>
      <c r="U3271" s="10">
        <f>SUM(I3271:T3271)</f>
        <v/>
      </c>
    </row>
    <row r="3272">
      <c r="A3272" s="2" t="inlineStr">
        <is>
          <t>SN-1000-1200-1210-1210FH0005</t>
        </is>
      </c>
      <c r="B3272" s="2" t="inlineStr">
        <is>
          <t>1210FH0005</t>
        </is>
      </c>
      <c r="C3272" s="2" t="inlineStr">
        <is>
          <t>Hidrante / grifos FH0005</t>
        </is>
      </c>
      <c r="D3272" s="2" t="n">
        <v>1091</v>
      </c>
      <c r="E3272" s="2" t="inlineStr">
        <is>
          <t>CC-1000</t>
        </is>
      </c>
      <c r="F3272" s="2" t="inlineStr">
        <is>
          <t>P01</t>
        </is>
      </c>
      <c r="G3272" s="2" t="n">
        <v>610000</v>
      </c>
      <c r="H3272" s="2" t="inlineStr">
        <is>
          <t>Mano obra interna</t>
        </is>
      </c>
      <c r="I3272" s="9" t="n">
        <v>1398.16</v>
      </c>
      <c r="J3272" s="9" t="n">
        <v>1557.42</v>
      </c>
      <c r="K3272" s="9" t="n">
        <v>1492.53</v>
      </c>
      <c r="L3272" s="9" t="n">
        <v>1415.61</v>
      </c>
      <c r="M3272" s="9" t="n">
        <v>1460</v>
      </c>
      <c r="N3272" s="9" t="n">
        <v>1321.91</v>
      </c>
      <c r="O3272" s="9" t="n">
        <v>1385.56</v>
      </c>
      <c r="P3272" s="9" t="n">
        <v>1479.63</v>
      </c>
      <c r="Q3272" s="9" t="n">
        <v>1382.79</v>
      </c>
      <c r="R3272" s="9" t="n">
        <v>1620.22</v>
      </c>
      <c r="S3272" s="9" t="n">
        <v>1471.91</v>
      </c>
      <c r="T3272" s="9" t="n">
        <v>1545.93</v>
      </c>
      <c r="U3272" s="10">
        <f>SUM(I3272:T3272)</f>
        <v/>
      </c>
    </row>
    <row r="3273">
      <c r="A3273" s="2" t="inlineStr">
        <is>
          <t>SN-1000-1200-1210-1210FH0005</t>
        </is>
      </c>
      <c r="B3273" s="2" t="inlineStr">
        <is>
          <t>1210FH0005</t>
        </is>
      </c>
      <c r="C3273" s="2" t="inlineStr">
        <is>
          <t>Hidrante / grifos FH0005</t>
        </is>
      </c>
      <c r="D3273" s="2" t="n">
        <v>1091</v>
      </c>
      <c r="E3273" s="2" t="inlineStr">
        <is>
          <t>CC-1000</t>
        </is>
      </c>
      <c r="F3273" s="2" t="inlineStr">
        <is>
          <t>P01</t>
        </is>
      </c>
      <c r="G3273" s="2" t="n">
        <v>620000</v>
      </c>
      <c r="H3273" s="2" t="inlineStr">
        <is>
          <t>Materiales</t>
        </is>
      </c>
      <c r="I3273" s="9" t="n">
        <v>1657.16</v>
      </c>
      <c r="J3273" s="9" t="n">
        <v>1514.03</v>
      </c>
      <c r="K3273" s="9" t="n">
        <v>1621.72</v>
      </c>
      <c r="L3273" s="9" t="n">
        <v>1594.18</v>
      </c>
      <c r="M3273" s="9" t="n">
        <v>1527.53</v>
      </c>
      <c r="N3273" s="9" t="n">
        <v>1453.7</v>
      </c>
      <c r="O3273" s="9" t="n">
        <v>1480.52</v>
      </c>
      <c r="P3273" s="9" t="n">
        <v>1587.19</v>
      </c>
      <c r="Q3273" s="9" t="n">
        <v>1486</v>
      </c>
      <c r="R3273" s="9" t="n">
        <v>1666.47</v>
      </c>
      <c r="S3273" s="9" t="n">
        <v>1653.16</v>
      </c>
      <c r="T3273" s="9" t="n">
        <v>1625.12</v>
      </c>
      <c r="U3273" s="10">
        <f>SUM(I3273:T3273)</f>
        <v/>
      </c>
    </row>
    <row r="3274">
      <c r="A3274" s="2" t="inlineStr">
        <is>
          <t>SN-1000-1200-1210-1210FH0005</t>
        </is>
      </c>
      <c r="B3274" s="2" t="inlineStr">
        <is>
          <t>1210FH0005</t>
        </is>
      </c>
      <c r="C3274" s="2" t="inlineStr">
        <is>
          <t>Hidrante / grifos FH0005</t>
        </is>
      </c>
      <c r="D3274" s="2" t="n">
        <v>1091</v>
      </c>
      <c r="E3274" s="2" t="inlineStr">
        <is>
          <t>CC-1000</t>
        </is>
      </c>
      <c r="F3274" s="2" t="inlineStr">
        <is>
          <t>P01</t>
        </is>
      </c>
      <c r="G3274" s="2" t="n">
        <v>630000</v>
      </c>
      <c r="H3274" s="2" t="inlineStr">
        <is>
          <t>Servicios externos</t>
        </is>
      </c>
      <c r="I3274" s="9" t="n">
        <v>1850.91</v>
      </c>
      <c r="J3274" s="9" t="n">
        <v>1678.25</v>
      </c>
      <c r="K3274" s="9" t="n">
        <v>1990.21</v>
      </c>
      <c r="L3274" s="9" t="n">
        <v>1945.52</v>
      </c>
      <c r="M3274" s="9" t="n">
        <v>1766.31</v>
      </c>
      <c r="N3274" s="9" t="n">
        <v>1643.77</v>
      </c>
      <c r="O3274" s="9" t="n">
        <v>1714.22</v>
      </c>
      <c r="P3274" s="9" t="n">
        <v>1879.4</v>
      </c>
      <c r="Q3274" s="9" t="n">
        <v>1554</v>
      </c>
      <c r="R3274" s="9" t="n">
        <v>1976.34</v>
      </c>
      <c r="S3274" s="9" t="n">
        <v>1774.67</v>
      </c>
      <c r="T3274" s="9" t="n">
        <v>1727.18</v>
      </c>
      <c r="U3274" s="10">
        <f>SUM(I3274:T3274)</f>
        <v/>
      </c>
    </row>
    <row r="3275">
      <c r="A3275" s="2" t="inlineStr">
        <is>
          <t>SN-1000-1200-1210-1210FH0006</t>
        </is>
      </c>
      <c r="B3275" s="2" t="inlineStr">
        <is>
          <t>1210FH0006</t>
        </is>
      </c>
      <c r="C3275" s="2" t="inlineStr">
        <is>
          <t>Hidrante / grifos FH0006</t>
        </is>
      </c>
      <c r="D3275" s="2" t="n">
        <v>1092</v>
      </c>
      <c r="E3275" s="2" t="inlineStr">
        <is>
          <t>CC-1000</t>
        </is>
      </c>
      <c r="F3275" s="2" t="inlineStr">
        <is>
          <t>P01</t>
        </is>
      </c>
      <c r="G3275" s="2" t="n">
        <v>610000</v>
      </c>
      <c r="H3275" s="2" t="inlineStr">
        <is>
          <t>Mano obra interna</t>
        </is>
      </c>
      <c r="I3275" s="9" t="n">
        <v>1889.51</v>
      </c>
      <c r="J3275" s="9" t="n">
        <v>1722.54</v>
      </c>
      <c r="K3275" s="9" t="n">
        <v>1843.81</v>
      </c>
      <c r="L3275" s="9" t="n">
        <v>1929.05</v>
      </c>
      <c r="M3275" s="9" t="n">
        <v>1780.06</v>
      </c>
      <c r="N3275" s="9" t="n">
        <v>1745.69</v>
      </c>
      <c r="O3275" s="9" t="n">
        <v>1767.82</v>
      </c>
      <c r="P3275" s="9" t="n">
        <v>1690.3</v>
      </c>
      <c r="Q3275" s="9" t="n">
        <v>1801.09</v>
      </c>
      <c r="R3275" s="9" t="n">
        <v>1942.32</v>
      </c>
      <c r="S3275" s="9" t="n">
        <v>1689.4</v>
      </c>
      <c r="T3275" s="9" t="n">
        <v>1880.84</v>
      </c>
      <c r="U3275" s="10">
        <f>SUM(I3275:T3275)</f>
        <v/>
      </c>
    </row>
    <row r="3276">
      <c r="A3276" s="2" t="inlineStr">
        <is>
          <t>SN-1000-1200-1210-1210FH0006</t>
        </is>
      </c>
      <c r="B3276" s="2" t="inlineStr">
        <is>
          <t>1210FH0006</t>
        </is>
      </c>
      <c r="C3276" s="2" t="inlineStr">
        <is>
          <t>Hidrante / grifos FH0006</t>
        </is>
      </c>
      <c r="D3276" s="2" t="n">
        <v>1092</v>
      </c>
      <c r="E3276" s="2" t="inlineStr">
        <is>
          <t>CC-1000</t>
        </is>
      </c>
      <c r="F3276" s="2" t="inlineStr">
        <is>
          <t>P01</t>
        </is>
      </c>
      <c r="G3276" s="2" t="n">
        <v>620000</v>
      </c>
      <c r="H3276" s="2" t="inlineStr">
        <is>
          <t>Materiales</t>
        </is>
      </c>
      <c r="I3276" s="9" t="n">
        <v>1663.01</v>
      </c>
      <c r="J3276" s="9" t="n">
        <v>1777.09</v>
      </c>
      <c r="K3276" s="9" t="n">
        <v>1635.09</v>
      </c>
      <c r="L3276" s="9" t="n">
        <v>1768.71</v>
      </c>
      <c r="M3276" s="9" t="n">
        <v>1678.22</v>
      </c>
      <c r="N3276" s="9" t="n">
        <v>1579.69</v>
      </c>
      <c r="O3276" s="9" t="n">
        <v>1791.46</v>
      </c>
      <c r="P3276" s="9" t="n">
        <v>1743.03</v>
      </c>
      <c r="Q3276" s="9" t="n">
        <v>1649.92</v>
      </c>
      <c r="R3276" s="9" t="n">
        <v>1810.18</v>
      </c>
      <c r="S3276" s="9" t="n">
        <v>1764.04</v>
      </c>
      <c r="T3276" s="9" t="n">
        <v>1684.14</v>
      </c>
      <c r="U3276" s="10">
        <f>SUM(I3276:T3276)</f>
        <v/>
      </c>
    </row>
    <row r="3277">
      <c r="A3277" s="2" t="inlineStr">
        <is>
          <t>SN-1000-1200-1210-1210FH0006</t>
        </is>
      </c>
      <c r="B3277" s="2" t="inlineStr">
        <is>
          <t>1210FH0006</t>
        </is>
      </c>
      <c r="C3277" s="2" t="inlineStr">
        <is>
          <t>Hidrante / grifos FH0006</t>
        </is>
      </c>
      <c r="D3277" s="2" t="n">
        <v>1092</v>
      </c>
      <c r="E3277" s="2" t="inlineStr">
        <is>
          <t>CC-1000</t>
        </is>
      </c>
      <c r="F3277" s="2" t="inlineStr">
        <is>
          <t>P01</t>
        </is>
      </c>
      <c r="G3277" s="2" t="n">
        <v>630000</v>
      </c>
      <c r="H3277" s="2" t="inlineStr">
        <is>
          <t>Servicios externos</t>
        </is>
      </c>
      <c r="I3277" s="9" t="n">
        <v>1820.52</v>
      </c>
      <c r="J3277" s="9" t="n">
        <v>1532.86</v>
      </c>
      <c r="K3277" s="9" t="n">
        <v>1612.73</v>
      </c>
      <c r="L3277" s="9" t="n">
        <v>1839.17</v>
      </c>
      <c r="M3277" s="9" t="n">
        <v>1774.87</v>
      </c>
      <c r="N3277" s="9" t="n">
        <v>1663.69</v>
      </c>
      <c r="O3277" s="9" t="n">
        <v>1664.17</v>
      </c>
      <c r="P3277" s="9" t="n">
        <v>1668.01</v>
      </c>
      <c r="Q3277" s="9" t="n">
        <v>1492.07</v>
      </c>
      <c r="R3277" s="9" t="n">
        <v>1779.07</v>
      </c>
      <c r="S3277" s="9" t="n">
        <v>1596.65</v>
      </c>
      <c r="T3277" s="9" t="n">
        <v>1566.78</v>
      </c>
      <c r="U3277" s="10">
        <f>SUM(I3277:T3277)</f>
        <v/>
      </c>
    </row>
    <row r="3278">
      <c r="A3278" s="2" t="inlineStr">
        <is>
          <t>SN-1000-1200-1210-1210FL0001</t>
        </is>
      </c>
      <c r="B3278" s="2" t="inlineStr">
        <is>
          <t>1210FL0001</t>
        </is>
      </c>
      <c r="C3278" s="2" t="inlineStr">
        <is>
          <t>Unidad micro filtrado aceite FL0001</t>
        </is>
      </c>
      <c r="D3278" s="2" t="n">
        <v>1093</v>
      </c>
      <c r="E3278" s="2" t="inlineStr">
        <is>
          <t>CC-1000</t>
        </is>
      </c>
      <c r="F3278" s="2" t="inlineStr">
        <is>
          <t>P01</t>
        </is>
      </c>
      <c r="G3278" s="2" t="n">
        <v>610000</v>
      </c>
      <c r="H3278" s="2" t="inlineStr">
        <is>
          <t>Mano obra interna</t>
        </is>
      </c>
      <c r="I3278" s="9" t="n">
        <v>2219.91</v>
      </c>
      <c r="J3278" s="9" t="n">
        <v>2205.59</v>
      </c>
      <c r="K3278" s="9" t="n">
        <v>2256.59</v>
      </c>
      <c r="L3278" s="9" t="n">
        <v>2358.76</v>
      </c>
      <c r="M3278" s="9" t="n">
        <v>2113.32</v>
      </c>
      <c r="N3278" s="9" t="n">
        <v>2055.66</v>
      </c>
      <c r="O3278" s="9" t="n">
        <v>2207.58</v>
      </c>
      <c r="P3278" s="9" t="n">
        <v>2076.31</v>
      </c>
      <c r="Q3278" s="9" t="n">
        <v>1996.23</v>
      </c>
      <c r="R3278" s="9" t="n">
        <v>2422.81</v>
      </c>
      <c r="S3278" s="9" t="n">
        <v>2082.16</v>
      </c>
      <c r="T3278" s="9" t="n">
        <v>2358.07</v>
      </c>
      <c r="U3278" s="10">
        <f>SUM(I3278:T3278)</f>
        <v/>
      </c>
    </row>
    <row r="3279">
      <c r="A3279" s="2" t="inlineStr">
        <is>
          <t>SN-1000-1200-1210-1210FL0001</t>
        </is>
      </c>
      <c r="B3279" s="2" t="inlineStr">
        <is>
          <t>1210FL0001</t>
        </is>
      </c>
      <c r="C3279" s="2" t="inlineStr">
        <is>
          <t>Unidad micro filtrado aceite FL0001</t>
        </is>
      </c>
      <c r="D3279" s="2" t="n">
        <v>1093</v>
      </c>
      <c r="E3279" s="2" t="inlineStr">
        <is>
          <t>CC-1000</t>
        </is>
      </c>
      <c r="F3279" s="2" t="inlineStr">
        <is>
          <t>P01</t>
        </is>
      </c>
      <c r="G3279" s="2" t="n">
        <v>620000</v>
      </c>
      <c r="H3279" s="2" t="inlineStr">
        <is>
          <t>Materiales</t>
        </is>
      </c>
      <c r="I3279" s="9" t="n">
        <v>2154.81</v>
      </c>
      <c r="J3279" s="9" t="n">
        <v>2196.35</v>
      </c>
      <c r="K3279" s="9" t="n">
        <v>2402.97</v>
      </c>
      <c r="L3279" s="9" t="n">
        <v>2336.25</v>
      </c>
      <c r="M3279" s="9" t="n">
        <v>2347.81</v>
      </c>
      <c r="N3279" s="9" t="n">
        <v>2221.88</v>
      </c>
      <c r="O3279" s="9" t="n">
        <v>2078.81</v>
      </c>
      <c r="P3279" s="9" t="n">
        <v>2094.5</v>
      </c>
      <c r="Q3279" s="9" t="n">
        <v>2129.98</v>
      </c>
      <c r="R3279" s="9" t="n">
        <v>2308.99</v>
      </c>
      <c r="S3279" s="9" t="n">
        <v>2193.64</v>
      </c>
      <c r="T3279" s="9" t="n">
        <v>2373.81</v>
      </c>
      <c r="U3279" s="10">
        <f>SUM(I3279:T3279)</f>
        <v/>
      </c>
    </row>
    <row r="3280">
      <c r="A3280" s="2" t="inlineStr">
        <is>
          <t>SN-1000-1200-1210-1210FL0001</t>
        </is>
      </c>
      <c r="B3280" s="2" t="inlineStr">
        <is>
          <t>1210FL0001</t>
        </is>
      </c>
      <c r="C3280" s="2" t="inlineStr">
        <is>
          <t>Unidad micro filtrado aceite FL0001</t>
        </is>
      </c>
      <c r="D3280" s="2" t="n">
        <v>1093</v>
      </c>
      <c r="E3280" s="2" t="inlineStr">
        <is>
          <t>CC-1000</t>
        </is>
      </c>
      <c r="F3280" s="2" t="inlineStr">
        <is>
          <t>P01</t>
        </is>
      </c>
      <c r="G3280" s="2" t="n">
        <v>630000</v>
      </c>
      <c r="H3280" s="2" t="inlineStr">
        <is>
          <t>Servicios externos</t>
        </is>
      </c>
      <c r="I3280" s="9" t="n">
        <v>2215.65</v>
      </c>
      <c r="J3280" s="9" t="n">
        <v>2217.55</v>
      </c>
      <c r="K3280" s="9" t="n">
        <v>2140.34</v>
      </c>
      <c r="L3280" s="9" t="n">
        <v>2328.96</v>
      </c>
      <c r="M3280" s="9" t="n">
        <v>2246.03</v>
      </c>
      <c r="N3280" s="9" t="n">
        <v>2108.34</v>
      </c>
      <c r="O3280" s="9" t="n">
        <v>2123.25</v>
      </c>
      <c r="P3280" s="9" t="n">
        <v>2303.18</v>
      </c>
      <c r="Q3280" s="9" t="n">
        <v>2051.53</v>
      </c>
      <c r="R3280" s="9" t="n">
        <v>2205.35</v>
      </c>
      <c r="S3280" s="9" t="n">
        <v>2272.54</v>
      </c>
      <c r="T3280" s="9" t="n">
        <v>2328.46</v>
      </c>
      <c r="U3280" s="10">
        <f>SUM(I3280:T3280)</f>
        <v/>
      </c>
    </row>
    <row r="3281">
      <c r="A3281" s="2" t="inlineStr">
        <is>
          <t>SN-1000-1200-1210-1210FL0002</t>
        </is>
      </c>
      <c r="B3281" s="2" t="inlineStr">
        <is>
          <t>1210FL0002</t>
        </is>
      </c>
      <c r="C3281" s="2" t="inlineStr">
        <is>
          <t>Unidad micro filtrado aceite FL0002</t>
        </is>
      </c>
      <c r="D3281" s="2" t="n">
        <v>1094</v>
      </c>
      <c r="E3281" s="2" t="inlineStr">
        <is>
          <t>CC-1000</t>
        </is>
      </c>
      <c r="F3281" s="2" t="inlineStr">
        <is>
          <t>P01</t>
        </is>
      </c>
      <c r="G3281" s="2" t="n">
        <v>610000</v>
      </c>
      <c r="H3281" s="2" t="inlineStr">
        <is>
          <t>Mano obra interna</t>
        </is>
      </c>
      <c r="I3281" s="9" t="n">
        <v>2771.41</v>
      </c>
      <c r="J3281" s="9" t="n">
        <v>2899.77</v>
      </c>
      <c r="K3281" s="9" t="n">
        <v>2953.82</v>
      </c>
      <c r="L3281" s="9" t="n">
        <v>2818.7</v>
      </c>
      <c r="M3281" s="9" t="n">
        <v>2780.69</v>
      </c>
      <c r="N3281" s="9" t="n">
        <v>2530.08</v>
      </c>
      <c r="O3281" s="9" t="n">
        <v>2610.2</v>
      </c>
      <c r="P3281" s="9" t="n">
        <v>2641.1</v>
      </c>
      <c r="Q3281" s="9" t="n">
        <v>2468.47</v>
      </c>
      <c r="R3281" s="9" t="n">
        <v>3071.08</v>
      </c>
      <c r="S3281" s="9" t="n">
        <v>2502.06</v>
      </c>
      <c r="T3281" s="9" t="n">
        <v>2906.88</v>
      </c>
      <c r="U3281" s="10">
        <f>SUM(I3281:T3281)</f>
        <v/>
      </c>
    </row>
    <row r="3282">
      <c r="A3282" s="2" t="inlineStr">
        <is>
          <t>SN-1000-1200-1210-1210FL0002</t>
        </is>
      </c>
      <c r="B3282" s="2" t="inlineStr">
        <is>
          <t>1210FL0002</t>
        </is>
      </c>
      <c r="C3282" s="2" t="inlineStr">
        <is>
          <t>Unidad micro filtrado aceite FL0002</t>
        </is>
      </c>
      <c r="D3282" s="2" t="n">
        <v>1094</v>
      </c>
      <c r="E3282" s="2" t="inlineStr">
        <is>
          <t>CC-1000</t>
        </is>
      </c>
      <c r="F3282" s="2" t="inlineStr">
        <is>
          <t>P01</t>
        </is>
      </c>
      <c r="G3282" s="2" t="n">
        <v>620000</v>
      </c>
      <c r="H3282" s="2" t="inlineStr">
        <is>
          <t>Materiales</t>
        </is>
      </c>
      <c r="I3282" s="9" t="n">
        <v>2595.8</v>
      </c>
      <c r="J3282" s="9" t="n">
        <v>2469.93</v>
      </c>
      <c r="K3282" s="9" t="n">
        <v>2678.26</v>
      </c>
      <c r="L3282" s="9" t="n">
        <v>2570.45</v>
      </c>
      <c r="M3282" s="9" t="n">
        <v>2534.91</v>
      </c>
      <c r="N3282" s="9" t="n">
        <v>2571.55</v>
      </c>
      <c r="O3282" s="9" t="n">
        <v>2644.06</v>
      </c>
      <c r="P3282" s="9" t="n">
        <v>2691.42</v>
      </c>
      <c r="Q3282" s="9" t="n">
        <v>2493.74</v>
      </c>
      <c r="R3282" s="9" t="n">
        <v>2934.66</v>
      </c>
      <c r="S3282" s="9" t="n">
        <v>2388.21</v>
      </c>
      <c r="T3282" s="9" t="n">
        <v>2837.38</v>
      </c>
      <c r="U3282" s="10">
        <f>SUM(I3282:T3282)</f>
        <v/>
      </c>
    </row>
    <row r="3283">
      <c r="A3283" s="2" t="inlineStr">
        <is>
          <t>SN-1000-1200-1210-1210FL0002</t>
        </is>
      </c>
      <c r="B3283" s="2" t="inlineStr">
        <is>
          <t>1210FL0002</t>
        </is>
      </c>
      <c r="C3283" s="2" t="inlineStr">
        <is>
          <t>Unidad micro filtrado aceite FL0002</t>
        </is>
      </c>
      <c r="D3283" s="2" t="n">
        <v>1094</v>
      </c>
      <c r="E3283" s="2" t="inlineStr">
        <is>
          <t>CC-1000</t>
        </is>
      </c>
      <c r="F3283" s="2" t="inlineStr">
        <is>
          <t>P01</t>
        </is>
      </c>
      <c r="G3283" s="2" t="n">
        <v>630000</v>
      </c>
      <c r="H3283" s="2" t="inlineStr">
        <is>
          <t>Servicios externos</t>
        </is>
      </c>
      <c r="I3283" s="9" t="n">
        <v>2723.03</v>
      </c>
      <c r="J3283" s="9" t="n">
        <v>2610.6</v>
      </c>
      <c r="K3283" s="9" t="n">
        <v>2687.13</v>
      </c>
      <c r="L3283" s="9" t="n">
        <v>2843.23</v>
      </c>
      <c r="M3283" s="9" t="n">
        <v>2435.4</v>
      </c>
      <c r="N3283" s="9" t="n">
        <v>2433.34</v>
      </c>
      <c r="O3283" s="9" t="n">
        <v>2425.01</v>
      </c>
      <c r="P3283" s="9" t="n">
        <v>2444.4</v>
      </c>
      <c r="Q3283" s="9" t="n">
        <v>2481.03</v>
      </c>
      <c r="R3283" s="9" t="n">
        <v>2559.36</v>
      </c>
      <c r="S3283" s="9" t="n">
        <v>2650.74</v>
      </c>
      <c r="T3283" s="9" t="n">
        <v>2671.44</v>
      </c>
      <c r="U3283" s="10">
        <f>SUM(I3283:T3283)</f>
        <v/>
      </c>
    </row>
    <row r="3284">
      <c r="A3284" s="2" t="inlineStr">
        <is>
          <t>SN-1000-1200-1210-1210FL0003</t>
        </is>
      </c>
      <c r="B3284" s="2" t="inlineStr">
        <is>
          <t>1210FL0003</t>
        </is>
      </c>
      <c r="C3284" s="2" t="inlineStr">
        <is>
          <t>Unidad micro filtrado aceite FL0003</t>
        </is>
      </c>
      <c r="D3284" s="2" t="n">
        <v>1095</v>
      </c>
      <c r="E3284" s="2" t="inlineStr">
        <is>
          <t>CC-1000</t>
        </is>
      </c>
      <c r="F3284" s="2" t="inlineStr">
        <is>
          <t>P01</t>
        </is>
      </c>
      <c r="G3284" s="2" t="n">
        <v>610000</v>
      </c>
      <c r="H3284" s="2" t="inlineStr">
        <is>
          <t>Mano obra interna</t>
        </is>
      </c>
      <c r="I3284" s="9" t="n">
        <v>1523.22</v>
      </c>
      <c r="J3284" s="9" t="n">
        <v>1419.96</v>
      </c>
      <c r="K3284" s="9" t="n">
        <v>1688.72</v>
      </c>
      <c r="L3284" s="9" t="n">
        <v>1620.54</v>
      </c>
      <c r="M3284" s="9" t="n">
        <v>1477.9</v>
      </c>
      <c r="N3284" s="9" t="n">
        <v>1365.47</v>
      </c>
      <c r="O3284" s="9" t="n">
        <v>1491.4</v>
      </c>
      <c r="P3284" s="9" t="n">
        <v>1455.03</v>
      </c>
      <c r="Q3284" s="9" t="n">
        <v>1492.88</v>
      </c>
      <c r="R3284" s="9" t="n">
        <v>1711.86</v>
      </c>
      <c r="S3284" s="9" t="n">
        <v>1484.08</v>
      </c>
      <c r="T3284" s="9" t="n">
        <v>1652.34</v>
      </c>
      <c r="U3284" s="10">
        <f>SUM(I3284:T3284)</f>
        <v/>
      </c>
    </row>
    <row r="3285">
      <c r="A3285" s="2" t="inlineStr">
        <is>
          <t>SN-1000-1200-1210-1210FL0003</t>
        </is>
      </c>
      <c r="B3285" s="2" t="inlineStr">
        <is>
          <t>1210FL0003</t>
        </is>
      </c>
      <c r="C3285" s="2" t="inlineStr">
        <is>
          <t>Unidad micro filtrado aceite FL0003</t>
        </is>
      </c>
      <c r="D3285" s="2" t="n">
        <v>1095</v>
      </c>
      <c r="E3285" s="2" t="inlineStr">
        <is>
          <t>CC-1000</t>
        </is>
      </c>
      <c r="F3285" s="2" t="inlineStr">
        <is>
          <t>P01</t>
        </is>
      </c>
      <c r="G3285" s="2" t="n">
        <v>620000</v>
      </c>
      <c r="H3285" s="2" t="inlineStr">
        <is>
          <t>Materiales</t>
        </is>
      </c>
      <c r="I3285" s="9" t="n">
        <v>1410.46</v>
      </c>
      <c r="J3285" s="9" t="n">
        <v>1417.49</v>
      </c>
      <c r="K3285" s="9" t="n">
        <v>1337.09</v>
      </c>
      <c r="L3285" s="9" t="n">
        <v>1394.07</v>
      </c>
      <c r="M3285" s="9" t="n">
        <v>1393.76</v>
      </c>
      <c r="N3285" s="9" t="n">
        <v>1302.82</v>
      </c>
      <c r="O3285" s="9" t="n">
        <v>1388.58</v>
      </c>
      <c r="P3285" s="9" t="n">
        <v>1415.39</v>
      </c>
      <c r="Q3285" s="9" t="n">
        <v>1268.82</v>
      </c>
      <c r="R3285" s="9" t="n">
        <v>1406.9</v>
      </c>
      <c r="S3285" s="9" t="n">
        <v>1270.14</v>
      </c>
      <c r="T3285" s="9" t="n">
        <v>1419.14</v>
      </c>
      <c r="U3285" s="10">
        <f>SUM(I3285:T3285)</f>
        <v/>
      </c>
    </row>
    <row r="3286">
      <c r="A3286" s="2" t="inlineStr">
        <is>
          <t>SN-1000-1200-1210-1210FL0003</t>
        </is>
      </c>
      <c r="B3286" s="2" t="inlineStr">
        <is>
          <t>1210FL0003</t>
        </is>
      </c>
      <c r="C3286" s="2" t="inlineStr">
        <is>
          <t>Unidad micro filtrado aceite FL0003</t>
        </is>
      </c>
      <c r="D3286" s="2" t="n">
        <v>1095</v>
      </c>
      <c r="E3286" s="2" t="inlineStr">
        <is>
          <t>CC-1000</t>
        </is>
      </c>
      <c r="F3286" s="2" t="inlineStr">
        <is>
          <t>P01</t>
        </is>
      </c>
      <c r="G3286" s="2" t="n">
        <v>630000</v>
      </c>
      <c r="H3286" s="2" t="inlineStr">
        <is>
          <t>Servicios externos</t>
        </is>
      </c>
      <c r="I3286" s="9" t="n">
        <v>1488.64</v>
      </c>
      <c r="J3286" s="9" t="n">
        <v>1424.13</v>
      </c>
      <c r="K3286" s="9" t="n">
        <v>1381.86</v>
      </c>
      <c r="L3286" s="9" t="n">
        <v>1477.18</v>
      </c>
      <c r="M3286" s="9" t="n">
        <v>1365.65</v>
      </c>
      <c r="N3286" s="9" t="n">
        <v>1240.74</v>
      </c>
      <c r="O3286" s="9" t="n">
        <v>1398.35</v>
      </c>
      <c r="P3286" s="9" t="n">
        <v>1410.99</v>
      </c>
      <c r="Q3286" s="9" t="n">
        <v>1192.68</v>
      </c>
      <c r="R3286" s="9" t="n">
        <v>1436.33</v>
      </c>
      <c r="S3286" s="9" t="n">
        <v>1223.63</v>
      </c>
      <c r="T3286" s="9" t="n">
        <v>1352.1</v>
      </c>
      <c r="U3286" s="10">
        <f>SUM(I3286:T3286)</f>
        <v/>
      </c>
    </row>
    <row r="3287">
      <c r="A3287" s="2" t="inlineStr">
        <is>
          <t>SN-1000-1200-1210-1210FL0004</t>
        </is>
      </c>
      <c r="B3287" s="2" t="inlineStr">
        <is>
          <t>1210FL0004</t>
        </is>
      </c>
      <c r="C3287" s="2" t="inlineStr">
        <is>
          <t>Unidad micro filtrado aceite FL0004</t>
        </is>
      </c>
      <c r="D3287" s="2" t="n">
        <v>1096</v>
      </c>
      <c r="E3287" s="2" t="inlineStr">
        <is>
          <t>CC-1000</t>
        </is>
      </c>
      <c r="F3287" s="2" t="inlineStr">
        <is>
          <t>P01</t>
        </is>
      </c>
      <c r="G3287" s="2" t="n">
        <v>610000</v>
      </c>
      <c r="H3287" s="2" t="inlineStr">
        <is>
          <t>Mano obra interna</t>
        </is>
      </c>
      <c r="I3287" s="9" t="n">
        <v>1917.77</v>
      </c>
      <c r="J3287" s="9" t="n">
        <v>1725.13</v>
      </c>
      <c r="K3287" s="9" t="n">
        <v>1755.76</v>
      </c>
      <c r="L3287" s="9" t="n">
        <v>1825.35</v>
      </c>
      <c r="M3287" s="9" t="n">
        <v>1916.12</v>
      </c>
      <c r="N3287" s="9" t="n">
        <v>1731.03</v>
      </c>
      <c r="O3287" s="9" t="n">
        <v>1816.09</v>
      </c>
      <c r="P3287" s="9" t="n">
        <v>1829.78</v>
      </c>
      <c r="Q3287" s="9" t="n">
        <v>1782.07</v>
      </c>
      <c r="R3287" s="9" t="n">
        <v>1978.25</v>
      </c>
      <c r="S3287" s="9" t="n">
        <v>1665</v>
      </c>
      <c r="T3287" s="9" t="n">
        <v>1779.86</v>
      </c>
      <c r="U3287" s="10">
        <f>SUM(I3287:T3287)</f>
        <v/>
      </c>
    </row>
    <row r="3288">
      <c r="A3288" s="2" t="inlineStr">
        <is>
          <t>SN-1000-1200-1210-1210FL0004</t>
        </is>
      </c>
      <c r="B3288" s="2" t="inlineStr">
        <is>
          <t>1210FL0004</t>
        </is>
      </c>
      <c r="C3288" s="2" t="inlineStr">
        <is>
          <t>Unidad micro filtrado aceite FL0004</t>
        </is>
      </c>
      <c r="D3288" s="2" t="n">
        <v>1096</v>
      </c>
      <c r="E3288" s="2" t="inlineStr">
        <is>
          <t>CC-1000</t>
        </is>
      </c>
      <c r="F3288" s="2" t="inlineStr">
        <is>
          <t>P01</t>
        </is>
      </c>
      <c r="G3288" s="2" t="n">
        <v>620000</v>
      </c>
      <c r="H3288" s="2" t="inlineStr">
        <is>
          <t>Materiales</t>
        </is>
      </c>
      <c r="I3288" s="9" t="n">
        <v>1695.6</v>
      </c>
      <c r="J3288" s="9" t="n">
        <v>1510.89</v>
      </c>
      <c r="K3288" s="9" t="n">
        <v>1652.13</v>
      </c>
      <c r="L3288" s="9" t="n">
        <v>1724.54</v>
      </c>
      <c r="M3288" s="9" t="n">
        <v>1603.55</v>
      </c>
      <c r="N3288" s="9" t="n">
        <v>1638.72</v>
      </c>
      <c r="O3288" s="9" t="n">
        <v>1630.75</v>
      </c>
      <c r="P3288" s="9" t="n">
        <v>1784.76</v>
      </c>
      <c r="Q3288" s="9" t="n">
        <v>1659.2</v>
      </c>
      <c r="R3288" s="9" t="n">
        <v>1874.81</v>
      </c>
      <c r="S3288" s="9" t="n">
        <v>1722.66</v>
      </c>
      <c r="T3288" s="9" t="n">
        <v>1604</v>
      </c>
      <c r="U3288" s="10">
        <f>SUM(I3288:T3288)</f>
        <v/>
      </c>
    </row>
    <row r="3289">
      <c r="A3289" s="2" t="inlineStr">
        <is>
          <t>SN-1000-1200-1210-1210FL0004</t>
        </is>
      </c>
      <c r="B3289" s="2" t="inlineStr">
        <is>
          <t>1210FL0004</t>
        </is>
      </c>
      <c r="C3289" s="2" t="inlineStr">
        <is>
          <t>Unidad micro filtrado aceite FL0004</t>
        </is>
      </c>
      <c r="D3289" s="2" t="n">
        <v>1096</v>
      </c>
      <c r="E3289" s="2" t="inlineStr">
        <is>
          <t>CC-1000</t>
        </is>
      </c>
      <c r="F3289" s="2" t="inlineStr">
        <is>
          <t>P01</t>
        </is>
      </c>
      <c r="G3289" s="2" t="n">
        <v>630000</v>
      </c>
      <c r="H3289" s="2" t="inlineStr">
        <is>
          <t>Servicios externos</t>
        </is>
      </c>
      <c r="I3289" s="9" t="n">
        <v>1967.18</v>
      </c>
      <c r="J3289" s="9" t="n">
        <v>2023.99</v>
      </c>
      <c r="K3289" s="9" t="n">
        <v>2005.08</v>
      </c>
      <c r="L3289" s="9" t="n">
        <v>1959.03</v>
      </c>
      <c r="M3289" s="9" t="n">
        <v>2107.19</v>
      </c>
      <c r="N3289" s="9" t="n">
        <v>1808.43</v>
      </c>
      <c r="O3289" s="9" t="n">
        <v>2066.61</v>
      </c>
      <c r="P3289" s="9" t="n">
        <v>2037.52</v>
      </c>
      <c r="Q3289" s="9" t="n">
        <v>1788.43</v>
      </c>
      <c r="R3289" s="9" t="n">
        <v>2124.92</v>
      </c>
      <c r="S3289" s="9" t="n">
        <v>1810.56</v>
      </c>
      <c r="T3289" s="9" t="n">
        <v>2148.73</v>
      </c>
      <c r="U3289" s="10">
        <f>SUM(I3289:T3289)</f>
        <v/>
      </c>
    </row>
    <row r="3290">
      <c r="A3290" s="2" t="inlineStr">
        <is>
          <t>SN-1000-1200-1210-1210FR0002</t>
        </is>
      </c>
      <c r="B3290" s="2" t="inlineStr">
        <is>
          <t>1210FR0002</t>
        </is>
      </c>
      <c r="C3290" s="2" t="inlineStr">
        <is>
          <t>Estación manguera FR0002</t>
        </is>
      </c>
      <c r="D3290" s="2" t="n">
        <v>1097</v>
      </c>
      <c r="E3290" s="2" t="inlineStr">
        <is>
          <t>CC-1000</t>
        </is>
      </c>
      <c r="F3290" s="2" t="inlineStr">
        <is>
          <t>P01</t>
        </is>
      </c>
      <c r="G3290" s="2" t="n">
        <v>610000</v>
      </c>
      <c r="H3290" s="2" t="inlineStr">
        <is>
          <t>Mano obra interna</t>
        </is>
      </c>
      <c r="I3290" s="9" t="n">
        <v>1735.78</v>
      </c>
      <c r="J3290" s="9" t="n">
        <v>1704.8</v>
      </c>
      <c r="K3290" s="9" t="n">
        <v>1578.29</v>
      </c>
      <c r="L3290" s="9" t="n">
        <v>1644.4</v>
      </c>
      <c r="M3290" s="9" t="n">
        <v>1578.49</v>
      </c>
      <c r="N3290" s="9" t="n">
        <v>1583.63</v>
      </c>
      <c r="O3290" s="9" t="n">
        <v>1557.01</v>
      </c>
      <c r="P3290" s="9" t="n">
        <v>1654.75</v>
      </c>
      <c r="Q3290" s="9" t="n">
        <v>1563.73</v>
      </c>
      <c r="R3290" s="9" t="n">
        <v>1663.93</v>
      </c>
      <c r="S3290" s="9" t="n">
        <v>1493.49</v>
      </c>
      <c r="T3290" s="9" t="n">
        <v>1540.04</v>
      </c>
      <c r="U3290" s="10">
        <f>SUM(I3290:T3290)</f>
        <v/>
      </c>
    </row>
    <row r="3291">
      <c r="A3291" s="2" t="inlineStr">
        <is>
          <t>SN-1000-1200-1210-1210FR0002</t>
        </is>
      </c>
      <c r="B3291" s="2" t="inlineStr">
        <is>
          <t>1210FR0002</t>
        </is>
      </c>
      <c r="C3291" s="2" t="inlineStr">
        <is>
          <t>Estación manguera FR0002</t>
        </is>
      </c>
      <c r="D3291" s="2" t="n">
        <v>1097</v>
      </c>
      <c r="E3291" s="2" t="inlineStr">
        <is>
          <t>CC-1000</t>
        </is>
      </c>
      <c r="F3291" s="2" t="inlineStr">
        <is>
          <t>P01</t>
        </is>
      </c>
      <c r="G3291" s="2" t="n">
        <v>620000</v>
      </c>
      <c r="H3291" s="2" t="inlineStr">
        <is>
          <t>Materiales</t>
        </is>
      </c>
      <c r="I3291" s="9" t="n">
        <v>1492.01</v>
      </c>
      <c r="J3291" s="9" t="n">
        <v>1414.42</v>
      </c>
      <c r="K3291" s="9" t="n">
        <v>1618.65</v>
      </c>
      <c r="L3291" s="9" t="n">
        <v>1447.65</v>
      </c>
      <c r="M3291" s="9" t="n">
        <v>1469.31</v>
      </c>
      <c r="N3291" s="9" t="n">
        <v>1492.42</v>
      </c>
      <c r="O3291" s="9" t="n">
        <v>1520.6</v>
      </c>
      <c r="P3291" s="9" t="n">
        <v>1514.01</v>
      </c>
      <c r="Q3291" s="9" t="n">
        <v>1321.69</v>
      </c>
      <c r="R3291" s="9" t="n">
        <v>1537.27</v>
      </c>
      <c r="S3291" s="9" t="n">
        <v>1473.4</v>
      </c>
      <c r="T3291" s="9" t="n">
        <v>1408.26</v>
      </c>
      <c r="U3291" s="10">
        <f>SUM(I3291:T3291)</f>
        <v/>
      </c>
    </row>
    <row r="3292">
      <c r="A3292" s="2" t="inlineStr">
        <is>
          <t>SN-1000-1200-1210-1210FR0002</t>
        </is>
      </c>
      <c r="B3292" s="2" t="inlineStr">
        <is>
          <t>1210FR0002</t>
        </is>
      </c>
      <c r="C3292" s="2" t="inlineStr">
        <is>
          <t>Estación manguera FR0002</t>
        </is>
      </c>
      <c r="D3292" s="2" t="n">
        <v>1097</v>
      </c>
      <c r="E3292" s="2" t="inlineStr">
        <is>
          <t>CC-1000</t>
        </is>
      </c>
      <c r="F3292" s="2" t="inlineStr">
        <is>
          <t>P01</t>
        </is>
      </c>
      <c r="G3292" s="2" t="n">
        <v>630000</v>
      </c>
      <c r="H3292" s="2" t="inlineStr">
        <is>
          <t>Servicios externos</t>
        </is>
      </c>
      <c r="I3292" s="9" t="n">
        <v>1525.35</v>
      </c>
      <c r="J3292" s="9" t="n">
        <v>1487.53</v>
      </c>
      <c r="K3292" s="9" t="n">
        <v>1518.22</v>
      </c>
      <c r="L3292" s="9" t="n">
        <v>1658.87</v>
      </c>
      <c r="M3292" s="9" t="n">
        <v>1549.53</v>
      </c>
      <c r="N3292" s="9" t="n">
        <v>1451.84</v>
      </c>
      <c r="O3292" s="9" t="n">
        <v>1552.42</v>
      </c>
      <c r="P3292" s="9" t="n">
        <v>1500.4</v>
      </c>
      <c r="Q3292" s="9" t="n">
        <v>1417.16</v>
      </c>
      <c r="R3292" s="9" t="n">
        <v>1613.28</v>
      </c>
      <c r="S3292" s="9" t="n">
        <v>1460.76</v>
      </c>
      <c r="T3292" s="9" t="n">
        <v>1507.56</v>
      </c>
      <c r="U3292" s="10">
        <f>SUM(I3292:T3292)</f>
        <v/>
      </c>
    </row>
    <row r="3293">
      <c r="A3293" s="2" t="inlineStr">
        <is>
          <t>SN-1000-1200-1210-1210FR0003</t>
        </is>
      </c>
      <c r="B3293" s="2" t="inlineStr">
        <is>
          <t>1210FR0003</t>
        </is>
      </c>
      <c r="C3293" s="2" t="inlineStr">
        <is>
          <t>Estación manguera FR0003</t>
        </is>
      </c>
      <c r="D3293" s="2" t="n">
        <v>1098</v>
      </c>
      <c r="E3293" s="2" t="inlineStr">
        <is>
          <t>CC-1000</t>
        </is>
      </c>
      <c r="F3293" s="2" t="inlineStr">
        <is>
          <t>P01</t>
        </is>
      </c>
      <c r="G3293" s="2" t="n">
        <v>610000</v>
      </c>
      <c r="H3293" s="2" t="inlineStr">
        <is>
          <t>Mano obra interna</t>
        </is>
      </c>
      <c r="I3293" s="9" t="n">
        <v>548.9</v>
      </c>
      <c r="J3293" s="9" t="n">
        <v>542.0700000000001</v>
      </c>
      <c r="K3293" s="9" t="n">
        <v>575.25</v>
      </c>
      <c r="L3293" s="9" t="n">
        <v>630.5599999999999</v>
      </c>
      <c r="M3293" s="9" t="n">
        <v>584.9</v>
      </c>
      <c r="N3293" s="9" t="n">
        <v>595.88</v>
      </c>
      <c r="O3293" s="9" t="n">
        <v>566.04</v>
      </c>
      <c r="P3293" s="9" t="n">
        <v>571.12</v>
      </c>
      <c r="Q3293" s="9" t="n">
        <v>559.55</v>
      </c>
      <c r="R3293" s="9" t="n">
        <v>634.02</v>
      </c>
      <c r="S3293" s="9" t="n">
        <v>564.64</v>
      </c>
      <c r="T3293" s="9" t="n">
        <v>596.4299999999999</v>
      </c>
      <c r="U3293" s="10">
        <f>SUM(I3293:T3293)</f>
        <v/>
      </c>
    </row>
    <row r="3294">
      <c r="A3294" s="2" t="inlineStr">
        <is>
          <t>SN-1000-1200-1210-1210FR0003</t>
        </is>
      </c>
      <c r="B3294" s="2" t="inlineStr">
        <is>
          <t>1210FR0003</t>
        </is>
      </c>
      <c r="C3294" s="2" t="inlineStr">
        <is>
          <t>Estación manguera FR0003</t>
        </is>
      </c>
      <c r="D3294" s="2" t="n">
        <v>1098</v>
      </c>
      <c r="E3294" s="2" t="inlineStr">
        <is>
          <t>CC-1000</t>
        </is>
      </c>
      <c r="F3294" s="2" t="inlineStr">
        <is>
          <t>P01</t>
        </is>
      </c>
      <c r="G3294" s="2" t="n">
        <v>620000</v>
      </c>
      <c r="H3294" s="2" t="inlineStr">
        <is>
          <t>Materiales</t>
        </is>
      </c>
      <c r="I3294" s="9" t="n">
        <v>712.63</v>
      </c>
      <c r="J3294" s="9" t="n">
        <v>677.21</v>
      </c>
      <c r="K3294" s="9" t="n">
        <v>741.34</v>
      </c>
      <c r="L3294" s="9" t="n">
        <v>733.42</v>
      </c>
      <c r="M3294" s="9" t="n">
        <v>654.41</v>
      </c>
      <c r="N3294" s="9" t="n">
        <v>592.64</v>
      </c>
      <c r="O3294" s="9" t="n">
        <v>617.51</v>
      </c>
      <c r="P3294" s="9" t="n">
        <v>628.77</v>
      </c>
      <c r="Q3294" s="9" t="n">
        <v>580.9299999999999</v>
      </c>
      <c r="R3294" s="9" t="n">
        <v>707.49</v>
      </c>
      <c r="S3294" s="9" t="n">
        <v>601.85</v>
      </c>
      <c r="T3294" s="9" t="n">
        <v>693.13</v>
      </c>
      <c r="U3294" s="10">
        <f>SUM(I3294:T3294)</f>
        <v/>
      </c>
    </row>
    <row r="3295">
      <c r="A3295" s="2" t="inlineStr">
        <is>
          <t>SN-1000-1200-1210-1210FR0003</t>
        </is>
      </c>
      <c r="B3295" s="2" t="inlineStr">
        <is>
          <t>1210FR0003</t>
        </is>
      </c>
      <c r="C3295" s="2" t="inlineStr">
        <is>
          <t>Estación manguera FR0003</t>
        </is>
      </c>
      <c r="D3295" s="2" t="n">
        <v>1098</v>
      </c>
      <c r="E3295" s="2" t="inlineStr">
        <is>
          <t>CC-1000</t>
        </is>
      </c>
      <c r="F3295" s="2" t="inlineStr">
        <is>
          <t>P01</t>
        </is>
      </c>
      <c r="G3295" s="2" t="n">
        <v>630000</v>
      </c>
      <c r="H3295" s="2" t="inlineStr">
        <is>
          <t>Servicios externos</t>
        </is>
      </c>
      <c r="I3295" s="9" t="n">
        <v>601.99</v>
      </c>
      <c r="J3295" s="9" t="n">
        <v>542.67</v>
      </c>
      <c r="K3295" s="9" t="n">
        <v>638.83</v>
      </c>
      <c r="L3295" s="9" t="n">
        <v>628.29</v>
      </c>
      <c r="M3295" s="9" t="n">
        <v>571.72</v>
      </c>
      <c r="N3295" s="9" t="n">
        <v>599.49</v>
      </c>
      <c r="O3295" s="9" t="n">
        <v>559.04</v>
      </c>
      <c r="P3295" s="9" t="n">
        <v>617.47</v>
      </c>
      <c r="Q3295" s="9" t="n">
        <v>551.73</v>
      </c>
      <c r="R3295" s="9" t="n">
        <v>617.22</v>
      </c>
      <c r="S3295" s="9" t="n">
        <v>531.71</v>
      </c>
      <c r="T3295" s="9" t="n">
        <v>565.71</v>
      </c>
      <c r="U3295" s="10">
        <f>SUM(I3295:T3295)</f>
        <v/>
      </c>
    </row>
    <row r="3296">
      <c r="A3296" s="2" t="inlineStr">
        <is>
          <t>SN-1000-1200-1210-1210FR0004</t>
        </is>
      </c>
      <c r="B3296" s="2" t="inlineStr">
        <is>
          <t>1210FR0004</t>
        </is>
      </c>
      <c r="C3296" s="2" t="inlineStr">
        <is>
          <t>Estación manguera FR0004</t>
        </is>
      </c>
      <c r="D3296" s="2" t="n">
        <v>1099</v>
      </c>
      <c r="E3296" s="2" t="inlineStr">
        <is>
          <t>CC-1000</t>
        </is>
      </c>
      <c r="F3296" s="2" t="inlineStr">
        <is>
          <t>P01</t>
        </is>
      </c>
      <c r="G3296" s="2" t="n">
        <v>610000</v>
      </c>
      <c r="H3296" s="2" t="inlineStr">
        <is>
          <t>Mano obra interna</t>
        </is>
      </c>
      <c r="I3296" s="9" t="n">
        <v>2123.39</v>
      </c>
      <c r="J3296" s="9" t="n">
        <v>1929.37</v>
      </c>
      <c r="K3296" s="9" t="n">
        <v>2108.36</v>
      </c>
      <c r="L3296" s="9" t="n">
        <v>1958.99</v>
      </c>
      <c r="M3296" s="9" t="n">
        <v>1894</v>
      </c>
      <c r="N3296" s="9" t="n">
        <v>2082.77</v>
      </c>
      <c r="O3296" s="9" t="n">
        <v>2032.18</v>
      </c>
      <c r="P3296" s="9" t="n">
        <v>1998.26</v>
      </c>
      <c r="Q3296" s="9" t="n">
        <v>2040.48</v>
      </c>
      <c r="R3296" s="9" t="n">
        <v>2169.8</v>
      </c>
      <c r="S3296" s="9" t="n">
        <v>1927.87</v>
      </c>
      <c r="T3296" s="9" t="n">
        <v>2000.03</v>
      </c>
      <c r="U3296" s="10">
        <f>SUM(I3296:T3296)</f>
        <v/>
      </c>
    </row>
    <row r="3297">
      <c r="A3297" s="2" t="inlineStr">
        <is>
          <t>SN-1000-1200-1210-1210FR0004</t>
        </is>
      </c>
      <c r="B3297" s="2" t="inlineStr">
        <is>
          <t>1210FR0004</t>
        </is>
      </c>
      <c r="C3297" s="2" t="inlineStr">
        <is>
          <t>Estación manguera FR0004</t>
        </is>
      </c>
      <c r="D3297" s="2" t="n">
        <v>1099</v>
      </c>
      <c r="E3297" s="2" t="inlineStr">
        <is>
          <t>CC-1000</t>
        </is>
      </c>
      <c r="F3297" s="2" t="inlineStr">
        <is>
          <t>P01</t>
        </is>
      </c>
      <c r="G3297" s="2" t="n">
        <v>620000</v>
      </c>
      <c r="H3297" s="2" t="inlineStr">
        <is>
          <t>Materiales</t>
        </is>
      </c>
      <c r="I3297" s="9" t="n">
        <v>1884.54</v>
      </c>
      <c r="J3297" s="9" t="n">
        <v>1661.84</v>
      </c>
      <c r="K3297" s="9" t="n">
        <v>1933.35</v>
      </c>
      <c r="L3297" s="9" t="n">
        <v>1955.51</v>
      </c>
      <c r="M3297" s="9" t="n">
        <v>1843.63</v>
      </c>
      <c r="N3297" s="9" t="n">
        <v>1852.1</v>
      </c>
      <c r="O3297" s="9" t="n">
        <v>1764.33</v>
      </c>
      <c r="P3297" s="9" t="n">
        <v>1737.53</v>
      </c>
      <c r="Q3297" s="9" t="n">
        <v>1756.28</v>
      </c>
      <c r="R3297" s="9" t="n">
        <v>1874.12</v>
      </c>
      <c r="S3297" s="9" t="n">
        <v>1654.72</v>
      </c>
      <c r="T3297" s="9" t="n">
        <v>1736.32</v>
      </c>
      <c r="U3297" s="10">
        <f>SUM(I3297:T3297)</f>
        <v/>
      </c>
    </row>
    <row r="3298">
      <c r="A3298" s="2" t="inlineStr">
        <is>
          <t>SN-1000-1200-1210-1210FR0004</t>
        </is>
      </c>
      <c r="B3298" s="2" t="inlineStr">
        <is>
          <t>1210FR0004</t>
        </is>
      </c>
      <c r="C3298" s="2" t="inlineStr">
        <is>
          <t>Estación manguera FR0004</t>
        </is>
      </c>
      <c r="D3298" s="2" t="n">
        <v>1099</v>
      </c>
      <c r="E3298" s="2" t="inlineStr">
        <is>
          <t>CC-1000</t>
        </is>
      </c>
      <c r="F3298" s="2" t="inlineStr">
        <is>
          <t>P01</t>
        </is>
      </c>
      <c r="G3298" s="2" t="n">
        <v>630000</v>
      </c>
      <c r="H3298" s="2" t="inlineStr">
        <is>
          <t>Servicios externos</t>
        </is>
      </c>
      <c r="I3298" s="9" t="n">
        <v>1812.47</v>
      </c>
      <c r="J3298" s="9" t="n">
        <v>1827.47</v>
      </c>
      <c r="K3298" s="9" t="n">
        <v>1863.48</v>
      </c>
      <c r="L3298" s="9" t="n">
        <v>2042.63</v>
      </c>
      <c r="M3298" s="9" t="n">
        <v>1901.45</v>
      </c>
      <c r="N3298" s="9" t="n">
        <v>1749.38</v>
      </c>
      <c r="O3298" s="9" t="n">
        <v>1998.09</v>
      </c>
      <c r="P3298" s="9" t="n">
        <v>1995.68</v>
      </c>
      <c r="Q3298" s="9" t="n">
        <v>1794.1</v>
      </c>
      <c r="R3298" s="9" t="n">
        <v>1996.58</v>
      </c>
      <c r="S3298" s="9" t="n">
        <v>1884.59</v>
      </c>
      <c r="T3298" s="9" t="n">
        <v>2083.94</v>
      </c>
      <c r="U3298" s="10">
        <f>SUM(I3298:T3298)</f>
        <v/>
      </c>
    </row>
    <row r="3299">
      <c r="A3299" s="2" t="inlineStr">
        <is>
          <t>SN-1000-1200-1210-1210FR0005</t>
        </is>
      </c>
      <c r="B3299" s="2" t="inlineStr">
        <is>
          <t>1210FR0005</t>
        </is>
      </c>
      <c r="C3299" s="2" t="inlineStr">
        <is>
          <t>Estación manguera FR0005</t>
        </is>
      </c>
      <c r="D3299" s="2" t="n">
        <v>1100</v>
      </c>
      <c r="E3299" s="2" t="inlineStr">
        <is>
          <t>CC-1000</t>
        </is>
      </c>
      <c r="F3299" s="2" t="inlineStr">
        <is>
          <t>P01</t>
        </is>
      </c>
      <c r="G3299" s="2" t="n">
        <v>610000</v>
      </c>
      <c r="H3299" s="2" t="inlineStr">
        <is>
          <t>Mano obra interna</t>
        </is>
      </c>
      <c r="I3299" s="9" t="n">
        <v>1224.15</v>
      </c>
      <c r="J3299" s="9" t="n">
        <v>1184.53</v>
      </c>
      <c r="K3299" s="9" t="n">
        <v>1312.11</v>
      </c>
      <c r="L3299" s="9" t="n">
        <v>1303.85</v>
      </c>
      <c r="M3299" s="9" t="n">
        <v>1174.79</v>
      </c>
      <c r="N3299" s="9" t="n">
        <v>1136.78</v>
      </c>
      <c r="O3299" s="9" t="n">
        <v>1331.54</v>
      </c>
      <c r="P3299" s="9" t="n">
        <v>1295.71</v>
      </c>
      <c r="Q3299" s="9" t="n">
        <v>1240.07</v>
      </c>
      <c r="R3299" s="9" t="n">
        <v>1414.14</v>
      </c>
      <c r="S3299" s="9" t="n">
        <v>1186.94</v>
      </c>
      <c r="T3299" s="9" t="n">
        <v>1187.62</v>
      </c>
      <c r="U3299" s="10">
        <f>SUM(I3299:T3299)</f>
        <v/>
      </c>
    </row>
    <row r="3300">
      <c r="A3300" s="2" t="inlineStr">
        <is>
          <t>SN-1000-1200-1210-1210FR0005</t>
        </is>
      </c>
      <c r="B3300" s="2" t="inlineStr">
        <is>
          <t>1210FR0005</t>
        </is>
      </c>
      <c r="C3300" s="2" t="inlineStr">
        <is>
          <t>Estación manguera FR0005</t>
        </is>
      </c>
      <c r="D3300" s="2" t="n">
        <v>1100</v>
      </c>
      <c r="E3300" s="2" t="inlineStr">
        <is>
          <t>CC-1000</t>
        </is>
      </c>
      <c r="F3300" s="2" t="inlineStr">
        <is>
          <t>P01</t>
        </is>
      </c>
      <c r="G3300" s="2" t="n">
        <v>620000</v>
      </c>
      <c r="H3300" s="2" t="inlineStr">
        <is>
          <t>Materiales</t>
        </is>
      </c>
      <c r="I3300" s="9" t="n">
        <v>1455.32</v>
      </c>
      <c r="J3300" s="9" t="n">
        <v>1420.91</v>
      </c>
      <c r="K3300" s="9" t="n">
        <v>1488.52</v>
      </c>
      <c r="L3300" s="9" t="n">
        <v>1596.6</v>
      </c>
      <c r="M3300" s="9" t="n">
        <v>1345.39</v>
      </c>
      <c r="N3300" s="9" t="n">
        <v>1327.48</v>
      </c>
      <c r="O3300" s="9" t="n">
        <v>1486.07</v>
      </c>
      <c r="P3300" s="9" t="n">
        <v>1548.68</v>
      </c>
      <c r="Q3300" s="9" t="n">
        <v>1450.14</v>
      </c>
      <c r="R3300" s="9" t="n">
        <v>1589.48</v>
      </c>
      <c r="S3300" s="9" t="n">
        <v>1308.28</v>
      </c>
      <c r="T3300" s="9" t="n">
        <v>1449.35</v>
      </c>
      <c r="U3300" s="10">
        <f>SUM(I3300:T3300)</f>
        <v/>
      </c>
    </row>
    <row r="3301">
      <c r="A3301" s="2" t="inlineStr">
        <is>
          <t>SN-1000-1200-1210-1210FR0005</t>
        </is>
      </c>
      <c r="B3301" s="2" t="inlineStr">
        <is>
          <t>1210FR0005</t>
        </is>
      </c>
      <c r="C3301" s="2" t="inlineStr">
        <is>
          <t>Estación manguera FR0005</t>
        </is>
      </c>
      <c r="D3301" s="2" t="n">
        <v>1100</v>
      </c>
      <c r="E3301" s="2" t="inlineStr">
        <is>
          <t>CC-1000</t>
        </is>
      </c>
      <c r="F3301" s="2" t="inlineStr">
        <is>
          <t>P01</t>
        </is>
      </c>
      <c r="G3301" s="2" t="n">
        <v>630000</v>
      </c>
      <c r="H3301" s="2" t="inlineStr">
        <is>
          <t>Servicios externos</t>
        </is>
      </c>
      <c r="I3301" s="9" t="n">
        <v>1594.88</v>
      </c>
      <c r="J3301" s="9" t="n">
        <v>1594.46</v>
      </c>
      <c r="K3301" s="9" t="n">
        <v>1552.24</v>
      </c>
      <c r="L3301" s="9" t="n">
        <v>1475.41</v>
      </c>
      <c r="M3301" s="9" t="n">
        <v>1565.55</v>
      </c>
      <c r="N3301" s="9" t="n">
        <v>1573.75</v>
      </c>
      <c r="O3301" s="9" t="n">
        <v>1685.64</v>
      </c>
      <c r="P3301" s="9" t="n">
        <v>1647.74</v>
      </c>
      <c r="Q3301" s="9" t="n">
        <v>1466.9</v>
      </c>
      <c r="R3301" s="9" t="n">
        <v>1714.16</v>
      </c>
      <c r="S3301" s="9" t="n">
        <v>1590.87</v>
      </c>
      <c r="T3301" s="9" t="n">
        <v>1463.71</v>
      </c>
      <c r="U3301" s="10">
        <f>SUM(I3301:T3301)</f>
        <v/>
      </c>
    </row>
    <row r="3302">
      <c r="A3302" s="2" t="inlineStr">
        <is>
          <t>SN-1000-1200-1210-1210FR0006</t>
        </is>
      </c>
      <c r="B3302" s="2" t="inlineStr">
        <is>
          <t>1210FR0006</t>
        </is>
      </c>
      <c r="C3302" s="2" t="inlineStr">
        <is>
          <t>Estación manguera FR0006</t>
        </is>
      </c>
      <c r="D3302" s="2" t="n">
        <v>1101</v>
      </c>
      <c r="E3302" s="2" t="inlineStr">
        <is>
          <t>CC-1000</t>
        </is>
      </c>
      <c r="F3302" s="2" t="inlineStr">
        <is>
          <t>P01</t>
        </is>
      </c>
      <c r="G3302" s="2" t="n">
        <v>610000</v>
      </c>
      <c r="H3302" s="2" t="inlineStr">
        <is>
          <t>Mano obra interna</t>
        </is>
      </c>
      <c r="I3302" s="9" t="n">
        <v>742.29</v>
      </c>
      <c r="J3302" s="9" t="n">
        <v>764.1</v>
      </c>
      <c r="K3302" s="9" t="n">
        <v>778</v>
      </c>
      <c r="L3302" s="9" t="n">
        <v>698.33</v>
      </c>
      <c r="M3302" s="9" t="n">
        <v>677.6799999999999</v>
      </c>
      <c r="N3302" s="9" t="n">
        <v>675.53</v>
      </c>
      <c r="O3302" s="9" t="n">
        <v>696.51</v>
      </c>
      <c r="P3302" s="9" t="n">
        <v>715.95</v>
      </c>
      <c r="Q3302" s="9" t="n">
        <v>684.7</v>
      </c>
      <c r="R3302" s="9" t="n">
        <v>772.34</v>
      </c>
      <c r="S3302" s="9" t="n">
        <v>650.7</v>
      </c>
      <c r="T3302" s="9" t="n">
        <v>790.14</v>
      </c>
      <c r="U3302" s="10">
        <f>SUM(I3302:T3302)</f>
        <v/>
      </c>
    </row>
    <row r="3303">
      <c r="A3303" s="2" t="inlineStr">
        <is>
          <t>SN-1000-1200-1210-1210FR0006</t>
        </is>
      </c>
      <c r="B3303" s="2" t="inlineStr">
        <is>
          <t>1210FR0006</t>
        </is>
      </c>
      <c r="C3303" s="2" t="inlineStr">
        <is>
          <t>Estación manguera FR0006</t>
        </is>
      </c>
      <c r="D3303" s="2" t="n">
        <v>1101</v>
      </c>
      <c r="E3303" s="2" t="inlineStr">
        <is>
          <t>CC-1000</t>
        </is>
      </c>
      <c r="F3303" s="2" t="inlineStr">
        <is>
          <t>P01</t>
        </is>
      </c>
      <c r="G3303" s="2" t="n">
        <v>620000</v>
      </c>
      <c r="H3303" s="2" t="inlineStr">
        <is>
          <t>Materiales</t>
        </is>
      </c>
      <c r="I3303" s="9" t="n">
        <v>648.5700000000001</v>
      </c>
      <c r="J3303" s="9" t="n">
        <v>552.04</v>
      </c>
      <c r="K3303" s="9" t="n">
        <v>651.35</v>
      </c>
      <c r="L3303" s="9" t="n">
        <v>582.67</v>
      </c>
      <c r="M3303" s="9" t="n">
        <v>612.4</v>
      </c>
      <c r="N3303" s="9" t="n">
        <v>590</v>
      </c>
      <c r="O3303" s="9" t="n">
        <v>641.27</v>
      </c>
      <c r="P3303" s="9" t="n">
        <v>583.84</v>
      </c>
      <c r="Q3303" s="9" t="n">
        <v>524.92</v>
      </c>
      <c r="R3303" s="9" t="n">
        <v>686.55</v>
      </c>
      <c r="S3303" s="9" t="n">
        <v>566.63</v>
      </c>
      <c r="T3303" s="9" t="n">
        <v>584.34</v>
      </c>
      <c r="U3303" s="10">
        <f>SUM(I3303:T3303)</f>
        <v/>
      </c>
    </row>
    <row r="3304">
      <c r="A3304" s="2" t="inlineStr">
        <is>
          <t>SN-1000-1200-1210-1210FR0006</t>
        </is>
      </c>
      <c r="B3304" s="2" t="inlineStr">
        <is>
          <t>1210FR0006</t>
        </is>
      </c>
      <c r="C3304" s="2" t="inlineStr">
        <is>
          <t>Estación manguera FR0006</t>
        </is>
      </c>
      <c r="D3304" s="2" t="n">
        <v>1101</v>
      </c>
      <c r="E3304" s="2" t="inlineStr">
        <is>
          <t>CC-1000</t>
        </is>
      </c>
      <c r="F3304" s="2" t="inlineStr">
        <is>
          <t>P01</t>
        </is>
      </c>
      <c r="G3304" s="2" t="n">
        <v>630000</v>
      </c>
      <c r="H3304" s="2" t="inlineStr">
        <is>
          <t>Servicios externos</t>
        </is>
      </c>
      <c r="I3304" s="9" t="n">
        <v>589.16</v>
      </c>
      <c r="J3304" s="9" t="n">
        <v>582.9299999999999</v>
      </c>
      <c r="K3304" s="9" t="n">
        <v>619.54</v>
      </c>
      <c r="L3304" s="9" t="n">
        <v>602.97</v>
      </c>
      <c r="M3304" s="9" t="n">
        <v>600.62</v>
      </c>
      <c r="N3304" s="9" t="n">
        <v>574.1</v>
      </c>
      <c r="O3304" s="9" t="n">
        <v>638.9299999999999</v>
      </c>
      <c r="P3304" s="9" t="n">
        <v>652.23</v>
      </c>
      <c r="Q3304" s="9" t="n">
        <v>533.12</v>
      </c>
      <c r="R3304" s="9" t="n">
        <v>693.87</v>
      </c>
      <c r="S3304" s="9" t="n">
        <v>633.14</v>
      </c>
      <c r="T3304" s="9" t="n">
        <v>639.39</v>
      </c>
      <c r="U3304" s="10">
        <f>SUM(I3304:T3304)</f>
        <v/>
      </c>
    </row>
    <row r="3305">
      <c r="A3305" s="2" t="inlineStr">
        <is>
          <t>SN-1000-1200-1210-1210FR0007</t>
        </is>
      </c>
      <c r="B3305" s="2" t="inlineStr">
        <is>
          <t>1210FR0007</t>
        </is>
      </c>
      <c r="C3305" s="2" t="inlineStr">
        <is>
          <t>Estación manguera FR0007</t>
        </is>
      </c>
      <c r="D3305" s="2" t="n">
        <v>1102</v>
      </c>
      <c r="E3305" s="2" t="inlineStr">
        <is>
          <t>CC-1000</t>
        </is>
      </c>
      <c r="F3305" s="2" t="inlineStr">
        <is>
          <t>P01</t>
        </is>
      </c>
      <c r="G3305" s="2" t="n">
        <v>610000</v>
      </c>
      <c r="H3305" s="2" t="inlineStr">
        <is>
          <t>Mano obra interna</t>
        </is>
      </c>
      <c r="I3305" s="9" t="n">
        <v>2071.41</v>
      </c>
      <c r="J3305" s="9" t="n">
        <v>2161.04</v>
      </c>
      <c r="K3305" s="9" t="n">
        <v>2209.82</v>
      </c>
      <c r="L3305" s="9" t="n">
        <v>2069.89</v>
      </c>
      <c r="M3305" s="9" t="n">
        <v>2130.11</v>
      </c>
      <c r="N3305" s="9" t="n">
        <v>1995.63</v>
      </c>
      <c r="O3305" s="9" t="n">
        <v>1981.3</v>
      </c>
      <c r="P3305" s="9" t="n">
        <v>1973.9</v>
      </c>
      <c r="Q3305" s="9" t="n">
        <v>2006.3</v>
      </c>
      <c r="R3305" s="9" t="n">
        <v>2323.78</v>
      </c>
      <c r="S3305" s="9" t="n">
        <v>2027.5</v>
      </c>
      <c r="T3305" s="9" t="n">
        <v>2115.54</v>
      </c>
      <c r="U3305" s="10">
        <f>SUM(I3305:T3305)</f>
        <v/>
      </c>
    </row>
    <row r="3306">
      <c r="A3306" s="2" t="inlineStr">
        <is>
          <t>SN-1000-1200-1210-1210FR0007</t>
        </is>
      </c>
      <c r="B3306" s="2" t="inlineStr">
        <is>
          <t>1210FR0007</t>
        </is>
      </c>
      <c r="C3306" s="2" t="inlineStr">
        <is>
          <t>Estación manguera FR0007</t>
        </is>
      </c>
      <c r="D3306" s="2" t="n">
        <v>1102</v>
      </c>
      <c r="E3306" s="2" t="inlineStr">
        <is>
          <t>CC-1000</t>
        </is>
      </c>
      <c r="F3306" s="2" t="inlineStr">
        <is>
          <t>P01</t>
        </is>
      </c>
      <c r="G3306" s="2" t="n">
        <v>620000</v>
      </c>
      <c r="H3306" s="2" t="inlineStr">
        <is>
          <t>Materiales</t>
        </is>
      </c>
      <c r="I3306" s="9" t="n">
        <v>1593.98</v>
      </c>
      <c r="J3306" s="9" t="n">
        <v>1647.81</v>
      </c>
      <c r="K3306" s="9" t="n">
        <v>1721.74</v>
      </c>
      <c r="L3306" s="9" t="n">
        <v>1655.67</v>
      </c>
      <c r="M3306" s="9" t="n">
        <v>1687.34</v>
      </c>
      <c r="N3306" s="9" t="n">
        <v>1604.9</v>
      </c>
      <c r="O3306" s="9" t="n">
        <v>1490.33</v>
      </c>
      <c r="P3306" s="9" t="n">
        <v>1552.65</v>
      </c>
      <c r="Q3306" s="9" t="n">
        <v>1383.55</v>
      </c>
      <c r="R3306" s="9" t="n">
        <v>1693.91</v>
      </c>
      <c r="S3306" s="9" t="n">
        <v>1596.47</v>
      </c>
      <c r="T3306" s="9" t="n">
        <v>1514.48</v>
      </c>
      <c r="U3306" s="10">
        <f>SUM(I3306:T3306)</f>
        <v/>
      </c>
    </row>
    <row r="3307">
      <c r="A3307" s="2" t="inlineStr">
        <is>
          <t>SN-1000-1200-1210-1210FR0007</t>
        </is>
      </c>
      <c r="B3307" s="2" t="inlineStr">
        <is>
          <t>1210FR0007</t>
        </is>
      </c>
      <c r="C3307" s="2" t="inlineStr">
        <is>
          <t>Estación manguera FR0007</t>
        </is>
      </c>
      <c r="D3307" s="2" t="n">
        <v>1102</v>
      </c>
      <c r="E3307" s="2" t="inlineStr">
        <is>
          <t>CC-1000</t>
        </is>
      </c>
      <c r="F3307" s="2" t="inlineStr">
        <is>
          <t>P01</t>
        </is>
      </c>
      <c r="G3307" s="2" t="n">
        <v>630000</v>
      </c>
      <c r="H3307" s="2" t="inlineStr">
        <is>
          <t>Servicios externos</t>
        </is>
      </c>
      <c r="I3307" s="9" t="n">
        <v>2034.93</v>
      </c>
      <c r="J3307" s="9" t="n">
        <v>2019.09</v>
      </c>
      <c r="K3307" s="9" t="n">
        <v>1885.96</v>
      </c>
      <c r="L3307" s="9" t="n">
        <v>1884.11</v>
      </c>
      <c r="M3307" s="9" t="n">
        <v>1988.94</v>
      </c>
      <c r="N3307" s="9" t="n">
        <v>1986.98</v>
      </c>
      <c r="O3307" s="9" t="n">
        <v>2090.48</v>
      </c>
      <c r="P3307" s="9" t="n">
        <v>2029.5</v>
      </c>
      <c r="Q3307" s="9" t="n">
        <v>1747.49</v>
      </c>
      <c r="R3307" s="9" t="n">
        <v>2022.47</v>
      </c>
      <c r="S3307" s="9" t="n">
        <v>2025.09</v>
      </c>
      <c r="T3307" s="9" t="n">
        <v>1877.05</v>
      </c>
      <c r="U3307" s="10">
        <f>SUM(I3307:T3307)</f>
        <v/>
      </c>
    </row>
    <row r="3308">
      <c r="A3308" s="2" t="inlineStr">
        <is>
          <t>SN-1000-1200-1210-1210FR0008</t>
        </is>
      </c>
      <c r="B3308" s="2" t="inlineStr">
        <is>
          <t>1210FR0008</t>
        </is>
      </c>
      <c r="C3308" s="2" t="inlineStr">
        <is>
          <t>Estación manguera FR0008</t>
        </is>
      </c>
      <c r="D3308" s="2" t="n">
        <v>1103</v>
      </c>
      <c r="E3308" s="2" t="inlineStr">
        <is>
          <t>CC-1000</t>
        </is>
      </c>
      <c r="F3308" s="2" t="inlineStr">
        <is>
          <t>P01</t>
        </is>
      </c>
      <c r="G3308" s="2" t="n">
        <v>610000</v>
      </c>
      <c r="H3308" s="2" t="inlineStr">
        <is>
          <t>Mano obra interna</t>
        </is>
      </c>
      <c r="I3308" s="9" t="n">
        <v>2607.23</v>
      </c>
      <c r="J3308" s="9" t="n">
        <v>2470.45</v>
      </c>
      <c r="K3308" s="9" t="n">
        <v>2595.73</v>
      </c>
      <c r="L3308" s="9" t="n">
        <v>2781.32</v>
      </c>
      <c r="M3308" s="9" t="n">
        <v>2659.48</v>
      </c>
      <c r="N3308" s="9" t="n">
        <v>2570.6</v>
      </c>
      <c r="O3308" s="9" t="n">
        <v>2503.55</v>
      </c>
      <c r="P3308" s="9" t="n">
        <v>2378.84</v>
      </c>
      <c r="Q3308" s="9" t="n">
        <v>2553.13</v>
      </c>
      <c r="R3308" s="9" t="n">
        <v>2584.14</v>
      </c>
      <c r="S3308" s="9" t="n">
        <v>2465.37</v>
      </c>
      <c r="T3308" s="9" t="n">
        <v>2480.99</v>
      </c>
      <c r="U3308" s="10">
        <f>SUM(I3308:T3308)</f>
        <v/>
      </c>
    </row>
    <row r="3309">
      <c r="A3309" s="2" t="inlineStr">
        <is>
          <t>SN-1000-1200-1210-1210FR0008</t>
        </is>
      </c>
      <c r="B3309" s="2" t="inlineStr">
        <is>
          <t>1210FR0008</t>
        </is>
      </c>
      <c r="C3309" s="2" t="inlineStr">
        <is>
          <t>Estación manguera FR0008</t>
        </is>
      </c>
      <c r="D3309" s="2" t="n">
        <v>1103</v>
      </c>
      <c r="E3309" s="2" t="inlineStr">
        <is>
          <t>CC-1000</t>
        </is>
      </c>
      <c r="F3309" s="2" t="inlineStr">
        <is>
          <t>P01</t>
        </is>
      </c>
      <c r="G3309" s="2" t="n">
        <v>620000</v>
      </c>
      <c r="H3309" s="2" t="inlineStr">
        <is>
          <t>Materiales</t>
        </is>
      </c>
      <c r="I3309" s="9" t="n">
        <v>2319.76</v>
      </c>
      <c r="J3309" s="9" t="n">
        <v>2456.78</v>
      </c>
      <c r="K3309" s="9" t="n">
        <v>2601.15</v>
      </c>
      <c r="L3309" s="9" t="n">
        <v>2362.81</v>
      </c>
      <c r="M3309" s="9" t="n">
        <v>2161.7</v>
      </c>
      <c r="N3309" s="9" t="n">
        <v>2301.16</v>
      </c>
      <c r="O3309" s="9" t="n">
        <v>2300.34</v>
      </c>
      <c r="P3309" s="9" t="n">
        <v>2526.09</v>
      </c>
      <c r="Q3309" s="9" t="n">
        <v>2040.01</v>
      </c>
      <c r="R3309" s="9" t="n">
        <v>2375.41</v>
      </c>
      <c r="S3309" s="9" t="n">
        <v>2343.14</v>
      </c>
      <c r="T3309" s="9" t="n">
        <v>2478.94</v>
      </c>
      <c r="U3309" s="10">
        <f>SUM(I3309:T3309)</f>
        <v/>
      </c>
    </row>
    <row r="3310">
      <c r="A3310" s="2" t="inlineStr">
        <is>
          <t>SN-1000-1200-1210-1210FR0008</t>
        </is>
      </c>
      <c r="B3310" s="2" t="inlineStr">
        <is>
          <t>1210FR0008</t>
        </is>
      </c>
      <c r="C3310" s="2" t="inlineStr">
        <is>
          <t>Estación manguera FR0008</t>
        </is>
      </c>
      <c r="D3310" s="2" t="n">
        <v>1103</v>
      </c>
      <c r="E3310" s="2" t="inlineStr">
        <is>
          <t>CC-1000</t>
        </is>
      </c>
      <c r="F3310" s="2" t="inlineStr">
        <is>
          <t>P01</t>
        </is>
      </c>
      <c r="G3310" s="2" t="n">
        <v>630000</v>
      </c>
      <c r="H3310" s="2" t="inlineStr">
        <is>
          <t>Servicios externos</t>
        </is>
      </c>
      <c r="I3310" s="9" t="n">
        <v>2325.09</v>
      </c>
      <c r="J3310" s="9" t="n">
        <v>2255.23</v>
      </c>
      <c r="K3310" s="9" t="n">
        <v>2373.34</v>
      </c>
      <c r="L3310" s="9" t="n">
        <v>2307.74</v>
      </c>
      <c r="M3310" s="9" t="n">
        <v>2468.48</v>
      </c>
      <c r="N3310" s="9" t="n">
        <v>2100.89</v>
      </c>
      <c r="O3310" s="9" t="n">
        <v>2327.79</v>
      </c>
      <c r="P3310" s="9" t="n">
        <v>2453.51</v>
      </c>
      <c r="Q3310" s="9" t="n">
        <v>2023.99</v>
      </c>
      <c r="R3310" s="9" t="n">
        <v>2701.06</v>
      </c>
      <c r="S3310" s="9" t="n">
        <v>2361.82</v>
      </c>
      <c r="T3310" s="9" t="n">
        <v>2233.23</v>
      </c>
      <c r="U3310" s="10">
        <f>SUM(I3310:T3310)</f>
        <v/>
      </c>
    </row>
    <row r="3311">
      <c r="A3311" s="2" t="inlineStr">
        <is>
          <t>SN-1000-1200-1210-1210OL0001</t>
        </is>
      </c>
      <c r="B3311" s="2" t="inlineStr">
        <is>
          <t>1210OL0001</t>
        </is>
      </c>
      <c r="C3311" s="2" t="inlineStr">
        <is>
          <t>Indicador presión aceite PI0122</t>
        </is>
      </c>
      <c r="D3311" s="2" t="n">
        <v>1104</v>
      </c>
      <c r="E3311" s="2" t="inlineStr">
        <is>
          <t>CC-1000</t>
        </is>
      </c>
      <c r="F3311" s="2" t="inlineStr">
        <is>
          <t>P01</t>
        </is>
      </c>
      <c r="G3311" s="2" t="n">
        <v>610000</v>
      </c>
      <c r="H3311" s="2" t="inlineStr">
        <is>
          <t>Mano obra interna</t>
        </is>
      </c>
      <c r="I3311" s="9" t="n">
        <v>2294.7</v>
      </c>
      <c r="J3311" s="9" t="n">
        <v>2272.34</v>
      </c>
      <c r="K3311" s="9" t="n">
        <v>2465.72</v>
      </c>
      <c r="L3311" s="9" t="n">
        <v>2442.46</v>
      </c>
      <c r="M3311" s="9" t="n">
        <v>2196.57</v>
      </c>
      <c r="N3311" s="9" t="n">
        <v>2063.08</v>
      </c>
      <c r="O3311" s="9" t="n">
        <v>2165.97</v>
      </c>
      <c r="P3311" s="9" t="n">
        <v>2346.5</v>
      </c>
      <c r="Q3311" s="9" t="n">
        <v>2240.78</v>
      </c>
      <c r="R3311" s="9" t="n">
        <v>2262.81</v>
      </c>
      <c r="S3311" s="9" t="n">
        <v>2011.28</v>
      </c>
      <c r="T3311" s="9" t="n">
        <v>2403.97</v>
      </c>
      <c r="U3311" s="10">
        <f>SUM(I3311:T3311)</f>
        <v/>
      </c>
    </row>
    <row r="3312">
      <c r="A3312" s="2" t="inlineStr">
        <is>
          <t>SN-1000-1200-1210-1210OL0001</t>
        </is>
      </c>
      <c r="B3312" s="2" t="inlineStr">
        <is>
          <t>1210OL0001</t>
        </is>
      </c>
      <c r="C3312" s="2" t="inlineStr">
        <is>
          <t>Indicador presión aceite PI0122</t>
        </is>
      </c>
      <c r="D3312" s="2" t="n">
        <v>1104</v>
      </c>
      <c r="E3312" s="2" t="inlineStr">
        <is>
          <t>CC-1000</t>
        </is>
      </c>
      <c r="F3312" s="2" t="inlineStr">
        <is>
          <t>P01</t>
        </is>
      </c>
      <c r="G3312" s="2" t="n">
        <v>620000</v>
      </c>
      <c r="H3312" s="2" t="inlineStr">
        <is>
          <t>Materiales</t>
        </is>
      </c>
      <c r="I3312" s="9" t="n">
        <v>1854.76</v>
      </c>
      <c r="J3312" s="9" t="n">
        <v>1763.22</v>
      </c>
      <c r="K3312" s="9" t="n">
        <v>1896.16</v>
      </c>
      <c r="L3312" s="9" t="n">
        <v>2071.1</v>
      </c>
      <c r="M3312" s="9" t="n">
        <v>2007.14</v>
      </c>
      <c r="N3312" s="9" t="n">
        <v>1752.94</v>
      </c>
      <c r="O3312" s="9" t="n">
        <v>2025</v>
      </c>
      <c r="P3312" s="9" t="n">
        <v>1822.58</v>
      </c>
      <c r="Q3312" s="9" t="n">
        <v>1853.52</v>
      </c>
      <c r="R3312" s="9" t="n">
        <v>1938.42</v>
      </c>
      <c r="S3312" s="9" t="n">
        <v>1919.4</v>
      </c>
      <c r="T3312" s="9" t="n">
        <v>1867.51</v>
      </c>
      <c r="U3312" s="10">
        <f>SUM(I3312:T3312)</f>
        <v/>
      </c>
    </row>
    <row r="3313">
      <c r="A3313" s="2" t="inlineStr">
        <is>
          <t>SN-1000-1200-1210-1210OL0001</t>
        </is>
      </c>
      <c r="B3313" s="2" t="inlineStr">
        <is>
          <t>1210OL0001</t>
        </is>
      </c>
      <c r="C3313" s="2" t="inlineStr">
        <is>
          <t>Indicador presión aceite PI0122</t>
        </is>
      </c>
      <c r="D3313" s="2" t="n">
        <v>1104</v>
      </c>
      <c r="E3313" s="2" t="inlineStr">
        <is>
          <t>CC-1000</t>
        </is>
      </c>
      <c r="F3313" s="2" t="inlineStr">
        <is>
          <t>P01</t>
        </is>
      </c>
      <c r="G3313" s="2" t="n">
        <v>630000</v>
      </c>
      <c r="H3313" s="2" t="inlineStr">
        <is>
          <t>Servicios externos</t>
        </is>
      </c>
      <c r="I3313" s="9" t="n">
        <v>1956.93</v>
      </c>
      <c r="J3313" s="9" t="n">
        <v>1684.43</v>
      </c>
      <c r="K3313" s="9" t="n">
        <v>1994.51</v>
      </c>
      <c r="L3313" s="9" t="n">
        <v>1717.08</v>
      </c>
      <c r="M3313" s="9" t="n">
        <v>1634.7</v>
      </c>
      <c r="N3313" s="9" t="n">
        <v>1815.21</v>
      </c>
      <c r="O3313" s="9" t="n">
        <v>1817.95</v>
      </c>
      <c r="P3313" s="9" t="n">
        <v>1768.5</v>
      </c>
      <c r="Q3313" s="9" t="n">
        <v>1556.81</v>
      </c>
      <c r="R3313" s="9" t="n">
        <v>1956.02</v>
      </c>
      <c r="S3313" s="9" t="n">
        <v>1705.55</v>
      </c>
      <c r="T3313" s="9" t="n">
        <v>1814.14</v>
      </c>
      <c r="U3313" s="10">
        <f>SUM(I3313:T3313)</f>
        <v/>
      </c>
    </row>
    <row r="3314">
      <c r="A3314" s="2" t="inlineStr">
        <is>
          <t>SN-1000-1200-1210-1210PU0001</t>
        </is>
      </c>
      <c r="B3314" s="2" t="inlineStr">
        <is>
          <t>1210PU0001</t>
        </is>
      </c>
      <c r="C3314" s="2" t="inlineStr">
        <is>
          <t>Bomba diafragma grasa PU0001</t>
        </is>
      </c>
      <c r="D3314" s="2" t="n">
        <v>1105</v>
      </c>
      <c r="E3314" s="2" t="inlineStr">
        <is>
          <t>CC-1000</t>
        </is>
      </c>
      <c r="F3314" s="2" t="inlineStr">
        <is>
          <t>P01</t>
        </is>
      </c>
      <c r="G3314" s="2" t="n">
        <v>610000</v>
      </c>
      <c r="H3314" s="2" t="inlineStr">
        <is>
          <t>Mano obra interna</t>
        </is>
      </c>
      <c r="I3314" s="9" t="n">
        <v>2366.51</v>
      </c>
      <c r="J3314" s="9" t="n">
        <v>2397.66</v>
      </c>
      <c r="K3314" s="9" t="n">
        <v>2397.2</v>
      </c>
      <c r="L3314" s="9" t="n">
        <v>2257.86</v>
      </c>
      <c r="M3314" s="9" t="n">
        <v>2182.8</v>
      </c>
      <c r="N3314" s="9" t="n">
        <v>2159.89</v>
      </c>
      <c r="O3314" s="9" t="n">
        <v>2181.1</v>
      </c>
      <c r="P3314" s="9" t="n">
        <v>2220.94</v>
      </c>
      <c r="Q3314" s="9" t="n">
        <v>2226.23</v>
      </c>
      <c r="R3314" s="9" t="n">
        <v>2586</v>
      </c>
      <c r="S3314" s="9" t="n">
        <v>2239.89</v>
      </c>
      <c r="T3314" s="9" t="n">
        <v>2331.59</v>
      </c>
      <c r="U3314" s="10">
        <f>SUM(I3314:T3314)</f>
        <v/>
      </c>
    </row>
    <row r="3315">
      <c r="A3315" s="2" t="inlineStr">
        <is>
          <t>SN-1000-1200-1210-1210PU0001</t>
        </is>
      </c>
      <c r="B3315" s="2" t="inlineStr">
        <is>
          <t>1210PU0001</t>
        </is>
      </c>
      <c r="C3315" s="2" t="inlineStr">
        <is>
          <t>Bomba diafragma grasa PU0001</t>
        </is>
      </c>
      <c r="D3315" s="2" t="n">
        <v>1105</v>
      </c>
      <c r="E3315" s="2" t="inlineStr">
        <is>
          <t>CC-1000</t>
        </is>
      </c>
      <c r="F3315" s="2" t="inlineStr">
        <is>
          <t>P01</t>
        </is>
      </c>
      <c r="G3315" s="2" t="n">
        <v>620000</v>
      </c>
      <c r="H3315" s="2" t="inlineStr">
        <is>
          <t>Materiales</t>
        </is>
      </c>
      <c r="I3315" s="9" t="n">
        <v>2181.7</v>
      </c>
      <c r="J3315" s="9" t="n">
        <v>2160.87</v>
      </c>
      <c r="K3315" s="9" t="n">
        <v>2239.97</v>
      </c>
      <c r="L3315" s="9" t="n">
        <v>1978.89</v>
      </c>
      <c r="M3315" s="9" t="n">
        <v>2146.59</v>
      </c>
      <c r="N3315" s="9" t="n">
        <v>2070.15</v>
      </c>
      <c r="O3315" s="9" t="n">
        <v>1958.35</v>
      </c>
      <c r="P3315" s="9" t="n">
        <v>1973.14</v>
      </c>
      <c r="Q3315" s="9" t="n">
        <v>2036.78</v>
      </c>
      <c r="R3315" s="9" t="n">
        <v>2277</v>
      </c>
      <c r="S3315" s="9" t="n">
        <v>2129.07</v>
      </c>
      <c r="T3315" s="9" t="n">
        <v>2015.65</v>
      </c>
      <c r="U3315" s="10">
        <f>SUM(I3315:T3315)</f>
        <v/>
      </c>
    </row>
    <row r="3316">
      <c r="A3316" s="2" t="inlineStr">
        <is>
          <t>SN-1000-1200-1210-1210PU0001</t>
        </is>
      </c>
      <c r="B3316" s="2" t="inlineStr">
        <is>
          <t>1210PU0001</t>
        </is>
      </c>
      <c r="C3316" s="2" t="inlineStr">
        <is>
          <t>Bomba diafragma grasa PU0001</t>
        </is>
      </c>
      <c r="D3316" s="2" t="n">
        <v>1105</v>
      </c>
      <c r="E3316" s="2" t="inlineStr">
        <is>
          <t>CC-1000</t>
        </is>
      </c>
      <c r="F3316" s="2" t="inlineStr">
        <is>
          <t>P01</t>
        </is>
      </c>
      <c r="G3316" s="2" t="n">
        <v>630000</v>
      </c>
      <c r="H3316" s="2" t="inlineStr">
        <is>
          <t>Servicios externos</t>
        </is>
      </c>
      <c r="I3316" s="9" t="n">
        <v>1791.25</v>
      </c>
      <c r="J3316" s="9" t="n">
        <v>1813.05</v>
      </c>
      <c r="K3316" s="9" t="n">
        <v>1920.83</v>
      </c>
      <c r="L3316" s="9" t="n">
        <v>2004.4</v>
      </c>
      <c r="M3316" s="9" t="n">
        <v>1899.32</v>
      </c>
      <c r="N3316" s="9" t="n">
        <v>1912.66</v>
      </c>
      <c r="O3316" s="9" t="n">
        <v>1730.75</v>
      </c>
      <c r="P3316" s="9" t="n">
        <v>1743.95</v>
      </c>
      <c r="Q3316" s="9" t="n">
        <v>1611.94</v>
      </c>
      <c r="R3316" s="9" t="n">
        <v>2012.79</v>
      </c>
      <c r="S3316" s="9" t="n">
        <v>1728.78</v>
      </c>
      <c r="T3316" s="9" t="n">
        <v>1937.86</v>
      </c>
      <c r="U3316" s="10">
        <f>SUM(I3316:T3316)</f>
        <v/>
      </c>
    </row>
    <row r="3317">
      <c r="A3317" s="2" t="inlineStr">
        <is>
          <t>SN-1000-1200-1210-1210PU0002</t>
        </is>
      </c>
      <c r="B3317" s="2" t="inlineStr">
        <is>
          <t>1210PU0002</t>
        </is>
      </c>
      <c r="C3317" s="2" t="inlineStr">
        <is>
          <t>Bomba diafragma grasa PU0002</t>
        </is>
      </c>
      <c r="D3317" s="2" t="n">
        <v>1106</v>
      </c>
      <c r="E3317" s="2" t="inlineStr">
        <is>
          <t>CC-1000</t>
        </is>
      </c>
      <c r="F3317" s="2" t="inlineStr">
        <is>
          <t>P01</t>
        </is>
      </c>
      <c r="G3317" s="2" t="n">
        <v>610000</v>
      </c>
      <c r="H3317" s="2" t="inlineStr">
        <is>
          <t>Mano obra interna</t>
        </is>
      </c>
      <c r="I3317" s="9" t="n">
        <v>2119.02</v>
      </c>
      <c r="J3317" s="9" t="n">
        <v>2169</v>
      </c>
      <c r="K3317" s="9" t="n">
        <v>2241.2</v>
      </c>
      <c r="L3317" s="9" t="n">
        <v>2384.64</v>
      </c>
      <c r="M3317" s="9" t="n">
        <v>2312.02</v>
      </c>
      <c r="N3317" s="9" t="n">
        <v>1989.39</v>
      </c>
      <c r="O3317" s="9" t="n">
        <v>2328.29</v>
      </c>
      <c r="P3317" s="9" t="n">
        <v>2237.56</v>
      </c>
      <c r="Q3317" s="9" t="n">
        <v>2064.44</v>
      </c>
      <c r="R3317" s="9" t="n">
        <v>2235.32</v>
      </c>
      <c r="S3317" s="9" t="n">
        <v>2227.95</v>
      </c>
      <c r="T3317" s="9" t="n">
        <v>2090.89</v>
      </c>
      <c r="U3317" s="10">
        <f>SUM(I3317:T3317)</f>
        <v/>
      </c>
    </row>
    <row r="3318">
      <c r="A3318" s="2" t="inlineStr">
        <is>
          <t>SN-1000-1200-1210-1210PU0002</t>
        </is>
      </c>
      <c r="B3318" s="2" t="inlineStr">
        <is>
          <t>1210PU0002</t>
        </is>
      </c>
      <c r="C3318" s="2" t="inlineStr">
        <is>
          <t>Bomba diafragma grasa PU0002</t>
        </is>
      </c>
      <c r="D3318" s="2" t="n">
        <v>1106</v>
      </c>
      <c r="E3318" s="2" t="inlineStr">
        <is>
          <t>CC-1000</t>
        </is>
      </c>
      <c r="F3318" s="2" t="inlineStr">
        <is>
          <t>P01</t>
        </is>
      </c>
      <c r="G3318" s="2" t="n">
        <v>620000</v>
      </c>
      <c r="H3318" s="2" t="inlineStr">
        <is>
          <t>Materiales</t>
        </is>
      </c>
      <c r="I3318" s="9" t="n">
        <v>2109.78</v>
      </c>
      <c r="J3318" s="9" t="n">
        <v>2186.99</v>
      </c>
      <c r="K3318" s="9" t="n">
        <v>2332.63</v>
      </c>
      <c r="L3318" s="9" t="n">
        <v>2399.69</v>
      </c>
      <c r="M3318" s="9" t="n">
        <v>2268.71</v>
      </c>
      <c r="N3318" s="9" t="n">
        <v>2268.52</v>
      </c>
      <c r="O3318" s="9" t="n">
        <v>2303.04</v>
      </c>
      <c r="P3318" s="9" t="n">
        <v>2136.75</v>
      </c>
      <c r="Q3318" s="9" t="n">
        <v>2072.65</v>
      </c>
      <c r="R3318" s="9" t="n">
        <v>2367</v>
      </c>
      <c r="S3318" s="9" t="n">
        <v>2161.74</v>
      </c>
      <c r="T3318" s="9" t="n">
        <v>2268.41</v>
      </c>
      <c r="U3318" s="10">
        <f>SUM(I3318:T3318)</f>
        <v/>
      </c>
    </row>
    <row r="3319">
      <c r="A3319" s="2" t="inlineStr">
        <is>
          <t>SN-1000-1200-1210-1210PU0002</t>
        </is>
      </c>
      <c r="B3319" s="2" t="inlineStr">
        <is>
          <t>1210PU0002</t>
        </is>
      </c>
      <c r="C3319" s="2" t="inlineStr">
        <is>
          <t>Bomba diafragma grasa PU0002</t>
        </is>
      </c>
      <c r="D3319" s="2" t="n">
        <v>1106</v>
      </c>
      <c r="E3319" s="2" t="inlineStr">
        <is>
          <t>CC-1000</t>
        </is>
      </c>
      <c r="F3319" s="2" t="inlineStr">
        <is>
          <t>P01</t>
        </is>
      </c>
      <c r="G3319" s="2" t="n">
        <v>630000</v>
      </c>
      <c r="H3319" s="2" t="inlineStr">
        <is>
          <t>Servicios externos</t>
        </is>
      </c>
      <c r="I3319" s="9" t="n">
        <v>2489.51</v>
      </c>
      <c r="J3319" s="9" t="n">
        <v>2675.02</v>
      </c>
      <c r="K3319" s="9" t="n">
        <v>2542.02</v>
      </c>
      <c r="L3319" s="9" t="n">
        <v>2468.15</v>
      </c>
      <c r="M3319" s="9" t="n">
        <v>2593.79</v>
      </c>
      <c r="N3319" s="9" t="n">
        <v>2530.76</v>
      </c>
      <c r="O3319" s="9" t="n">
        <v>2419.62</v>
      </c>
      <c r="P3319" s="9" t="n">
        <v>2617.46</v>
      </c>
      <c r="Q3319" s="9" t="n">
        <v>2445.83</v>
      </c>
      <c r="R3319" s="9" t="n">
        <v>2616.15</v>
      </c>
      <c r="S3319" s="9" t="n">
        <v>2615.18</v>
      </c>
      <c r="T3319" s="9" t="n">
        <v>2528.87</v>
      </c>
      <c r="U3319" s="10">
        <f>SUM(I3319:T3319)</f>
        <v/>
      </c>
    </row>
    <row r="3320">
      <c r="A3320" s="2" t="inlineStr">
        <is>
          <t>SN-1000-1200-1210-1210PU0003</t>
        </is>
      </c>
      <c r="B3320" s="2" t="inlineStr">
        <is>
          <t>1210PU0003</t>
        </is>
      </c>
      <c r="C3320" s="2" t="inlineStr">
        <is>
          <t>Bomba diafragma grasa PU0003</t>
        </is>
      </c>
      <c r="D3320" s="2" t="n">
        <v>1107</v>
      </c>
      <c r="E3320" s="2" t="inlineStr">
        <is>
          <t>CC-1000</t>
        </is>
      </c>
      <c r="F3320" s="2" t="inlineStr">
        <is>
          <t>P01</t>
        </is>
      </c>
      <c r="G3320" s="2" t="n">
        <v>610000</v>
      </c>
      <c r="H3320" s="2" t="inlineStr">
        <is>
          <t>Mano obra interna</t>
        </is>
      </c>
      <c r="I3320" s="9" t="n">
        <v>2965.26</v>
      </c>
      <c r="J3320" s="9" t="n">
        <v>2939.58</v>
      </c>
      <c r="K3320" s="9" t="n">
        <v>3283.89</v>
      </c>
      <c r="L3320" s="9" t="n">
        <v>3211.38</v>
      </c>
      <c r="M3320" s="9" t="n">
        <v>3098.08</v>
      </c>
      <c r="N3320" s="9" t="n">
        <v>2708.19</v>
      </c>
      <c r="O3320" s="9" t="n">
        <v>2780.07</v>
      </c>
      <c r="P3320" s="9" t="n">
        <v>3043.79</v>
      </c>
      <c r="Q3320" s="9" t="n">
        <v>2748.48</v>
      </c>
      <c r="R3320" s="9" t="n">
        <v>3441.72</v>
      </c>
      <c r="S3320" s="9" t="n">
        <v>2829.93</v>
      </c>
      <c r="T3320" s="9" t="n">
        <v>2996.34</v>
      </c>
      <c r="U3320" s="10">
        <f>SUM(I3320:T3320)</f>
        <v/>
      </c>
    </row>
    <row r="3321">
      <c r="A3321" s="2" t="inlineStr">
        <is>
          <t>SN-1000-1200-1210-1210PU0003</t>
        </is>
      </c>
      <c r="B3321" s="2" t="inlineStr">
        <is>
          <t>1210PU0003</t>
        </is>
      </c>
      <c r="C3321" s="2" t="inlineStr">
        <is>
          <t>Bomba diafragma grasa PU0003</t>
        </is>
      </c>
      <c r="D3321" s="2" t="n">
        <v>1107</v>
      </c>
      <c r="E3321" s="2" t="inlineStr">
        <is>
          <t>CC-1000</t>
        </is>
      </c>
      <c r="F3321" s="2" t="inlineStr">
        <is>
          <t>P01</t>
        </is>
      </c>
      <c r="G3321" s="2" t="n">
        <v>620000</v>
      </c>
      <c r="H3321" s="2" t="inlineStr">
        <is>
          <t>Materiales</t>
        </is>
      </c>
      <c r="I3321" s="9" t="n">
        <v>2863.88</v>
      </c>
      <c r="J3321" s="9" t="n">
        <v>2540.04</v>
      </c>
      <c r="K3321" s="9" t="n">
        <v>2958.46</v>
      </c>
      <c r="L3321" s="9" t="n">
        <v>2754.91</v>
      </c>
      <c r="M3321" s="9" t="n">
        <v>2795.29</v>
      </c>
      <c r="N3321" s="9" t="n">
        <v>2571.21</v>
      </c>
      <c r="O3321" s="9" t="n">
        <v>2796.21</v>
      </c>
      <c r="P3321" s="9" t="n">
        <v>2484.29</v>
      </c>
      <c r="Q3321" s="9" t="n">
        <v>2612.61</v>
      </c>
      <c r="R3321" s="9" t="n">
        <v>2899.51</v>
      </c>
      <c r="S3321" s="9" t="n">
        <v>2571.86</v>
      </c>
      <c r="T3321" s="9" t="n">
        <v>2549.24</v>
      </c>
      <c r="U3321" s="10">
        <f>SUM(I3321:T3321)</f>
        <v/>
      </c>
    </row>
    <row r="3322">
      <c r="A3322" s="2" t="inlineStr">
        <is>
          <t>SN-1000-1200-1210-1210PU0003</t>
        </is>
      </c>
      <c r="B3322" s="2" t="inlineStr">
        <is>
          <t>1210PU0003</t>
        </is>
      </c>
      <c r="C3322" s="2" t="inlineStr">
        <is>
          <t>Bomba diafragma grasa PU0003</t>
        </is>
      </c>
      <c r="D3322" s="2" t="n">
        <v>1107</v>
      </c>
      <c r="E3322" s="2" t="inlineStr">
        <is>
          <t>CC-1000</t>
        </is>
      </c>
      <c r="F3322" s="2" t="inlineStr">
        <is>
          <t>P01</t>
        </is>
      </c>
      <c r="G3322" s="2" t="n">
        <v>630000</v>
      </c>
      <c r="H3322" s="2" t="inlineStr">
        <is>
          <t>Servicios externos</t>
        </is>
      </c>
      <c r="I3322" s="9" t="n">
        <v>2847.47</v>
      </c>
      <c r="J3322" s="9" t="n">
        <v>2775.65</v>
      </c>
      <c r="K3322" s="9" t="n">
        <v>2875.26</v>
      </c>
      <c r="L3322" s="9" t="n">
        <v>2790.42</v>
      </c>
      <c r="M3322" s="9" t="n">
        <v>3009.59</v>
      </c>
      <c r="N3322" s="9" t="n">
        <v>2730.12</v>
      </c>
      <c r="O3322" s="9" t="n">
        <v>2799.27</v>
      </c>
      <c r="P3322" s="9" t="n">
        <v>2876.72</v>
      </c>
      <c r="Q3322" s="9" t="n">
        <v>2758.95</v>
      </c>
      <c r="R3322" s="9" t="n">
        <v>3198.47</v>
      </c>
      <c r="S3322" s="9" t="n">
        <v>2808.61</v>
      </c>
      <c r="T3322" s="9" t="n">
        <v>3005.83</v>
      </c>
      <c r="U3322" s="10">
        <f>SUM(I3322:T3322)</f>
        <v/>
      </c>
    </row>
    <row r="3323">
      <c r="A3323" s="2" t="inlineStr">
        <is>
          <t>SN-1000-1200-1210-1210PU0004</t>
        </is>
      </c>
      <c r="B3323" s="2" t="inlineStr">
        <is>
          <t>1210PU0004</t>
        </is>
      </c>
      <c r="C3323" s="2" t="inlineStr">
        <is>
          <t>Bomba diafragma grasa PU0004</t>
        </is>
      </c>
      <c r="D3323" s="2" t="n">
        <v>1108</v>
      </c>
      <c r="E3323" s="2" t="inlineStr">
        <is>
          <t>CC-1000</t>
        </is>
      </c>
      <c r="F3323" s="2" t="inlineStr">
        <is>
          <t>P01</t>
        </is>
      </c>
      <c r="G3323" s="2" t="n">
        <v>610000</v>
      </c>
      <c r="H3323" s="2" t="inlineStr">
        <is>
          <t>Mano obra interna</t>
        </is>
      </c>
      <c r="I3323" s="9" t="n">
        <v>2131.15</v>
      </c>
      <c r="J3323" s="9" t="n">
        <v>1807.94</v>
      </c>
      <c r="K3323" s="9" t="n">
        <v>2168.55</v>
      </c>
      <c r="L3323" s="9" t="n">
        <v>1945.78</v>
      </c>
      <c r="M3323" s="9" t="n">
        <v>2034.33</v>
      </c>
      <c r="N3323" s="9" t="n">
        <v>1869.1</v>
      </c>
      <c r="O3323" s="9" t="n">
        <v>1920.69</v>
      </c>
      <c r="P3323" s="9" t="n">
        <v>2020.27</v>
      </c>
      <c r="Q3323" s="9" t="n">
        <v>1927.43</v>
      </c>
      <c r="R3323" s="9" t="n">
        <v>2123.68</v>
      </c>
      <c r="S3323" s="9" t="n">
        <v>1911.46</v>
      </c>
      <c r="T3323" s="9" t="n">
        <v>1872.42</v>
      </c>
      <c r="U3323" s="10">
        <f>SUM(I3323:T3323)</f>
        <v/>
      </c>
    </row>
    <row r="3324">
      <c r="A3324" s="2" t="inlineStr">
        <is>
          <t>SN-1000-1200-1210-1210PU0004</t>
        </is>
      </c>
      <c r="B3324" s="2" t="inlineStr">
        <is>
          <t>1210PU0004</t>
        </is>
      </c>
      <c r="C3324" s="2" t="inlineStr">
        <is>
          <t>Bomba diafragma grasa PU0004</t>
        </is>
      </c>
      <c r="D3324" s="2" t="n">
        <v>1108</v>
      </c>
      <c r="E3324" s="2" t="inlineStr">
        <is>
          <t>CC-1000</t>
        </is>
      </c>
      <c r="F3324" s="2" t="inlineStr">
        <is>
          <t>P01</t>
        </is>
      </c>
      <c r="G3324" s="2" t="n">
        <v>620000</v>
      </c>
      <c r="H3324" s="2" t="inlineStr">
        <is>
          <t>Materiales</t>
        </is>
      </c>
      <c r="I3324" s="9" t="n">
        <v>2353.19</v>
      </c>
      <c r="J3324" s="9" t="n">
        <v>2115.75</v>
      </c>
      <c r="K3324" s="9" t="n">
        <v>2348.53</v>
      </c>
      <c r="L3324" s="9" t="n">
        <v>2165.38</v>
      </c>
      <c r="M3324" s="9" t="n">
        <v>2241.01</v>
      </c>
      <c r="N3324" s="9" t="n">
        <v>2093.55</v>
      </c>
      <c r="O3324" s="9" t="n">
        <v>2171.19</v>
      </c>
      <c r="P3324" s="9" t="n">
        <v>2027.44</v>
      </c>
      <c r="Q3324" s="9" t="n">
        <v>2184.35</v>
      </c>
      <c r="R3324" s="9" t="n">
        <v>2482.34</v>
      </c>
      <c r="S3324" s="9" t="n">
        <v>2213.42</v>
      </c>
      <c r="T3324" s="9" t="n">
        <v>2147.17</v>
      </c>
      <c r="U3324" s="10">
        <f>SUM(I3324:T3324)</f>
        <v/>
      </c>
    </row>
    <row r="3325">
      <c r="A3325" s="2" t="inlineStr">
        <is>
          <t>SN-1000-1200-1210-1210PU0004</t>
        </is>
      </c>
      <c r="B3325" s="2" t="inlineStr">
        <is>
          <t>1210PU0004</t>
        </is>
      </c>
      <c r="C3325" s="2" t="inlineStr">
        <is>
          <t>Bomba diafragma grasa PU0004</t>
        </is>
      </c>
      <c r="D3325" s="2" t="n">
        <v>1108</v>
      </c>
      <c r="E3325" s="2" t="inlineStr">
        <is>
          <t>CC-1000</t>
        </is>
      </c>
      <c r="F3325" s="2" t="inlineStr">
        <is>
          <t>P01</t>
        </is>
      </c>
      <c r="G3325" s="2" t="n">
        <v>630000</v>
      </c>
      <c r="H3325" s="2" t="inlineStr">
        <is>
          <t>Servicios externos</t>
        </is>
      </c>
      <c r="I3325" s="9" t="n">
        <v>1868.32</v>
      </c>
      <c r="J3325" s="9" t="n">
        <v>1880.29</v>
      </c>
      <c r="K3325" s="9" t="n">
        <v>1996</v>
      </c>
      <c r="L3325" s="9" t="n">
        <v>1780.51</v>
      </c>
      <c r="M3325" s="9" t="n">
        <v>1821.04</v>
      </c>
      <c r="N3325" s="9" t="n">
        <v>1791.47</v>
      </c>
      <c r="O3325" s="9" t="n">
        <v>1730.57</v>
      </c>
      <c r="P3325" s="9" t="n">
        <v>1780.87</v>
      </c>
      <c r="Q3325" s="9" t="n">
        <v>1599.74</v>
      </c>
      <c r="R3325" s="9" t="n">
        <v>2012.94</v>
      </c>
      <c r="S3325" s="9" t="n">
        <v>1853.14</v>
      </c>
      <c r="T3325" s="9" t="n">
        <v>1946.74</v>
      </c>
      <c r="U3325" s="10">
        <f>SUM(I3325:T3325)</f>
        <v/>
      </c>
    </row>
    <row r="3326">
      <c r="A3326" s="2" t="inlineStr">
        <is>
          <t>SN-1000-1200-1210-1210PU0005</t>
        </is>
      </c>
      <c r="B3326" s="2" t="inlineStr">
        <is>
          <t>1210PU0005</t>
        </is>
      </c>
      <c r="C3326" s="2" t="inlineStr">
        <is>
          <t>Bomba diafragma grasa PU0005</t>
        </is>
      </c>
      <c r="D3326" s="2" t="n">
        <v>1109</v>
      </c>
      <c r="E3326" s="2" t="inlineStr">
        <is>
          <t>CC-1000</t>
        </is>
      </c>
      <c r="F3326" s="2" t="inlineStr">
        <is>
          <t>P01</t>
        </is>
      </c>
      <c r="G3326" s="2" t="n">
        <v>610000</v>
      </c>
      <c r="H3326" s="2" t="inlineStr">
        <is>
          <t>Mano obra interna</t>
        </is>
      </c>
      <c r="I3326" s="9" t="n">
        <v>1890.18</v>
      </c>
      <c r="J3326" s="9" t="n">
        <v>1917.42</v>
      </c>
      <c r="K3326" s="9" t="n">
        <v>2072.17</v>
      </c>
      <c r="L3326" s="9" t="n">
        <v>1978.9</v>
      </c>
      <c r="M3326" s="9" t="n">
        <v>1852.18</v>
      </c>
      <c r="N3326" s="9" t="n">
        <v>1936.5</v>
      </c>
      <c r="O3326" s="9" t="n">
        <v>2000.7</v>
      </c>
      <c r="P3326" s="9" t="n">
        <v>2012.63</v>
      </c>
      <c r="Q3326" s="9" t="n">
        <v>1880.78</v>
      </c>
      <c r="R3326" s="9" t="n">
        <v>2012.07</v>
      </c>
      <c r="S3326" s="9" t="n">
        <v>1943.11</v>
      </c>
      <c r="T3326" s="9" t="n">
        <v>1947.86</v>
      </c>
      <c r="U3326" s="10">
        <f>SUM(I3326:T3326)</f>
        <v/>
      </c>
    </row>
    <row r="3327">
      <c r="A3327" s="2" t="inlineStr">
        <is>
          <t>SN-1000-1200-1210-1210PU0005</t>
        </is>
      </c>
      <c r="B3327" s="2" t="inlineStr">
        <is>
          <t>1210PU0005</t>
        </is>
      </c>
      <c r="C3327" s="2" t="inlineStr">
        <is>
          <t>Bomba diafragma grasa PU0005</t>
        </is>
      </c>
      <c r="D3327" s="2" t="n">
        <v>1109</v>
      </c>
      <c r="E3327" s="2" t="inlineStr">
        <is>
          <t>CC-1000</t>
        </is>
      </c>
      <c r="F3327" s="2" t="inlineStr">
        <is>
          <t>P01</t>
        </is>
      </c>
      <c r="G3327" s="2" t="n">
        <v>620000</v>
      </c>
      <c r="H3327" s="2" t="inlineStr">
        <is>
          <t>Materiales</t>
        </is>
      </c>
      <c r="I3327" s="9" t="n">
        <v>1615.66</v>
      </c>
      <c r="J3327" s="9" t="n">
        <v>1518.37</v>
      </c>
      <c r="K3327" s="9" t="n">
        <v>1540.52</v>
      </c>
      <c r="L3327" s="9" t="n">
        <v>1702.3</v>
      </c>
      <c r="M3327" s="9" t="n">
        <v>1423.85</v>
      </c>
      <c r="N3327" s="9" t="n">
        <v>1586.6</v>
      </c>
      <c r="O3327" s="9" t="n">
        <v>1465.22</v>
      </c>
      <c r="P3327" s="9" t="n">
        <v>1517.38</v>
      </c>
      <c r="Q3327" s="9" t="n">
        <v>1422.83</v>
      </c>
      <c r="R3327" s="9" t="n">
        <v>1732.23</v>
      </c>
      <c r="S3327" s="9" t="n">
        <v>1431.3</v>
      </c>
      <c r="T3327" s="9" t="n">
        <v>1694.26</v>
      </c>
      <c r="U3327" s="10">
        <f>SUM(I3327:T3327)</f>
        <v/>
      </c>
    </row>
    <row r="3328">
      <c r="A3328" s="2" t="inlineStr">
        <is>
          <t>SN-1000-1200-1210-1210PU0005</t>
        </is>
      </c>
      <c r="B3328" s="2" t="inlineStr">
        <is>
          <t>1210PU0005</t>
        </is>
      </c>
      <c r="C3328" s="2" t="inlineStr">
        <is>
          <t>Bomba diafragma grasa PU0005</t>
        </is>
      </c>
      <c r="D3328" s="2" t="n">
        <v>1109</v>
      </c>
      <c r="E3328" s="2" t="inlineStr">
        <is>
          <t>CC-1000</t>
        </is>
      </c>
      <c r="F3328" s="2" t="inlineStr">
        <is>
          <t>P01</t>
        </is>
      </c>
      <c r="G3328" s="2" t="n">
        <v>630000</v>
      </c>
      <c r="H3328" s="2" t="inlineStr">
        <is>
          <t>Servicios externos</t>
        </is>
      </c>
      <c r="I3328" s="9" t="n">
        <v>2053.59</v>
      </c>
      <c r="J3328" s="9" t="n">
        <v>1774.13</v>
      </c>
      <c r="K3328" s="9" t="n">
        <v>1975.78</v>
      </c>
      <c r="L3328" s="9" t="n">
        <v>2104.93</v>
      </c>
      <c r="M3328" s="9" t="n">
        <v>1832.58</v>
      </c>
      <c r="N3328" s="9" t="n">
        <v>1733.72</v>
      </c>
      <c r="O3328" s="9" t="n">
        <v>1918.84</v>
      </c>
      <c r="P3328" s="9" t="n">
        <v>2053.32</v>
      </c>
      <c r="Q3328" s="9" t="n">
        <v>1785.8</v>
      </c>
      <c r="R3328" s="9" t="n">
        <v>2041.67</v>
      </c>
      <c r="S3328" s="9" t="n">
        <v>1905.81</v>
      </c>
      <c r="T3328" s="9" t="n">
        <v>2087.39</v>
      </c>
      <c r="U3328" s="10">
        <f>SUM(I3328:T3328)</f>
        <v/>
      </c>
    </row>
    <row r="3329">
      <c r="A3329" s="2" t="inlineStr">
        <is>
          <t>SN-1000-1200-1210-1210PU0007</t>
        </is>
      </c>
      <c r="B3329" s="2" t="inlineStr">
        <is>
          <t>1210PU0007</t>
        </is>
      </c>
      <c r="C3329" s="2" t="inlineStr">
        <is>
          <t>Bomba centrífuga agua PU0007</t>
        </is>
      </c>
      <c r="D3329" s="2" t="n">
        <v>1110</v>
      </c>
      <c r="E3329" s="2" t="inlineStr">
        <is>
          <t>CC-1000</t>
        </is>
      </c>
      <c r="F3329" s="2" t="inlineStr">
        <is>
          <t>P01</t>
        </is>
      </c>
      <c r="G3329" s="2" t="n">
        <v>610000</v>
      </c>
      <c r="H3329" s="2" t="inlineStr">
        <is>
          <t>Mano obra interna</t>
        </is>
      </c>
      <c r="I3329" s="9" t="n">
        <v>1983.58</v>
      </c>
      <c r="J3329" s="9" t="n">
        <v>1906.97</v>
      </c>
      <c r="K3329" s="9" t="n">
        <v>1981.45</v>
      </c>
      <c r="L3329" s="9" t="n">
        <v>2035.94</v>
      </c>
      <c r="M3329" s="9" t="n">
        <v>1947.71</v>
      </c>
      <c r="N3329" s="9" t="n">
        <v>1982.11</v>
      </c>
      <c r="O3329" s="9" t="n">
        <v>2001.22</v>
      </c>
      <c r="P3329" s="9" t="n">
        <v>2024.45</v>
      </c>
      <c r="Q3329" s="9" t="n">
        <v>2050.35</v>
      </c>
      <c r="R3329" s="9" t="n">
        <v>2096.27</v>
      </c>
      <c r="S3329" s="9" t="n">
        <v>1955.92</v>
      </c>
      <c r="T3329" s="9" t="n">
        <v>2006.57</v>
      </c>
      <c r="U3329" s="10">
        <f>SUM(I3329:T3329)</f>
        <v/>
      </c>
    </row>
    <row r="3330">
      <c r="A3330" s="2" t="inlineStr">
        <is>
          <t>SN-1000-1200-1210-1210PU0007</t>
        </is>
      </c>
      <c r="B3330" s="2" t="inlineStr">
        <is>
          <t>1210PU0007</t>
        </is>
      </c>
      <c r="C3330" s="2" t="inlineStr">
        <is>
          <t>Bomba centrífuga agua PU0007</t>
        </is>
      </c>
      <c r="D3330" s="2" t="n">
        <v>1110</v>
      </c>
      <c r="E3330" s="2" t="inlineStr">
        <is>
          <t>CC-1000</t>
        </is>
      </c>
      <c r="F3330" s="2" t="inlineStr">
        <is>
          <t>P01</t>
        </is>
      </c>
      <c r="G3330" s="2" t="n">
        <v>620000</v>
      </c>
      <c r="H3330" s="2" t="inlineStr">
        <is>
          <t>Materiales</t>
        </is>
      </c>
      <c r="I3330" s="9" t="n">
        <v>2372.49</v>
      </c>
      <c r="J3330" s="9" t="n">
        <v>2317.31</v>
      </c>
      <c r="K3330" s="9" t="n">
        <v>2315.88</v>
      </c>
      <c r="L3330" s="9" t="n">
        <v>2418.7</v>
      </c>
      <c r="M3330" s="9" t="n">
        <v>2317.29</v>
      </c>
      <c r="N3330" s="9" t="n">
        <v>2023.49</v>
      </c>
      <c r="O3330" s="9" t="n">
        <v>2149.13</v>
      </c>
      <c r="P3330" s="9" t="n">
        <v>2299.17</v>
      </c>
      <c r="Q3330" s="9" t="n">
        <v>2242.93</v>
      </c>
      <c r="R3330" s="9" t="n">
        <v>2367.13</v>
      </c>
      <c r="S3330" s="9" t="n">
        <v>2074.13</v>
      </c>
      <c r="T3330" s="9" t="n">
        <v>2406.84</v>
      </c>
      <c r="U3330" s="10">
        <f>SUM(I3330:T3330)</f>
        <v/>
      </c>
    </row>
    <row r="3331">
      <c r="A3331" s="2" t="inlineStr">
        <is>
          <t>SN-1000-1200-1210-1210PU0007</t>
        </is>
      </c>
      <c r="B3331" s="2" t="inlineStr">
        <is>
          <t>1210PU0007</t>
        </is>
      </c>
      <c r="C3331" s="2" t="inlineStr">
        <is>
          <t>Bomba centrífuga agua PU0007</t>
        </is>
      </c>
      <c r="D3331" s="2" t="n">
        <v>1110</v>
      </c>
      <c r="E3331" s="2" t="inlineStr">
        <is>
          <t>CC-1000</t>
        </is>
      </c>
      <c r="F3331" s="2" t="inlineStr">
        <is>
          <t>P01</t>
        </is>
      </c>
      <c r="G3331" s="2" t="n">
        <v>630000</v>
      </c>
      <c r="H3331" s="2" t="inlineStr">
        <is>
          <t>Servicios externos</t>
        </is>
      </c>
      <c r="I3331" s="9" t="n">
        <v>2169.9</v>
      </c>
      <c r="J3331" s="9" t="n">
        <v>1878.08</v>
      </c>
      <c r="K3331" s="9" t="n">
        <v>1962.1</v>
      </c>
      <c r="L3331" s="9" t="n">
        <v>2089.61</v>
      </c>
      <c r="M3331" s="9" t="n">
        <v>2090.27</v>
      </c>
      <c r="N3331" s="9" t="n">
        <v>1857.28</v>
      </c>
      <c r="O3331" s="9" t="n">
        <v>2148.47</v>
      </c>
      <c r="P3331" s="9" t="n">
        <v>1936.66</v>
      </c>
      <c r="Q3331" s="9" t="n">
        <v>1928.42</v>
      </c>
      <c r="R3331" s="9" t="n">
        <v>2153.94</v>
      </c>
      <c r="S3331" s="9" t="n">
        <v>2075.21</v>
      </c>
      <c r="T3331" s="9" t="n">
        <v>2192.85</v>
      </c>
      <c r="U3331" s="10">
        <f>SUM(I3331:T3331)</f>
        <v/>
      </c>
    </row>
    <row r="3332">
      <c r="A3332" s="2" t="inlineStr">
        <is>
          <t>SN-1000-1200-1210-1210PU0008</t>
        </is>
      </c>
      <c r="B3332" s="2" t="inlineStr">
        <is>
          <t>1210PU0008</t>
        </is>
      </c>
      <c r="C3332" s="2" t="inlineStr">
        <is>
          <t>Bomba centrífuga derrames PU0008</t>
        </is>
      </c>
      <c r="D3332" s="2" t="n">
        <v>1111</v>
      </c>
      <c r="E3332" s="2" t="inlineStr">
        <is>
          <t>CC-1000</t>
        </is>
      </c>
      <c r="F3332" s="2" t="inlineStr">
        <is>
          <t>P01</t>
        </is>
      </c>
      <c r="G3332" s="2" t="n">
        <v>610000</v>
      </c>
      <c r="H3332" s="2" t="inlineStr">
        <is>
          <t>Mano obra interna</t>
        </is>
      </c>
      <c r="I3332" s="9" t="n">
        <v>2042.41</v>
      </c>
      <c r="J3332" s="9" t="n">
        <v>2202.52</v>
      </c>
      <c r="K3332" s="9" t="n">
        <v>2141.46</v>
      </c>
      <c r="L3332" s="9" t="n">
        <v>2142.57</v>
      </c>
      <c r="M3332" s="9" t="n">
        <v>1971.82</v>
      </c>
      <c r="N3332" s="9" t="n">
        <v>2171.05</v>
      </c>
      <c r="O3332" s="9" t="n">
        <v>2247.64</v>
      </c>
      <c r="P3332" s="9" t="n">
        <v>1935.09</v>
      </c>
      <c r="Q3332" s="9" t="n">
        <v>1974.64</v>
      </c>
      <c r="R3332" s="9" t="n">
        <v>2404.37</v>
      </c>
      <c r="S3332" s="9" t="n">
        <v>2014.35</v>
      </c>
      <c r="T3332" s="9" t="n">
        <v>2113.85</v>
      </c>
      <c r="U3332" s="10">
        <f>SUM(I3332:T3332)</f>
        <v/>
      </c>
    </row>
    <row r="3333">
      <c r="A3333" s="2" t="inlineStr">
        <is>
          <t>SN-1000-1200-1210-1210PU0008</t>
        </is>
      </c>
      <c r="B3333" s="2" t="inlineStr">
        <is>
          <t>1210PU0008</t>
        </is>
      </c>
      <c r="C3333" s="2" t="inlineStr">
        <is>
          <t>Bomba centrífuga derrames PU0008</t>
        </is>
      </c>
      <c r="D3333" s="2" t="n">
        <v>1111</v>
      </c>
      <c r="E3333" s="2" t="inlineStr">
        <is>
          <t>CC-1000</t>
        </is>
      </c>
      <c r="F3333" s="2" t="inlineStr">
        <is>
          <t>P01</t>
        </is>
      </c>
      <c r="G3333" s="2" t="n">
        <v>620000</v>
      </c>
      <c r="H3333" s="2" t="inlineStr">
        <is>
          <t>Materiales</t>
        </is>
      </c>
      <c r="I3333" s="9" t="n">
        <v>2132.62</v>
      </c>
      <c r="J3333" s="9" t="n">
        <v>2328.54</v>
      </c>
      <c r="K3333" s="9" t="n">
        <v>2314.78</v>
      </c>
      <c r="L3333" s="9" t="n">
        <v>2320.69</v>
      </c>
      <c r="M3333" s="9" t="n">
        <v>2148.63</v>
      </c>
      <c r="N3333" s="9" t="n">
        <v>2258.34</v>
      </c>
      <c r="O3333" s="9" t="n">
        <v>2366.67</v>
      </c>
      <c r="P3333" s="9" t="n">
        <v>2276.83</v>
      </c>
      <c r="Q3333" s="9" t="n">
        <v>2239.39</v>
      </c>
      <c r="R3333" s="9" t="n">
        <v>2286.85</v>
      </c>
      <c r="S3333" s="9" t="n">
        <v>2287.56</v>
      </c>
      <c r="T3333" s="9" t="n">
        <v>2314.44</v>
      </c>
      <c r="U3333" s="10">
        <f>SUM(I3333:T3333)</f>
        <v/>
      </c>
    </row>
    <row r="3334">
      <c r="A3334" s="2" t="inlineStr">
        <is>
          <t>SN-1000-1200-1210-1210PU0008</t>
        </is>
      </c>
      <c r="B3334" s="2" t="inlineStr">
        <is>
          <t>1210PU0008</t>
        </is>
      </c>
      <c r="C3334" s="2" t="inlineStr">
        <is>
          <t>Bomba centrífuga derrames PU0008</t>
        </is>
      </c>
      <c r="D3334" s="2" t="n">
        <v>1111</v>
      </c>
      <c r="E3334" s="2" t="inlineStr">
        <is>
          <t>CC-1000</t>
        </is>
      </c>
      <c r="F3334" s="2" t="inlineStr">
        <is>
          <t>P01</t>
        </is>
      </c>
      <c r="G3334" s="2" t="n">
        <v>630000</v>
      </c>
      <c r="H3334" s="2" t="inlineStr">
        <is>
          <t>Servicios externos</t>
        </is>
      </c>
      <c r="I3334" s="9" t="n">
        <v>2074.42</v>
      </c>
      <c r="J3334" s="9" t="n">
        <v>2058.69</v>
      </c>
      <c r="K3334" s="9" t="n">
        <v>2354.39</v>
      </c>
      <c r="L3334" s="9" t="n">
        <v>2308.23</v>
      </c>
      <c r="M3334" s="9" t="n">
        <v>2186.37</v>
      </c>
      <c r="N3334" s="9" t="n">
        <v>1928.92</v>
      </c>
      <c r="O3334" s="9" t="n">
        <v>2317.25</v>
      </c>
      <c r="P3334" s="9" t="n">
        <v>2090.31</v>
      </c>
      <c r="Q3334" s="9" t="n">
        <v>2044.25</v>
      </c>
      <c r="R3334" s="9" t="n">
        <v>2441.33</v>
      </c>
      <c r="S3334" s="9" t="n">
        <v>1967.35</v>
      </c>
      <c r="T3334" s="9" t="n">
        <v>2244.5</v>
      </c>
      <c r="U3334" s="10">
        <f>SUM(I3334:T3334)</f>
        <v/>
      </c>
    </row>
    <row r="3335">
      <c r="A3335" s="2" t="inlineStr">
        <is>
          <t>SN-1000-1200-1210-1210PU0011</t>
        </is>
      </c>
      <c r="B3335" s="2" t="inlineStr">
        <is>
          <t>1210PU0011</t>
        </is>
      </c>
      <c r="C3335" s="2" t="inlineStr">
        <is>
          <t>Bomba rotativa aceite PU0011</t>
        </is>
      </c>
      <c r="D3335" s="2" t="n">
        <v>1112</v>
      </c>
      <c r="E3335" s="2" t="inlineStr">
        <is>
          <t>CC-1000</t>
        </is>
      </c>
      <c r="F3335" s="2" t="inlineStr">
        <is>
          <t>P01</t>
        </is>
      </c>
      <c r="G3335" s="2" t="n">
        <v>610000</v>
      </c>
      <c r="H3335" s="2" t="inlineStr">
        <is>
          <t>Mano obra interna</t>
        </is>
      </c>
      <c r="I3335" s="9" t="n">
        <v>2279.58</v>
      </c>
      <c r="J3335" s="9" t="n">
        <v>2432.74</v>
      </c>
      <c r="K3335" s="9" t="n">
        <v>2324.67</v>
      </c>
      <c r="L3335" s="9" t="n">
        <v>2415.53</v>
      </c>
      <c r="M3335" s="9" t="n">
        <v>2265.27</v>
      </c>
      <c r="N3335" s="9" t="n">
        <v>2251.47</v>
      </c>
      <c r="O3335" s="9" t="n">
        <v>2224.66</v>
      </c>
      <c r="P3335" s="9" t="n">
        <v>2480.4</v>
      </c>
      <c r="Q3335" s="9" t="n">
        <v>2070.6</v>
      </c>
      <c r="R3335" s="9" t="n">
        <v>2711.09</v>
      </c>
      <c r="S3335" s="9" t="n">
        <v>2368.89</v>
      </c>
      <c r="T3335" s="9" t="n">
        <v>2388.09</v>
      </c>
      <c r="U3335" s="10">
        <f>SUM(I3335:T3335)</f>
        <v/>
      </c>
    </row>
    <row r="3336">
      <c r="A3336" s="2" t="inlineStr">
        <is>
          <t>SN-1000-1200-1210-1210PU0011</t>
        </is>
      </c>
      <c r="B3336" s="2" t="inlineStr">
        <is>
          <t>1210PU0011</t>
        </is>
      </c>
      <c r="C3336" s="2" t="inlineStr">
        <is>
          <t>Bomba rotativa aceite PU0011</t>
        </is>
      </c>
      <c r="D3336" s="2" t="n">
        <v>1112</v>
      </c>
      <c r="E3336" s="2" t="inlineStr">
        <is>
          <t>CC-1000</t>
        </is>
      </c>
      <c r="F3336" s="2" t="inlineStr">
        <is>
          <t>P01</t>
        </is>
      </c>
      <c r="G3336" s="2" t="n">
        <v>620000</v>
      </c>
      <c r="H3336" s="2" t="inlineStr">
        <is>
          <t>Materiales</t>
        </is>
      </c>
      <c r="I3336" s="9" t="n">
        <v>2838.02</v>
      </c>
      <c r="J3336" s="9" t="n">
        <v>2774.15</v>
      </c>
      <c r="K3336" s="9" t="n">
        <v>2844.36</v>
      </c>
      <c r="L3336" s="9" t="n">
        <v>2934.9</v>
      </c>
      <c r="M3336" s="9" t="n">
        <v>3122.38</v>
      </c>
      <c r="N3336" s="9" t="n">
        <v>2646.69</v>
      </c>
      <c r="O3336" s="9" t="n">
        <v>3083.46</v>
      </c>
      <c r="P3336" s="9" t="n">
        <v>2995.95</v>
      </c>
      <c r="Q3336" s="9" t="n">
        <v>2513.65</v>
      </c>
      <c r="R3336" s="9" t="n">
        <v>3381.31</v>
      </c>
      <c r="S3336" s="9" t="n">
        <v>3047.16</v>
      </c>
      <c r="T3336" s="9" t="n">
        <v>3172.47</v>
      </c>
      <c r="U3336" s="10">
        <f>SUM(I3336:T3336)</f>
        <v/>
      </c>
    </row>
    <row r="3337">
      <c r="A3337" s="2" t="inlineStr">
        <is>
          <t>SN-1000-1200-1210-1210PU0011</t>
        </is>
      </c>
      <c r="B3337" s="2" t="inlineStr">
        <is>
          <t>1210PU0011</t>
        </is>
      </c>
      <c r="C3337" s="2" t="inlineStr">
        <is>
          <t>Bomba rotativa aceite PU0011</t>
        </is>
      </c>
      <c r="D3337" s="2" t="n">
        <v>1112</v>
      </c>
      <c r="E3337" s="2" t="inlineStr">
        <is>
          <t>CC-1000</t>
        </is>
      </c>
      <c r="F3337" s="2" t="inlineStr">
        <is>
          <t>P01</t>
        </is>
      </c>
      <c r="G3337" s="2" t="n">
        <v>630000</v>
      </c>
      <c r="H3337" s="2" t="inlineStr">
        <is>
          <t>Servicios externos</t>
        </is>
      </c>
      <c r="I3337" s="9" t="n">
        <v>2616.96</v>
      </c>
      <c r="J3337" s="9" t="n">
        <v>2596.97</v>
      </c>
      <c r="K3337" s="9" t="n">
        <v>2819.08</v>
      </c>
      <c r="L3337" s="9" t="n">
        <v>2689.58</v>
      </c>
      <c r="M3337" s="9" t="n">
        <v>2744.29</v>
      </c>
      <c r="N3337" s="9" t="n">
        <v>2687.03</v>
      </c>
      <c r="O3337" s="9" t="n">
        <v>2559.97</v>
      </c>
      <c r="P3337" s="9" t="n">
        <v>2640.8</v>
      </c>
      <c r="Q3337" s="9" t="n">
        <v>2681.05</v>
      </c>
      <c r="R3337" s="9" t="n">
        <v>2778.2</v>
      </c>
      <c r="S3337" s="9" t="n">
        <v>2534.06</v>
      </c>
      <c r="T3337" s="9" t="n">
        <v>2521.1</v>
      </c>
      <c r="U3337" s="10">
        <f>SUM(I3337:T3337)</f>
        <v/>
      </c>
    </row>
    <row r="3338">
      <c r="A3338" s="2" t="inlineStr">
        <is>
          <t>SN-1000-1200-1210-1210PU0013</t>
        </is>
      </c>
      <c r="B3338" s="2" t="inlineStr">
        <is>
          <t>1210PU0013</t>
        </is>
      </c>
      <c r="C3338" s="2" t="inlineStr">
        <is>
          <t>Bomba diafragma aceite PU0013</t>
        </is>
      </c>
      <c r="D3338" s="2" t="n">
        <v>1113</v>
      </c>
      <c r="E3338" s="2" t="inlineStr">
        <is>
          <t>CC-1000</t>
        </is>
      </c>
      <c r="F3338" s="2" t="inlineStr">
        <is>
          <t>P01</t>
        </is>
      </c>
      <c r="G3338" s="2" t="n">
        <v>610000</v>
      </c>
      <c r="H3338" s="2" t="inlineStr">
        <is>
          <t>Mano obra interna</t>
        </is>
      </c>
      <c r="I3338" s="9" t="n">
        <v>2460.18</v>
      </c>
      <c r="J3338" s="9" t="n">
        <v>2268.33</v>
      </c>
      <c r="K3338" s="9" t="n">
        <v>2336.12</v>
      </c>
      <c r="L3338" s="9" t="n">
        <v>2545.35</v>
      </c>
      <c r="M3338" s="9" t="n">
        <v>2357.97</v>
      </c>
      <c r="N3338" s="9" t="n">
        <v>2171.15</v>
      </c>
      <c r="O3338" s="9" t="n">
        <v>2603.65</v>
      </c>
      <c r="P3338" s="9" t="n">
        <v>2492.13</v>
      </c>
      <c r="Q3338" s="9" t="n">
        <v>2170.14</v>
      </c>
      <c r="R3338" s="9" t="n">
        <v>2808.83</v>
      </c>
      <c r="S3338" s="9" t="n">
        <v>2288.25</v>
      </c>
      <c r="T3338" s="9" t="n">
        <v>2388.39</v>
      </c>
      <c r="U3338" s="10">
        <f>SUM(I3338:T3338)</f>
        <v/>
      </c>
    </row>
    <row r="3339">
      <c r="A3339" s="2" t="inlineStr">
        <is>
          <t>SN-1000-1200-1210-1210PU0013</t>
        </is>
      </c>
      <c r="B3339" s="2" t="inlineStr">
        <is>
          <t>1210PU0013</t>
        </is>
      </c>
      <c r="C3339" s="2" t="inlineStr">
        <is>
          <t>Bomba diafragma aceite PU0013</t>
        </is>
      </c>
      <c r="D3339" s="2" t="n">
        <v>1113</v>
      </c>
      <c r="E3339" s="2" t="inlineStr">
        <is>
          <t>CC-1000</t>
        </is>
      </c>
      <c r="F3339" s="2" t="inlineStr">
        <is>
          <t>P01</t>
        </is>
      </c>
      <c r="G3339" s="2" t="n">
        <v>620000</v>
      </c>
      <c r="H3339" s="2" t="inlineStr">
        <is>
          <t>Materiales</t>
        </is>
      </c>
      <c r="I3339" s="9" t="n">
        <v>2721.27</v>
      </c>
      <c r="J3339" s="9" t="n">
        <v>2935.07</v>
      </c>
      <c r="K3339" s="9" t="n">
        <v>3039.24</v>
      </c>
      <c r="L3339" s="9" t="n">
        <v>2784.35</v>
      </c>
      <c r="M3339" s="9" t="n">
        <v>2573.59</v>
      </c>
      <c r="N3339" s="9" t="n">
        <v>2506.95</v>
      </c>
      <c r="O3339" s="9" t="n">
        <v>2635.46</v>
      </c>
      <c r="P3339" s="9" t="n">
        <v>2983.27</v>
      </c>
      <c r="Q3339" s="9" t="n">
        <v>2575.43</v>
      </c>
      <c r="R3339" s="9" t="n">
        <v>2803.53</v>
      </c>
      <c r="S3339" s="9" t="n">
        <v>2744.69</v>
      </c>
      <c r="T3339" s="9" t="n">
        <v>2718.3</v>
      </c>
      <c r="U3339" s="10">
        <f>SUM(I3339:T3339)</f>
        <v/>
      </c>
    </row>
    <row r="3340">
      <c r="A3340" s="2" t="inlineStr">
        <is>
          <t>SN-1000-1200-1210-1210PU0013</t>
        </is>
      </c>
      <c r="B3340" s="2" t="inlineStr">
        <is>
          <t>1210PU0013</t>
        </is>
      </c>
      <c r="C3340" s="2" t="inlineStr">
        <is>
          <t>Bomba diafragma aceite PU0013</t>
        </is>
      </c>
      <c r="D3340" s="2" t="n">
        <v>1113</v>
      </c>
      <c r="E3340" s="2" t="inlineStr">
        <is>
          <t>CC-1000</t>
        </is>
      </c>
      <c r="F3340" s="2" t="inlineStr">
        <is>
          <t>P01</t>
        </is>
      </c>
      <c r="G3340" s="2" t="n">
        <v>630000</v>
      </c>
      <c r="H3340" s="2" t="inlineStr">
        <is>
          <t>Servicios externos</t>
        </is>
      </c>
      <c r="I3340" s="9" t="n">
        <v>2234.47</v>
      </c>
      <c r="J3340" s="9" t="n">
        <v>2374.95</v>
      </c>
      <c r="K3340" s="9" t="n">
        <v>2196.89</v>
      </c>
      <c r="L3340" s="9" t="n">
        <v>2342.36</v>
      </c>
      <c r="M3340" s="9" t="n">
        <v>2139.09</v>
      </c>
      <c r="N3340" s="9" t="n">
        <v>2231.3</v>
      </c>
      <c r="O3340" s="9" t="n">
        <v>2258.43</v>
      </c>
      <c r="P3340" s="9" t="n">
        <v>2138.18</v>
      </c>
      <c r="Q3340" s="9" t="n">
        <v>2141</v>
      </c>
      <c r="R3340" s="9" t="n">
        <v>2524.14</v>
      </c>
      <c r="S3340" s="9" t="n">
        <v>2150.06</v>
      </c>
      <c r="T3340" s="9" t="n">
        <v>2448.58</v>
      </c>
      <c r="U3340" s="10">
        <f>SUM(I3340:T3340)</f>
        <v/>
      </c>
    </row>
    <row r="3341">
      <c r="A3341" s="2" t="inlineStr">
        <is>
          <t>SN-1000-1200-1210-1210PU0015</t>
        </is>
      </c>
      <c r="B3341" s="2" t="inlineStr">
        <is>
          <t>1210PU0015</t>
        </is>
      </c>
      <c r="C3341" s="2" t="inlineStr">
        <is>
          <t>Bomba rotativa aceite PU0015</t>
        </is>
      </c>
      <c r="D3341" s="2" t="n">
        <v>1114</v>
      </c>
      <c r="E3341" s="2" t="inlineStr">
        <is>
          <t>CC-1000</t>
        </is>
      </c>
      <c r="F3341" s="2" t="inlineStr">
        <is>
          <t>P01</t>
        </is>
      </c>
      <c r="G3341" s="2" t="n">
        <v>610000</v>
      </c>
      <c r="H3341" s="2" t="inlineStr">
        <is>
          <t>Mano obra interna</t>
        </is>
      </c>
      <c r="I3341" s="9" t="n">
        <v>2571.72</v>
      </c>
      <c r="J3341" s="9" t="n">
        <v>2416.04</v>
      </c>
      <c r="K3341" s="9" t="n">
        <v>2646.87</v>
      </c>
      <c r="L3341" s="9" t="n">
        <v>2494.56</v>
      </c>
      <c r="M3341" s="9" t="n">
        <v>2276.91</v>
      </c>
      <c r="N3341" s="9" t="n">
        <v>2435.68</v>
      </c>
      <c r="O3341" s="9" t="n">
        <v>2533.41</v>
      </c>
      <c r="P3341" s="9" t="n">
        <v>2603.7</v>
      </c>
      <c r="Q3341" s="9" t="n">
        <v>2108.46</v>
      </c>
      <c r="R3341" s="9" t="n">
        <v>2650.69</v>
      </c>
      <c r="S3341" s="9" t="n">
        <v>2342.07</v>
      </c>
      <c r="T3341" s="9" t="n">
        <v>2525.74</v>
      </c>
      <c r="U3341" s="10">
        <f>SUM(I3341:T3341)</f>
        <v/>
      </c>
    </row>
    <row r="3342">
      <c r="A3342" s="2" t="inlineStr">
        <is>
          <t>SN-1000-1200-1210-1210PU0015</t>
        </is>
      </c>
      <c r="B3342" s="2" t="inlineStr">
        <is>
          <t>1210PU0015</t>
        </is>
      </c>
      <c r="C3342" s="2" t="inlineStr">
        <is>
          <t>Bomba rotativa aceite PU0015</t>
        </is>
      </c>
      <c r="D3342" s="2" t="n">
        <v>1114</v>
      </c>
      <c r="E3342" s="2" t="inlineStr">
        <is>
          <t>CC-1000</t>
        </is>
      </c>
      <c r="F3342" s="2" t="inlineStr">
        <is>
          <t>P01</t>
        </is>
      </c>
      <c r="G3342" s="2" t="n">
        <v>620000</v>
      </c>
      <c r="H3342" s="2" t="inlineStr">
        <is>
          <t>Materiales</t>
        </is>
      </c>
      <c r="I3342" s="9" t="n">
        <v>2969.14</v>
      </c>
      <c r="J3342" s="9" t="n">
        <v>2934.44</v>
      </c>
      <c r="K3342" s="9" t="n">
        <v>2912.15</v>
      </c>
      <c r="L3342" s="9" t="n">
        <v>2862.24</v>
      </c>
      <c r="M3342" s="9" t="n">
        <v>2788.18</v>
      </c>
      <c r="N3342" s="9" t="n">
        <v>2562.22</v>
      </c>
      <c r="O3342" s="9" t="n">
        <v>2795.18</v>
      </c>
      <c r="P3342" s="9" t="n">
        <v>2740.1</v>
      </c>
      <c r="Q3342" s="9" t="n">
        <v>2675.21</v>
      </c>
      <c r="R3342" s="9" t="n">
        <v>3100.94</v>
      </c>
      <c r="S3342" s="9" t="n">
        <v>2920.03</v>
      </c>
      <c r="T3342" s="9" t="n">
        <v>2937.61</v>
      </c>
      <c r="U3342" s="10">
        <f>SUM(I3342:T3342)</f>
        <v/>
      </c>
    </row>
    <row r="3343">
      <c r="A3343" s="2" t="inlineStr">
        <is>
          <t>SN-1000-1200-1210-1210PU0015</t>
        </is>
      </c>
      <c r="B3343" s="2" t="inlineStr">
        <is>
          <t>1210PU0015</t>
        </is>
      </c>
      <c r="C3343" s="2" t="inlineStr">
        <is>
          <t>Bomba rotativa aceite PU0015</t>
        </is>
      </c>
      <c r="D3343" s="2" t="n">
        <v>1114</v>
      </c>
      <c r="E3343" s="2" t="inlineStr">
        <is>
          <t>CC-1000</t>
        </is>
      </c>
      <c r="F3343" s="2" t="inlineStr">
        <is>
          <t>P01</t>
        </is>
      </c>
      <c r="G3343" s="2" t="n">
        <v>630000</v>
      </c>
      <c r="H3343" s="2" t="inlineStr">
        <is>
          <t>Servicios externos</t>
        </is>
      </c>
      <c r="I3343" s="9" t="n">
        <v>2460.53</v>
      </c>
      <c r="J3343" s="9" t="n">
        <v>2620.17</v>
      </c>
      <c r="K3343" s="9" t="n">
        <v>2428.09</v>
      </c>
      <c r="L3343" s="9" t="n">
        <v>2772.57</v>
      </c>
      <c r="M3343" s="9" t="n">
        <v>2482.83</v>
      </c>
      <c r="N3343" s="9" t="n">
        <v>2286.81</v>
      </c>
      <c r="O3343" s="9" t="n">
        <v>2460.84</v>
      </c>
      <c r="P3343" s="9" t="n">
        <v>2321.41</v>
      </c>
      <c r="Q3343" s="9" t="n">
        <v>2219.26</v>
      </c>
      <c r="R3343" s="9" t="n">
        <v>2644.38</v>
      </c>
      <c r="S3343" s="9" t="n">
        <v>2459.22</v>
      </c>
      <c r="T3343" s="9" t="n">
        <v>2404.3</v>
      </c>
      <c r="U3343" s="10">
        <f>SUM(I3343:T3343)</f>
        <v/>
      </c>
    </row>
    <row r="3344">
      <c r="A3344" s="2" t="inlineStr">
        <is>
          <t>SN-1000-1200-1210-1210PU0017</t>
        </is>
      </c>
      <c r="B3344" s="2" t="inlineStr">
        <is>
          <t>1210PU0017</t>
        </is>
      </c>
      <c r="C3344" s="2" t="inlineStr">
        <is>
          <t>Bomba centrífuga PU0017</t>
        </is>
      </c>
      <c r="D3344" s="2" t="n">
        <v>1115</v>
      </c>
      <c r="E3344" s="2" t="inlineStr">
        <is>
          <t>CC-1000</t>
        </is>
      </c>
      <c r="F3344" s="2" t="inlineStr">
        <is>
          <t>P01</t>
        </is>
      </c>
      <c r="G3344" s="2" t="n">
        <v>610000</v>
      </c>
      <c r="H3344" s="2" t="inlineStr">
        <is>
          <t>Mano obra interna</t>
        </is>
      </c>
      <c r="I3344" s="9" t="n">
        <v>952.66</v>
      </c>
      <c r="J3344" s="9" t="n">
        <v>881.1799999999999</v>
      </c>
      <c r="K3344" s="9" t="n">
        <v>882.8200000000001</v>
      </c>
      <c r="L3344" s="9" t="n">
        <v>849.22</v>
      </c>
      <c r="M3344" s="9" t="n">
        <v>807.49</v>
      </c>
      <c r="N3344" s="9" t="n">
        <v>876.99</v>
      </c>
      <c r="O3344" s="9" t="n">
        <v>903.08</v>
      </c>
      <c r="P3344" s="9" t="n">
        <v>880.47</v>
      </c>
      <c r="Q3344" s="9" t="n">
        <v>770.92</v>
      </c>
      <c r="R3344" s="9" t="n">
        <v>909.14</v>
      </c>
      <c r="S3344" s="9" t="n">
        <v>899.42</v>
      </c>
      <c r="T3344" s="9" t="n">
        <v>894.73</v>
      </c>
      <c r="U3344" s="10">
        <f>SUM(I3344:T3344)</f>
        <v/>
      </c>
    </row>
    <row r="3345">
      <c r="A3345" s="2" t="inlineStr">
        <is>
          <t>SN-1000-1200-1210-1210PU0017</t>
        </is>
      </c>
      <c r="B3345" s="2" t="inlineStr">
        <is>
          <t>1210PU0017</t>
        </is>
      </c>
      <c r="C3345" s="2" t="inlineStr">
        <is>
          <t>Bomba centrífuga PU0017</t>
        </is>
      </c>
      <c r="D3345" s="2" t="n">
        <v>1115</v>
      </c>
      <c r="E3345" s="2" t="inlineStr">
        <is>
          <t>CC-1000</t>
        </is>
      </c>
      <c r="F3345" s="2" t="inlineStr">
        <is>
          <t>P01</t>
        </is>
      </c>
      <c r="G3345" s="2" t="n">
        <v>620000</v>
      </c>
      <c r="H3345" s="2" t="inlineStr">
        <is>
          <t>Materiales</t>
        </is>
      </c>
      <c r="I3345" s="9" t="n">
        <v>999.55</v>
      </c>
      <c r="J3345" s="9" t="n">
        <v>935.85</v>
      </c>
      <c r="K3345" s="9" t="n">
        <v>899.12</v>
      </c>
      <c r="L3345" s="9" t="n">
        <v>886.74</v>
      </c>
      <c r="M3345" s="9" t="n">
        <v>861.87</v>
      </c>
      <c r="N3345" s="9" t="n">
        <v>934.3</v>
      </c>
      <c r="O3345" s="9" t="n">
        <v>883.13</v>
      </c>
      <c r="P3345" s="9" t="n">
        <v>935.86</v>
      </c>
      <c r="Q3345" s="9" t="n">
        <v>905.9299999999999</v>
      </c>
      <c r="R3345" s="9" t="n">
        <v>1027.71</v>
      </c>
      <c r="S3345" s="9" t="n">
        <v>891.37</v>
      </c>
      <c r="T3345" s="9" t="n">
        <v>871.34</v>
      </c>
      <c r="U3345" s="10">
        <f>SUM(I3345:T3345)</f>
        <v/>
      </c>
    </row>
    <row r="3346">
      <c r="A3346" s="2" t="inlineStr">
        <is>
          <t>SN-1000-1200-1210-1210PU0017</t>
        </is>
      </c>
      <c r="B3346" s="2" t="inlineStr">
        <is>
          <t>1210PU0017</t>
        </is>
      </c>
      <c r="C3346" s="2" t="inlineStr">
        <is>
          <t>Bomba centrífuga PU0017</t>
        </is>
      </c>
      <c r="D3346" s="2" t="n">
        <v>1115</v>
      </c>
      <c r="E3346" s="2" t="inlineStr">
        <is>
          <t>CC-1000</t>
        </is>
      </c>
      <c r="F3346" s="2" t="inlineStr">
        <is>
          <t>P01</t>
        </is>
      </c>
      <c r="G3346" s="2" t="n">
        <v>630000</v>
      </c>
      <c r="H3346" s="2" t="inlineStr">
        <is>
          <t>Servicios externos</t>
        </is>
      </c>
      <c r="I3346" s="9" t="n">
        <v>734.7</v>
      </c>
      <c r="J3346" s="9" t="n">
        <v>760.98</v>
      </c>
      <c r="K3346" s="9" t="n">
        <v>791.49</v>
      </c>
      <c r="L3346" s="9" t="n">
        <v>697.13</v>
      </c>
      <c r="M3346" s="9" t="n">
        <v>688.9</v>
      </c>
      <c r="N3346" s="9" t="n">
        <v>698.71</v>
      </c>
      <c r="O3346" s="9" t="n">
        <v>718.3</v>
      </c>
      <c r="P3346" s="9" t="n">
        <v>676.1799999999999</v>
      </c>
      <c r="Q3346" s="9" t="n">
        <v>656.74</v>
      </c>
      <c r="R3346" s="9" t="n">
        <v>833.62</v>
      </c>
      <c r="S3346" s="9" t="n">
        <v>747.95</v>
      </c>
      <c r="T3346" s="9" t="n">
        <v>738.23</v>
      </c>
      <c r="U3346" s="10">
        <f>SUM(I3346:T3346)</f>
        <v/>
      </c>
    </row>
    <row r="3347">
      <c r="A3347" s="2" t="inlineStr">
        <is>
          <t>SN-1000-1200-1210-1210PU0018</t>
        </is>
      </c>
      <c r="B3347" s="2" t="inlineStr">
        <is>
          <t>1210PU0018</t>
        </is>
      </c>
      <c r="C3347" s="2" t="inlineStr">
        <is>
          <t>Bomba centrífuga derrames PU0018</t>
        </is>
      </c>
      <c r="D3347" s="2" t="n">
        <v>1116</v>
      </c>
      <c r="E3347" s="2" t="inlineStr">
        <is>
          <t>CC-1000</t>
        </is>
      </c>
      <c r="F3347" s="2" t="inlineStr">
        <is>
          <t>P01</t>
        </is>
      </c>
      <c r="G3347" s="2" t="n">
        <v>610000</v>
      </c>
      <c r="H3347" s="2" t="inlineStr">
        <is>
          <t>Mano obra interna</t>
        </is>
      </c>
      <c r="I3347" s="9" t="n">
        <v>1370.21</v>
      </c>
      <c r="J3347" s="9" t="n">
        <v>1437.02</v>
      </c>
      <c r="K3347" s="9" t="n">
        <v>1345.42</v>
      </c>
      <c r="L3347" s="9" t="n">
        <v>1371.54</v>
      </c>
      <c r="M3347" s="9" t="n">
        <v>1280.29</v>
      </c>
      <c r="N3347" s="9" t="n">
        <v>1318.46</v>
      </c>
      <c r="O3347" s="9" t="n">
        <v>1484.13</v>
      </c>
      <c r="P3347" s="9" t="n">
        <v>1512.05</v>
      </c>
      <c r="Q3347" s="9" t="n">
        <v>1342.73</v>
      </c>
      <c r="R3347" s="9" t="n">
        <v>1574.25</v>
      </c>
      <c r="S3347" s="9" t="n">
        <v>1308.25</v>
      </c>
      <c r="T3347" s="9" t="n">
        <v>1430.23</v>
      </c>
      <c r="U3347" s="10">
        <f>SUM(I3347:T3347)</f>
        <v/>
      </c>
    </row>
    <row r="3348">
      <c r="A3348" s="2" t="inlineStr">
        <is>
          <t>SN-1000-1200-1210-1210PU0018</t>
        </is>
      </c>
      <c r="B3348" s="2" t="inlineStr">
        <is>
          <t>1210PU0018</t>
        </is>
      </c>
      <c r="C3348" s="2" t="inlineStr">
        <is>
          <t>Bomba centrífuga derrames PU0018</t>
        </is>
      </c>
      <c r="D3348" s="2" t="n">
        <v>1116</v>
      </c>
      <c r="E3348" s="2" t="inlineStr">
        <is>
          <t>CC-1000</t>
        </is>
      </c>
      <c r="F3348" s="2" t="inlineStr">
        <is>
          <t>P01</t>
        </is>
      </c>
      <c r="G3348" s="2" t="n">
        <v>620000</v>
      </c>
      <c r="H3348" s="2" t="inlineStr">
        <is>
          <t>Materiales</t>
        </is>
      </c>
      <c r="I3348" s="9" t="n">
        <v>1435.08</v>
      </c>
      <c r="J3348" s="9" t="n">
        <v>1293.9</v>
      </c>
      <c r="K3348" s="9" t="n">
        <v>1506.8</v>
      </c>
      <c r="L3348" s="9" t="n">
        <v>1372.89</v>
      </c>
      <c r="M3348" s="9" t="n">
        <v>1302.25</v>
      </c>
      <c r="N3348" s="9" t="n">
        <v>1339.88</v>
      </c>
      <c r="O3348" s="9" t="n">
        <v>1311.26</v>
      </c>
      <c r="P3348" s="9" t="n">
        <v>1434.44</v>
      </c>
      <c r="Q3348" s="9" t="n">
        <v>1338.6</v>
      </c>
      <c r="R3348" s="9" t="n">
        <v>1457.64</v>
      </c>
      <c r="S3348" s="9" t="n">
        <v>1462.66</v>
      </c>
      <c r="T3348" s="9" t="n">
        <v>1501.36</v>
      </c>
      <c r="U3348" s="10">
        <f>SUM(I3348:T3348)</f>
        <v/>
      </c>
    </row>
    <row r="3349">
      <c r="A3349" s="2" t="inlineStr">
        <is>
          <t>SN-1000-1200-1210-1210PU0018</t>
        </is>
      </c>
      <c r="B3349" s="2" t="inlineStr">
        <is>
          <t>1210PU0018</t>
        </is>
      </c>
      <c r="C3349" s="2" t="inlineStr">
        <is>
          <t>Bomba centrífuga derrames PU0018</t>
        </is>
      </c>
      <c r="D3349" s="2" t="n">
        <v>1116</v>
      </c>
      <c r="E3349" s="2" t="inlineStr">
        <is>
          <t>CC-1000</t>
        </is>
      </c>
      <c r="F3349" s="2" t="inlineStr">
        <is>
          <t>P01</t>
        </is>
      </c>
      <c r="G3349" s="2" t="n">
        <v>630000</v>
      </c>
      <c r="H3349" s="2" t="inlineStr">
        <is>
          <t>Servicios externos</t>
        </is>
      </c>
      <c r="I3349" s="9" t="n">
        <v>1240.54</v>
      </c>
      <c r="J3349" s="9" t="n">
        <v>1123.98</v>
      </c>
      <c r="K3349" s="9" t="n">
        <v>1254</v>
      </c>
      <c r="L3349" s="9" t="n">
        <v>1251.99</v>
      </c>
      <c r="M3349" s="9" t="n">
        <v>1092.13</v>
      </c>
      <c r="N3349" s="9" t="n">
        <v>1146.33</v>
      </c>
      <c r="O3349" s="9" t="n">
        <v>1237.13</v>
      </c>
      <c r="P3349" s="9" t="n">
        <v>1134.86</v>
      </c>
      <c r="Q3349" s="9" t="n">
        <v>1014.9</v>
      </c>
      <c r="R3349" s="9" t="n">
        <v>1165.06</v>
      </c>
      <c r="S3349" s="9" t="n">
        <v>1060.81</v>
      </c>
      <c r="T3349" s="9" t="n">
        <v>1092</v>
      </c>
      <c r="U3349" s="10">
        <f>SUM(I3349:T3349)</f>
        <v/>
      </c>
    </row>
    <row r="3350">
      <c r="A3350" s="2" t="inlineStr">
        <is>
          <t>SN-1000-1200-1210-1210PU0020</t>
        </is>
      </c>
      <c r="B3350" s="2" t="inlineStr">
        <is>
          <t>1210PU0020</t>
        </is>
      </c>
      <c r="C3350" s="2" t="inlineStr">
        <is>
          <t>Bomba rotativa aceite PU0020</t>
        </is>
      </c>
      <c r="D3350" s="2" t="n">
        <v>1117</v>
      </c>
      <c r="E3350" s="2" t="inlineStr">
        <is>
          <t>CC-1000</t>
        </is>
      </c>
      <c r="F3350" s="2" t="inlineStr">
        <is>
          <t>P01</t>
        </is>
      </c>
      <c r="G3350" s="2" t="n">
        <v>610000</v>
      </c>
      <c r="H3350" s="2" t="inlineStr">
        <is>
          <t>Mano obra interna</t>
        </is>
      </c>
      <c r="I3350" s="9" t="n">
        <v>2154.7</v>
      </c>
      <c r="J3350" s="9" t="n">
        <v>2013.8</v>
      </c>
      <c r="K3350" s="9" t="n">
        <v>2304.12</v>
      </c>
      <c r="L3350" s="9" t="n">
        <v>2404.21</v>
      </c>
      <c r="M3350" s="9" t="n">
        <v>2296.61</v>
      </c>
      <c r="N3350" s="9" t="n">
        <v>2002.47</v>
      </c>
      <c r="O3350" s="9" t="n">
        <v>2275.95</v>
      </c>
      <c r="P3350" s="9" t="n">
        <v>2331.41</v>
      </c>
      <c r="Q3350" s="9" t="n">
        <v>2161.97</v>
      </c>
      <c r="R3350" s="9" t="n">
        <v>2496.44</v>
      </c>
      <c r="S3350" s="9" t="n">
        <v>2207.83</v>
      </c>
      <c r="T3350" s="9" t="n">
        <v>2139.8</v>
      </c>
      <c r="U3350" s="10">
        <f>SUM(I3350:T3350)</f>
        <v/>
      </c>
    </row>
    <row r="3351">
      <c r="A3351" s="2" t="inlineStr">
        <is>
          <t>SN-1000-1200-1210-1210PU0020</t>
        </is>
      </c>
      <c r="B3351" s="2" t="inlineStr">
        <is>
          <t>1210PU0020</t>
        </is>
      </c>
      <c r="C3351" s="2" t="inlineStr">
        <is>
          <t>Bomba rotativa aceite PU0020</t>
        </is>
      </c>
      <c r="D3351" s="2" t="n">
        <v>1117</v>
      </c>
      <c r="E3351" s="2" t="inlineStr">
        <is>
          <t>CC-1000</t>
        </is>
      </c>
      <c r="F3351" s="2" t="inlineStr">
        <is>
          <t>P01</t>
        </is>
      </c>
      <c r="G3351" s="2" t="n">
        <v>620000</v>
      </c>
      <c r="H3351" s="2" t="inlineStr">
        <is>
          <t>Materiales</t>
        </is>
      </c>
      <c r="I3351" s="9" t="n">
        <v>2013.66</v>
      </c>
      <c r="J3351" s="9" t="n">
        <v>1807.81</v>
      </c>
      <c r="K3351" s="9" t="n">
        <v>2201.55</v>
      </c>
      <c r="L3351" s="9" t="n">
        <v>1974.17</v>
      </c>
      <c r="M3351" s="9" t="n">
        <v>2099.39</v>
      </c>
      <c r="N3351" s="9" t="n">
        <v>1972.14</v>
      </c>
      <c r="O3351" s="9" t="n">
        <v>1949.22</v>
      </c>
      <c r="P3351" s="9" t="n">
        <v>1854.31</v>
      </c>
      <c r="Q3351" s="9" t="n">
        <v>1762.42</v>
      </c>
      <c r="R3351" s="9" t="n">
        <v>2190.41</v>
      </c>
      <c r="S3351" s="9" t="n">
        <v>2014.28</v>
      </c>
      <c r="T3351" s="9" t="n">
        <v>2159.6</v>
      </c>
      <c r="U3351" s="10">
        <f>SUM(I3351:T3351)</f>
        <v/>
      </c>
    </row>
    <row r="3352">
      <c r="A3352" s="2" t="inlineStr">
        <is>
          <t>SN-1000-1200-1210-1210PU0020</t>
        </is>
      </c>
      <c r="B3352" s="2" t="inlineStr">
        <is>
          <t>1210PU0020</t>
        </is>
      </c>
      <c r="C3352" s="2" t="inlineStr">
        <is>
          <t>Bomba rotativa aceite PU0020</t>
        </is>
      </c>
      <c r="D3352" s="2" t="n">
        <v>1117</v>
      </c>
      <c r="E3352" s="2" t="inlineStr">
        <is>
          <t>CC-1000</t>
        </is>
      </c>
      <c r="F3352" s="2" t="inlineStr">
        <is>
          <t>P01</t>
        </is>
      </c>
      <c r="G3352" s="2" t="n">
        <v>630000</v>
      </c>
      <c r="H3352" s="2" t="inlineStr">
        <is>
          <t>Servicios externos</t>
        </is>
      </c>
      <c r="I3352" s="9" t="n">
        <v>1989.9</v>
      </c>
      <c r="J3352" s="9" t="n">
        <v>1882.85</v>
      </c>
      <c r="K3352" s="9" t="n">
        <v>2046.49</v>
      </c>
      <c r="L3352" s="9" t="n">
        <v>2216.6</v>
      </c>
      <c r="M3352" s="9" t="n">
        <v>1942.92</v>
      </c>
      <c r="N3352" s="9" t="n">
        <v>1987.3</v>
      </c>
      <c r="O3352" s="9" t="n">
        <v>2046.06</v>
      </c>
      <c r="P3352" s="9" t="n">
        <v>2003.83</v>
      </c>
      <c r="Q3352" s="9" t="n">
        <v>1956.59</v>
      </c>
      <c r="R3352" s="9" t="n">
        <v>2225.42</v>
      </c>
      <c r="S3352" s="9" t="n">
        <v>1944.14</v>
      </c>
      <c r="T3352" s="9" t="n">
        <v>2156.7</v>
      </c>
      <c r="U3352" s="10">
        <f>SUM(I3352:T3352)</f>
        <v/>
      </c>
    </row>
    <row r="3353">
      <c r="A3353" s="2" t="inlineStr">
        <is>
          <t>SN-1000-1200-1210-1210PU0031</t>
        </is>
      </c>
      <c r="B3353" s="2" t="inlineStr">
        <is>
          <t>1210PU0031</t>
        </is>
      </c>
      <c r="C3353" s="2" t="inlineStr">
        <is>
          <t>Bomba rotativa aceite PU0031</t>
        </is>
      </c>
      <c r="D3353" s="2" t="n">
        <v>1118</v>
      </c>
      <c r="E3353" s="2" t="inlineStr">
        <is>
          <t>CC-1000</t>
        </is>
      </c>
      <c r="F3353" s="2" t="inlineStr">
        <is>
          <t>P01</t>
        </is>
      </c>
      <c r="G3353" s="2" t="n">
        <v>610000</v>
      </c>
      <c r="H3353" s="2" t="inlineStr">
        <is>
          <t>Mano obra interna</t>
        </is>
      </c>
      <c r="I3353" s="9" t="n">
        <v>716.52</v>
      </c>
      <c r="J3353" s="9" t="n">
        <v>725.22</v>
      </c>
      <c r="K3353" s="9" t="n">
        <v>733.8200000000001</v>
      </c>
      <c r="L3353" s="9" t="n">
        <v>692.14</v>
      </c>
      <c r="M3353" s="9" t="n">
        <v>705.97</v>
      </c>
      <c r="N3353" s="9" t="n">
        <v>688.49</v>
      </c>
      <c r="O3353" s="9" t="n">
        <v>667.35</v>
      </c>
      <c r="P3353" s="9" t="n">
        <v>708.16</v>
      </c>
      <c r="Q3353" s="9" t="n">
        <v>632.04</v>
      </c>
      <c r="R3353" s="9" t="n">
        <v>777.7</v>
      </c>
      <c r="S3353" s="9" t="n">
        <v>642.51</v>
      </c>
      <c r="T3353" s="9" t="n">
        <v>745.13</v>
      </c>
      <c r="U3353" s="10">
        <f>SUM(I3353:T3353)</f>
        <v/>
      </c>
    </row>
    <row r="3354">
      <c r="A3354" s="2" t="inlineStr">
        <is>
          <t>SN-1000-1200-1210-1210PU0031</t>
        </is>
      </c>
      <c r="B3354" s="2" t="inlineStr">
        <is>
          <t>1210PU0031</t>
        </is>
      </c>
      <c r="C3354" s="2" t="inlineStr">
        <is>
          <t>Bomba rotativa aceite PU0031</t>
        </is>
      </c>
      <c r="D3354" s="2" t="n">
        <v>1118</v>
      </c>
      <c r="E3354" s="2" t="inlineStr">
        <is>
          <t>CC-1000</t>
        </is>
      </c>
      <c r="F3354" s="2" t="inlineStr">
        <is>
          <t>P01</t>
        </is>
      </c>
      <c r="G3354" s="2" t="n">
        <v>620000</v>
      </c>
      <c r="H3354" s="2" t="inlineStr">
        <is>
          <t>Materiales</t>
        </is>
      </c>
      <c r="I3354" s="9" t="n">
        <v>770.71</v>
      </c>
      <c r="J3354" s="9" t="n">
        <v>751.58</v>
      </c>
      <c r="K3354" s="9" t="n">
        <v>778.15</v>
      </c>
      <c r="L3354" s="9" t="n">
        <v>745.4299999999999</v>
      </c>
      <c r="M3354" s="9" t="n">
        <v>712.29</v>
      </c>
      <c r="N3354" s="9" t="n">
        <v>718.0700000000001</v>
      </c>
      <c r="O3354" s="9" t="n">
        <v>768.35</v>
      </c>
      <c r="P3354" s="9" t="n">
        <v>755.46</v>
      </c>
      <c r="Q3354" s="9" t="n">
        <v>663.7</v>
      </c>
      <c r="R3354" s="9" t="n">
        <v>844.29</v>
      </c>
      <c r="S3354" s="9" t="n">
        <v>705.89</v>
      </c>
      <c r="T3354" s="9" t="n">
        <v>748.3099999999999</v>
      </c>
      <c r="U3354" s="10">
        <f>SUM(I3354:T3354)</f>
        <v/>
      </c>
    </row>
    <row r="3355">
      <c r="A3355" s="2" t="inlineStr">
        <is>
          <t>SN-1000-1200-1210-1210PU0031</t>
        </is>
      </c>
      <c r="B3355" s="2" t="inlineStr">
        <is>
          <t>1210PU0031</t>
        </is>
      </c>
      <c r="C3355" s="2" t="inlineStr">
        <is>
          <t>Bomba rotativa aceite PU0031</t>
        </is>
      </c>
      <c r="D3355" s="2" t="n">
        <v>1118</v>
      </c>
      <c r="E3355" s="2" t="inlineStr">
        <is>
          <t>CC-1000</t>
        </is>
      </c>
      <c r="F3355" s="2" t="inlineStr">
        <is>
          <t>P01</t>
        </is>
      </c>
      <c r="G3355" s="2" t="n">
        <v>630000</v>
      </c>
      <c r="H3355" s="2" t="inlineStr">
        <is>
          <t>Servicios externos</t>
        </is>
      </c>
      <c r="I3355" s="9" t="n">
        <v>662.6900000000001</v>
      </c>
      <c r="J3355" s="9" t="n">
        <v>595.97</v>
      </c>
      <c r="K3355" s="9" t="n">
        <v>641.5</v>
      </c>
      <c r="L3355" s="9" t="n">
        <v>656.2</v>
      </c>
      <c r="M3355" s="9" t="n">
        <v>606.3099999999999</v>
      </c>
      <c r="N3355" s="9" t="n">
        <v>613.3</v>
      </c>
      <c r="O3355" s="9" t="n">
        <v>631.05</v>
      </c>
      <c r="P3355" s="9" t="n">
        <v>683.86</v>
      </c>
      <c r="Q3355" s="9" t="n">
        <v>630.74</v>
      </c>
      <c r="R3355" s="9" t="n">
        <v>752.8099999999999</v>
      </c>
      <c r="S3355" s="9" t="n">
        <v>629.28</v>
      </c>
      <c r="T3355" s="9" t="n">
        <v>664.5700000000001</v>
      </c>
      <c r="U3355" s="10">
        <f>SUM(I3355:T3355)</f>
        <v/>
      </c>
    </row>
    <row r="3356">
      <c r="A3356" s="2" t="inlineStr">
        <is>
          <t>SN-1000-1200-1210-1210PU0032</t>
        </is>
      </c>
      <c r="B3356" s="2" t="inlineStr">
        <is>
          <t>1210PU0032</t>
        </is>
      </c>
      <c r="C3356" s="2" t="inlineStr">
        <is>
          <t>Bomba rotativa aceite PU0032</t>
        </is>
      </c>
      <c r="D3356" s="2" t="n">
        <v>1119</v>
      </c>
      <c r="E3356" s="2" t="inlineStr">
        <is>
          <t>CC-1000</t>
        </is>
      </c>
      <c r="F3356" s="2" t="inlineStr">
        <is>
          <t>P01</t>
        </is>
      </c>
      <c r="G3356" s="2" t="n">
        <v>610000</v>
      </c>
      <c r="H3356" s="2" t="inlineStr">
        <is>
          <t>Mano obra interna</t>
        </is>
      </c>
      <c r="I3356" s="9" t="n">
        <v>2469.08</v>
      </c>
      <c r="J3356" s="9" t="n">
        <v>2442.5</v>
      </c>
      <c r="K3356" s="9" t="n">
        <v>2486.87</v>
      </c>
      <c r="L3356" s="9" t="n">
        <v>2530.78</v>
      </c>
      <c r="M3356" s="9" t="n">
        <v>2269.55</v>
      </c>
      <c r="N3356" s="9" t="n">
        <v>2456.88</v>
      </c>
      <c r="O3356" s="9" t="n">
        <v>2650.22</v>
      </c>
      <c r="P3356" s="9" t="n">
        <v>2285.65</v>
      </c>
      <c r="Q3356" s="9" t="n">
        <v>2398.45</v>
      </c>
      <c r="R3356" s="9" t="n">
        <v>2541.39</v>
      </c>
      <c r="S3356" s="9" t="n">
        <v>2264.49</v>
      </c>
      <c r="T3356" s="9" t="n">
        <v>2571.83</v>
      </c>
      <c r="U3356" s="10">
        <f>SUM(I3356:T3356)</f>
        <v/>
      </c>
    </row>
    <row r="3357">
      <c r="A3357" s="2" t="inlineStr">
        <is>
          <t>SN-1000-1200-1210-1210PU0032</t>
        </is>
      </c>
      <c r="B3357" s="2" t="inlineStr">
        <is>
          <t>1210PU0032</t>
        </is>
      </c>
      <c r="C3357" s="2" t="inlineStr">
        <is>
          <t>Bomba rotativa aceite PU0032</t>
        </is>
      </c>
      <c r="D3357" s="2" t="n">
        <v>1119</v>
      </c>
      <c r="E3357" s="2" t="inlineStr">
        <is>
          <t>CC-1000</t>
        </is>
      </c>
      <c r="F3357" s="2" t="inlineStr">
        <is>
          <t>P01</t>
        </is>
      </c>
      <c r="G3357" s="2" t="n">
        <v>620000</v>
      </c>
      <c r="H3357" s="2" t="inlineStr">
        <is>
          <t>Materiales</t>
        </is>
      </c>
      <c r="I3357" s="9" t="n">
        <v>1826.05</v>
      </c>
      <c r="J3357" s="9" t="n">
        <v>1630.75</v>
      </c>
      <c r="K3357" s="9" t="n">
        <v>1872.44</v>
      </c>
      <c r="L3357" s="9" t="n">
        <v>1827.86</v>
      </c>
      <c r="M3357" s="9" t="n">
        <v>1899.12</v>
      </c>
      <c r="N3357" s="9" t="n">
        <v>1780.93</v>
      </c>
      <c r="O3357" s="9" t="n">
        <v>1692.44</v>
      </c>
      <c r="P3357" s="9" t="n">
        <v>1756.16</v>
      </c>
      <c r="Q3357" s="9" t="n">
        <v>1790.63</v>
      </c>
      <c r="R3357" s="9" t="n">
        <v>2010.43</v>
      </c>
      <c r="S3357" s="9" t="n">
        <v>1768.16</v>
      </c>
      <c r="T3357" s="9" t="n">
        <v>1843.33</v>
      </c>
      <c r="U3357" s="10">
        <f>SUM(I3357:T3357)</f>
        <v/>
      </c>
    </row>
    <row r="3358">
      <c r="A3358" s="2" t="inlineStr">
        <is>
          <t>SN-1000-1200-1210-1210PU0032</t>
        </is>
      </c>
      <c r="B3358" s="2" t="inlineStr">
        <is>
          <t>1210PU0032</t>
        </is>
      </c>
      <c r="C3358" s="2" t="inlineStr">
        <is>
          <t>Bomba rotativa aceite PU0032</t>
        </is>
      </c>
      <c r="D3358" s="2" t="n">
        <v>1119</v>
      </c>
      <c r="E3358" s="2" t="inlineStr">
        <is>
          <t>CC-1000</t>
        </is>
      </c>
      <c r="F3358" s="2" t="inlineStr">
        <is>
          <t>P01</t>
        </is>
      </c>
      <c r="G3358" s="2" t="n">
        <v>630000</v>
      </c>
      <c r="H3358" s="2" t="inlineStr">
        <is>
          <t>Servicios externos</t>
        </is>
      </c>
      <c r="I3358" s="9" t="n">
        <v>2109.25</v>
      </c>
      <c r="J3358" s="9" t="n">
        <v>2094.79</v>
      </c>
      <c r="K3358" s="9" t="n">
        <v>1977.57</v>
      </c>
      <c r="L3358" s="9" t="n">
        <v>2239.94</v>
      </c>
      <c r="M3358" s="9" t="n">
        <v>1933.18</v>
      </c>
      <c r="N3358" s="9" t="n">
        <v>1932.55</v>
      </c>
      <c r="O3358" s="9" t="n">
        <v>1883.58</v>
      </c>
      <c r="P3358" s="9" t="n">
        <v>2053.28</v>
      </c>
      <c r="Q3358" s="9" t="n">
        <v>1861.63</v>
      </c>
      <c r="R3358" s="9" t="n">
        <v>2110.24</v>
      </c>
      <c r="S3358" s="9" t="n">
        <v>2126.59</v>
      </c>
      <c r="T3358" s="9" t="n">
        <v>2044.87</v>
      </c>
      <c r="U3358" s="10">
        <f>SUM(I3358:T3358)</f>
        <v/>
      </c>
    </row>
    <row r="3359">
      <c r="A3359" s="2" t="inlineStr">
        <is>
          <t>SN-1000-1200-1210-1210PU0033</t>
        </is>
      </c>
      <c r="B3359" s="2" t="inlineStr">
        <is>
          <t>1210PU0033</t>
        </is>
      </c>
      <c r="C3359" s="2" t="inlineStr">
        <is>
          <t>Bomba diafragma aceite PU0033</t>
        </is>
      </c>
      <c r="D3359" s="2" t="n">
        <v>1120</v>
      </c>
      <c r="E3359" s="2" t="inlineStr">
        <is>
          <t>CC-1000</t>
        </is>
      </c>
      <c r="F3359" s="2" t="inlineStr">
        <is>
          <t>P01</t>
        </is>
      </c>
      <c r="G3359" s="2" t="n">
        <v>610000</v>
      </c>
      <c r="H3359" s="2" t="inlineStr">
        <is>
          <t>Mano obra interna</t>
        </is>
      </c>
      <c r="I3359" s="9" t="n">
        <v>682.29</v>
      </c>
      <c r="J3359" s="9" t="n">
        <v>621.48</v>
      </c>
      <c r="K3359" s="9" t="n">
        <v>681.73</v>
      </c>
      <c r="L3359" s="9" t="n">
        <v>669.16</v>
      </c>
      <c r="M3359" s="9" t="n">
        <v>661.66</v>
      </c>
      <c r="N3359" s="9" t="n">
        <v>679.46</v>
      </c>
      <c r="O3359" s="9" t="n">
        <v>639.5599999999999</v>
      </c>
      <c r="P3359" s="9" t="n">
        <v>683.4</v>
      </c>
      <c r="Q3359" s="9" t="n">
        <v>579.55</v>
      </c>
      <c r="R3359" s="9" t="n">
        <v>703.8</v>
      </c>
      <c r="S3359" s="9" t="n">
        <v>648</v>
      </c>
      <c r="T3359" s="9" t="n">
        <v>635.83</v>
      </c>
      <c r="U3359" s="10">
        <f>SUM(I3359:T3359)</f>
        <v/>
      </c>
    </row>
    <row r="3360">
      <c r="A3360" s="2" t="inlineStr">
        <is>
          <t>SN-1000-1200-1210-1210PU0033</t>
        </is>
      </c>
      <c r="B3360" s="2" t="inlineStr">
        <is>
          <t>1210PU0033</t>
        </is>
      </c>
      <c r="C3360" s="2" t="inlineStr">
        <is>
          <t>Bomba diafragma aceite PU0033</t>
        </is>
      </c>
      <c r="D3360" s="2" t="n">
        <v>1120</v>
      </c>
      <c r="E3360" s="2" t="inlineStr">
        <is>
          <t>CC-1000</t>
        </is>
      </c>
      <c r="F3360" s="2" t="inlineStr">
        <is>
          <t>P01</t>
        </is>
      </c>
      <c r="G3360" s="2" t="n">
        <v>620000</v>
      </c>
      <c r="H3360" s="2" t="inlineStr">
        <is>
          <t>Materiales</t>
        </is>
      </c>
      <c r="I3360" s="9" t="n">
        <v>667.23</v>
      </c>
      <c r="J3360" s="9" t="n">
        <v>716.2</v>
      </c>
      <c r="K3360" s="9" t="n">
        <v>709.96</v>
      </c>
      <c r="L3360" s="9" t="n">
        <v>660.72</v>
      </c>
      <c r="M3360" s="9" t="n">
        <v>624.6799999999999</v>
      </c>
      <c r="N3360" s="9" t="n">
        <v>597.09</v>
      </c>
      <c r="O3360" s="9" t="n">
        <v>630.21</v>
      </c>
      <c r="P3360" s="9" t="n">
        <v>692.96</v>
      </c>
      <c r="Q3360" s="9" t="n">
        <v>663.11</v>
      </c>
      <c r="R3360" s="9" t="n">
        <v>687</v>
      </c>
      <c r="S3360" s="9" t="n">
        <v>642.3200000000001</v>
      </c>
      <c r="T3360" s="9" t="n">
        <v>668.11</v>
      </c>
      <c r="U3360" s="10">
        <f>SUM(I3360:T3360)</f>
        <v/>
      </c>
    </row>
    <row r="3361">
      <c r="A3361" s="2" t="inlineStr">
        <is>
          <t>SN-1000-1200-1210-1210PU0033</t>
        </is>
      </c>
      <c r="B3361" s="2" t="inlineStr">
        <is>
          <t>1210PU0033</t>
        </is>
      </c>
      <c r="C3361" s="2" t="inlineStr">
        <is>
          <t>Bomba diafragma aceite PU0033</t>
        </is>
      </c>
      <c r="D3361" s="2" t="n">
        <v>1120</v>
      </c>
      <c r="E3361" s="2" t="inlineStr">
        <is>
          <t>CC-1000</t>
        </is>
      </c>
      <c r="F3361" s="2" t="inlineStr">
        <is>
          <t>P01</t>
        </is>
      </c>
      <c r="G3361" s="2" t="n">
        <v>630000</v>
      </c>
      <c r="H3361" s="2" t="inlineStr">
        <is>
          <t>Servicios externos</t>
        </is>
      </c>
      <c r="I3361" s="9" t="n">
        <v>651.1900000000001</v>
      </c>
      <c r="J3361" s="9" t="n">
        <v>709.84</v>
      </c>
      <c r="K3361" s="9" t="n">
        <v>718.62</v>
      </c>
      <c r="L3361" s="9" t="n">
        <v>736.83</v>
      </c>
      <c r="M3361" s="9" t="n">
        <v>641.37</v>
      </c>
      <c r="N3361" s="9" t="n">
        <v>651.5</v>
      </c>
      <c r="O3361" s="9" t="n">
        <v>697.3</v>
      </c>
      <c r="P3361" s="9" t="n">
        <v>694.17</v>
      </c>
      <c r="Q3361" s="9" t="n">
        <v>577.65</v>
      </c>
      <c r="R3361" s="9" t="n">
        <v>782.49</v>
      </c>
      <c r="S3361" s="9" t="n">
        <v>695.1</v>
      </c>
      <c r="T3361" s="9" t="n">
        <v>640.49</v>
      </c>
      <c r="U3361" s="10">
        <f>SUM(I3361:T3361)</f>
        <v/>
      </c>
    </row>
    <row r="3362">
      <c r="A3362" s="2" t="inlineStr">
        <is>
          <t>SN-1000-1200-1210-1210PU0034</t>
        </is>
      </c>
      <c r="B3362" s="2" t="inlineStr">
        <is>
          <t>1210PU0034</t>
        </is>
      </c>
      <c r="C3362" s="2" t="inlineStr">
        <is>
          <t>Bomba diafragma aceite PU0034</t>
        </is>
      </c>
      <c r="D3362" s="2" t="n">
        <v>1121</v>
      </c>
      <c r="E3362" s="2" t="inlineStr">
        <is>
          <t>CC-1000</t>
        </is>
      </c>
      <c r="F3362" s="2" t="inlineStr">
        <is>
          <t>P01</t>
        </is>
      </c>
      <c r="G3362" s="2" t="n">
        <v>610000</v>
      </c>
      <c r="H3362" s="2" t="inlineStr">
        <is>
          <t>Mano obra interna</t>
        </is>
      </c>
      <c r="I3362" s="9" t="n">
        <v>662.13</v>
      </c>
      <c r="J3362" s="9" t="n">
        <v>698.23</v>
      </c>
      <c r="K3362" s="9" t="n">
        <v>711.39</v>
      </c>
      <c r="L3362" s="9" t="n">
        <v>652.96</v>
      </c>
      <c r="M3362" s="9" t="n">
        <v>612.1900000000001</v>
      </c>
      <c r="N3362" s="9" t="n">
        <v>617.79</v>
      </c>
      <c r="O3362" s="9" t="n">
        <v>619.33</v>
      </c>
      <c r="P3362" s="9" t="n">
        <v>629.61</v>
      </c>
      <c r="Q3362" s="9" t="n">
        <v>635.8</v>
      </c>
      <c r="R3362" s="9" t="n">
        <v>749.14</v>
      </c>
      <c r="S3362" s="9" t="n">
        <v>643.79</v>
      </c>
      <c r="T3362" s="9" t="n">
        <v>689.26</v>
      </c>
      <c r="U3362" s="10">
        <f>SUM(I3362:T3362)</f>
        <v/>
      </c>
    </row>
    <row r="3363">
      <c r="A3363" s="2" t="inlineStr">
        <is>
          <t>SN-1000-1200-1210-1210PU0034</t>
        </is>
      </c>
      <c r="B3363" s="2" t="inlineStr">
        <is>
          <t>1210PU0034</t>
        </is>
      </c>
      <c r="C3363" s="2" t="inlineStr">
        <is>
          <t>Bomba diafragma aceite PU0034</t>
        </is>
      </c>
      <c r="D3363" s="2" t="n">
        <v>1121</v>
      </c>
      <c r="E3363" s="2" t="inlineStr">
        <is>
          <t>CC-1000</t>
        </is>
      </c>
      <c r="F3363" s="2" t="inlineStr">
        <is>
          <t>P01</t>
        </is>
      </c>
      <c r="G3363" s="2" t="n">
        <v>620000</v>
      </c>
      <c r="H3363" s="2" t="inlineStr">
        <is>
          <t>Materiales</t>
        </is>
      </c>
      <c r="I3363" s="9" t="n">
        <v>567</v>
      </c>
      <c r="J3363" s="9" t="n">
        <v>582.72</v>
      </c>
      <c r="K3363" s="9" t="n">
        <v>577.54</v>
      </c>
      <c r="L3363" s="9" t="n">
        <v>570.66</v>
      </c>
      <c r="M3363" s="9" t="n">
        <v>538.55</v>
      </c>
      <c r="N3363" s="9" t="n">
        <v>555.36</v>
      </c>
      <c r="O3363" s="9" t="n">
        <v>600.8</v>
      </c>
      <c r="P3363" s="9" t="n">
        <v>568.97</v>
      </c>
      <c r="Q3363" s="9" t="n">
        <v>499.88</v>
      </c>
      <c r="R3363" s="9" t="n">
        <v>650.48</v>
      </c>
      <c r="S3363" s="9" t="n">
        <v>515.9299999999999</v>
      </c>
      <c r="T3363" s="9" t="n">
        <v>578.0599999999999</v>
      </c>
      <c r="U3363" s="10">
        <f>SUM(I3363:T3363)</f>
        <v/>
      </c>
    </row>
    <row r="3364">
      <c r="A3364" s="2" t="inlineStr">
        <is>
          <t>SN-1000-1200-1210-1210PU0034</t>
        </is>
      </c>
      <c r="B3364" s="2" t="inlineStr">
        <is>
          <t>1210PU0034</t>
        </is>
      </c>
      <c r="C3364" s="2" t="inlineStr">
        <is>
          <t>Bomba diafragma aceite PU0034</t>
        </is>
      </c>
      <c r="D3364" s="2" t="n">
        <v>1121</v>
      </c>
      <c r="E3364" s="2" t="inlineStr">
        <is>
          <t>CC-1000</t>
        </is>
      </c>
      <c r="F3364" s="2" t="inlineStr">
        <is>
          <t>P01</t>
        </is>
      </c>
      <c r="G3364" s="2" t="n">
        <v>630000</v>
      </c>
      <c r="H3364" s="2" t="inlineStr">
        <is>
          <t>Servicios externos</t>
        </is>
      </c>
      <c r="I3364" s="9" t="n">
        <v>639.6900000000001</v>
      </c>
      <c r="J3364" s="9" t="n">
        <v>598.8</v>
      </c>
      <c r="K3364" s="9" t="n">
        <v>610.6900000000001</v>
      </c>
      <c r="L3364" s="9" t="n">
        <v>614.72</v>
      </c>
      <c r="M3364" s="9" t="n">
        <v>582.72</v>
      </c>
      <c r="N3364" s="9" t="n">
        <v>528.4299999999999</v>
      </c>
      <c r="O3364" s="9" t="n">
        <v>605.61</v>
      </c>
      <c r="P3364" s="9" t="n">
        <v>584.62</v>
      </c>
      <c r="Q3364" s="9" t="n">
        <v>556.97</v>
      </c>
      <c r="R3364" s="9" t="n">
        <v>585.71</v>
      </c>
      <c r="S3364" s="9" t="n">
        <v>534.5599999999999</v>
      </c>
      <c r="T3364" s="9" t="n">
        <v>602.9400000000001</v>
      </c>
      <c r="U3364" s="10">
        <f>SUM(I3364:T3364)</f>
        <v/>
      </c>
    </row>
    <row r="3365">
      <c r="A3365" s="2" t="inlineStr">
        <is>
          <t>SN-1000-1200-1210-1210PU0035</t>
        </is>
      </c>
      <c r="B3365" s="2" t="inlineStr">
        <is>
          <t>1210PU0035</t>
        </is>
      </c>
      <c r="C3365" s="2" t="inlineStr">
        <is>
          <t>Bomba diafragma aceite PU0035</t>
        </is>
      </c>
      <c r="D3365" s="2" t="n">
        <v>1122</v>
      </c>
      <c r="E3365" s="2" t="inlineStr">
        <is>
          <t>CC-1000</t>
        </is>
      </c>
      <c r="F3365" s="2" t="inlineStr">
        <is>
          <t>P01</t>
        </is>
      </c>
      <c r="G3365" s="2" t="n">
        <v>610000</v>
      </c>
      <c r="H3365" s="2" t="inlineStr">
        <is>
          <t>Mano obra interna</t>
        </is>
      </c>
      <c r="I3365" s="9" t="n">
        <v>605.46</v>
      </c>
      <c r="J3365" s="9" t="n">
        <v>585.47</v>
      </c>
      <c r="K3365" s="9" t="n">
        <v>653.3</v>
      </c>
      <c r="L3365" s="9" t="n">
        <v>589.14</v>
      </c>
      <c r="M3365" s="9" t="n">
        <v>607.33</v>
      </c>
      <c r="N3365" s="9" t="n">
        <v>595.15</v>
      </c>
      <c r="O3365" s="9" t="n">
        <v>601.4299999999999</v>
      </c>
      <c r="P3365" s="9" t="n">
        <v>651.52</v>
      </c>
      <c r="Q3365" s="9" t="n">
        <v>536.39</v>
      </c>
      <c r="R3365" s="9" t="n">
        <v>707.98</v>
      </c>
      <c r="S3365" s="9" t="n">
        <v>621.84</v>
      </c>
      <c r="T3365" s="9" t="n">
        <v>624</v>
      </c>
      <c r="U3365" s="10">
        <f>SUM(I3365:T3365)</f>
        <v/>
      </c>
    </row>
    <row r="3366">
      <c r="A3366" s="2" t="inlineStr">
        <is>
          <t>SN-1000-1200-1210-1210PU0035</t>
        </is>
      </c>
      <c r="B3366" s="2" t="inlineStr">
        <is>
          <t>1210PU0035</t>
        </is>
      </c>
      <c r="C3366" s="2" t="inlineStr">
        <is>
          <t>Bomba diafragma aceite PU0035</t>
        </is>
      </c>
      <c r="D3366" s="2" t="n">
        <v>1122</v>
      </c>
      <c r="E3366" s="2" t="inlineStr">
        <is>
          <t>CC-1000</t>
        </is>
      </c>
      <c r="F3366" s="2" t="inlineStr">
        <is>
          <t>P01</t>
        </is>
      </c>
      <c r="G3366" s="2" t="n">
        <v>620000</v>
      </c>
      <c r="H3366" s="2" t="inlineStr">
        <is>
          <t>Materiales</t>
        </is>
      </c>
      <c r="I3366" s="9" t="n">
        <v>704.36</v>
      </c>
      <c r="J3366" s="9" t="n">
        <v>703.63</v>
      </c>
      <c r="K3366" s="9" t="n">
        <v>686.48</v>
      </c>
      <c r="L3366" s="9" t="n">
        <v>677.95</v>
      </c>
      <c r="M3366" s="9" t="n">
        <v>664.7</v>
      </c>
      <c r="N3366" s="9" t="n">
        <v>594.5599999999999</v>
      </c>
      <c r="O3366" s="9" t="n">
        <v>712.36</v>
      </c>
      <c r="P3366" s="9" t="n">
        <v>685.78</v>
      </c>
      <c r="Q3366" s="9" t="n">
        <v>633.86</v>
      </c>
      <c r="R3366" s="9" t="n">
        <v>769.95</v>
      </c>
      <c r="S3366" s="9" t="n">
        <v>698.11</v>
      </c>
      <c r="T3366" s="9" t="n">
        <v>641.75</v>
      </c>
      <c r="U3366" s="10">
        <f>SUM(I3366:T3366)</f>
        <v/>
      </c>
    </row>
    <row r="3367">
      <c r="A3367" s="2" t="inlineStr">
        <is>
          <t>SN-1000-1200-1210-1210PU0035</t>
        </is>
      </c>
      <c r="B3367" s="2" t="inlineStr">
        <is>
          <t>1210PU0035</t>
        </is>
      </c>
      <c r="C3367" s="2" t="inlineStr">
        <is>
          <t>Bomba diafragma aceite PU0035</t>
        </is>
      </c>
      <c r="D3367" s="2" t="n">
        <v>1122</v>
      </c>
      <c r="E3367" s="2" t="inlineStr">
        <is>
          <t>CC-1000</t>
        </is>
      </c>
      <c r="F3367" s="2" t="inlineStr">
        <is>
          <t>P01</t>
        </is>
      </c>
      <c r="G3367" s="2" t="n">
        <v>630000</v>
      </c>
      <c r="H3367" s="2" t="inlineStr">
        <is>
          <t>Servicios externos</t>
        </is>
      </c>
      <c r="I3367" s="9" t="n">
        <v>666.09</v>
      </c>
      <c r="J3367" s="9" t="n">
        <v>630.53</v>
      </c>
      <c r="K3367" s="9" t="n">
        <v>715.42</v>
      </c>
      <c r="L3367" s="9" t="n">
        <v>695.35</v>
      </c>
      <c r="M3367" s="9" t="n">
        <v>657.65</v>
      </c>
      <c r="N3367" s="9" t="n">
        <v>604.38</v>
      </c>
      <c r="O3367" s="9" t="n">
        <v>661.66</v>
      </c>
      <c r="P3367" s="9" t="n">
        <v>647.03</v>
      </c>
      <c r="Q3367" s="9" t="n">
        <v>575.66</v>
      </c>
      <c r="R3367" s="9" t="n">
        <v>689.25</v>
      </c>
      <c r="S3367" s="9" t="n">
        <v>594.95</v>
      </c>
      <c r="T3367" s="9" t="n">
        <v>653.85</v>
      </c>
      <c r="U3367" s="10">
        <f>SUM(I3367:T3367)</f>
        <v/>
      </c>
    </row>
    <row r="3368">
      <c r="A3368" s="2" t="inlineStr">
        <is>
          <t>SN-1000-1200-1210-1210PU0089</t>
        </is>
      </c>
      <c r="B3368" s="2" t="inlineStr">
        <is>
          <t>1210PU0089</t>
        </is>
      </c>
      <c r="C3368" s="2" t="inlineStr">
        <is>
          <t>Bomba diafragma refrigerante PU0089</t>
        </is>
      </c>
      <c r="D3368" s="2" t="n">
        <v>1123</v>
      </c>
      <c r="E3368" s="2" t="inlineStr">
        <is>
          <t>CC-1000</t>
        </is>
      </c>
      <c r="F3368" s="2" t="inlineStr">
        <is>
          <t>P01</t>
        </is>
      </c>
      <c r="G3368" s="2" t="n">
        <v>610000</v>
      </c>
      <c r="H3368" s="2" t="inlineStr">
        <is>
          <t>Mano obra interna</t>
        </is>
      </c>
      <c r="I3368" s="9" t="n">
        <v>2015.24</v>
      </c>
      <c r="J3368" s="9" t="n">
        <v>2189.04</v>
      </c>
      <c r="K3368" s="9" t="n">
        <v>2030.69</v>
      </c>
      <c r="L3368" s="9" t="n">
        <v>2185.19</v>
      </c>
      <c r="M3368" s="9" t="n">
        <v>2134.91</v>
      </c>
      <c r="N3368" s="9" t="n">
        <v>2123.7</v>
      </c>
      <c r="O3368" s="9" t="n">
        <v>2222.21</v>
      </c>
      <c r="P3368" s="9" t="n">
        <v>2102.43</v>
      </c>
      <c r="Q3368" s="9" t="n">
        <v>1847.07</v>
      </c>
      <c r="R3368" s="9" t="n">
        <v>2370.56</v>
      </c>
      <c r="S3368" s="9" t="n">
        <v>2067.69</v>
      </c>
      <c r="T3368" s="9" t="n">
        <v>2106.02</v>
      </c>
      <c r="U3368" s="10">
        <f>SUM(I3368:T3368)</f>
        <v/>
      </c>
    </row>
    <row r="3369">
      <c r="A3369" s="2" t="inlineStr">
        <is>
          <t>SN-1000-1200-1210-1210PU0089</t>
        </is>
      </c>
      <c r="B3369" s="2" t="inlineStr">
        <is>
          <t>1210PU0089</t>
        </is>
      </c>
      <c r="C3369" s="2" t="inlineStr">
        <is>
          <t>Bomba diafragma refrigerante PU0089</t>
        </is>
      </c>
      <c r="D3369" s="2" t="n">
        <v>1123</v>
      </c>
      <c r="E3369" s="2" t="inlineStr">
        <is>
          <t>CC-1000</t>
        </is>
      </c>
      <c r="F3369" s="2" t="inlineStr">
        <is>
          <t>P01</t>
        </is>
      </c>
      <c r="G3369" s="2" t="n">
        <v>620000</v>
      </c>
      <c r="H3369" s="2" t="inlineStr">
        <is>
          <t>Materiales</t>
        </is>
      </c>
      <c r="I3369" s="9" t="n">
        <v>1715.5</v>
      </c>
      <c r="J3369" s="9" t="n">
        <v>1704.47</v>
      </c>
      <c r="K3369" s="9" t="n">
        <v>1833.69</v>
      </c>
      <c r="L3369" s="9" t="n">
        <v>1822.22</v>
      </c>
      <c r="M3369" s="9" t="n">
        <v>1794.26</v>
      </c>
      <c r="N3369" s="9" t="n">
        <v>1673.08</v>
      </c>
      <c r="O3369" s="9" t="n">
        <v>1910.41</v>
      </c>
      <c r="P3369" s="9" t="n">
        <v>1786.81</v>
      </c>
      <c r="Q3369" s="9" t="n">
        <v>1645.32</v>
      </c>
      <c r="R3369" s="9" t="n">
        <v>1790.16</v>
      </c>
      <c r="S3369" s="9" t="n">
        <v>1759.63</v>
      </c>
      <c r="T3369" s="9" t="n">
        <v>1845.78</v>
      </c>
      <c r="U3369" s="10">
        <f>SUM(I3369:T3369)</f>
        <v/>
      </c>
    </row>
    <row r="3370">
      <c r="A3370" s="2" t="inlineStr">
        <is>
          <t>SN-1000-1200-1210-1210PU0089</t>
        </is>
      </c>
      <c r="B3370" s="2" t="inlineStr">
        <is>
          <t>1210PU0089</t>
        </is>
      </c>
      <c r="C3370" s="2" t="inlineStr">
        <is>
          <t>Bomba diafragma refrigerante PU0089</t>
        </is>
      </c>
      <c r="D3370" s="2" t="n">
        <v>1123</v>
      </c>
      <c r="E3370" s="2" t="inlineStr">
        <is>
          <t>CC-1000</t>
        </is>
      </c>
      <c r="F3370" s="2" t="inlineStr">
        <is>
          <t>P01</t>
        </is>
      </c>
      <c r="G3370" s="2" t="n">
        <v>630000</v>
      </c>
      <c r="H3370" s="2" t="inlineStr">
        <is>
          <t>Servicios externos</t>
        </is>
      </c>
      <c r="I3370" s="9" t="n">
        <v>2141.9</v>
      </c>
      <c r="J3370" s="9" t="n">
        <v>2027.57</v>
      </c>
      <c r="K3370" s="9" t="n">
        <v>2157.97</v>
      </c>
      <c r="L3370" s="9" t="n">
        <v>1876.86</v>
      </c>
      <c r="M3370" s="9" t="n">
        <v>1898.31</v>
      </c>
      <c r="N3370" s="9" t="n">
        <v>1834.06</v>
      </c>
      <c r="O3370" s="9" t="n">
        <v>2026.2</v>
      </c>
      <c r="P3370" s="9" t="n">
        <v>1957.93</v>
      </c>
      <c r="Q3370" s="9" t="n">
        <v>1920.72</v>
      </c>
      <c r="R3370" s="9" t="n">
        <v>2091.18</v>
      </c>
      <c r="S3370" s="9" t="n">
        <v>1827.36</v>
      </c>
      <c r="T3370" s="9" t="n">
        <v>1937.91</v>
      </c>
      <c r="U3370" s="10">
        <f>SUM(I3370:T3370)</f>
        <v/>
      </c>
    </row>
    <row r="3371">
      <c r="A3371" s="2" t="inlineStr">
        <is>
          <t>SN-1000-1200-1210-1210PU0090</t>
        </is>
      </c>
      <c r="B3371" s="2" t="inlineStr">
        <is>
          <t>1210PU0090</t>
        </is>
      </c>
      <c r="C3371" s="2" t="inlineStr">
        <is>
          <t>Bomba rotativa refrigerante PU0090</t>
        </is>
      </c>
      <c r="D3371" s="2" t="n">
        <v>1124</v>
      </c>
      <c r="E3371" s="2" t="inlineStr">
        <is>
          <t>CC-1000</t>
        </is>
      </c>
      <c r="F3371" s="2" t="inlineStr">
        <is>
          <t>P01</t>
        </is>
      </c>
      <c r="G3371" s="2" t="n">
        <v>610000</v>
      </c>
      <c r="H3371" s="2" t="inlineStr">
        <is>
          <t>Mano obra interna</t>
        </is>
      </c>
      <c r="I3371" s="9" t="n">
        <v>933.14</v>
      </c>
      <c r="J3371" s="9" t="n">
        <v>903.11</v>
      </c>
      <c r="K3371" s="9" t="n">
        <v>914.1900000000001</v>
      </c>
      <c r="L3371" s="9" t="n">
        <v>1015.63</v>
      </c>
      <c r="M3371" s="9" t="n">
        <v>935.3099999999999</v>
      </c>
      <c r="N3371" s="9" t="n">
        <v>848.1799999999999</v>
      </c>
      <c r="O3371" s="9" t="n">
        <v>940.96</v>
      </c>
      <c r="P3371" s="9" t="n">
        <v>1022.05</v>
      </c>
      <c r="Q3371" s="9" t="n">
        <v>895.73</v>
      </c>
      <c r="R3371" s="9" t="n">
        <v>1116.52</v>
      </c>
      <c r="S3371" s="9" t="n">
        <v>935.79</v>
      </c>
      <c r="T3371" s="9" t="n">
        <v>1046.96</v>
      </c>
      <c r="U3371" s="10">
        <f>SUM(I3371:T3371)</f>
        <v/>
      </c>
    </row>
    <row r="3372">
      <c r="A3372" s="2" t="inlineStr">
        <is>
          <t>SN-1000-1200-1210-1210PU0090</t>
        </is>
      </c>
      <c r="B3372" s="2" t="inlineStr">
        <is>
          <t>1210PU0090</t>
        </is>
      </c>
      <c r="C3372" s="2" t="inlineStr">
        <is>
          <t>Bomba rotativa refrigerante PU0090</t>
        </is>
      </c>
      <c r="D3372" s="2" t="n">
        <v>1124</v>
      </c>
      <c r="E3372" s="2" t="inlineStr">
        <is>
          <t>CC-1000</t>
        </is>
      </c>
      <c r="F3372" s="2" t="inlineStr">
        <is>
          <t>P01</t>
        </is>
      </c>
      <c r="G3372" s="2" t="n">
        <v>620000</v>
      </c>
      <c r="H3372" s="2" t="inlineStr">
        <is>
          <t>Materiales</t>
        </is>
      </c>
      <c r="I3372" s="9" t="n">
        <v>927.76</v>
      </c>
      <c r="J3372" s="9" t="n">
        <v>955.8200000000001</v>
      </c>
      <c r="K3372" s="9" t="n">
        <v>1045.75</v>
      </c>
      <c r="L3372" s="9" t="n">
        <v>1011.18</v>
      </c>
      <c r="M3372" s="9" t="n">
        <v>938.7</v>
      </c>
      <c r="N3372" s="9" t="n">
        <v>839.4299999999999</v>
      </c>
      <c r="O3372" s="9" t="n">
        <v>920.4400000000001</v>
      </c>
      <c r="P3372" s="9" t="n">
        <v>877.54</v>
      </c>
      <c r="Q3372" s="9" t="n">
        <v>848.99</v>
      </c>
      <c r="R3372" s="9" t="n">
        <v>975.04</v>
      </c>
      <c r="S3372" s="9" t="n">
        <v>894.16</v>
      </c>
      <c r="T3372" s="9" t="n">
        <v>1005.89</v>
      </c>
      <c r="U3372" s="10">
        <f>SUM(I3372:T3372)</f>
        <v/>
      </c>
    </row>
    <row r="3373">
      <c r="A3373" s="2" t="inlineStr">
        <is>
          <t>SN-1000-1200-1210-1210PU0090</t>
        </is>
      </c>
      <c r="B3373" s="2" t="inlineStr">
        <is>
          <t>1210PU0090</t>
        </is>
      </c>
      <c r="C3373" s="2" t="inlineStr">
        <is>
          <t>Bomba rotativa refrigerante PU0090</t>
        </is>
      </c>
      <c r="D3373" s="2" t="n">
        <v>1124</v>
      </c>
      <c r="E3373" s="2" t="inlineStr">
        <is>
          <t>CC-1000</t>
        </is>
      </c>
      <c r="F3373" s="2" t="inlineStr">
        <is>
          <t>P01</t>
        </is>
      </c>
      <c r="G3373" s="2" t="n">
        <v>630000</v>
      </c>
      <c r="H3373" s="2" t="inlineStr">
        <is>
          <t>Servicios externos</t>
        </is>
      </c>
      <c r="I3373" s="9" t="n">
        <v>935.37</v>
      </c>
      <c r="J3373" s="9" t="n">
        <v>895.7</v>
      </c>
      <c r="K3373" s="9" t="n">
        <v>943.71</v>
      </c>
      <c r="L3373" s="9" t="n">
        <v>944.9</v>
      </c>
      <c r="M3373" s="9" t="n">
        <v>897.54</v>
      </c>
      <c r="N3373" s="9" t="n">
        <v>968.09</v>
      </c>
      <c r="O3373" s="9" t="n">
        <v>933.9400000000001</v>
      </c>
      <c r="P3373" s="9" t="n">
        <v>886.5599999999999</v>
      </c>
      <c r="Q3373" s="9" t="n">
        <v>875.6900000000001</v>
      </c>
      <c r="R3373" s="9" t="n">
        <v>968.28</v>
      </c>
      <c r="S3373" s="9" t="n">
        <v>873.83</v>
      </c>
      <c r="T3373" s="9" t="n">
        <v>926.64</v>
      </c>
      <c r="U3373" s="10">
        <f>SUM(I3373:T3373)</f>
        <v/>
      </c>
    </row>
    <row r="3374">
      <c r="A3374" s="2" t="inlineStr">
        <is>
          <t>SN-1000-1200-1210-1210RD0007</t>
        </is>
      </c>
      <c r="B3374" s="2" t="inlineStr">
        <is>
          <t>1210RD0007</t>
        </is>
      </c>
      <c r="C3374" s="2" t="inlineStr">
        <is>
          <t>Puerta motorizada RD0007</t>
        </is>
      </c>
      <c r="D3374" s="2" t="n">
        <v>1125</v>
      </c>
      <c r="E3374" s="2" t="inlineStr">
        <is>
          <t>CC-1000</t>
        </is>
      </c>
      <c r="F3374" s="2" t="inlineStr">
        <is>
          <t>P01</t>
        </is>
      </c>
      <c r="G3374" s="2" t="n">
        <v>610000</v>
      </c>
      <c r="H3374" s="2" t="inlineStr">
        <is>
          <t>Mano obra interna</t>
        </is>
      </c>
      <c r="I3374" s="9" t="n">
        <v>978.41</v>
      </c>
      <c r="J3374" s="9" t="n">
        <v>954.25</v>
      </c>
      <c r="K3374" s="9" t="n">
        <v>938.8200000000001</v>
      </c>
      <c r="L3374" s="9" t="n">
        <v>974.7</v>
      </c>
      <c r="M3374" s="9" t="n">
        <v>899.83</v>
      </c>
      <c r="N3374" s="9" t="n">
        <v>837.45</v>
      </c>
      <c r="O3374" s="9" t="n">
        <v>910.86</v>
      </c>
      <c r="P3374" s="9" t="n">
        <v>933.42</v>
      </c>
      <c r="Q3374" s="9" t="n">
        <v>798.41</v>
      </c>
      <c r="R3374" s="9" t="n">
        <v>1022.95</v>
      </c>
      <c r="S3374" s="9" t="n">
        <v>930.9</v>
      </c>
      <c r="T3374" s="9" t="n">
        <v>993.53</v>
      </c>
      <c r="U3374" s="10">
        <f>SUM(I3374:T3374)</f>
        <v/>
      </c>
    </row>
    <row r="3375">
      <c r="A3375" s="2" t="inlineStr">
        <is>
          <t>SN-1000-1200-1210-1210RD0007</t>
        </is>
      </c>
      <c r="B3375" s="2" t="inlineStr">
        <is>
          <t>1210RD0007</t>
        </is>
      </c>
      <c r="C3375" s="2" t="inlineStr">
        <is>
          <t>Puerta motorizada RD0007</t>
        </is>
      </c>
      <c r="D3375" s="2" t="n">
        <v>1125</v>
      </c>
      <c r="E3375" s="2" t="inlineStr">
        <is>
          <t>CC-1000</t>
        </is>
      </c>
      <c r="F3375" s="2" t="inlineStr">
        <is>
          <t>P01</t>
        </is>
      </c>
      <c r="G3375" s="2" t="n">
        <v>620000</v>
      </c>
      <c r="H3375" s="2" t="inlineStr">
        <is>
          <t>Materiales</t>
        </is>
      </c>
      <c r="I3375" s="9" t="n">
        <v>838.78</v>
      </c>
      <c r="J3375" s="9" t="n">
        <v>819.51</v>
      </c>
      <c r="K3375" s="9" t="n">
        <v>983.87</v>
      </c>
      <c r="L3375" s="9" t="n">
        <v>951.5599999999999</v>
      </c>
      <c r="M3375" s="9" t="n">
        <v>931.29</v>
      </c>
      <c r="N3375" s="9" t="n">
        <v>856.1799999999999</v>
      </c>
      <c r="O3375" s="9" t="n">
        <v>897.3099999999999</v>
      </c>
      <c r="P3375" s="9" t="n">
        <v>863.65</v>
      </c>
      <c r="Q3375" s="9" t="n">
        <v>876.95</v>
      </c>
      <c r="R3375" s="9" t="n">
        <v>1013.95</v>
      </c>
      <c r="S3375" s="9" t="n">
        <v>849.65</v>
      </c>
      <c r="T3375" s="9" t="n">
        <v>881.59</v>
      </c>
      <c r="U3375" s="10">
        <f>SUM(I3375:T3375)</f>
        <v/>
      </c>
    </row>
    <row r="3376">
      <c r="A3376" s="2" t="inlineStr">
        <is>
          <t>SN-1000-1200-1210-1210RD0007</t>
        </is>
      </c>
      <c r="B3376" s="2" t="inlineStr">
        <is>
          <t>1210RD0007</t>
        </is>
      </c>
      <c r="C3376" s="2" t="inlineStr">
        <is>
          <t>Puerta motorizada RD0007</t>
        </is>
      </c>
      <c r="D3376" s="2" t="n">
        <v>1125</v>
      </c>
      <c r="E3376" s="2" t="inlineStr">
        <is>
          <t>CC-1000</t>
        </is>
      </c>
      <c r="F3376" s="2" t="inlineStr">
        <is>
          <t>P01</t>
        </is>
      </c>
      <c r="G3376" s="2" t="n">
        <v>630000</v>
      </c>
      <c r="H3376" s="2" t="inlineStr">
        <is>
          <t>Servicios externos</t>
        </is>
      </c>
      <c r="I3376" s="9" t="n">
        <v>1018</v>
      </c>
      <c r="J3376" s="9" t="n">
        <v>1123.88</v>
      </c>
      <c r="K3376" s="9" t="n">
        <v>1103.58</v>
      </c>
      <c r="L3376" s="9" t="n">
        <v>1092.45</v>
      </c>
      <c r="M3376" s="9" t="n">
        <v>1096.74</v>
      </c>
      <c r="N3376" s="9" t="n">
        <v>1055.67</v>
      </c>
      <c r="O3376" s="9" t="n">
        <v>1039.08</v>
      </c>
      <c r="P3376" s="9" t="n">
        <v>1154.68</v>
      </c>
      <c r="Q3376" s="9" t="n">
        <v>1082.59</v>
      </c>
      <c r="R3376" s="9" t="n">
        <v>1168.48</v>
      </c>
      <c r="S3376" s="9" t="n">
        <v>1054.82</v>
      </c>
      <c r="T3376" s="9" t="n">
        <v>1104.55</v>
      </c>
      <c r="U3376" s="10">
        <f>SUM(I3376:T3376)</f>
        <v/>
      </c>
    </row>
    <row r="3377">
      <c r="A3377" s="2" t="inlineStr">
        <is>
          <t>SN-1000-1200-1210-1210ST0003</t>
        </is>
      </c>
      <c r="B3377" s="2" t="inlineStr">
        <is>
          <t>1210ST0003</t>
        </is>
      </c>
      <c r="C3377" s="2" t="inlineStr">
        <is>
          <t>Soportes ST0003</t>
        </is>
      </c>
      <c r="D3377" s="2" t="n">
        <v>1126</v>
      </c>
      <c r="E3377" s="2" t="inlineStr">
        <is>
          <t>CC-1000</t>
        </is>
      </c>
      <c r="F3377" s="2" t="inlineStr">
        <is>
          <t>P01</t>
        </is>
      </c>
      <c r="G3377" s="2" t="n">
        <v>610000</v>
      </c>
      <c r="H3377" s="2" t="inlineStr">
        <is>
          <t>Mano obra interna</t>
        </is>
      </c>
      <c r="I3377" s="9" t="n">
        <v>521.28</v>
      </c>
      <c r="J3377" s="9" t="n">
        <v>450.29</v>
      </c>
      <c r="K3377" s="9" t="n">
        <v>460.92</v>
      </c>
      <c r="L3377" s="9" t="n">
        <v>520.67</v>
      </c>
      <c r="M3377" s="9" t="n">
        <v>450.09</v>
      </c>
      <c r="N3377" s="9" t="n">
        <v>473.91</v>
      </c>
      <c r="O3377" s="9" t="n">
        <v>454.3</v>
      </c>
      <c r="P3377" s="9" t="n">
        <v>511.4</v>
      </c>
      <c r="Q3377" s="9" t="n">
        <v>464.4</v>
      </c>
      <c r="R3377" s="9" t="n">
        <v>548.5</v>
      </c>
      <c r="S3377" s="9" t="n">
        <v>494.76</v>
      </c>
      <c r="T3377" s="9" t="n">
        <v>451.59</v>
      </c>
      <c r="U3377" s="10">
        <f>SUM(I3377:T3377)</f>
        <v/>
      </c>
    </row>
    <row r="3378">
      <c r="A3378" s="2" t="inlineStr">
        <is>
          <t>SN-1000-1200-1210-1210ST0003</t>
        </is>
      </c>
      <c r="B3378" s="2" t="inlineStr">
        <is>
          <t>1210ST0003</t>
        </is>
      </c>
      <c r="C3378" s="2" t="inlineStr">
        <is>
          <t>Soportes ST0003</t>
        </is>
      </c>
      <c r="D3378" s="2" t="n">
        <v>1126</v>
      </c>
      <c r="E3378" s="2" t="inlineStr">
        <is>
          <t>CC-1000</t>
        </is>
      </c>
      <c r="F3378" s="2" t="inlineStr">
        <is>
          <t>P01</t>
        </is>
      </c>
      <c r="G3378" s="2" t="n">
        <v>620000</v>
      </c>
      <c r="H3378" s="2" t="inlineStr">
        <is>
          <t>Materiales</t>
        </is>
      </c>
      <c r="I3378" s="9" t="n">
        <v>483.18</v>
      </c>
      <c r="J3378" s="9" t="n">
        <v>477.39</v>
      </c>
      <c r="K3378" s="9" t="n">
        <v>457.26</v>
      </c>
      <c r="L3378" s="9" t="n">
        <v>503.9</v>
      </c>
      <c r="M3378" s="9" t="n">
        <v>437.15</v>
      </c>
      <c r="N3378" s="9" t="n">
        <v>467.94</v>
      </c>
      <c r="O3378" s="9" t="n">
        <v>463.51</v>
      </c>
      <c r="P3378" s="9" t="n">
        <v>463.15</v>
      </c>
      <c r="Q3378" s="9" t="n">
        <v>421.72</v>
      </c>
      <c r="R3378" s="9" t="n">
        <v>466.99</v>
      </c>
      <c r="S3378" s="9" t="n">
        <v>436.64</v>
      </c>
      <c r="T3378" s="9" t="n">
        <v>463.72</v>
      </c>
      <c r="U3378" s="10">
        <f>SUM(I3378:T3378)</f>
        <v/>
      </c>
    </row>
    <row r="3379">
      <c r="A3379" s="2" t="inlineStr">
        <is>
          <t>SN-1000-1200-1210-1210ST0003</t>
        </is>
      </c>
      <c r="B3379" s="2" t="inlineStr">
        <is>
          <t>1210ST0003</t>
        </is>
      </c>
      <c r="C3379" s="2" t="inlineStr">
        <is>
          <t>Soportes ST0003</t>
        </is>
      </c>
      <c r="D3379" s="2" t="n">
        <v>1126</v>
      </c>
      <c r="E3379" s="2" t="inlineStr">
        <is>
          <t>CC-1000</t>
        </is>
      </c>
      <c r="F3379" s="2" t="inlineStr">
        <is>
          <t>P01</t>
        </is>
      </c>
      <c r="G3379" s="2" t="n">
        <v>630000</v>
      </c>
      <c r="H3379" s="2" t="inlineStr">
        <is>
          <t>Servicios externos</t>
        </is>
      </c>
      <c r="I3379" s="9" t="n">
        <v>485.6</v>
      </c>
      <c r="J3379" s="9" t="n">
        <v>440.54</v>
      </c>
      <c r="K3379" s="9" t="n">
        <v>465.59</v>
      </c>
      <c r="L3379" s="9" t="n">
        <v>498.68</v>
      </c>
      <c r="M3379" s="9" t="n">
        <v>471.74</v>
      </c>
      <c r="N3379" s="9" t="n">
        <v>404.59</v>
      </c>
      <c r="O3379" s="9" t="n">
        <v>481.25</v>
      </c>
      <c r="P3379" s="9" t="n">
        <v>493.7</v>
      </c>
      <c r="Q3379" s="9" t="n">
        <v>456.5</v>
      </c>
      <c r="R3379" s="9" t="n">
        <v>520.65</v>
      </c>
      <c r="S3379" s="9" t="n">
        <v>452.69</v>
      </c>
      <c r="T3379" s="9" t="n">
        <v>448.46</v>
      </c>
      <c r="U3379" s="10">
        <f>SUM(I3379:T3379)</f>
        <v/>
      </c>
    </row>
    <row r="3380">
      <c r="A3380" s="2" t="inlineStr">
        <is>
          <t>SN-1000-1200-1210-1210ST0004</t>
        </is>
      </c>
      <c r="B3380" s="2" t="inlineStr">
        <is>
          <t>1210ST0004</t>
        </is>
      </c>
      <c r="C3380" s="2" t="inlineStr">
        <is>
          <t>Soportes ST0004</t>
        </is>
      </c>
      <c r="D3380" s="2" t="n">
        <v>1127</v>
      </c>
      <c r="E3380" s="2" t="inlineStr">
        <is>
          <t>CC-1000</t>
        </is>
      </c>
      <c r="F3380" s="2" t="inlineStr">
        <is>
          <t>P01</t>
        </is>
      </c>
      <c r="G3380" s="2" t="n">
        <v>610000</v>
      </c>
      <c r="H3380" s="2" t="inlineStr">
        <is>
          <t>Mano obra interna</t>
        </is>
      </c>
      <c r="I3380" s="9" t="n">
        <v>1519.45</v>
      </c>
      <c r="J3380" s="9" t="n">
        <v>1371.72</v>
      </c>
      <c r="K3380" s="9" t="n">
        <v>1430.63</v>
      </c>
      <c r="L3380" s="9" t="n">
        <v>1450.74</v>
      </c>
      <c r="M3380" s="9" t="n">
        <v>1460.58</v>
      </c>
      <c r="N3380" s="9" t="n">
        <v>1334.16</v>
      </c>
      <c r="O3380" s="9" t="n">
        <v>1456.77</v>
      </c>
      <c r="P3380" s="9" t="n">
        <v>1534.3</v>
      </c>
      <c r="Q3380" s="9" t="n">
        <v>1299.45</v>
      </c>
      <c r="R3380" s="9" t="n">
        <v>1672.48</v>
      </c>
      <c r="S3380" s="9" t="n">
        <v>1391.2</v>
      </c>
      <c r="T3380" s="9" t="n">
        <v>1371.16</v>
      </c>
      <c r="U3380" s="10">
        <f>SUM(I3380:T3380)</f>
        <v/>
      </c>
    </row>
    <row r="3381">
      <c r="A3381" s="2" t="inlineStr">
        <is>
          <t>SN-1000-1200-1210-1210ST0004</t>
        </is>
      </c>
      <c r="B3381" s="2" t="inlineStr">
        <is>
          <t>1210ST0004</t>
        </is>
      </c>
      <c r="C3381" s="2" t="inlineStr">
        <is>
          <t>Soportes ST0004</t>
        </is>
      </c>
      <c r="D3381" s="2" t="n">
        <v>1127</v>
      </c>
      <c r="E3381" s="2" t="inlineStr">
        <is>
          <t>CC-1000</t>
        </is>
      </c>
      <c r="F3381" s="2" t="inlineStr">
        <is>
          <t>P01</t>
        </is>
      </c>
      <c r="G3381" s="2" t="n">
        <v>620000</v>
      </c>
      <c r="H3381" s="2" t="inlineStr">
        <is>
          <t>Materiales</t>
        </is>
      </c>
      <c r="I3381" s="9" t="n">
        <v>1138.37</v>
      </c>
      <c r="J3381" s="9" t="n">
        <v>1083.83</v>
      </c>
      <c r="K3381" s="9" t="n">
        <v>1245.84</v>
      </c>
      <c r="L3381" s="9" t="n">
        <v>1214.39</v>
      </c>
      <c r="M3381" s="9" t="n">
        <v>1202.54</v>
      </c>
      <c r="N3381" s="9" t="n">
        <v>1110.02</v>
      </c>
      <c r="O3381" s="9" t="n">
        <v>1133.37</v>
      </c>
      <c r="P3381" s="9" t="n">
        <v>1101.83</v>
      </c>
      <c r="Q3381" s="9" t="n">
        <v>1079.72</v>
      </c>
      <c r="R3381" s="9" t="n">
        <v>1257.76</v>
      </c>
      <c r="S3381" s="9" t="n">
        <v>1089.14</v>
      </c>
      <c r="T3381" s="9" t="n">
        <v>1242.82</v>
      </c>
      <c r="U3381" s="10">
        <f>SUM(I3381:T3381)</f>
        <v/>
      </c>
    </row>
    <row r="3382">
      <c r="A3382" s="2" t="inlineStr">
        <is>
          <t>SN-1000-1200-1210-1210ST0004</t>
        </is>
      </c>
      <c r="B3382" s="2" t="inlineStr">
        <is>
          <t>1210ST0004</t>
        </is>
      </c>
      <c r="C3382" s="2" t="inlineStr">
        <is>
          <t>Soportes ST0004</t>
        </is>
      </c>
      <c r="D3382" s="2" t="n">
        <v>1127</v>
      </c>
      <c r="E3382" s="2" t="inlineStr">
        <is>
          <t>CC-1000</t>
        </is>
      </c>
      <c r="F3382" s="2" t="inlineStr">
        <is>
          <t>P01</t>
        </is>
      </c>
      <c r="G3382" s="2" t="n">
        <v>630000</v>
      </c>
      <c r="H3382" s="2" t="inlineStr">
        <is>
          <t>Servicios externos</t>
        </is>
      </c>
      <c r="I3382" s="9" t="n">
        <v>1507.87</v>
      </c>
      <c r="J3382" s="9" t="n">
        <v>1406.77</v>
      </c>
      <c r="K3382" s="9" t="n">
        <v>1403.31</v>
      </c>
      <c r="L3382" s="9" t="n">
        <v>1486.53</v>
      </c>
      <c r="M3382" s="9" t="n">
        <v>1327.05</v>
      </c>
      <c r="N3382" s="9" t="n">
        <v>1360.55</v>
      </c>
      <c r="O3382" s="9" t="n">
        <v>1380.14</v>
      </c>
      <c r="P3382" s="9" t="n">
        <v>1321.91</v>
      </c>
      <c r="Q3382" s="9" t="n">
        <v>1286.43</v>
      </c>
      <c r="R3382" s="9" t="n">
        <v>1465.44</v>
      </c>
      <c r="S3382" s="9" t="n">
        <v>1272.48</v>
      </c>
      <c r="T3382" s="9" t="n">
        <v>1495.9</v>
      </c>
      <c r="U3382" s="10">
        <f>SUM(I3382:T3382)</f>
        <v/>
      </c>
    </row>
    <row r="3383">
      <c r="A3383" s="2" t="inlineStr">
        <is>
          <t>SN-1000-1200-1210-1210ST0005</t>
        </is>
      </c>
      <c r="B3383" s="2" t="inlineStr">
        <is>
          <t>1210ST0005</t>
        </is>
      </c>
      <c r="C3383" s="2" t="inlineStr">
        <is>
          <t>Soportes ST0005</t>
        </is>
      </c>
      <c r="D3383" s="2" t="n">
        <v>1128</v>
      </c>
      <c r="E3383" s="2" t="inlineStr">
        <is>
          <t>CC-1000</t>
        </is>
      </c>
      <c r="F3383" s="2" t="inlineStr">
        <is>
          <t>P01</t>
        </is>
      </c>
      <c r="G3383" s="2" t="n">
        <v>610000</v>
      </c>
      <c r="H3383" s="2" t="inlineStr">
        <is>
          <t>Mano obra interna</t>
        </is>
      </c>
      <c r="I3383" s="9" t="n">
        <v>235.08</v>
      </c>
      <c r="J3383" s="9" t="n">
        <v>232.7</v>
      </c>
      <c r="K3383" s="9" t="n">
        <v>253.48</v>
      </c>
      <c r="L3383" s="9" t="n">
        <v>222.69</v>
      </c>
      <c r="M3383" s="9" t="n">
        <v>235.39</v>
      </c>
      <c r="N3383" s="9" t="n">
        <v>224.96</v>
      </c>
      <c r="O3383" s="9" t="n">
        <v>251.05</v>
      </c>
      <c r="P3383" s="9" t="n">
        <v>238.02</v>
      </c>
      <c r="Q3383" s="9" t="n">
        <v>207.01</v>
      </c>
      <c r="R3383" s="9" t="n">
        <v>250.07</v>
      </c>
      <c r="S3383" s="9" t="n">
        <v>232.97</v>
      </c>
      <c r="T3383" s="9" t="n">
        <v>222.18</v>
      </c>
      <c r="U3383" s="10">
        <f>SUM(I3383:T3383)</f>
        <v/>
      </c>
    </row>
    <row r="3384">
      <c r="A3384" s="2" t="inlineStr">
        <is>
          <t>SN-1000-1200-1210-1210ST0005</t>
        </is>
      </c>
      <c r="B3384" s="2" t="inlineStr">
        <is>
          <t>1210ST0005</t>
        </is>
      </c>
      <c r="C3384" s="2" t="inlineStr">
        <is>
          <t>Soportes ST0005</t>
        </is>
      </c>
      <c r="D3384" s="2" t="n">
        <v>1128</v>
      </c>
      <c r="E3384" s="2" t="inlineStr">
        <is>
          <t>CC-1000</t>
        </is>
      </c>
      <c r="F3384" s="2" t="inlineStr">
        <is>
          <t>P01</t>
        </is>
      </c>
      <c r="G3384" s="2" t="n">
        <v>620000</v>
      </c>
      <c r="H3384" s="2" t="inlineStr">
        <is>
          <t>Materiales</t>
        </is>
      </c>
      <c r="I3384" s="9" t="n">
        <v>245.35</v>
      </c>
      <c r="J3384" s="9" t="n">
        <v>235.19</v>
      </c>
      <c r="K3384" s="9" t="n">
        <v>245.14</v>
      </c>
      <c r="L3384" s="9" t="n">
        <v>271.65</v>
      </c>
      <c r="M3384" s="9" t="n">
        <v>253.72</v>
      </c>
      <c r="N3384" s="9" t="n">
        <v>231.17</v>
      </c>
      <c r="O3384" s="9" t="n">
        <v>273.04</v>
      </c>
      <c r="P3384" s="9" t="n">
        <v>245.73</v>
      </c>
      <c r="Q3384" s="9" t="n">
        <v>233.67</v>
      </c>
      <c r="R3384" s="9" t="n">
        <v>264.09</v>
      </c>
      <c r="S3384" s="9" t="n">
        <v>267.02</v>
      </c>
      <c r="T3384" s="9" t="n">
        <v>272.85</v>
      </c>
      <c r="U3384" s="10">
        <f>SUM(I3384:T3384)</f>
        <v/>
      </c>
    </row>
    <row r="3385">
      <c r="A3385" s="2" t="inlineStr">
        <is>
          <t>SN-1000-1200-1210-1210ST0005</t>
        </is>
      </c>
      <c r="B3385" s="2" t="inlineStr">
        <is>
          <t>1210ST0005</t>
        </is>
      </c>
      <c r="C3385" s="2" t="inlineStr">
        <is>
          <t>Soportes ST0005</t>
        </is>
      </c>
      <c r="D3385" s="2" t="n">
        <v>1128</v>
      </c>
      <c r="E3385" s="2" t="inlineStr">
        <is>
          <t>CC-1000</t>
        </is>
      </c>
      <c r="F3385" s="2" t="inlineStr">
        <is>
          <t>P01</t>
        </is>
      </c>
      <c r="G3385" s="2" t="n">
        <v>630000</v>
      </c>
      <c r="H3385" s="2" t="inlineStr">
        <is>
          <t>Servicios externos</t>
        </is>
      </c>
      <c r="I3385" s="9" t="n">
        <v>232.92</v>
      </c>
      <c r="J3385" s="9" t="n">
        <v>243.28</v>
      </c>
      <c r="K3385" s="9" t="n">
        <v>256.98</v>
      </c>
      <c r="L3385" s="9" t="n">
        <v>246.82</v>
      </c>
      <c r="M3385" s="9" t="n">
        <v>236.63</v>
      </c>
      <c r="N3385" s="9" t="n">
        <v>248.56</v>
      </c>
      <c r="O3385" s="9" t="n">
        <v>227.44</v>
      </c>
      <c r="P3385" s="9" t="n">
        <v>250.87</v>
      </c>
      <c r="Q3385" s="9" t="n">
        <v>225.23</v>
      </c>
      <c r="R3385" s="9" t="n">
        <v>272.47</v>
      </c>
      <c r="S3385" s="9" t="n">
        <v>226.75</v>
      </c>
      <c r="T3385" s="9" t="n">
        <v>239.33</v>
      </c>
      <c r="U3385" s="10">
        <f>SUM(I3385:T3385)</f>
        <v/>
      </c>
    </row>
    <row r="3386">
      <c r="A3386" s="2" t="inlineStr">
        <is>
          <t>SN-1000-1200-1210-1210ST0006</t>
        </is>
      </c>
      <c r="B3386" s="2" t="inlineStr">
        <is>
          <t>1210ST0006</t>
        </is>
      </c>
      <c r="C3386" s="2" t="inlineStr">
        <is>
          <t>Soportes ST0006</t>
        </is>
      </c>
      <c r="D3386" s="2" t="n">
        <v>1129</v>
      </c>
      <c r="E3386" s="2" t="inlineStr">
        <is>
          <t>CC-1000</t>
        </is>
      </c>
      <c r="F3386" s="2" t="inlineStr">
        <is>
          <t>P01</t>
        </is>
      </c>
      <c r="G3386" s="2" t="n">
        <v>610000</v>
      </c>
      <c r="H3386" s="2" t="inlineStr">
        <is>
          <t>Mano obra interna</t>
        </is>
      </c>
      <c r="I3386" s="9" t="n">
        <v>638.42</v>
      </c>
      <c r="J3386" s="9" t="n">
        <v>615.4299999999999</v>
      </c>
      <c r="K3386" s="9" t="n">
        <v>575.1</v>
      </c>
      <c r="L3386" s="9" t="n">
        <v>555.8200000000001</v>
      </c>
      <c r="M3386" s="9" t="n">
        <v>583.09</v>
      </c>
      <c r="N3386" s="9" t="n">
        <v>548.16</v>
      </c>
      <c r="O3386" s="9" t="n">
        <v>605.38</v>
      </c>
      <c r="P3386" s="9" t="n">
        <v>582.95</v>
      </c>
      <c r="Q3386" s="9" t="n">
        <v>541.55</v>
      </c>
      <c r="R3386" s="9" t="n">
        <v>641.01</v>
      </c>
      <c r="S3386" s="9" t="n">
        <v>528.63</v>
      </c>
      <c r="T3386" s="9" t="n">
        <v>606.11</v>
      </c>
      <c r="U3386" s="10">
        <f>SUM(I3386:T3386)</f>
        <v/>
      </c>
    </row>
    <row r="3387">
      <c r="A3387" s="2" t="inlineStr">
        <is>
          <t>SN-1000-1200-1210-1210ST0006</t>
        </is>
      </c>
      <c r="B3387" s="2" t="inlineStr">
        <is>
          <t>1210ST0006</t>
        </is>
      </c>
      <c r="C3387" s="2" t="inlineStr">
        <is>
          <t>Soportes ST0006</t>
        </is>
      </c>
      <c r="D3387" s="2" t="n">
        <v>1129</v>
      </c>
      <c r="E3387" s="2" t="inlineStr">
        <is>
          <t>CC-1000</t>
        </is>
      </c>
      <c r="F3387" s="2" t="inlineStr">
        <is>
          <t>P01</t>
        </is>
      </c>
      <c r="G3387" s="2" t="n">
        <v>620000</v>
      </c>
      <c r="H3387" s="2" t="inlineStr">
        <is>
          <t>Materiales</t>
        </is>
      </c>
      <c r="I3387" s="9" t="n">
        <v>582.04</v>
      </c>
      <c r="J3387" s="9" t="n">
        <v>503.28</v>
      </c>
      <c r="K3387" s="9" t="n">
        <v>541.7</v>
      </c>
      <c r="L3387" s="9" t="n">
        <v>594.26</v>
      </c>
      <c r="M3387" s="9" t="n">
        <v>541.3200000000001</v>
      </c>
      <c r="N3387" s="9" t="n">
        <v>554.16</v>
      </c>
      <c r="O3387" s="9" t="n">
        <v>559.03</v>
      </c>
      <c r="P3387" s="9" t="n">
        <v>578.95</v>
      </c>
      <c r="Q3387" s="9" t="n">
        <v>490.17</v>
      </c>
      <c r="R3387" s="9" t="n">
        <v>546.59</v>
      </c>
      <c r="S3387" s="9" t="n">
        <v>550.4400000000001</v>
      </c>
      <c r="T3387" s="9" t="n">
        <v>577.24</v>
      </c>
      <c r="U3387" s="10">
        <f>SUM(I3387:T3387)</f>
        <v/>
      </c>
    </row>
    <row r="3388">
      <c r="A3388" s="2" t="inlineStr">
        <is>
          <t>SN-1000-1200-1210-1210ST0006</t>
        </is>
      </c>
      <c r="B3388" s="2" t="inlineStr">
        <is>
          <t>1210ST0006</t>
        </is>
      </c>
      <c r="C3388" s="2" t="inlineStr">
        <is>
          <t>Soportes ST0006</t>
        </is>
      </c>
      <c r="D3388" s="2" t="n">
        <v>1129</v>
      </c>
      <c r="E3388" s="2" t="inlineStr">
        <is>
          <t>CC-1000</t>
        </is>
      </c>
      <c r="F3388" s="2" t="inlineStr">
        <is>
          <t>P01</t>
        </is>
      </c>
      <c r="G3388" s="2" t="n">
        <v>630000</v>
      </c>
      <c r="H3388" s="2" t="inlineStr">
        <is>
          <t>Servicios externos</t>
        </is>
      </c>
      <c r="I3388" s="9" t="n">
        <v>593.48</v>
      </c>
      <c r="J3388" s="9" t="n">
        <v>602.89</v>
      </c>
      <c r="K3388" s="9" t="n">
        <v>561.5599999999999</v>
      </c>
      <c r="L3388" s="9" t="n">
        <v>597.65</v>
      </c>
      <c r="M3388" s="9" t="n">
        <v>527.1900000000001</v>
      </c>
      <c r="N3388" s="9" t="n">
        <v>517.3</v>
      </c>
      <c r="O3388" s="9" t="n">
        <v>568.55</v>
      </c>
      <c r="P3388" s="9" t="n">
        <v>603.11</v>
      </c>
      <c r="Q3388" s="9" t="n">
        <v>554.3099999999999</v>
      </c>
      <c r="R3388" s="9" t="n">
        <v>666.03</v>
      </c>
      <c r="S3388" s="9" t="n">
        <v>515.25</v>
      </c>
      <c r="T3388" s="9" t="n">
        <v>571.52</v>
      </c>
      <c r="U3388" s="10">
        <f>SUM(I3388:T3388)</f>
        <v/>
      </c>
    </row>
    <row r="3389">
      <c r="A3389" s="2" t="inlineStr">
        <is>
          <t>SN-1000-1200-1210-1210ST0007</t>
        </is>
      </c>
      <c r="B3389" s="2" t="inlineStr">
        <is>
          <t>1210ST0007</t>
        </is>
      </c>
      <c r="C3389" s="2" t="inlineStr">
        <is>
          <t>Soportes ST0007</t>
        </is>
      </c>
      <c r="D3389" s="2" t="n">
        <v>1130</v>
      </c>
      <c r="E3389" s="2" t="inlineStr">
        <is>
          <t>CC-1000</t>
        </is>
      </c>
      <c r="F3389" s="2" t="inlineStr">
        <is>
          <t>P01</t>
        </is>
      </c>
      <c r="G3389" s="2" t="n">
        <v>610000</v>
      </c>
      <c r="H3389" s="2" t="inlineStr">
        <is>
          <t>Mano obra interna</t>
        </is>
      </c>
      <c r="I3389" s="9" t="n">
        <v>1866.29</v>
      </c>
      <c r="J3389" s="9" t="n">
        <v>1871.27</v>
      </c>
      <c r="K3389" s="9" t="n">
        <v>1953.66</v>
      </c>
      <c r="L3389" s="9" t="n">
        <v>1992.17</v>
      </c>
      <c r="M3389" s="9" t="n">
        <v>1841.52</v>
      </c>
      <c r="N3389" s="9" t="n">
        <v>1884.27</v>
      </c>
      <c r="O3389" s="9" t="n">
        <v>2108.13</v>
      </c>
      <c r="P3389" s="9" t="n">
        <v>2051.34</v>
      </c>
      <c r="Q3389" s="9" t="n">
        <v>1938.61</v>
      </c>
      <c r="R3389" s="9" t="n">
        <v>2233.13</v>
      </c>
      <c r="S3389" s="9" t="n">
        <v>1877.65</v>
      </c>
      <c r="T3389" s="9" t="n">
        <v>2070.78</v>
      </c>
      <c r="U3389" s="10">
        <f>SUM(I3389:T3389)</f>
        <v/>
      </c>
    </row>
    <row r="3390">
      <c r="A3390" s="2" t="inlineStr">
        <is>
          <t>SN-1000-1200-1210-1210ST0007</t>
        </is>
      </c>
      <c r="B3390" s="2" t="inlineStr">
        <is>
          <t>1210ST0007</t>
        </is>
      </c>
      <c r="C3390" s="2" t="inlineStr">
        <is>
          <t>Soportes ST0007</t>
        </is>
      </c>
      <c r="D3390" s="2" t="n">
        <v>1130</v>
      </c>
      <c r="E3390" s="2" t="inlineStr">
        <is>
          <t>CC-1000</t>
        </is>
      </c>
      <c r="F3390" s="2" t="inlineStr">
        <is>
          <t>P01</t>
        </is>
      </c>
      <c r="G3390" s="2" t="n">
        <v>620000</v>
      </c>
      <c r="H3390" s="2" t="inlineStr">
        <is>
          <t>Materiales</t>
        </is>
      </c>
      <c r="I3390" s="9" t="n">
        <v>2227.68</v>
      </c>
      <c r="J3390" s="9" t="n">
        <v>2385.37</v>
      </c>
      <c r="K3390" s="9" t="n">
        <v>2346.54</v>
      </c>
      <c r="L3390" s="9" t="n">
        <v>2159.41</v>
      </c>
      <c r="M3390" s="9" t="n">
        <v>2318.35</v>
      </c>
      <c r="N3390" s="9" t="n">
        <v>2251.36</v>
      </c>
      <c r="O3390" s="9" t="n">
        <v>2310.06</v>
      </c>
      <c r="P3390" s="9" t="n">
        <v>2183.04</v>
      </c>
      <c r="Q3390" s="9" t="n">
        <v>2125.71</v>
      </c>
      <c r="R3390" s="9" t="n">
        <v>2430.18</v>
      </c>
      <c r="S3390" s="9" t="n">
        <v>2385.29</v>
      </c>
      <c r="T3390" s="9" t="n">
        <v>2444.78</v>
      </c>
      <c r="U3390" s="10">
        <f>SUM(I3390:T3390)</f>
        <v/>
      </c>
    </row>
    <row r="3391">
      <c r="A3391" s="2" t="inlineStr">
        <is>
          <t>SN-1000-1200-1210-1210ST0007</t>
        </is>
      </c>
      <c r="B3391" s="2" t="inlineStr">
        <is>
          <t>1210ST0007</t>
        </is>
      </c>
      <c r="C3391" s="2" t="inlineStr">
        <is>
          <t>Soportes ST0007</t>
        </is>
      </c>
      <c r="D3391" s="2" t="n">
        <v>1130</v>
      </c>
      <c r="E3391" s="2" t="inlineStr">
        <is>
          <t>CC-1000</t>
        </is>
      </c>
      <c r="F3391" s="2" t="inlineStr">
        <is>
          <t>P01</t>
        </is>
      </c>
      <c r="G3391" s="2" t="n">
        <v>630000</v>
      </c>
      <c r="H3391" s="2" t="inlineStr">
        <is>
          <t>Servicios externos</t>
        </is>
      </c>
      <c r="I3391" s="9" t="n">
        <v>2275.39</v>
      </c>
      <c r="J3391" s="9" t="n">
        <v>2250.68</v>
      </c>
      <c r="K3391" s="9" t="n">
        <v>2376.47</v>
      </c>
      <c r="L3391" s="9" t="n">
        <v>2397.73</v>
      </c>
      <c r="M3391" s="9" t="n">
        <v>2149.77</v>
      </c>
      <c r="N3391" s="9" t="n">
        <v>2279.01</v>
      </c>
      <c r="O3391" s="9" t="n">
        <v>2296.4</v>
      </c>
      <c r="P3391" s="9" t="n">
        <v>2370.19</v>
      </c>
      <c r="Q3391" s="9" t="n">
        <v>2014.65</v>
      </c>
      <c r="R3391" s="9" t="n">
        <v>2460.62</v>
      </c>
      <c r="S3391" s="9" t="n">
        <v>2371.51</v>
      </c>
      <c r="T3391" s="9" t="n">
        <v>2384.07</v>
      </c>
      <c r="U3391" s="10">
        <f>SUM(I3391:T3391)</f>
        <v/>
      </c>
    </row>
    <row r="3392">
      <c r="A3392" s="2" t="inlineStr">
        <is>
          <t>SN-1000-1200-1210-1210ST0011</t>
        </is>
      </c>
      <c r="B3392" s="2" t="inlineStr">
        <is>
          <t>1210ST0011</t>
        </is>
      </c>
      <c r="C3392" s="2" t="inlineStr">
        <is>
          <t>Atril neumáticos ST00011</t>
        </is>
      </c>
      <c r="D3392" s="2" t="n">
        <v>1131</v>
      </c>
      <c r="E3392" s="2" t="inlineStr">
        <is>
          <t>CC-1000</t>
        </is>
      </c>
      <c r="F3392" s="2" t="inlineStr">
        <is>
          <t>P01</t>
        </is>
      </c>
      <c r="G3392" s="2" t="n">
        <v>610000</v>
      </c>
      <c r="H3392" s="2" t="inlineStr">
        <is>
          <t>Mano obra interna</t>
        </is>
      </c>
      <c r="I3392" s="9" t="n">
        <v>2237.61</v>
      </c>
      <c r="J3392" s="9" t="n">
        <v>2210.94</v>
      </c>
      <c r="K3392" s="9" t="n">
        <v>2018.8</v>
      </c>
      <c r="L3392" s="9" t="n">
        <v>2088.21</v>
      </c>
      <c r="M3392" s="9" t="n">
        <v>2118.74</v>
      </c>
      <c r="N3392" s="9" t="n">
        <v>2174.28</v>
      </c>
      <c r="O3392" s="9" t="n">
        <v>2186.39</v>
      </c>
      <c r="P3392" s="9" t="n">
        <v>2107.96</v>
      </c>
      <c r="Q3392" s="9" t="n">
        <v>1860.44</v>
      </c>
      <c r="R3392" s="9" t="n">
        <v>2288.41</v>
      </c>
      <c r="S3392" s="9" t="n">
        <v>2037.07</v>
      </c>
      <c r="T3392" s="9" t="n">
        <v>2251.88</v>
      </c>
      <c r="U3392" s="10">
        <f>SUM(I3392:T3392)</f>
        <v/>
      </c>
    </row>
    <row r="3393">
      <c r="A3393" s="2" t="inlineStr">
        <is>
          <t>SN-1000-1200-1210-1210ST0011</t>
        </is>
      </c>
      <c r="B3393" s="2" t="inlineStr">
        <is>
          <t>1210ST0011</t>
        </is>
      </c>
      <c r="C3393" s="2" t="inlineStr">
        <is>
          <t>Atril neumáticos ST00011</t>
        </is>
      </c>
      <c r="D3393" s="2" t="n">
        <v>1131</v>
      </c>
      <c r="E3393" s="2" t="inlineStr">
        <is>
          <t>CC-1000</t>
        </is>
      </c>
      <c r="F3393" s="2" t="inlineStr">
        <is>
          <t>P01</t>
        </is>
      </c>
      <c r="G3393" s="2" t="n">
        <v>620000</v>
      </c>
      <c r="H3393" s="2" t="inlineStr">
        <is>
          <t>Materiales</t>
        </is>
      </c>
      <c r="I3393" s="9" t="n">
        <v>1866.14</v>
      </c>
      <c r="J3393" s="9" t="n">
        <v>1732.39</v>
      </c>
      <c r="K3393" s="9" t="n">
        <v>1801.25</v>
      </c>
      <c r="L3393" s="9" t="n">
        <v>1905.37</v>
      </c>
      <c r="M3393" s="9" t="n">
        <v>1817.48</v>
      </c>
      <c r="N3393" s="9" t="n">
        <v>1815.83</v>
      </c>
      <c r="O3393" s="9" t="n">
        <v>1947.32</v>
      </c>
      <c r="P3393" s="9" t="n">
        <v>1742.75</v>
      </c>
      <c r="Q3393" s="9" t="n">
        <v>1751.41</v>
      </c>
      <c r="R3393" s="9" t="n">
        <v>2147.83</v>
      </c>
      <c r="S3393" s="9" t="n">
        <v>1809.41</v>
      </c>
      <c r="T3393" s="9" t="n">
        <v>1917.05</v>
      </c>
      <c r="U3393" s="10">
        <f>SUM(I3393:T3393)</f>
        <v/>
      </c>
    </row>
    <row r="3394">
      <c r="A3394" s="2" t="inlineStr">
        <is>
          <t>SN-1000-1200-1210-1210ST0011</t>
        </is>
      </c>
      <c r="B3394" s="2" t="inlineStr">
        <is>
          <t>1210ST0011</t>
        </is>
      </c>
      <c r="C3394" s="2" t="inlineStr">
        <is>
          <t>Atril neumáticos ST00011</t>
        </is>
      </c>
      <c r="D3394" s="2" t="n">
        <v>1131</v>
      </c>
      <c r="E3394" s="2" t="inlineStr">
        <is>
          <t>CC-1000</t>
        </is>
      </c>
      <c r="F3394" s="2" t="inlineStr">
        <is>
          <t>P01</t>
        </is>
      </c>
      <c r="G3394" s="2" t="n">
        <v>630000</v>
      </c>
      <c r="H3394" s="2" t="inlineStr">
        <is>
          <t>Servicios externos</t>
        </is>
      </c>
      <c r="I3394" s="9" t="n">
        <v>1910.9</v>
      </c>
      <c r="J3394" s="9" t="n">
        <v>1759.56</v>
      </c>
      <c r="K3394" s="9" t="n">
        <v>1848.25</v>
      </c>
      <c r="L3394" s="9" t="n">
        <v>1847.49</v>
      </c>
      <c r="M3394" s="9" t="n">
        <v>1974.04</v>
      </c>
      <c r="N3394" s="9" t="n">
        <v>1756.28</v>
      </c>
      <c r="O3394" s="9" t="n">
        <v>2043.03</v>
      </c>
      <c r="P3394" s="9" t="n">
        <v>1998.55</v>
      </c>
      <c r="Q3394" s="9" t="n">
        <v>1826.14</v>
      </c>
      <c r="R3394" s="9" t="n">
        <v>2127.38</v>
      </c>
      <c r="S3394" s="9" t="n">
        <v>1711.11</v>
      </c>
      <c r="T3394" s="9" t="n">
        <v>1954.93</v>
      </c>
      <c r="U3394" s="10">
        <f>SUM(I3394:T3394)</f>
        <v/>
      </c>
    </row>
    <row r="3395">
      <c r="A3395" s="2" t="inlineStr">
        <is>
          <t>SN-1000-1200-1210-1210ST0012</t>
        </is>
      </c>
      <c r="B3395" s="2" t="inlineStr">
        <is>
          <t>1210ST0012</t>
        </is>
      </c>
      <c r="C3395" s="2" t="inlineStr">
        <is>
          <t>Atril neumáticos ST00012</t>
        </is>
      </c>
      <c r="D3395" s="2" t="n">
        <v>1132</v>
      </c>
      <c r="E3395" s="2" t="inlineStr">
        <is>
          <t>CC-1000</t>
        </is>
      </c>
      <c r="F3395" s="2" t="inlineStr">
        <is>
          <t>P01</t>
        </is>
      </c>
      <c r="G3395" s="2" t="n">
        <v>610000</v>
      </c>
      <c r="H3395" s="2" t="inlineStr">
        <is>
          <t>Mano obra interna</t>
        </is>
      </c>
      <c r="I3395" s="9" t="n">
        <v>982.76</v>
      </c>
      <c r="J3395" s="9" t="n">
        <v>989.37</v>
      </c>
      <c r="K3395" s="9" t="n">
        <v>995.28</v>
      </c>
      <c r="L3395" s="9" t="n">
        <v>1074.1</v>
      </c>
      <c r="M3395" s="9" t="n">
        <v>965.42</v>
      </c>
      <c r="N3395" s="9" t="n">
        <v>990.38</v>
      </c>
      <c r="O3395" s="9" t="n">
        <v>1076.4</v>
      </c>
      <c r="P3395" s="9" t="n">
        <v>982.8</v>
      </c>
      <c r="Q3395" s="9" t="n">
        <v>1007.02</v>
      </c>
      <c r="R3395" s="9" t="n">
        <v>1041.98</v>
      </c>
      <c r="S3395" s="9" t="n">
        <v>949.74</v>
      </c>
      <c r="T3395" s="9" t="n">
        <v>1017.66</v>
      </c>
      <c r="U3395" s="10">
        <f>SUM(I3395:T3395)</f>
        <v/>
      </c>
    </row>
    <row r="3396">
      <c r="A3396" s="2" t="inlineStr">
        <is>
          <t>SN-1000-1200-1210-1210ST0012</t>
        </is>
      </c>
      <c r="B3396" s="2" t="inlineStr">
        <is>
          <t>1210ST0012</t>
        </is>
      </c>
      <c r="C3396" s="2" t="inlineStr">
        <is>
          <t>Atril neumáticos ST00012</t>
        </is>
      </c>
      <c r="D3396" s="2" t="n">
        <v>1132</v>
      </c>
      <c r="E3396" s="2" t="inlineStr">
        <is>
          <t>CC-1000</t>
        </is>
      </c>
      <c r="F3396" s="2" t="inlineStr">
        <is>
          <t>P01</t>
        </is>
      </c>
      <c r="G3396" s="2" t="n">
        <v>620000</v>
      </c>
      <c r="H3396" s="2" t="inlineStr">
        <is>
          <t>Materiales</t>
        </is>
      </c>
      <c r="I3396" s="9" t="n">
        <v>1021.27</v>
      </c>
      <c r="J3396" s="9" t="n">
        <v>891.25</v>
      </c>
      <c r="K3396" s="9" t="n">
        <v>914.11</v>
      </c>
      <c r="L3396" s="9" t="n">
        <v>1022.13</v>
      </c>
      <c r="M3396" s="9" t="n">
        <v>959.95</v>
      </c>
      <c r="N3396" s="9" t="n">
        <v>856.14</v>
      </c>
      <c r="O3396" s="9" t="n">
        <v>956.52</v>
      </c>
      <c r="P3396" s="9" t="n">
        <v>1003.03</v>
      </c>
      <c r="Q3396" s="9" t="n">
        <v>821.12</v>
      </c>
      <c r="R3396" s="9" t="n">
        <v>953.59</v>
      </c>
      <c r="S3396" s="9" t="n">
        <v>883.87</v>
      </c>
      <c r="T3396" s="9" t="n">
        <v>984.83</v>
      </c>
      <c r="U3396" s="10">
        <f>SUM(I3396:T3396)</f>
        <v/>
      </c>
    </row>
    <row r="3397">
      <c r="A3397" s="2" t="inlineStr">
        <is>
          <t>SN-1000-1200-1210-1210ST0012</t>
        </is>
      </c>
      <c r="B3397" s="2" t="inlineStr">
        <is>
          <t>1210ST0012</t>
        </is>
      </c>
      <c r="C3397" s="2" t="inlineStr">
        <is>
          <t>Atril neumáticos ST00012</t>
        </is>
      </c>
      <c r="D3397" s="2" t="n">
        <v>1132</v>
      </c>
      <c r="E3397" s="2" t="inlineStr">
        <is>
          <t>CC-1000</t>
        </is>
      </c>
      <c r="F3397" s="2" t="inlineStr">
        <is>
          <t>P01</t>
        </is>
      </c>
      <c r="G3397" s="2" t="n">
        <v>630000</v>
      </c>
      <c r="H3397" s="2" t="inlineStr">
        <is>
          <t>Servicios externos</t>
        </is>
      </c>
      <c r="I3397" s="9" t="n">
        <v>825.17</v>
      </c>
      <c r="J3397" s="9" t="n">
        <v>788.09</v>
      </c>
      <c r="K3397" s="9" t="n">
        <v>801.47</v>
      </c>
      <c r="L3397" s="9" t="n">
        <v>738.03</v>
      </c>
      <c r="M3397" s="9" t="n">
        <v>820.9</v>
      </c>
      <c r="N3397" s="9" t="n">
        <v>734.4</v>
      </c>
      <c r="O3397" s="9" t="n">
        <v>763.8200000000001</v>
      </c>
      <c r="P3397" s="9" t="n">
        <v>829.76</v>
      </c>
      <c r="Q3397" s="9" t="n">
        <v>757.89</v>
      </c>
      <c r="R3397" s="9" t="n">
        <v>823.92</v>
      </c>
      <c r="S3397" s="9" t="n">
        <v>735.13</v>
      </c>
      <c r="T3397" s="9" t="n">
        <v>730.3200000000001</v>
      </c>
      <c r="U3397" s="10">
        <f>SUM(I3397:T3397)</f>
        <v/>
      </c>
    </row>
    <row r="3398">
      <c r="A3398" s="2" t="inlineStr">
        <is>
          <t>SN-1000-1200-1210-1210ST0013</t>
        </is>
      </c>
      <c r="B3398" s="2" t="inlineStr">
        <is>
          <t>1210ST0013</t>
        </is>
      </c>
      <c r="C3398" s="2" t="inlineStr">
        <is>
          <t>Atril neumáticos ST00013</t>
        </is>
      </c>
      <c r="D3398" s="2" t="n">
        <v>1133</v>
      </c>
      <c r="E3398" s="2" t="inlineStr">
        <is>
          <t>CC-1000</t>
        </is>
      </c>
      <c r="F3398" s="2" t="inlineStr">
        <is>
          <t>P01</t>
        </is>
      </c>
      <c r="G3398" s="2" t="n">
        <v>610000</v>
      </c>
      <c r="H3398" s="2" t="inlineStr">
        <is>
          <t>Mano obra interna</t>
        </is>
      </c>
      <c r="I3398" s="9" t="n">
        <v>791.73</v>
      </c>
      <c r="J3398" s="9" t="n">
        <v>701.99</v>
      </c>
      <c r="K3398" s="9" t="n">
        <v>789.13</v>
      </c>
      <c r="L3398" s="9" t="n">
        <v>782.92</v>
      </c>
      <c r="M3398" s="9" t="n">
        <v>695.85</v>
      </c>
      <c r="N3398" s="9" t="n">
        <v>715.61</v>
      </c>
      <c r="O3398" s="9" t="n">
        <v>706.63</v>
      </c>
      <c r="P3398" s="9" t="n">
        <v>768.65</v>
      </c>
      <c r="Q3398" s="9" t="n">
        <v>646.41</v>
      </c>
      <c r="R3398" s="9" t="n">
        <v>814.21</v>
      </c>
      <c r="S3398" s="9" t="n">
        <v>691.84</v>
      </c>
      <c r="T3398" s="9" t="n">
        <v>690.6799999999999</v>
      </c>
      <c r="U3398" s="10">
        <f>SUM(I3398:T3398)</f>
        <v/>
      </c>
    </row>
    <row r="3399">
      <c r="A3399" s="2" t="inlineStr">
        <is>
          <t>SN-1000-1200-1210-1210ST0013</t>
        </is>
      </c>
      <c r="B3399" s="2" t="inlineStr">
        <is>
          <t>1210ST0013</t>
        </is>
      </c>
      <c r="C3399" s="2" t="inlineStr">
        <is>
          <t>Atril neumáticos ST00013</t>
        </is>
      </c>
      <c r="D3399" s="2" t="n">
        <v>1133</v>
      </c>
      <c r="E3399" s="2" t="inlineStr">
        <is>
          <t>CC-1000</t>
        </is>
      </c>
      <c r="F3399" s="2" t="inlineStr">
        <is>
          <t>P01</t>
        </is>
      </c>
      <c r="G3399" s="2" t="n">
        <v>620000</v>
      </c>
      <c r="H3399" s="2" t="inlineStr">
        <is>
          <t>Materiales</t>
        </is>
      </c>
      <c r="I3399" s="9" t="n">
        <v>589.61</v>
      </c>
      <c r="J3399" s="9" t="n">
        <v>531.97</v>
      </c>
      <c r="K3399" s="9" t="n">
        <v>593.62</v>
      </c>
      <c r="L3399" s="9" t="n">
        <v>568.1799999999999</v>
      </c>
      <c r="M3399" s="9" t="n">
        <v>574.97</v>
      </c>
      <c r="N3399" s="9" t="n">
        <v>538.23</v>
      </c>
      <c r="O3399" s="9" t="n">
        <v>546.58</v>
      </c>
      <c r="P3399" s="9" t="n">
        <v>531.26</v>
      </c>
      <c r="Q3399" s="9" t="n">
        <v>511.3</v>
      </c>
      <c r="R3399" s="9" t="n">
        <v>620.92</v>
      </c>
      <c r="S3399" s="9" t="n">
        <v>566.59</v>
      </c>
      <c r="T3399" s="9" t="n">
        <v>540.88</v>
      </c>
      <c r="U3399" s="10">
        <f>SUM(I3399:T3399)</f>
        <v/>
      </c>
    </row>
    <row r="3400">
      <c r="A3400" s="2" t="inlineStr">
        <is>
          <t>SN-1000-1200-1210-1210ST0013</t>
        </is>
      </c>
      <c r="B3400" s="2" t="inlineStr">
        <is>
          <t>1210ST0013</t>
        </is>
      </c>
      <c r="C3400" s="2" t="inlineStr">
        <is>
          <t>Atril neumáticos ST00013</t>
        </is>
      </c>
      <c r="D3400" s="2" t="n">
        <v>1133</v>
      </c>
      <c r="E3400" s="2" t="inlineStr">
        <is>
          <t>CC-1000</t>
        </is>
      </c>
      <c r="F3400" s="2" t="inlineStr">
        <is>
          <t>P01</t>
        </is>
      </c>
      <c r="G3400" s="2" t="n">
        <v>630000</v>
      </c>
      <c r="H3400" s="2" t="inlineStr">
        <is>
          <t>Servicios externos</t>
        </is>
      </c>
      <c r="I3400" s="9" t="n">
        <v>649.1799999999999</v>
      </c>
      <c r="J3400" s="9" t="n">
        <v>630.79</v>
      </c>
      <c r="K3400" s="9" t="n">
        <v>694.99</v>
      </c>
      <c r="L3400" s="9" t="n">
        <v>661.99</v>
      </c>
      <c r="M3400" s="9" t="n">
        <v>680.54</v>
      </c>
      <c r="N3400" s="9" t="n">
        <v>687.61</v>
      </c>
      <c r="O3400" s="9" t="n">
        <v>632.95</v>
      </c>
      <c r="P3400" s="9" t="n">
        <v>677.37</v>
      </c>
      <c r="Q3400" s="9" t="n">
        <v>666.24</v>
      </c>
      <c r="R3400" s="9" t="n">
        <v>685.48</v>
      </c>
      <c r="S3400" s="9" t="n">
        <v>635.09</v>
      </c>
      <c r="T3400" s="9" t="n">
        <v>639.3</v>
      </c>
      <c r="U3400" s="10">
        <f>SUM(I3400:T3400)</f>
        <v/>
      </c>
    </row>
    <row r="3401">
      <c r="A3401" s="2" t="inlineStr">
        <is>
          <t>SN-1000-1200-1210-1210ST0014</t>
        </is>
      </c>
      <c r="B3401" s="2" t="inlineStr">
        <is>
          <t>1210ST0014</t>
        </is>
      </c>
      <c r="C3401" s="2" t="inlineStr">
        <is>
          <t>Atril neumáticos ST00014</t>
        </is>
      </c>
      <c r="D3401" s="2" t="n">
        <v>1134</v>
      </c>
      <c r="E3401" s="2" t="inlineStr">
        <is>
          <t>CC-1000</t>
        </is>
      </c>
      <c r="F3401" s="2" t="inlineStr">
        <is>
          <t>P01</t>
        </is>
      </c>
      <c r="G3401" s="2" t="n">
        <v>610000</v>
      </c>
      <c r="H3401" s="2" t="inlineStr">
        <is>
          <t>Mano obra interna</t>
        </is>
      </c>
      <c r="I3401" s="9" t="n">
        <v>2575.57</v>
      </c>
      <c r="J3401" s="9" t="n">
        <v>2482.86</v>
      </c>
      <c r="K3401" s="9" t="n">
        <v>2551.31</v>
      </c>
      <c r="L3401" s="9" t="n">
        <v>2609.58</v>
      </c>
      <c r="M3401" s="9" t="n">
        <v>2250.56</v>
      </c>
      <c r="N3401" s="9" t="n">
        <v>2520.5</v>
      </c>
      <c r="O3401" s="9" t="n">
        <v>2348.34</v>
      </c>
      <c r="P3401" s="9" t="n">
        <v>2306.04</v>
      </c>
      <c r="Q3401" s="9" t="n">
        <v>2448.1</v>
      </c>
      <c r="R3401" s="9" t="n">
        <v>2789.21</v>
      </c>
      <c r="S3401" s="9" t="n">
        <v>2478.83</v>
      </c>
      <c r="T3401" s="9" t="n">
        <v>2335.32</v>
      </c>
      <c r="U3401" s="10">
        <f>SUM(I3401:T3401)</f>
        <v/>
      </c>
    </row>
    <row r="3402">
      <c r="A3402" s="2" t="inlineStr">
        <is>
          <t>SN-1000-1200-1210-1210ST0014</t>
        </is>
      </c>
      <c r="B3402" s="2" t="inlineStr">
        <is>
          <t>1210ST0014</t>
        </is>
      </c>
      <c r="C3402" s="2" t="inlineStr">
        <is>
          <t>Atril neumáticos ST00014</t>
        </is>
      </c>
      <c r="D3402" s="2" t="n">
        <v>1134</v>
      </c>
      <c r="E3402" s="2" t="inlineStr">
        <is>
          <t>CC-1000</t>
        </is>
      </c>
      <c r="F3402" s="2" t="inlineStr">
        <is>
          <t>P01</t>
        </is>
      </c>
      <c r="G3402" s="2" t="n">
        <v>620000</v>
      </c>
      <c r="H3402" s="2" t="inlineStr">
        <is>
          <t>Materiales</t>
        </is>
      </c>
      <c r="I3402" s="9" t="n">
        <v>2634.26</v>
      </c>
      <c r="J3402" s="9" t="n">
        <v>2590.51</v>
      </c>
      <c r="K3402" s="9" t="n">
        <v>2816.62</v>
      </c>
      <c r="L3402" s="9" t="n">
        <v>2465.41</v>
      </c>
      <c r="M3402" s="9" t="n">
        <v>2511.75</v>
      </c>
      <c r="N3402" s="9" t="n">
        <v>2523.1</v>
      </c>
      <c r="O3402" s="9" t="n">
        <v>2510.44</v>
      </c>
      <c r="P3402" s="9" t="n">
        <v>2353.75</v>
      </c>
      <c r="Q3402" s="9" t="n">
        <v>2214.14</v>
      </c>
      <c r="R3402" s="9" t="n">
        <v>2779.81</v>
      </c>
      <c r="S3402" s="9" t="n">
        <v>2370.77</v>
      </c>
      <c r="T3402" s="9" t="n">
        <v>2424.74</v>
      </c>
      <c r="U3402" s="10">
        <f>SUM(I3402:T3402)</f>
        <v/>
      </c>
    </row>
    <row r="3403">
      <c r="A3403" s="2" t="inlineStr">
        <is>
          <t>SN-1000-1200-1210-1210ST0014</t>
        </is>
      </c>
      <c r="B3403" s="2" t="inlineStr">
        <is>
          <t>1210ST0014</t>
        </is>
      </c>
      <c r="C3403" s="2" t="inlineStr">
        <is>
          <t>Atril neumáticos ST00014</t>
        </is>
      </c>
      <c r="D3403" s="2" t="n">
        <v>1134</v>
      </c>
      <c r="E3403" s="2" t="inlineStr">
        <is>
          <t>CC-1000</t>
        </is>
      </c>
      <c r="F3403" s="2" t="inlineStr">
        <is>
          <t>P01</t>
        </is>
      </c>
      <c r="G3403" s="2" t="n">
        <v>630000</v>
      </c>
      <c r="H3403" s="2" t="inlineStr">
        <is>
          <t>Servicios externos</t>
        </is>
      </c>
      <c r="I3403" s="9" t="n">
        <v>2157.09</v>
      </c>
      <c r="J3403" s="9" t="n">
        <v>2019.13</v>
      </c>
      <c r="K3403" s="9" t="n">
        <v>2161.89</v>
      </c>
      <c r="L3403" s="9" t="n">
        <v>2407.15</v>
      </c>
      <c r="M3403" s="9" t="n">
        <v>2024.79</v>
      </c>
      <c r="N3403" s="9" t="n">
        <v>2214.68</v>
      </c>
      <c r="O3403" s="9" t="n">
        <v>2310.25</v>
      </c>
      <c r="P3403" s="9" t="n">
        <v>2240.35</v>
      </c>
      <c r="Q3403" s="9" t="n">
        <v>1969.45</v>
      </c>
      <c r="R3403" s="9" t="n">
        <v>2538.02</v>
      </c>
      <c r="S3403" s="9" t="n">
        <v>2139.77</v>
      </c>
      <c r="T3403" s="9" t="n">
        <v>2134.4</v>
      </c>
      <c r="U3403" s="10">
        <f>SUM(I3403:T3403)</f>
        <v/>
      </c>
    </row>
    <row r="3404">
      <c r="A3404" s="2" t="inlineStr">
        <is>
          <t>SN-1000-1200-1210-1210ST0015</t>
        </is>
      </c>
      <c r="B3404" s="2" t="inlineStr">
        <is>
          <t>1210ST0015</t>
        </is>
      </c>
      <c r="C3404" s="2" t="inlineStr">
        <is>
          <t>Atril neumáticos ST00015</t>
        </is>
      </c>
      <c r="D3404" s="2" t="n">
        <v>1135</v>
      </c>
      <c r="E3404" s="2" t="inlineStr">
        <is>
          <t>CC-1000</t>
        </is>
      </c>
      <c r="F3404" s="2" t="inlineStr">
        <is>
          <t>P01</t>
        </is>
      </c>
      <c r="G3404" s="2" t="n">
        <v>610000</v>
      </c>
      <c r="H3404" s="2" t="inlineStr">
        <is>
          <t>Mano obra interna</t>
        </is>
      </c>
      <c r="I3404" s="9" t="n">
        <v>2517.22</v>
      </c>
      <c r="J3404" s="9" t="n">
        <v>2502.46</v>
      </c>
      <c r="K3404" s="9" t="n">
        <v>2672.97</v>
      </c>
      <c r="L3404" s="9" t="n">
        <v>2590.12</v>
      </c>
      <c r="M3404" s="9" t="n">
        <v>2630.01</v>
      </c>
      <c r="N3404" s="9" t="n">
        <v>2651.34</v>
      </c>
      <c r="O3404" s="9" t="n">
        <v>2530.52</v>
      </c>
      <c r="P3404" s="9" t="n">
        <v>2530.63</v>
      </c>
      <c r="Q3404" s="9" t="n">
        <v>2505.18</v>
      </c>
      <c r="R3404" s="9" t="n">
        <v>2809.35</v>
      </c>
      <c r="S3404" s="9" t="n">
        <v>2481</v>
      </c>
      <c r="T3404" s="9" t="n">
        <v>2762.94</v>
      </c>
      <c r="U3404" s="10">
        <f>SUM(I3404:T3404)</f>
        <v/>
      </c>
    </row>
    <row r="3405">
      <c r="A3405" s="2" t="inlineStr">
        <is>
          <t>SN-1000-1200-1210-1210ST0015</t>
        </is>
      </c>
      <c r="B3405" s="2" t="inlineStr">
        <is>
          <t>1210ST0015</t>
        </is>
      </c>
      <c r="C3405" s="2" t="inlineStr">
        <is>
          <t>Atril neumáticos ST00015</t>
        </is>
      </c>
      <c r="D3405" s="2" t="n">
        <v>1135</v>
      </c>
      <c r="E3405" s="2" t="inlineStr">
        <is>
          <t>CC-1000</t>
        </is>
      </c>
      <c r="F3405" s="2" t="inlineStr">
        <is>
          <t>P01</t>
        </is>
      </c>
      <c r="G3405" s="2" t="n">
        <v>620000</v>
      </c>
      <c r="H3405" s="2" t="inlineStr">
        <is>
          <t>Materiales</t>
        </is>
      </c>
      <c r="I3405" s="9" t="n">
        <v>2975.71</v>
      </c>
      <c r="J3405" s="9" t="n">
        <v>2687.22</v>
      </c>
      <c r="K3405" s="9" t="n">
        <v>2948.23</v>
      </c>
      <c r="L3405" s="9" t="n">
        <v>2938.7</v>
      </c>
      <c r="M3405" s="9" t="n">
        <v>2812.74</v>
      </c>
      <c r="N3405" s="9" t="n">
        <v>2642.66</v>
      </c>
      <c r="O3405" s="9" t="n">
        <v>2861.87</v>
      </c>
      <c r="P3405" s="9" t="n">
        <v>2846.6</v>
      </c>
      <c r="Q3405" s="9" t="n">
        <v>2550.37</v>
      </c>
      <c r="R3405" s="9" t="n">
        <v>3298.66</v>
      </c>
      <c r="S3405" s="9" t="n">
        <v>2953.04</v>
      </c>
      <c r="T3405" s="9" t="n">
        <v>3037.09</v>
      </c>
      <c r="U3405" s="10">
        <f>SUM(I3405:T3405)</f>
        <v/>
      </c>
    </row>
    <row r="3406">
      <c r="A3406" s="2" t="inlineStr">
        <is>
          <t>SN-1000-1200-1210-1210ST0015</t>
        </is>
      </c>
      <c r="B3406" s="2" t="inlineStr">
        <is>
          <t>1210ST0015</t>
        </is>
      </c>
      <c r="C3406" s="2" t="inlineStr">
        <is>
          <t>Atril neumáticos ST00015</t>
        </is>
      </c>
      <c r="D3406" s="2" t="n">
        <v>1135</v>
      </c>
      <c r="E3406" s="2" t="inlineStr">
        <is>
          <t>CC-1000</t>
        </is>
      </c>
      <c r="F3406" s="2" t="inlineStr">
        <is>
          <t>P01</t>
        </is>
      </c>
      <c r="G3406" s="2" t="n">
        <v>630000</v>
      </c>
      <c r="H3406" s="2" t="inlineStr">
        <is>
          <t>Servicios externos</t>
        </is>
      </c>
      <c r="I3406" s="9" t="n">
        <v>2512.09</v>
      </c>
      <c r="J3406" s="9" t="n">
        <v>2560.59</v>
      </c>
      <c r="K3406" s="9" t="n">
        <v>2637.28</v>
      </c>
      <c r="L3406" s="9" t="n">
        <v>2609.66</v>
      </c>
      <c r="M3406" s="9" t="n">
        <v>2337.36</v>
      </c>
      <c r="N3406" s="9" t="n">
        <v>2447.99</v>
      </c>
      <c r="O3406" s="9" t="n">
        <v>2675.71</v>
      </c>
      <c r="P3406" s="9" t="n">
        <v>2344.64</v>
      </c>
      <c r="Q3406" s="9" t="n">
        <v>2279.02</v>
      </c>
      <c r="R3406" s="9" t="n">
        <v>2713.91</v>
      </c>
      <c r="S3406" s="9" t="n">
        <v>2505.07</v>
      </c>
      <c r="T3406" s="9" t="n">
        <v>2382.79</v>
      </c>
      <c r="U3406" s="10">
        <f>SUM(I3406:T3406)</f>
        <v/>
      </c>
    </row>
    <row r="3407">
      <c r="A3407" s="2" t="inlineStr">
        <is>
          <t>SN-1000-1200-1210-1210VN0001</t>
        </is>
      </c>
      <c r="B3407" s="2" t="inlineStr">
        <is>
          <t>1210VN0001</t>
        </is>
      </c>
      <c r="C3407" s="2" t="inlineStr">
        <is>
          <t>Rejillas ventilación VN0001</t>
        </is>
      </c>
      <c r="D3407" s="2" t="n">
        <v>1136</v>
      </c>
      <c r="E3407" s="2" t="inlineStr">
        <is>
          <t>CC-1000</t>
        </is>
      </c>
      <c r="F3407" s="2" t="inlineStr">
        <is>
          <t>P01</t>
        </is>
      </c>
      <c r="G3407" s="2" t="n">
        <v>610000</v>
      </c>
      <c r="H3407" s="2" t="inlineStr">
        <is>
          <t>Mano obra interna</t>
        </is>
      </c>
      <c r="I3407" s="9" t="n">
        <v>2304.83</v>
      </c>
      <c r="J3407" s="9" t="n">
        <v>2537.37</v>
      </c>
      <c r="K3407" s="9" t="n">
        <v>2324.02</v>
      </c>
      <c r="L3407" s="9" t="n">
        <v>2352.56</v>
      </c>
      <c r="M3407" s="9" t="n">
        <v>2527.59</v>
      </c>
      <c r="N3407" s="9" t="n">
        <v>2464.12</v>
      </c>
      <c r="O3407" s="9" t="n">
        <v>2626.14</v>
      </c>
      <c r="P3407" s="9" t="n">
        <v>2285.37</v>
      </c>
      <c r="Q3407" s="9" t="n">
        <v>2278.07</v>
      </c>
      <c r="R3407" s="9" t="n">
        <v>2450.23</v>
      </c>
      <c r="S3407" s="9" t="n">
        <v>2229.4</v>
      </c>
      <c r="T3407" s="9" t="n">
        <v>2344.29</v>
      </c>
      <c r="U3407" s="10">
        <f>SUM(I3407:T3407)</f>
        <v/>
      </c>
    </row>
    <row r="3408">
      <c r="A3408" s="2" t="inlineStr">
        <is>
          <t>SN-1000-1200-1210-1210VN0001</t>
        </is>
      </c>
      <c r="B3408" s="2" t="inlineStr">
        <is>
          <t>1210VN0001</t>
        </is>
      </c>
      <c r="C3408" s="2" t="inlineStr">
        <is>
          <t>Rejillas ventilación VN0001</t>
        </is>
      </c>
      <c r="D3408" s="2" t="n">
        <v>1136</v>
      </c>
      <c r="E3408" s="2" t="inlineStr">
        <is>
          <t>CC-1000</t>
        </is>
      </c>
      <c r="F3408" s="2" t="inlineStr">
        <is>
          <t>P01</t>
        </is>
      </c>
      <c r="G3408" s="2" t="n">
        <v>620000</v>
      </c>
      <c r="H3408" s="2" t="inlineStr">
        <is>
          <t>Materiales</t>
        </is>
      </c>
      <c r="I3408" s="9" t="n">
        <v>1929.03</v>
      </c>
      <c r="J3408" s="9" t="n">
        <v>1646.26</v>
      </c>
      <c r="K3408" s="9" t="n">
        <v>1872.07</v>
      </c>
      <c r="L3408" s="9" t="n">
        <v>1853.61</v>
      </c>
      <c r="M3408" s="9" t="n">
        <v>1674.63</v>
      </c>
      <c r="N3408" s="9" t="n">
        <v>1835.3</v>
      </c>
      <c r="O3408" s="9" t="n">
        <v>1735.22</v>
      </c>
      <c r="P3408" s="9" t="n">
        <v>1891.68</v>
      </c>
      <c r="Q3408" s="9" t="n">
        <v>1773.67</v>
      </c>
      <c r="R3408" s="9" t="n">
        <v>2055.02</v>
      </c>
      <c r="S3408" s="9" t="n">
        <v>1790.7</v>
      </c>
      <c r="T3408" s="9" t="n">
        <v>1733.18</v>
      </c>
      <c r="U3408" s="10">
        <f>SUM(I3408:T3408)</f>
        <v/>
      </c>
    </row>
    <row r="3409">
      <c r="A3409" s="2" t="inlineStr">
        <is>
          <t>SN-1000-1200-1210-1210VN0001</t>
        </is>
      </c>
      <c r="B3409" s="2" t="inlineStr">
        <is>
          <t>1210VN0001</t>
        </is>
      </c>
      <c r="C3409" s="2" t="inlineStr">
        <is>
          <t>Rejillas ventilación VN0001</t>
        </is>
      </c>
      <c r="D3409" s="2" t="n">
        <v>1136</v>
      </c>
      <c r="E3409" s="2" t="inlineStr">
        <is>
          <t>CC-1000</t>
        </is>
      </c>
      <c r="F3409" s="2" t="inlineStr">
        <is>
          <t>P01</t>
        </is>
      </c>
      <c r="G3409" s="2" t="n">
        <v>630000</v>
      </c>
      <c r="H3409" s="2" t="inlineStr">
        <is>
          <t>Servicios externos</t>
        </is>
      </c>
      <c r="I3409" s="9" t="n">
        <v>1931.13</v>
      </c>
      <c r="J3409" s="9" t="n">
        <v>1801.19</v>
      </c>
      <c r="K3409" s="9" t="n">
        <v>2032.2</v>
      </c>
      <c r="L3409" s="9" t="n">
        <v>1986.97</v>
      </c>
      <c r="M3409" s="9" t="n">
        <v>1785.21</v>
      </c>
      <c r="N3409" s="9" t="n">
        <v>1650.38</v>
      </c>
      <c r="O3409" s="9" t="n">
        <v>1792.96</v>
      </c>
      <c r="P3409" s="9" t="n">
        <v>1889.46</v>
      </c>
      <c r="Q3409" s="9" t="n">
        <v>1624.16</v>
      </c>
      <c r="R3409" s="9" t="n">
        <v>2068.59</v>
      </c>
      <c r="S3409" s="9" t="n">
        <v>1860.79</v>
      </c>
      <c r="T3409" s="9" t="n">
        <v>1798.13</v>
      </c>
      <c r="U3409" s="10">
        <f>SUM(I3409:T3409)</f>
        <v/>
      </c>
    </row>
    <row r="3410">
      <c r="A3410" s="2" t="inlineStr">
        <is>
          <t>SN-1000-1200-1210-1210VN0002</t>
        </is>
      </c>
      <c r="B3410" s="2" t="inlineStr">
        <is>
          <t>1210VN0002</t>
        </is>
      </c>
      <c r="C3410" s="2" t="inlineStr">
        <is>
          <t>Rejillas ventilación VN0002</t>
        </is>
      </c>
      <c r="D3410" s="2" t="n">
        <v>1137</v>
      </c>
      <c r="E3410" s="2" t="inlineStr">
        <is>
          <t>CC-1000</t>
        </is>
      </c>
      <c r="F3410" s="2" t="inlineStr">
        <is>
          <t>P01</t>
        </is>
      </c>
      <c r="G3410" s="2" t="n">
        <v>610000</v>
      </c>
      <c r="H3410" s="2" t="inlineStr">
        <is>
          <t>Mano obra interna</t>
        </is>
      </c>
      <c r="I3410" s="9" t="n">
        <v>2671.11</v>
      </c>
      <c r="J3410" s="9" t="n">
        <v>2524.66</v>
      </c>
      <c r="K3410" s="9" t="n">
        <v>2846.4</v>
      </c>
      <c r="L3410" s="9" t="n">
        <v>2464.41</v>
      </c>
      <c r="M3410" s="9" t="n">
        <v>2507.89</v>
      </c>
      <c r="N3410" s="9" t="n">
        <v>2610.21</v>
      </c>
      <c r="O3410" s="9" t="n">
        <v>2526.89</v>
      </c>
      <c r="P3410" s="9" t="n">
        <v>2539.62</v>
      </c>
      <c r="Q3410" s="9" t="n">
        <v>2459.19</v>
      </c>
      <c r="R3410" s="9" t="n">
        <v>2847.78</v>
      </c>
      <c r="S3410" s="9" t="n">
        <v>2300.28</v>
      </c>
      <c r="T3410" s="9" t="n">
        <v>2592.23</v>
      </c>
      <c r="U3410" s="10">
        <f>SUM(I3410:T3410)</f>
        <v/>
      </c>
    </row>
    <row r="3411">
      <c r="A3411" s="2" t="inlineStr">
        <is>
          <t>SN-1000-1200-1210-1210VN0002</t>
        </is>
      </c>
      <c r="B3411" s="2" t="inlineStr">
        <is>
          <t>1210VN0002</t>
        </is>
      </c>
      <c r="C3411" s="2" t="inlineStr">
        <is>
          <t>Rejillas ventilación VN0002</t>
        </is>
      </c>
      <c r="D3411" s="2" t="n">
        <v>1137</v>
      </c>
      <c r="E3411" s="2" t="inlineStr">
        <is>
          <t>CC-1000</t>
        </is>
      </c>
      <c r="F3411" s="2" t="inlineStr">
        <is>
          <t>P01</t>
        </is>
      </c>
      <c r="G3411" s="2" t="n">
        <v>620000</v>
      </c>
      <c r="H3411" s="2" t="inlineStr">
        <is>
          <t>Materiales</t>
        </is>
      </c>
      <c r="I3411" s="9" t="n">
        <v>2403.16</v>
      </c>
      <c r="J3411" s="9" t="n">
        <v>2292.28</v>
      </c>
      <c r="K3411" s="9" t="n">
        <v>2437.4</v>
      </c>
      <c r="L3411" s="9" t="n">
        <v>2415.82</v>
      </c>
      <c r="M3411" s="9" t="n">
        <v>2193.55</v>
      </c>
      <c r="N3411" s="9" t="n">
        <v>2116.14</v>
      </c>
      <c r="O3411" s="9" t="n">
        <v>2260.1</v>
      </c>
      <c r="P3411" s="9" t="n">
        <v>2210.06</v>
      </c>
      <c r="Q3411" s="9" t="n">
        <v>2210.31</v>
      </c>
      <c r="R3411" s="9" t="n">
        <v>2528.83</v>
      </c>
      <c r="S3411" s="9" t="n">
        <v>2131.94</v>
      </c>
      <c r="T3411" s="9" t="n">
        <v>2485.09</v>
      </c>
      <c r="U3411" s="10">
        <f>SUM(I3411:T3411)</f>
        <v/>
      </c>
    </row>
    <row r="3412">
      <c r="A3412" s="2" t="inlineStr">
        <is>
          <t>SN-1000-1200-1210-1210VN0002</t>
        </is>
      </c>
      <c r="B3412" s="2" t="inlineStr">
        <is>
          <t>1210VN0002</t>
        </is>
      </c>
      <c r="C3412" s="2" t="inlineStr">
        <is>
          <t>Rejillas ventilación VN0002</t>
        </is>
      </c>
      <c r="D3412" s="2" t="n">
        <v>1137</v>
      </c>
      <c r="E3412" s="2" t="inlineStr">
        <is>
          <t>CC-1000</t>
        </is>
      </c>
      <c r="F3412" s="2" t="inlineStr">
        <is>
          <t>P01</t>
        </is>
      </c>
      <c r="G3412" s="2" t="n">
        <v>630000</v>
      </c>
      <c r="H3412" s="2" t="inlineStr">
        <is>
          <t>Servicios externos</t>
        </is>
      </c>
      <c r="I3412" s="9" t="n">
        <v>2317.22</v>
      </c>
      <c r="J3412" s="9" t="n">
        <v>2268.21</v>
      </c>
      <c r="K3412" s="9" t="n">
        <v>2506.21</v>
      </c>
      <c r="L3412" s="9" t="n">
        <v>2403.38</v>
      </c>
      <c r="M3412" s="9" t="n">
        <v>2523.23</v>
      </c>
      <c r="N3412" s="9" t="n">
        <v>2305.95</v>
      </c>
      <c r="O3412" s="9" t="n">
        <v>2575.51</v>
      </c>
      <c r="P3412" s="9" t="n">
        <v>2258.47</v>
      </c>
      <c r="Q3412" s="9" t="n">
        <v>2307.7</v>
      </c>
      <c r="R3412" s="9" t="n">
        <v>2763.95</v>
      </c>
      <c r="S3412" s="9" t="n">
        <v>2259.43</v>
      </c>
      <c r="T3412" s="9" t="n">
        <v>2306.99</v>
      </c>
      <c r="U3412" s="10">
        <f>SUM(I3412:T3412)</f>
        <v/>
      </c>
    </row>
    <row r="3413">
      <c r="A3413" s="2" t="inlineStr">
        <is>
          <t>SN-1000-1200-1210-1210VN0003</t>
        </is>
      </c>
      <c r="B3413" s="2" t="inlineStr">
        <is>
          <t>1210VN0003</t>
        </is>
      </c>
      <c r="C3413" s="2" t="inlineStr">
        <is>
          <t>Rejillas ventilación VN0003</t>
        </is>
      </c>
      <c r="D3413" s="2" t="n">
        <v>1138</v>
      </c>
      <c r="E3413" s="2" t="inlineStr">
        <is>
          <t>CC-1000</t>
        </is>
      </c>
      <c r="F3413" s="2" t="inlineStr">
        <is>
          <t>P01</t>
        </is>
      </c>
      <c r="G3413" s="2" t="n">
        <v>610000</v>
      </c>
      <c r="H3413" s="2" t="inlineStr">
        <is>
          <t>Mano obra interna</t>
        </is>
      </c>
      <c r="I3413" s="9" t="n">
        <v>1056.54</v>
      </c>
      <c r="J3413" s="9" t="n">
        <v>969.49</v>
      </c>
      <c r="K3413" s="9" t="n">
        <v>1017.22</v>
      </c>
      <c r="L3413" s="9" t="n">
        <v>1012.1</v>
      </c>
      <c r="M3413" s="9" t="n">
        <v>883.61</v>
      </c>
      <c r="N3413" s="9" t="n">
        <v>913.46</v>
      </c>
      <c r="O3413" s="9" t="n">
        <v>899.08</v>
      </c>
      <c r="P3413" s="9" t="n">
        <v>934.72</v>
      </c>
      <c r="Q3413" s="9" t="n">
        <v>943.36</v>
      </c>
      <c r="R3413" s="9" t="n">
        <v>1065.39</v>
      </c>
      <c r="S3413" s="9" t="n">
        <v>1007.02</v>
      </c>
      <c r="T3413" s="9" t="n">
        <v>926.8200000000001</v>
      </c>
      <c r="U3413" s="10">
        <f>SUM(I3413:T3413)</f>
        <v/>
      </c>
    </row>
    <row r="3414">
      <c r="A3414" s="2" t="inlineStr">
        <is>
          <t>SN-1000-1200-1210-1210VN0003</t>
        </is>
      </c>
      <c r="B3414" s="2" t="inlineStr">
        <is>
          <t>1210VN0003</t>
        </is>
      </c>
      <c r="C3414" s="2" t="inlineStr">
        <is>
          <t>Rejillas ventilación VN0003</t>
        </is>
      </c>
      <c r="D3414" s="2" t="n">
        <v>1138</v>
      </c>
      <c r="E3414" s="2" t="inlineStr">
        <is>
          <t>CC-1000</t>
        </is>
      </c>
      <c r="F3414" s="2" t="inlineStr">
        <is>
          <t>P01</t>
        </is>
      </c>
      <c r="G3414" s="2" t="n">
        <v>620000</v>
      </c>
      <c r="H3414" s="2" t="inlineStr">
        <is>
          <t>Materiales</t>
        </is>
      </c>
      <c r="I3414" s="9" t="n">
        <v>986.5700000000001</v>
      </c>
      <c r="J3414" s="9" t="n">
        <v>865.61</v>
      </c>
      <c r="K3414" s="9" t="n">
        <v>897.3099999999999</v>
      </c>
      <c r="L3414" s="9" t="n">
        <v>930.2</v>
      </c>
      <c r="M3414" s="9" t="n">
        <v>894.3200000000001</v>
      </c>
      <c r="N3414" s="9" t="n">
        <v>947.99</v>
      </c>
      <c r="O3414" s="9" t="n">
        <v>914.77</v>
      </c>
      <c r="P3414" s="9" t="n">
        <v>973.25</v>
      </c>
      <c r="Q3414" s="9" t="n">
        <v>910.36</v>
      </c>
      <c r="R3414" s="9" t="n">
        <v>938.66</v>
      </c>
      <c r="S3414" s="9" t="n">
        <v>922.1</v>
      </c>
      <c r="T3414" s="9" t="n">
        <v>901.22</v>
      </c>
      <c r="U3414" s="10">
        <f>SUM(I3414:T3414)</f>
        <v/>
      </c>
    </row>
    <row r="3415">
      <c r="A3415" s="2" t="inlineStr">
        <is>
          <t>SN-1000-1200-1210-1210VN0003</t>
        </is>
      </c>
      <c r="B3415" s="2" t="inlineStr">
        <is>
          <t>1210VN0003</t>
        </is>
      </c>
      <c r="C3415" s="2" t="inlineStr">
        <is>
          <t>Rejillas ventilación VN0003</t>
        </is>
      </c>
      <c r="D3415" s="2" t="n">
        <v>1138</v>
      </c>
      <c r="E3415" s="2" t="inlineStr">
        <is>
          <t>CC-1000</t>
        </is>
      </c>
      <c r="F3415" s="2" t="inlineStr">
        <is>
          <t>P01</t>
        </is>
      </c>
      <c r="G3415" s="2" t="n">
        <v>630000</v>
      </c>
      <c r="H3415" s="2" t="inlineStr">
        <is>
          <t>Servicios externos</t>
        </is>
      </c>
      <c r="I3415" s="9" t="n">
        <v>921.36</v>
      </c>
      <c r="J3415" s="9" t="n">
        <v>810.76</v>
      </c>
      <c r="K3415" s="9" t="n">
        <v>856.71</v>
      </c>
      <c r="L3415" s="9" t="n">
        <v>845.76</v>
      </c>
      <c r="M3415" s="9" t="n">
        <v>802.28</v>
      </c>
      <c r="N3415" s="9" t="n">
        <v>805.5599999999999</v>
      </c>
      <c r="O3415" s="9" t="n">
        <v>842.11</v>
      </c>
      <c r="P3415" s="9" t="n">
        <v>838.4400000000001</v>
      </c>
      <c r="Q3415" s="9" t="n">
        <v>845.4400000000001</v>
      </c>
      <c r="R3415" s="9" t="n">
        <v>894.74</v>
      </c>
      <c r="S3415" s="9" t="n">
        <v>762.37</v>
      </c>
      <c r="T3415" s="9" t="n">
        <v>819.6799999999999</v>
      </c>
      <c r="U3415" s="10">
        <f>SUM(I3415:T3415)</f>
        <v/>
      </c>
    </row>
    <row r="3416">
      <c r="A3416" s="2" t="inlineStr">
        <is>
          <t>SN-1000-1200-1210-1210VN0004</t>
        </is>
      </c>
      <c r="B3416" s="2" t="inlineStr">
        <is>
          <t>1210VN0004</t>
        </is>
      </c>
      <c r="C3416" s="2" t="inlineStr">
        <is>
          <t>Rejillas ventilación VN0004</t>
        </is>
      </c>
      <c r="D3416" s="2" t="n">
        <v>1139</v>
      </c>
      <c r="E3416" s="2" t="inlineStr">
        <is>
          <t>CC-1000</t>
        </is>
      </c>
      <c r="F3416" s="2" t="inlineStr">
        <is>
          <t>P01</t>
        </is>
      </c>
      <c r="G3416" s="2" t="n">
        <v>610000</v>
      </c>
      <c r="H3416" s="2" t="inlineStr">
        <is>
          <t>Mano obra interna</t>
        </is>
      </c>
      <c r="I3416" s="9" t="n">
        <v>2689.76</v>
      </c>
      <c r="J3416" s="9" t="n">
        <v>2742.62</v>
      </c>
      <c r="K3416" s="9" t="n">
        <v>2762.6</v>
      </c>
      <c r="L3416" s="9" t="n">
        <v>2524.48</v>
      </c>
      <c r="M3416" s="9" t="n">
        <v>2414.21</v>
      </c>
      <c r="N3416" s="9" t="n">
        <v>2491.23</v>
      </c>
      <c r="O3416" s="9" t="n">
        <v>2666.96</v>
      </c>
      <c r="P3416" s="9" t="n">
        <v>2456.3</v>
      </c>
      <c r="Q3416" s="9" t="n">
        <v>2456.89</v>
      </c>
      <c r="R3416" s="9" t="n">
        <v>2964.33</v>
      </c>
      <c r="S3416" s="9" t="n">
        <v>2605.68</v>
      </c>
      <c r="T3416" s="9" t="n">
        <v>2704.88</v>
      </c>
      <c r="U3416" s="10">
        <f>SUM(I3416:T3416)</f>
        <v/>
      </c>
    </row>
    <row r="3417">
      <c r="A3417" s="2" t="inlineStr">
        <is>
          <t>SN-1000-1200-1210-1210VN0004</t>
        </is>
      </c>
      <c r="B3417" s="2" t="inlineStr">
        <is>
          <t>1210VN0004</t>
        </is>
      </c>
      <c r="C3417" s="2" t="inlineStr">
        <is>
          <t>Rejillas ventilación VN0004</t>
        </is>
      </c>
      <c r="D3417" s="2" t="n">
        <v>1139</v>
      </c>
      <c r="E3417" s="2" t="inlineStr">
        <is>
          <t>CC-1000</t>
        </is>
      </c>
      <c r="F3417" s="2" t="inlineStr">
        <is>
          <t>P01</t>
        </is>
      </c>
      <c r="G3417" s="2" t="n">
        <v>620000</v>
      </c>
      <c r="H3417" s="2" t="inlineStr">
        <is>
          <t>Materiales</t>
        </is>
      </c>
      <c r="I3417" s="9" t="n">
        <v>2513.16</v>
      </c>
      <c r="J3417" s="9" t="n">
        <v>2465.88</v>
      </c>
      <c r="K3417" s="9" t="n">
        <v>2511.11</v>
      </c>
      <c r="L3417" s="9" t="n">
        <v>2533.69</v>
      </c>
      <c r="M3417" s="9" t="n">
        <v>2773.11</v>
      </c>
      <c r="N3417" s="9" t="n">
        <v>2401.15</v>
      </c>
      <c r="O3417" s="9" t="n">
        <v>2697.72</v>
      </c>
      <c r="P3417" s="9" t="n">
        <v>2706.87</v>
      </c>
      <c r="Q3417" s="9" t="n">
        <v>2503.55</v>
      </c>
      <c r="R3417" s="9" t="n">
        <v>2858.92</v>
      </c>
      <c r="S3417" s="9" t="n">
        <v>2538.75</v>
      </c>
      <c r="T3417" s="9" t="n">
        <v>2633.18</v>
      </c>
      <c r="U3417" s="10">
        <f>SUM(I3417:T3417)</f>
        <v/>
      </c>
    </row>
    <row r="3418">
      <c r="A3418" s="2" t="inlineStr">
        <is>
          <t>SN-1000-1200-1210-1210VN0004</t>
        </is>
      </c>
      <c r="B3418" s="2" t="inlineStr">
        <is>
          <t>1210VN0004</t>
        </is>
      </c>
      <c r="C3418" s="2" t="inlineStr">
        <is>
          <t>Rejillas ventilación VN0004</t>
        </is>
      </c>
      <c r="D3418" s="2" t="n">
        <v>1139</v>
      </c>
      <c r="E3418" s="2" t="inlineStr">
        <is>
          <t>CC-1000</t>
        </is>
      </c>
      <c r="F3418" s="2" t="inlineStr">
        <is>
          <t>P01</t>
        </is>
      </c>
      <c r="G3418" s="2" t="n">
        <v>630000</v>
      </c>
      <c r="H3418" s="2" t="inlineStr">
        <is>
          <t>Servicios externos</t>
        </is>
      </c>
      <c r="I3418" s="9" t="n">
        <v>2524.71</v>
      </c>
      <c r="J3418" s="9" t="n">
        <v>2454.3</v>
      </c>
      <c r="K3418" s="9" t="n">
        <v>2765.37</v>
      </c>
      <c r="L3418" s="9" t="n">
        <v>2668.55</v>
      </c>
      <c r="M3418" s="9" t="n">
        <v>2617.01</v>
      </c>
      <c r="N3418" s="9" t="n">
        <v>2770.25</v>
      </c>
      <c r="O3418" s="9" t="n">
        <v>2803.18</v>
      </c>
      <c r="P3418" s="9" t="n">
        <v>2843.7</v>
      </c>
      <c r="Q3418" s="9" t="n">
        <v>2445.72</v>
      </c>
      <c r="R3418" s="9" t="n">
        <v>2773.64</v>
      </c>
      <c r="S3418" s="9" t="n">
        <v>2709.46</v>
      </c>
      <c r="T3418" s="9" t="n">
        <v>2857.65</v>
      </c>
      <c r="U3418" s="10">
        <f>SUM(I3418:T3418)</f>
        <v/>
      </c>
    </row>
    <row r="3419">
      <c r="A3419" s="2" t="inlineStr">
        <is>
          <t>SN-1000-1200-1210-1210VN0005</t>
        </is>
      </c>
      <c r="B3419" s="2" t="inlineStr">
        <is>
          <t>1210VN0005</t>
        </is>
      </c>
      <c r="C3419" s="2" t="inlineStr">
        <is>
          <t>Rejillas ventilación VN0005</t>
        </is>
      </c>
      <c r="D3419" s="2" t="n">
        <v>1140</v>
      </c>
      <c r="E3419" s="2" t="inlineStr">
        <is>
          <t>CC-1000</t>
        </is>
      </c>
      <c r="F3419" s="2" t="inlineStr">
        <is>
          <t>P01</t>
        </is>
      </c>
      <c r="G3419" s="2" t="n">
        <v>610000</v>
      </c>
      <c r="H3419" s="2" t="inlineStr">
        <is>
          <t>Mano obra interna</t>
        </is>
      </c>
      <c r="I3419" s="9" t="n">
        <v>1103.44</v>
      </c>
      <c r="J3419" s="9" t="n">
        <v>1075.98</v>
      </c>
      <c r="K3419" s="9" t="n">
        <v>1043.82</v>
      </c>
      <c r="L3419" s="9" t="n">
        <v>992.8200000000001</v>
      </c>
      <c r="M3419" s="9" t="n">
        <v>1008.75</v>
      </c>
      <c r="N3419" s="9" t="n">
        <v>1047.98</v>
      </c>
      <c r="O3419" s="9" t="n">
        <v>983.28</v>
      </c>
      <c r="P3419" s="9" t="n">
        <v>1034.87</v>
      </c>
      <c r="Q3419" s="9" t="n">
        <v>975.62</v>
      </c>
      <c r="R3419" s="9" t="n">
        <v>1046.06</v>
      </c>
      <c r="S3419" s="9" t="n">
        <v>997.98</v>
      </c>
      <c r="T3419" s="9" t="n">
        <v>1000.99</v>
      </c>
      <c r="U3419" s="10">
        <f>SUM(I3419:T3419)</f>
        <v/>
      </c>
    </row>
    <row r="3420">
      <c r="A3420" s="2" t="inlineStr">
        <is>
          <t>SN-1000-1200-1210-1210VN0005</t>
        </is>
      </c>
      <c r="B3420" s="2" t="inlineStr">
        <is>
          <t>1210VN0005</t>
        </is>
      </c>
      <c r="C3420" s="2" t="inlineStr">
        <is>
          <t>Rejillas ventilación VN0005</t>
        </is>
      </c>
      <c r="D3420" s="2" t="n">
        <v>1140</v>
      </c>
      <c r="E3420" s="2" t="inlineStr">
        <is>
          <t>CC-1000</t>
        </is>
      </c>
      <c r="F3420" s="2" t="inlineStr">
        <is>
          <t>P01</t>
        </is>
      </c>
      <c r="G3420" s="2" t="n">
        <v>620000</v>
      </c>
      <c r="H3420" s="2" t="inlineStr">
        <is>
          <t>Materiales</t>
        </is>
      </c>
      <c r="I3420" s="9" t="n">
        <v>1158.72</v>
      </c>
      <c r="J3420" s="9" t="n">
        <v>1137.15</v>
      </c>
      <c r="K3420" s="9" t="n">
        <v>1077.68</v>
      </c>
      <c r="L3420" s="9" t="n">
        <v>1038.02</v>
      </c>
      <c r="M3420" s="9" t="n">
        <v>1146.91</v>
      </c>
      <c r="N3420" s="9" t="n">
        <v>1030.13</v>
      </c>
      <c r="O3420" s="9" t="n">
        <v>1041.59</v>
      </c>
      <c r="P3420" s="9" t="n">
        <v>1024.93</v>
      </c>
      <c r="Q3420" s="9" t="n">
        <v>1024.2</v>
      </c>
      <c r="R3420" s="9" t="n">
        <v>1117.17</v>
      </c>
      <c r="S3420" s="9" t="n">
        <v>1073.64</v>
      </c>
      <c r="T3420" s="9" t="n">
        <v>1154.15</v>
      </c>
      <c r="U3420" s="10">
        <f>SUM(I3420:T3420)</f>
        <v/>
      </c>
    </row>
    <row r="3421">
      <c r="A3421" s="2" t="inlineStr">
        <is>
          <t>SN-1000-1200-1210-1210VN0005</t>
        </is>
      </c>
      <c r="B3421" s="2" t="inlineStr">
        <is>
          <t>1210VN0005</t>
        </is>
      </c>
      <c r="C3421" s="2" t="inlineStr">
        <is>
          <t>Rejillas ventilación VN0005</t>
        </is>
      </c>
      <c r="D3421" s="2" t="n">
        <v>1140</v>
      </c>
      <c r="E3421" s="2" t="inlineStr">
        <is>
          <t>CC-1000</t>
        </is>
      </c>
      <c r="F3421" s="2" t="inlineStr">
        <is>
          <t>P01</t>
        </is>
      </c>
      <c r="G3421" s="2" t="n">
        <v>630000</v>
      </c>
      <c r="H3421" s="2" t="inlineStr">
        <is>
          <t>Servicios externos</t>
        </is>
      </c>
      <c r="I3421" s="9" t="n">
        <v>1064.12</v>
      </c>
      <c r="J3421" s="9" t="n">
        <v>911.1799999999999</v>
      </c>
      <c r="K3421" s="9" t="n">
        <v>1009.15</v>
      </c>
      <c r="L3421" s="9" t="n">
        <v>946.8</v>
      </c>
      <c r="M3421" s="9" t="n">
        <v>1027.3</v>
      </c>
      <c r="N3421" s="9" t="n">
        <v>1000.87</v>
      </c>
      <c r="O3421" s="9" t="n">
        <v>963.91</v>
      </c>
      <c r="P3421" s="9" t="n">
        <v>948</v>
      </c>
      <c r="Q3421" s="9" t="n">
        <v>879.28</v>
      </c>
      <c r="R3421" s="9" t="n">
        <v>1116.71</v>
      </c>
      <c r="S3421" s="9" t="n">
        <v>975.54</v>
      </c>
      <c r="T3421" s="9" t="n">
        <v>1054.19</v>
      </c>
      <c r="U3421" s="10">
        <f>SUM(I3421:T3421)</f>
        <v/>
      </c>
    </row>
    <row r="3422">
      <c r="A3422" s="2" t="inlineStr">
        <is>
          <t>SN-1000-1200-1210-1210VN0006</t>
        </is>
      </c>
      <c r="B3422" s="2" t="inlineStr">
        <is>
          <t>1210VN0006</t>
        </is>
      </c>
      <c r="C3422" s="2" t="inlineStr">
        <is>
          <t>Rejillas ventilación VN0006</t>
        </is>
      </c>
      <c r="D3422" s="2" t="n">
        <v>1141</v>
      </c>
      <c r="E3422" s="2" t="inlineStr">
        <is>
          <t>CC-1000</t>
        </is>
      </c>
      <c r="F3422" s="2" t="inlineStr">
        <is>
          <t>P01</t>
        </is>
      </c>
      <c r="G3422" s="2" t="n">
        <v>610000</v>
      </c>
      <c r="H3422" s="2" t="inlineStr">
        <is>
          <t>Mano obra interna</t>
        </is>
      </c>
      <c r="I3422" s="9" t="n">
        <v>579.35</v>
      </c>
      <c r="J3422" s="9" t="n">
        <v>576.9</v>
      </c>
      <c r="K3422" s="9" t="n">
        <v>625.08</v>
      </c>
      <c r="L3422" s="9" t="n">
        <v>571.28</v>
      </c>
      <c r="M3422" s="9" t="n">
        <v>546.95</v>
      </c>
      <c r="N3422" s="9" t="n">
        <v>580.67</v>
      </c>
      <c r="O3422" s="9" t="n">
        <v>528.7</v>
      </c>
      <c r="P3422" s="9" t="n">
        <v>567.42</v>
      </c>
      <c r="Q3422" s="9" t="n">
        <v>526.8200000000001</v>
      </c>
      <c r="R3422" s="9" t="n">
        <v>579.59</v>
      </c>
      <c r="S3422" s="9" t="n">
        <v>542.24</v>
      </c>
      <c r="T3422" s="9" t="n">
        <v>598.76</v>
      </c>
      <c r="U3422" s="10">
        <f>SUM(I3422:T3422)</f>
        <v/>
      </c>
    </row>
    <row r="3423">
      <c r="A3423" s="2" t="inlineStr">
        <is>
          <t>SN-1000-1200-1210-1210VN0006</t>
        </is>
      </c>
      <c r="B3423" s="2" t="inlineStr">
        <is>
          <t>1210VN0006</t>
        </is>
      </c>
      <c r="C3423" s="2" t="inlineStr">
        <is>
          <t>Rejillas ventilación VN0006</t>
        </is>
      </c>
      <c r="D3423" s="2" t="n">
        <v>1141</v>
      </c>
      <c r="E3423" s="2" t="inlineStr">
        <is>
          <t>CC-1000</t>
        </is>
      </c>
      <c r="F3423" s="2" t="inlineStr">
        <is>
          <t>P01</t>
        </is>
      </c>
      <c r="G3423" s="2" t="n">
        <v>620000</v>
      </c>
      <c r="H3423" s="2" t="inlineStr">
        <is>
          <t>Materiales</t>
        </is>
      </c>
      <c r="I3423" s="9" t="n">
        <v>566.76</v>
      </c>
      <c r="J3423" s="9" t="n">
        <v>589.39</v>
      </c>
      <c r="K3423" s="9" t="n">
        <v>636.9400000000001</v>
      </c>
      <c r="L3423" s="9" t="n">
        <v>611.41</v>
      </c>
      <c r="M3423" s="9" t="n">
        <v>598.11</v>
      </c>
      <c r="N3423" s="9" t="n">
        <v>585.97</v>
      </c>
      <c r="O3423" s="9" t="n">
        <v>600.55</v>
      </c>
      <c r="P3423" s="9" t="n">
        <v>616.17</v>
      </c>
      <c r="Q3423" s="9" t="n">
        <v>554.13</v>
      </c>
      <c r="R3423" s="9" t="n">
        <v>633.49</v>
      </c>
      <c r="S3423" s="9" t="n">
        <v>571.49</v>
      </c>
      <c r="T3423" s="9" t="n">
        <v>618.33</v>
      </c>
      <c r="U3423" s="10">
        <f>SUM(I3423:T3423)</f>
        <v/>
      </c>
    </row>
    <row r="3424">
      <c r="A3424" s="2" t="inlineStr">
        <is>
          <t>SN-1000-1200-1210-1210VN0006</t>
        </is>
      </c>
      <c r="B3424" s="2" t="inlineStr">
        <is>
          <t>1210VN0006</t>
        </is>
      </c>
      <c r="C3424" s="2" t="inlineStr">
        <is>
          <t>Rejillas ventilación VN0006</t>
        </is>
      </c>
      <c r="D3424" s="2" t="n">
        <v>1141</v>
      </c>
      <c r="E3424" s="2" t="inlineStr">
        <is>
          <t>CC-1000</t>
        </is>
      </c>
      <c r="F3424" s="2" t="inlineStr">
        <is>
          <t>P01</t>
        </is>
      </c>
      <c r="G3424" s="2" t="n">
        <v>630000</v>
      </c>
      <c r="H3424" s="2" t="inlineStr">
        <is>
          <t>Servicios externos</t>
        </is>
      </c>
      <c r="I3424" s="9" t="n">
        <v>710.8200000000001</v>
      </c>
      <c r="J3424" s="9" t="n">
        <v>628.34</v>
      </c>
      <c r="K3424" s="9" t="n">
        <v>735.05</v>
      </c>
      <c r="L3424" s="9" t="n">
        <v>677.34</v>
      </c>
      <c r="M3424" s="9" t="n">
        <v>625.59</v>
      </c>
      <c r="N3424" s="9" t="n">
        <v>669.66</v>
      </c>
      <c r="O3424" s="9" t="n">
        <v>653.3099999999999</v>
      </c>
      <c r="P3424" s="9" t="n">
        <v>634.12</v>
      </c>
      <c r="Q3424" s="9" t="n">
        <v>597.91</v>
      </c>
      <c r="R3424" s="9" t="n">
        <v>667.16</v>
      </c>
      <c r="S3424" s="9" t="n">
        <v>604.65</v>
      </c>
      <c r="T3424" s="9" t="n">
        <v>688.35</v>
      </c>
      <c r="U3424" s="10">
        <f>SUM(I3424:T3424)</f>
        <v/>
      </c>
    </row>
    <row r="3425">
      <c r="A3425" s="2" t="inlineStr">
        <is>
          <t>SN-1000-1200-1210-1210XM0012</t>
        </is>
      </c>
      <c r="B3425" s="2" t="inlineStr">
        <is>
          <t>1210XM0012</t>
        </is>
      </c>
      <c r="C3425" s="2" t="inlineStr">
        <is>
          <t>Estanque separador aceite XM0012</t>
        </is>
      </c>
      <c r="D3425" s="2" t="n">
        <v>1142</v>
      </c>
      <c r="E3425" s="2" t="inlineStr">
        <is>
          <t>CC-1000</t>
        </is>
      </c>
      <c r="F3425" s="2" t="inlineStr">
        <is>
          <t>P01</t>
        </is>
      </c>
      <c r="G3425" s="2" t="n">
        <v>610000</v>
      </c>
      <c r="H3425" s="2" t="inlineStr">
        <is>
          <t>Mano obra interna</t>
        </is>
      </c>
      <c r="I3425" s="9" t="n">
        <v>2349.51</v>
      </c>
      <c r="J3425" s="9" t="n">
        <v>2331.6</v>
      </c>
      <c r="K3425" s="9" t="n">
        <v>2512.71</v>
      </c>
      <c r="L3425" s="9" t="n">
        <v>2317.44</v>
      </c>
      <c r="M3425" s="9" t="n">
        <v>2353.34</v>
      </c>
      <c r="N3425" s="9" t="n">
        <v>2165.59</v>
      </c>
      <c r="O3425" s="9" t="n">
        <v>2374.7</v>
      </c>
      <c r="P3425" s="9" t="n">
        <v>2214.13</v>
      </c>
      <c r="Q3425" s="9" t="n">
        <v>2325.39</v>
      </c>
      <c r="R3425" s="9" t="n">
        <v>2332.93</v>
      </c>
      <c r="S3425" s="9" t="n">
        <v>2248.41</v>
      </c>
      <c r="T3425" s="9" t="n">
        <v>2274.57</v>
      </c>
      <c r="U3425" s="10">
        <f>SUM(I3425:T3425)</f>
        <v/>
      </c>
    </row>
    <row r="3426">
      <c r="A3426" s="2" t="inlineStr">
        <is>
          <t>SN-1000-1200-1210-1210XM0012</t>
        </is>
      </c>
      <c r="B3426" s="2" t="inlineStr">
        <is>
          <t>1210XM0012</t>
        </is>
      </c>
      <c r="C3426" s="2" t="inlineStr">
        <is>
          <t>Estanque separador aceite XM0012</t>
        </is>
      </c>
      <c r="D3426" s="2" t="n">
        <v>1142</v>
      </c>
      <c r="E3426" s="2" t="inlineStr">
        <is>
          <t>CC-1000</t>
        </is>
      </c>
      <c r="F3426" s="2" t="inlineStr">
        <is>
          <t>P01</t>
        </is>
      </c>
      <c r="G3426" s="2" t="n">
        <v>620000</v>
      </c>
      <c r="H3426" s="2" t="inlineStr">
        <is>
          <t>Materiales</t>
        </is>
      </c>
      <c r="I3426" s="9" t="n">
        <v>2130.93</v>
      </c>
      <c r="J3426" s="9" t="n">
        <v>2015.33</v>
      </c>
      <c r="K3426" s="9" t="n">
        <v>2091.33</v>
      </c>
      <c r="L3426" s="9" t="n">
        <v>2048.55</v>
      </c>
      <c r="M3426" s="9" t="n">
        <v>2184.38</v>
      </c>
      <c r="N3426" s="9" t="n">
        <v>1929.13</v>
      </c>
      <c r="O3426" s="9" t="n">
        <v>2205.05</v>
      </c>
      <c r="P3426" s="9" t="n">
        <v>2105.01</v>
      </c>
      <c r="Q3426" s="9" t="n">
        <v>1831.13</v>
      </c>
      <c r="R3426" s="9" t="n">
        <v>2155.34</v>
      </c>
      <c r="S3426" s="9" t="n">
        <v>2172.71</v>
      </c>
      <c r="T3426" s="9" t="n">
        <v>2178.24</v>
      </c>
      <c r="U3426" s="10">
        <f>SUM(I3426:T3426)</f>
        <v/>
      </c>
    </row>
    <row r="3427">
      <c r="A3427" s="2" t="inlineStr">
        <is>
          <t>SN-1000-1200-1210-1210XM0012</t>
        </is>
      </c>
      <c r="B3427" s="2" t="inlineStr">
        <is>
          <t>1210XM0012</t>
        </is>
      </c>
      <c r="C3427" s="2" t="inlineStr">
        <is>
          <t>Estanque separador aceite XM0012</t>
        </is>
      </c>
      <c r="D3427" s="2" t="n">
        <v>1142</v>
      </c>
      <c r="E3427" s="2" t="inlineStr">
        <is>
          <t>CC-1000</t>
        </is>
      </c>
      <c r="F3427" s="2" t="inlineStr">
        <is>
          <t>P01</t>
        </is>
      </c>
      <c r="G3427" s="2" t="n">
        <v>630000</v>
      </c>
      <c r="H3427" s="2" t="inlineStr">
        <is>
          <t>Servicios externos</t>
        </is>
      </c>
      <c r="I3427" s="9" t="n">
        <v>1943.14</v>
      </c>
      <c r="J3427" s="9" t="n">
        <v>1909.35</v>
      </c>
      <c r="K3427" s="9" t="n">
        <v>1850.16</v>
      </c>
      <c r="L3427" s="9" t="n">
        <v>1901.06</v>
      </c>
      <c r="M3427" s="9" t="n">
        <v>1764</v>
      </c>
      <c r="N3427" s="9" t="n">
        <v>1643.96</v>
      </c>
      <c r="O3427" s="9" t="n">
        <v>1814.54</v>
      </c>
      <c r="P3427" s="9" t="n">
        <v>1916.08</v>
      </c>
      <c r="Q3427" s="9" t="n">
        <v>1704.6</v>
      </c>
      <c r="R3427" s="9" t="n">
        <v>1957.8</v>
      </c>
      <c r="S3427" s="9" t="n">
        <v>1746.23</v>
      </c>
      <c r="T3427" s="9" t="n">
        <v>1858.43</v>
      </c>
      <c r="U3427" s="10">
        <f>SUM(I3427:T3427)</f>
        <v/>
      </c>
    </row>
    <row r="3428">
      <c r="A3428" s="2" t="inlineStr">
        <is>
          <t>SN-1000-1200-1210-1210XP0008</t>
        </is>
      </c>
      <c r="B3428" s="2" t="inlineStr">
        <is>
          <t>1210XP0008</t>
        </is>
      </c>
      <c r="C3428" s="2" t="inlineStr">
        <is>
          <t>Gabinete mangueras XP0008</t>
        </is>
      </c>
      <c r="D3428" s="2" t="n">
        <v>1143</v>
      </c>
      <c r="E3428" s="2" t="inlineStr">
        <is>
          <t>CC-1000</t>
        </is>
      </c>
      <c r="F3428" s="2" t="inlineStr">
        <is>
          <t>P01</t>
        </is>
      </c>
      <c r="G3428" s="2" t="n">
        <v>610000</v>
      </c>
      <c r="H3428" s="2" t="inlineStr">
        <is>
          <t>Mano obra interna</t>
        </is>
      </c>
      <c r="I3428" s="9" t="n">
        <v>1652.73</v>
      </c>
      <c r="J3428" s="9" t="n">
        <v>1456.97</v>
      </c>
      <c r="K3428" s="9" t="n">
        <v>1721.45</v>
      </c>
      <c r="L3428" s="9" t="n">
        <v>1540.49</v>
      </c>
      <c r="M3428" s="9" t="n">
        <v>1607.58</v>
      </c>
      <c r="N3428" s="9" t="n">
        <v>1508.37</v>
      </c>
      <c r="O3428" s="9" t="n">
        <v>1660.78</v>
      </c>
      <c r="P3428" s="9" t="n">
        <v>1672.17</v>
      </c>
      <c r="Q3428" s="9" t="n">
        <v>1410.43</v>
      </c>
      <c r="R3428" s="9" t="n">
        <v>1763.78</v>
      </c>
      <c r="S3428" s="9" t="n">
        <v>1463.25</v>
      </c>
      <c r="T3428" s="9" t="n">
        <v>1516.94</v>
      </c>
      <c r="U3428" s="10">
        <f>SUM(I3428:T3428)</f>
        <v/>
      </c>
    </row>
    <row r="3429">
      <c r="A3429" s="2" t="inlineStr">
        <is>
          <t>SN-1000-1200-1210-1210XP0008</t>
        </is>
      </c>
      <c r="B3429" s="2" t="inlineStr">
        <is>
          <t>1210XP0008</t>
        </is>
      </c>
      <c r="C3429" s="2" t="inlineStr">
        <is>
          <t>Gabinete mangueras XP0008</t>
        </is>
      </c>
      <c r="D3429" s="2" t="n">
        <v>1143</v>
      </c>
      <c r="E3429" s="2" t="inlineStr">
        <is>
          <t>CC-1000</t>
        </is>
      </c>
      <c r="F3429" s="2" t="inlineStr">
        <is>
          <t>P01</t>
        </is>
      </c>
      <c r="G3429" s="2" t="n">
        <v>620000</v>
      </c>
      <c r="H3429" s="2" t="inlineStr">
        <is>
          <t>Materiales</t>
        </is>
      </c>
      <c r="I3429" s="9" t="n">
        <v>1795.87</v>
      </c>
      <c r="J3429" s="9" t="n">
        <v>1751.24</v>
      </c>
      <c r="K3429" s="9" t="n">
        <v>1804.41</v>
      </c>
      <c r="L3429" s="9" t="n">
        <v>1890.98</v>
      </c>
      <c r="M3429" s="9" t="n">
        <v>1963.32</v>
      </c>
      <c r="N3429" s="9" t="n">
        <v>1710.26</v>
      </c>
      <c r="O3429" s="9" t="n">
        <v>1872.32</v>
      </c>
      <c r="P3429" s="9" t="n">
        <v>1831.32</v>
      </c>
      <c r="Q3429" s="9" t="n">
        <v>1685.12</v>
      </c>
      <c r="R3429" s="9" t="n">
        <v>2027.97</v>
      </c>
      <c r="S3429" s="9" t="n">
        <v>1816.61</v>
      </c>
      <c r="T3429" s="9" t="n">
        <v>1844.18</v>
      </c>
      <c r="U3429" s="10">
        <f>SUM(I3429:T3429)</f>
        <v/>
      </c>
    </row>
    <row r="3430">
      <c r="A3430" s="2" t="inlineStr">
        <is>
          <t>SN-1000-1200-1210-1210XP0008</t>
        </is>
      </c>
      <c r="B3430" s="2" t="inlineStr">
        <is>
          <t>1210XP0008</t>
        </is>
      </c>
      <c r="C3430" s="2" t="inlineStr">
        <is>
          <t>Gabinete mangueras XP0008</t>
        </is>
      </c>
      <c r="D3430" s="2" t="n">
        <v>1143</v>
      </c>
      <c r="E3430" s="2" t="inlineStr">
        <is>
          <t>CC-1000</t>
        </is>
      </c>
      <c r="F3430" s="2" t="inlineStr">
        <is>
          <t>P01</t>
        </is>
      </c>
      <c r="G3430" s="2" t="n">
        <v>630000</v>
      </c>
      <c r="H3430" s="2" t="inlineStr">
        <is>
          <t>Servicios externos</t>
        </is>
      </c>
      <c r="I3430" s="9" t="n">
        <v>1684.14</v>
      </c>
      <c r="J3430" s="9" t="n">
        <v>1633.75</v>
      </c>
      <c r="K3430" s="9" t="n">
        <v>1976.93</v>
      </c>
      <c r="L3430" s="9" t="n">
        <v>1887.91</v>
      </c>
      <c r="M3430" s="9" t="n">
        <v>1843.9</v>
      </c>
      <c r="N3430" s="9" t="n">
        <v>1726.63</v>
      </c>
      <c r="O3430" s="9" t="n">
        <v>1754.79</v>
      </c>
      <c r="P3430" s="9" t="n">
        <v>1812.16</v>
      </c>
      <c r="Q3430" s="9" t="n">
        <v>1546.14</v>
      </c>
      <c r="R3430" s="9" t="n">
        <v>1995.15</v>
      </c>
      <c r="S3430" s="9" t="n">
        <v>1731.24</v>
      </c>
      <c r="T3430" s="9" t="n">
        <v>1934.92</v>
      </c>
      <c r="U3430" s="10">
        <f>SUM(I3430:T3430)</f>
        <v/>
      </c>
    </row>
    <row r="3431">
      <c r="A3431" s="2" t="inlineStr">
        <is>
          <t>SN-1000-1200-1210-1210XP0009</t>
        </is>
      </c>
      <c r="B3431" s="2" t="inlineStr">
        <is>
          <t>1210XP0009</t>
        </is>
      </c>
      <c r="C3431" s="2" t="inlineStr">
        <is>
          <t>Gabinete mangueras XP0009</t>
        </is>
      </c>
      <c r="D3431" s="2" t="n">
        <v>1144</v>
      </c>
      <c r="E3431" s="2" t="inlineStr">
        <is>
          <t>CC-1000</t>
        </is>
      </c>
      <c r="F3431" s="2" t="inlineStr">
        <is>
          <t>P01</t>
        </is>
      </c>
      <c r="G3431" s="2" t="n">
        <v>610000</v>
      </c>
      <c r="H3431" s="2" t="inlineStr">
        <is>
          <t>Mano obra interna</t>
        </is>
      </c>
      <c r="I3431" s="9" t="n">
        <v>1018.6</v>
      </c>
      <c r="J3431" s="9" t="n">
        <v>1036.95</v>
      </c>
      <c r="K3431" s="9" t="n">
        <v>1013</v>
      </c>
      <c r="L3431" s="9" t="n">
        <v>1122.39</v>
      </c>
      <c r="M3431" s="9" t="n">
        <v>1046.06</v>
      </c>
      <c r="N3431" s="9" t="n">
        <v>989.2</v>
      </c>
      <c r="O3431" s="9" t="n">
        <v>1136.42</v>
      </c>
      <c r="P3431" s="9" t="n">
        <v>1130.34</v>
      </c>
      <c r="Q3431" s="9" t="n">
        <v>1054.91</v>
      </c>
      <c r="R3431" s="9" t="n">
        <v>1088.68</v>
      </c>
      <c r="S3431" s="9" t="n">
        <v>1060.35</v>
      </c>
      <c r="T3431" s="9" t="n">
        <v>1148.8</v>
      </c>
      <c r="U3431" s="10">
        <f>SUM(I3431:T3431)</f>
        <v/>
      </c>
    </row>
    <row r="3432">
      <c r="A3432" s="2" t="inlineStr">
        <is>
          <t>SN-1000-1200-1210-1210XP0009</t>
        </is>
      </c>
      <c r="B3432" s="2" t="inlineStr">
        <is>
          <t>1210XP0009</t>
        </is>
      </c>
      <c r="C3432" s="2" t="inlineStr">
        <is>
          <t>Gabinete mangueras XP0009</t>
        </is>
      </c>
      <c r="D3432" s="2" t="n">
        <v>1144</v>
      </c>
      <c r="E3432" s="2" t="inlineStr">
        <is>
          <t>CC-1000</t>
        </is>
      </c>
      <c r="F3432" s="2" t="inlineStr">
        <is>
          <t>P01</t>
        </is>
      </c>
      <c r="G3432" s="2" t="n">
        <v>620000</v>
      </c>
      <c r="H3432" s="2" t="inlineStr">
        <is>
          <t>Materiales</t>
        </is>
      </c>
      <c r="I3432" s="9" t="n">
        <v>999.97</v>
      </c>
      <c r="J3432" s="9" t="n">
        <v>1062.36</v>
      </c>
      <c r="K3432" s="9" t="n">
        <v>1123.35</v>
      </c>
      <c r="L3432" s="9" t="n">
        <v>1083.24</v>
      </c>
      <c r="M3432" s="9" t="n">
        <v>982.3200000000001</v>
      </c>
      <c r="N3432" s="9" t="n">
        <v>932.83</v>
      </c>
      <c r="O3432" s="9" t="n">
        <v>1047.38</v>
      </c>
      <c r="P3432" s="9" t="n">
        <v>1022.91</v>
      </c>
      <c r="Q3432" s="9" t="n">
        <v>981.35</v>
      </c>
      <c r="R3432" s="9" t="n">
        <v>1038.22</v>
      </c>
      <c r="S3432" s="9" t="n">
        <v>935.83</v>
      </c>
      <c r="T3432" s="9" t="n">
        <v>1018.88</v>
      </c>
      <c r="U3432" s="10">
        <f>SUM(I3432:T3432)</f>
        <v/>
      </c>
    </row>
    <row r="3433">
      <c r="A3433" s="2" t="inlineStr">
        <is>
          <t>SN-1000-1200-1210-1210XP0009</t>
        </is>
      </c>
      <c r="B3433" s="2" t="inlineStr">
        <is>
          <t>1210XP0009</t>
        </is>
      </c>
      <c r="C3433" s="2" t="inlineStr">
        <is>
          <t>Gabinete mangueras XP0009</t>
        </is>
      </c>
      <c r="D3433" s="2" t="n">
        <v>1144</v>
      </c>
      <c r="E3433" s="2" t="inlineStr">
        <is>
          <t>CC-1000</t>
        </is>
      </c>
      <c r="F3433" s="2" t="inlineStr">
        <is>
          <t>P01</t>
        </is>
      </c>
      <c r="G3433" s="2" t="n">
        <v>630000</v>
      </c>
      <c r="H3433" s="2" t="inlineStr">
        <is>
          <t>Servicios externos</t>
        </is>
      </c>
      <c r="I3433" s="9" t="n">
        <v>955.63</v>
      </c>
      <c r="J3433" s="9" t="n">
        <v>885.5</v>
      </c>
      <c r="K3433" s="9" t="n">
        <v>975.54</v>
      </c>
      <c r="L3433" s="9" t="n">
        <v>979.21</v>
      </c>
      <c r="M3433" s="9" t="n">
        <v>863.5700000000001</v>
      </c>
      <c r="N3433" s="9" t="n">
        <v>937.21</v>
      </c>
      <c r="O3433" s="9" t="n">
        <v>961.22</v>
      </c>
      <c r="P3433" s="9" t="n">
        <v>936.51</v>
      </c>
      <c r="Q3433" s="9" t="n">
        <v>911.03</v>
      </c>
      <c r="R3433" s="9" t="n">
        <v>953.51</v>
      </c>
      <c r="S3433" s="9" t="n">
        <v>878.1</v>
      </c>
      <c r="T3433" s="9" t="n">
        <v>870.4299999999999</v>
      </c>
      <c r="U3433" s="10">
        <f>SUM(I3433:T3433)</f>
        <v/>
      </c>
    </row>
    <row r="3434">
      <c r="A3434" s="2" t="inlineStr">
        <is>
          <t>SN-1000-1200-1210-1210XP0010</t>
        </is>
      </c>
      <c r="B3434" s="2" t="inlineStr">
        <is>
          <t>1210XP0010</t>
        </is>
      </c>
      <c r="C3434" s="2" t="inlineStr">
        <is>
          <t>Gabinete mangueras XP0010</t>
        </is>
      </c>
      <c r="D3434" s="2" t="n">
        <v>1145</v>
      </c>
      <c r="E3434" s="2" t="inlineStr">
        <is>
          <t>CC-1000</t>
        </is>
      </c>
      <c r="F3434" s="2" t="inlineStr">
        <is>
          <t>P01</t>
        </is>
      </c>
      <c r="G3434" s="2" t="n">
        <v>610000</v>
      </c>
      <c r="H3434" s="2" t="inlineStr">
        <is>
          <t>Mano obra interna</t>
        </is>
      </c>
      <c r="I3434" s="9" t="n">
        <v>460.52</v>
      </c>
      <c r="J3434" s="9" t="n">
        <v>452.07</v>
      </c>
      <c r="K3434" s="9" t="n">
        <v>432.49</v>
      </c>
      <c r="L3434" s="9" t="n">
        <v>426.14</v>
      </c>
      <c r="M3434" s="9" t="n">
        <v>440.28</v>
      </c>
      <c r="N3434" s="9" t="n">
        <v>409.43</v>
      </c>
      <c r="O3434" s="9" t="n">
        <v>469.53</v>
      </c>
      <c r="P3434" s="9" t="n">
        <v>462.48</v>
      </c>
      <c r="Q3434" s="9" t="n">
        <v>407.81</v>
      </c>
      <c r="R3434" s="9" t="n">
        <v>450.68</v>
      </c>
      <c r="S3434" s="9" t="n">
        <v>414.1</v>
      </c>
      <c r="T3434" s="9" t="n">
        <v>471.37</v>
      </c>
      <c r="U3434" s="10">
        <f>SUM(I3434:T3434)</f>
        <v/>
      </c>
    </row>
    <row r="3435">
      <c r="A3435" s="2" t="inlineStr">
        <is>
          <t>SN-1000-1200-1210-1210XP0010</t>
        </is>
      </c>
      <c r="B3435" s="2" t="inlineStr">
        <is>
          <t>1210XP0010</t>
        </is>
      </c>
      <c r="C3435" s="2" t="inlineStr">
        <is>
          <t>Gabinete mangueras XP0010</t>
        </is>
      </c>
      <c r="D3435" s="2" t="n">
        <v>1145</v>
      </c>
      <c r="E3435" s="2" t="inlineStr">
        <is>
          <t>CC-1000</t>
        </is>
      </c>
      <c r="F3435" s="2" t="inlineStr">
        <is>
          <t>P01</t>
        </is>
      </c>
      <c r="G3435" s="2" t="n">
        <v>620000</v>
      </c>
      <c r="H3435" s="2" t="inlineStr">
        <is>
          <t>Materiales</t>
        </is>
      </c>
      <c r="I3435" s="9" t="n">
        <v>485.78</v>
      </c>
      <c r="J3435" s="9" t="n">
        <v>505.33</v>
      </c>
      <c r="K3435" s="9" t="n">
        <v>534.59</v>
      </c>
      <c r="L3435" s="9" t="n">
        <v>464.07</v>
      </c>
      <c r="M3435" s="9" t="n">
        <v>516.64</v>
      </c>
      <c r="N3435" s="9" t="n">
        <v>465.41</v>
      </c>
      <c r="O3435" s="9" t="n">
        <v>526.04</v>
      </c>
      <c r="P3435" s="9" t="n">
        <v>492.1</v>
      </c>
      <c r="Q3435" s="9" t="n">
        <v>436.31</v>
      </c>
      <c r="R3435" s="9" t="n">
        <v>567.92</v>
      </c>
      <c r="S3435" s="9" t="n">
        <v>454.35</v>
      </c>
      <c r="T3435" s="9" t="n">
        <v>527.11</v>
      </c>
      <c r="U3435" s="10">
        <f>SUM(I3435:T3435)</f>
        <v/>
      </c>
    </row>
    <row r="3436">
      <c r="A3436" s="2" t="inlineStr">
        <is>
          <t>SN-1000-1200-1210-1210XP0010</t>
        </is>
      </c>
      <c r="B3436" s="2" t="inlineStr">
        <is>
          <t>1210XP0010</t>
        </is>
      </c>
      <c r="C3436" s="2" t="inlineStr">
        <is>
          <t>Gabinete mangueras XP0010</t>
        </is>
      </c>
      <c r="D3436" s="2" t="n">
        <v>1145</v>
      </c>
      <c r="E3436" s="2" t="inlineStr">
        <is>
          <t>CC-1000</t>
        </is>
      </c>
      <c r="F3436" s="2" t="inlineStr">
        <is>
          <t>P01</t>
        </is>
      </c>
      <c r="G3436" s="2" t="n">
        <v>630000</v>
      </c>
      <c r="H3436" s="2" t="inlineStr">
        <is>
          <t>Servicios externos</t>
        </is>
      </c>
      <c r="I3436" s="9" t="n">
        <v>408.14</v>
      </c>
      <c r="J3436" s="9" t="n">
        <v>377.6</v>
      </c>
      <c r="K3436" s="9" t="n">
        <v>431.53</v>
      </c>
      <c r="L3436" s="9" t="n">
        <v>377.45</v>
      </c>
      <c r="M3436" s="9" t="n">
        <v>379.29</v>
      </c>
      <c r="N3436" s="9" t="n">
        <v>380.16</v>
      </c>
      <c r="O3436" s="9" t="n">
        <v>418.84</v>
      </c>
      <c r="P3436" s="9" t="n">
        <v>376.44</v>
      </c>
      <c r="Q3436" s="9" t="n">
        <v>356.07</v>
      </c>
      <c r="R3436" s="9" t="n">
        <v>416.86</v>
      </c>
      <c r="S3436" s="9" t="n">
        <v>361.61</v>
      </c>
      <c r="T3436" s="9" t="n">
        <v>414.74</v>
      </c>
      <c r="U3436" s="10">
        <f>SUM(I3436:T3436)</f>
        <v/>
      </c>
    </row>
    <row r="3437">
      <c r="A3437" s="2" t="inlineStr">
        <is>
          <t>SN-2000-2100-2100-2100CS0002</t>
        </is>
      </c>
      <c r="B3437" s="2" t="inlineStr">
        <is>
          <t>2100CS0002</t>
        </is>
      </c>
      <c r="C3437" s="2" t="inlineStr">
        <is>
          <t>Gabinete control Chancador Primario</t>
        </is>
      </c>
      <c r="D3437" s="2" t="n">
        <v>1146</v>
      </c>
      <c r="E3437" s="2" t="inlineStr">
        <is>
          <t>CC-2000</t>
        </is>
      </c>
      <c r="F3437" s="2" t="inlineStr">
        <is>
          <t>P01</t>
        </is>
      </c>
      <c r="G3437" s="2" t="n">
        <v>610000</v>
      </c>
      <c r="H3437" s="2" t="inlineStr">
        <is>
          <t>Mano obra interna</t>
        </is>
      </c>
      <c r="I3437" s="9" t="n">
        <v>1285.59</v>
      </c>
      <c r="J3437" s="9" t="n">
        <v>1207.44</v>
      </c>
      <c r="K3437" s="9" t="n">
        <v>1206.03</v>
      </c>
      <c r="L3437" s="9" t="n">
        <v>1244.84</v>
      </c>
      <c r="M3437" s="9" t="n">
        <v>1270.48</v>
      </c>
      <c r="N3437" s="9" t="n">
        <v>1155.64</v>
      </c>
      <c r="O3437" s="9" t="n">
        <v>1146.14</v>
      </c>
      <c r="P3437" s="9" t="n">
        <v>1128.95</v>
      </c>
      <c r="Q3437" s="9" t="n">
        <v>1185.55</v>
      </c>
      <c r="R3437" s="9" t="n">
        <v>1279.34</v>
      </c>
      <c r="S3437" s="9" t="n">
        <v>1261.89</v>
      </c>
      <c r="T3437" s="9" t="n">
        <v>1260.69</v>
      </c>
      <c r="U3437" s="10">
        <f>SUM(I3437:T3437)</f>
        <v/>
      </c>
    </row>
    <row r="3438">
      <c r="A3438" s="2" t="inlineStr">
        <is>
          <t>SN-2000-2100-2100-2100CS0002</t>
        </is>
      </c>
      <c r="B3438" s="2" t="inlineStr">
        <is>
          <t>2100CS0002</t>
        </is>
      </c>
      <c r="C3438" s="2" t="inlineStr">
        <is>
          <t>Gabinete control Chancador Primario</t>
        </is>
      </c>
      <c r="D3438" s="2" t="n">
        <v>1146</v>
      </c>
      <c r="E3438" s="2" t="inlineStr">
        <is>
          <t>CC-2000</t>
        </is>
      </c>
      <c r="F3438" s="2" t="inlineStr">
        <is>
          <t>P01</t>
        </is>
      </c>
      <c r="G3438" s="2" t="n">
        <v>620000</v>
      </c>
      <c r="H3438" s="2" t="inlineStr">
        <is>
          <t>Materiales</t>
        </is>
      </c>
      <c r="I3438" s="9" t="n">
        <v>1352.42</v>
      </c>
      <c r="J3438" s="9" t="n">
        <v>1282.57</v>
      </c>
      <c r="K3438" s="9" t="n">
        <v>1440.61</v>
      </c>
      <c r="L3438" s="9" t="n">
        <v>1331.19</v>
      </c>
      <c r="M3438" s="9" t="n">
        <v>1215.51</v>
      </c>
      <c r="N3438" s="9" t="n">
        <v>1273.15</v>
      </c>
      <c r="O3438" s="9" t="n">
        <v>1337.69</v>
      </c>
      <c r="P3438" s="9" t="n">
        <v>1365.93</v>
      </c>
      <c r="Q3438" s="9" t="n">
        <v>1305.26</v>
      </c>
      <c r="R3438" s="9" t="n">
        <v>1401.24</v>
      </c>
      <c r="S3438" s="9" t="n">
        <v>1239.36</v>
      </c>
      <c r="T3438" s="9" t="n">
        <v>1328.79</v>
      </c>
      <c r="U3438" s="10">
        <f>SUM(I3438:T3438)</f>
        <v/>
      </c>
    </row>
    <row r="3439">
      <c r="A3439" s="2" t="inlineStr">
        <is>
          <t>SN-2000-2100-2100-2100CS0002</t>
        </is>
      </c>
      <c r="B3439" s="2" t="inlineStr">
        <is>
          <t>2100CS0002</t>
        </is>
      </c>
      <c r="C3439" s="2" t="inlineStr">
        <is>
          <t>Gabinete control Chancador Primario</t>
        </is>
      </c>
      <c r="D3439" s="2" t="n">
        <v>1146</v>
      </c>
      <c r="E3439" s="2" t="inlineStr">
        <is>
          <t>CC-2000</t>
        </is>
      </c>
      <c r="F3439" s="2" t="inlineStr">
        <is>
          <t>P01</t>
        </is>
      </c>
      <c r="G3439" s="2" t="n">
        <v>630000</v>
      </c>
      <c r="H3439" s="2" t="inlineStr">
        <is>
          <t>Servicios externos</t>
        </is>
      </c>
      <c r="I3439" s="9" t="n">
        <v>1688.5</v>
      </c>
      <c r="J3439" s="9" t="n">
        <v>1626.86</v>
      </c>
      <c r="K3439" s="9" t="n">
        <v>1516.13</v>
      </c>
      <c r="L3439" s="9" t="n">
        <v>1569.14</v>
      </c>
      <c r="M3439" s="9" t="n">
        <v>1461.67</v>
      </c>
      <c r="N3439" s="9" t="n">
        <v>1437.55</v>
      </c>
      <c r="O3439" s="9" t="n">
        <v>1421.6</v>
      </c>
      <c r="P3439" s="9" t="n">
        <v>1451.56</v>
      </c>
      <c r="Q3439" s="9" t="n">
        <v>1406.33</v>
      </c>
      <c r="R3439" s="9" t="n">
        <v>1620.66</v>
      </c>
      <c r="S3439" s="9" t="n">
        <v>1434.38</v>
      </c>
      <c r="T3439" s="9" t="n">
        <v>1491.6</v>
      </c>
      <c r="U3439" s="10">
        <f>SUM(I3439:T3439)</f>
        <v/>
      </c>
    </row>
    <row r="3440">
      <c r="A3440" s="2" t="inlineStr">
        <is>
          <t>SN-2000-2100-2110-2110BN0002</t>
        </is>
      </c>
      <c r="B3440" s="2" t="inlineStr">
        <is>
          <t>2110BN0002</t>
        </is>
      </c>
      <c r="C3440" s="2" t="inlineStr">
        <is>
          <t>Tolva electroimán BN0002</t>
        </is>
      </c>
      <c r="D3440" s="2" t="n">
        <v>1147</v>
      </c>
      <c r="E3440" s="2" t="inlineStr">
        <is>
          <t>CC-2000</t>
        </is>
      </c>
      <c r="F3440" s="2" t="inlineStr">
        <is>
          <t>P01</t>
        </is>
      </c>
      <c r="G3440" s="2" t="n">
        <v>610000</v>
      </c>
      <c r="H3440" s="2" t="inlineStr">
        <is>
          <t>Mano obra interna</t>
        </is>
      </c>
      <c r="I3440" s="9" t="n">
        <v>253.78</v>
      </c>
      <c r="J3440" s="9" t="n">
        <v>261.52</v>
      </c>
      <c r="K3440" s="9" t="n">
        <v>259.6</v>
      </c>
      <c r="L3440" s="9" t="n">
        <v>275.4</v>
      </c>
      <c r="M3440" s="9" t="n">
        <v>240.84</v>
      </c>
      <c r="N3440" s="9" t="n">
        <v>232.29</v>
      </c>
      <c r="O3440" s="9" t="n">
        <v>264.55</v>
      </c>
      <c r="P3440" s="9" t="n">
        <v>273.9</v>
      </c>
      <c r="Q3440" s="9" t="n">
        <v>225.61</v>
      </c>
      <c r="R3440" s="9" t="n">
        <v>258.29</v>
      </c>
      <c r="S3440" s="9" t="n">
        <v>266.14</v>
      </c>
      <c r="T3440" s="9" t="n">
        <v>244.89</v>
      </c>
      <c r="U3440" s="10">
        <f>SUM(I3440:T3440)</f>
        <v/>
      </c>
    </row>
    <row r="3441">
      <c r="A3441" s="2" t="inlineStr">
        <is>
          <t>SN-2000-2100-2110-2110BN0002</t>
        </is>
      </c>
      <c r="B3441" s="2" t="inlineStr">
        <is>
          <t>2110BN0002</t>
        </is>
      </c>
      <c r="C3441" s="2" t="inlineStr">
        <is>
          <t>Tolva electroimán BN0002</t>
        </is>
      </c>
      <c r="D3441" s="2" t="n">
        <v>1147</v>
      </c>
      <c r="E3441" s="2" t="inlineStr">
        <is>
          <t>CC-2000</t>
        </is>
      </c>
      <c r="F3441" s="2" t="inlineStr">
        <is>
          <t>P01</t>
        </is>
      </c>
      <c r="G3441" s="2" t="n">
        <v>620000</v>
      </c>
      <c r="H3441" s="2" t="inlineStr">
        <is>
          <t>Materiales</t>
        </is>
      </c>
      <c r="I3441" s="9" t="n">
        <v>228.11</v>
      </c>
      <c r="J3441" s="9" t="n">
        <v>215.9</v>
      </c>
      <c r="K3441" s="9" t="n">
        <v>210.28</v>
      </c>
      <c r="L3441" s="9" t="n">
        <v>229.24</v>
      </c>
      <c r="M3441" s="9" t="n">
        <v>209.18</v>
      </c>
      <c r="N3441" s="9" t="n">
        <v>186.22</v>
      </c>
      <c r="O3441" s="9" t="n">
        <v>215.98</v>
      </c>
      <c r="P3441" s="9" t="n">
        <v>210.18</v>
      </c>
      <c r="Q3441" s="9" t="n">
        <v>196.89</v>
      </c>
      <c r="R3441" s="9" t="n">
        <v>243.31</v>
      </c>
      <c r="S3441" s="9" t="n">
        <v>191.16</v>
      </c>
      <c r="T3441" s="9" t="n">
        <v>217.51</v>
      </c>
      <c r="U3441" s="10">
        <f>SUM(I3441:T3441)</f>
        <v/>
      </c>
    </row>
    <row r="3442">
      <c r="A3442" s="2" t="inlineStr">
        <is>
          <t>SN-2000-2100-2110-2110BN0002</t>
        </is>
      </c>
      <c r="B3442" s="2" t="inlineStr">
        <is>
          <t>2110BN0002</t>
        </is>
      </c>
      <c r="C3442" s="2" t="inlineStr">
        <is>
          <t>Tolva electroimán BN0002</t>
        </is>
      </c>
      <c r="D3442" s="2" t="n">
        <v>1147</v>
      </c>
      <c r="E3442" s="2" t="inlineStr">
        <is>
          <t>CC-2000</t>
        </is>
      </c>
      <c r="F3442" s="2" t="inlineStr">
        <is>
          <t>P01</t>
        </is>
      </c>
      <c r="G3442" s="2" t="n">
        <v>630000</v>
      </c>
      <c r="H3442" s="2" t="inlineStr">
        <is>
          <t>Servicios externos</t>
        </is>
      </c>
      <c r="I3442" s="9" t="n">
        <v>221.69</v>
      </c>
      <c r="J3442" s="9" t="n">
        <v>228.85</v>
      </c>
      <c r="K3442" s="9" t="n">
        <v>238.78</v>
      </c>
      <c r="L3442" s="9" t="n">
        <v>243.5</v>
      </c>
      <c r="M3442" s="9" t="n">
        <v>236.58</v>
      </c>
      <c r="N3442" s="9" t="n">
        <v>217.62</v>
      </c>
      <c r="O3442" s="9" t="n">
        <v>219.2</v>
      </c>
      <c r="P3442" s="9" t="n">
        <v>226.29</v>
      </c>
      <c r="Q3442" s="9" t="n">
        <v>205.09</v>
      </c>
      <c r="R3442" s="9" t="n">
        <v>234.41</v>
      </c>
      <c r="S3442" s="9" t="n">
        <v>219.99</v>
      </c>
      <c r="T3442" s="9" t="n">
        <v>234.52</v>
      </c>
      <c r="U3442" s="10">
        <f>SUM(I3442:T3442)</f>
        <v/>
      </c>
    </row>
    <row r="3443">
      <c r="A3443" s="2" t="inlineStr">
        <is>
          <t>SN-2000-2100-2110-2110FP1001</t>
        </is>
      </c>
      <c r="B3443" s="2" t="inlineStr">
        <is>
          <t>2110FP1001</t>
        </is>
      </c>
      <c r="C3443" s="2" t="inlineStr">
        <is>
          <t>Tablero control SCI FP1001</t>
        </is>
      </c>
      <c r="D3443" s="2" t="n">
        <v>1148</v>
      </c>
      <c r="E3443" s="2" t="inlineStr">
        <is>
          <t>CC-2000</t>
        </is>
      </c>
      <c r="F3443" s="2" t="inlineStr">
        <is>
          <t>P01</t>
        </is>
      </c>
      <c r="G3443" s="2" t="n">
        <v>610000</v>
      </c>
      <c r="H3443" s="2" t="inlineStr">
        <is>
          <t>Mano obra interna</t>
        </is>
      </c>
      <c r="I3443" s="9" t="n">
        <v>1738.34</v>
      </c>
      <c r="J3443" s="9" t="n">
        <v>1513.02</v>
      </c>
      <c r="K3443" s="9" t="n">
        <v>1604.21</v>
      </c>
      <c r="L3443" s="9" t="n">
        <v>1665.94</v>
      </c>
      <c r="M3443" s="9" t="n">
        <v>1596.24</v>
      </c>
      <c r="N3443" s="9" t="n">
        <v>1396.73</v>
      </c>
      <c r="O3443" s="9" t="n">
        <v>1540.45</v>
      </c>
      <c r="P3443" s="9" t="n">
        <v>1523.75</v>
      </c>
      <c r="Q3443" s="9" t="n">
        <v>1558.07</v>
      </c>
      <c r="R3443" s="9" t="n">
        <v>1812.24</v>
      </c>
      <c r="S3443" s="9" t="n">
        <v>1483.6</v>
      </c>
      <c r="T3443" s="9" t="n">
        <v>1508.43</v>
      </c>
      <c r="U3443" s="10">
        <f>SUM(I3443:T3443)</f>
        <v/>
      </c>
    </row>
    <row r="3444">
      <c r="A3444" s="2" t="inlineStr">
        <is>
          <t>SN-2000-2100-2110-2110FP1001</t>
        </is>
      </c>
      <c r="B3444" s="2" t="inlineStr">
        <is>
          <t>2110FP1001</t>
        </is>
      </c>
      <c r="C3444" s="2" t="inlineStr">
        <is>
          <t>Tablero control SCI FP1001</t>
        </is>
      </c>
      <c r="D3444" s="2" t="n">
        <v>1148</v>
      </c>
      <c r="E3444" s="2" t="inlineStr">
        <is>
          <t>CC-2000</t>
        </is>
      </c>
      <c r="F3444" s="2" t="inlineStr">
        <is>
          <t>P01</t>
        </is>
      </c>
      <c r="G3444" s="2" t="n">
        <v>620000</v>
      </c>
      <c r="H3444" s="2" t="inlineStr">
        <is>
          <t>Materiales</t>
        </is>
      </c>
      <c r="I3444" s="9" t="n">
        <v>1338.37</v>
      </c>
      <c r="J3444" s="9" t="n">
        <v>1304.45</v>
      </c>
      <c r="K3444" s="9" t="n">
        <v>1365.78</v>
      </c>
      <c r="L3444" s="9" t="n">
        <v>1408.51</v>
      </c>
      <c r="M3444" s="9" t="n">
        <v>1328.8</v>
      </c>
      <c r="N3444" s="9" t="n">
        <v>1334.5</v>
      </c>
      <c r="O3444" s="9" t="n">
        <v>1348.72</v>
      </c>
      <c r="P3444" s="9" t="n">
        <v>1451.11</v>
      </c>
      <c r="Q3444" s="9" t="n">
        <v>1379.85</v>
      </c>
      <c r="R3444" s="9" t="n">
        <v>1468.1</v>
      </c>
      <c r="S3444" s="9" t="n">
        <v>1241.95</v>
      </c>
      <c r="T3444" s="9" t="n">
        <v>1344.65</v>
      </c>
      <c r="U3444" s="10">
        <f>SUM(I3444:T3444)</f>
        <v/>
      </c>
    </row>
    <row r="3445">
      <c r="A3445" s="2" t="inlineStr">
        <is>
          <t>SN-2000-2100-2110-2110FP1001</t>
        </is>
      </c>
      <c r="B3445" s="2" t="inlineStr">
        <is>
          <t>2110FP1001</t>
        </is>
      </c>
      <c r="C3445" s="2" t="inlineStr">
        <is>
          <t>Tablero control SCI FP1001</t>
        </is>
      </c>
      <c r="D3445" s="2" t="n">
        <v>1148</v>
      </c>
      <c r="E3445" s="2" t="inlineStr">
        <is>
          <t>CC-2000</t>
        </is>
      </c>
      <c r="F3445" s="2" t="inlineStr">
        <is>
          <t>P01</t>
        </is>
      </c>
      <c r="G3445" s="2" t="n">
        <v>630000</v>
      </c>
      <c r="H3445" s="2" t="inlineStr">
        <is>
          <t>Servicios externos</t>
        </is>
      </c>
      <c r="I3445" s="9" t="n">
        <v>1303.1</v>
      </c>
      <c r="J3445" s="9" t="n">
        <v>1319.11</v>
      </c>
      <c r="K3445" s="9" t="n">
        <v>1354.51</v>
      </c>
      <c r="L3445" s="9" t="n">
        <v>1282.82</v>
      </c>
      <c r="M3445" s="9" t="n">
        <v>1350.86</v>
      </c>
      <c r="N3445" s="9" t="n">
        <v>1177.7</v>
      </c>
      <c r="O3445" s="9" t="n">
        <v>1252.64</v>
      </c>
      <c r="P3445" s="9" t="n">
        <v>1344.87</v>
      </c>
      <c r="Q3445" s="9" t="n">
        <v>1159.49</v>
      </c>
      <c r="R3445" s="9" t="n">
        <v>1452.04</v>
      </c>
      <c r="S3445" s="9" t="n">
        <v>1363.9</v>
      </c>
      <c r="T3445" s="9" t="n">
        <v>1398.87</v>
      </c>
      <c r="U3445" s="10">
        <f>SUM(I3445:T3445)</f>
        <v/>
      </c>
    </row>
    <row r="3446">
      <c r="A3446" s="2" t="inlineStr">
        <is>
          <t>SN-2000-2100-2110-2110HT0002</t>
        </is>
      </c>
      <c r="B3446" s="2" t="inlineStr">
        <is>
          <t>2110HT0002</t>
        </is>
      </c>
      <c r="C3446" s="2" t="inlineStr">
        <is>
          <t>Tecle manual HT0002</t>
        </is>
      </c>
      <c r="D3446" s="2" t="n">
        <v>1149</v>
      </c>
      <c r="E3446" s="2" t="inlineStr">
        <is>
          <t>CC-2000</t>
        </is>
      </c>
      <c r="F3446" s="2" t="inlineStr">
        <is>
          <t>P01</t>
        </is>
      </c>
      <c r="G3446" s="2" t="n">
        <v>610000</v>
      </c>
      <c r="H3446" s="2" t="inlineStr">
        <is>
          <t>Mano obra interna</t>
        </is>
      </c>
      <c r="I3446" s="9" t="n">
        <v>504.71</v>
      </c>
      <c r="J3446" s="9" t="n">
        <v>479.3</v>
      </c>
      <c r="K3446" s="9" t="n">
        <v>548.38</v>
      </c>
      <c r="L3446" s="9" t="n">
        <v>541.08</v>
      </c>
      <c r="M3446" s="9" t="n">
        <v>458.6</v>
      </c>
      <c r="N3446" s="9" t="n">
        <v>501.95</v>
      </c>
      <c r="O3446" s="9" t="n">
        <v>468.83</v>
      </c>
      <c r="P3446" s="9" t="n">
        <v>478.2</v>
      </c>
      <c r="Q3446" s="9" t="n">
        <v>447.97</v>
      </c>
      <c r="R3446" s="9" t="n">
        <v>513.3099999999999</v>
      </c>
      <c r="S3446" s="9" t="n">
        <v>504.02</v>
      </c>
      <c r="T3446" s="9" t="n">
        <v>486.5</v>
      </c>
      <c r="U3446" s="10">
        <f>SUM(I3446:T3446)</f>
        <v/>
      </c>
    </row>
    <row r="3447">
      <c r="A3447" s="2" t="inlineStr">
        <is>
          <t>SN-2000-2100-2110-2110HT0002</t>
        </is>
      </c>
      <c r="B3447" s="2" t="inlineStr">
        <is>
          <t>2110HT0002</t>
        </is>
      </c>
      <c r="C3447" s="2" t="inlineStr">
        <is>
          <t>Tecle manual HT0002</t>
        </is>
      </c>
      <c r="D3447" s="2" t="n">
        <v>1149</v>
      </c>
      <c r="E3447" s="2" t="inlineStr">
        <is>
          <t>CC-2000</t>
        </is>
      </c>
      <c r="F3447" s="2" t="inlineStr">
        <is>
          <t>P01</t>
        </is>
      </c>
      <c r="G3447" s="2" t="n">
        <v>620000</v>
      </c>
      <c r="H3447" s="2" t="inlineStr">
        <is>
          <t>Materiales</t>
        </is>
      </c>
      <c r="I3447" s="9" t="n">
        <v>631.83</v>
      </c>
      <c r="J3447" s="9" t="n">
        <v>595.67</v>
      </c>
      <c r="K3447" s="9" t="n">
        <v>577.14</v>
      </c>
      <c r="L3447" s="9" t="n">
        <v>606.02</v>
      </c>
      <c r="M3447" s="9" t="n">
        <v>570.71</v>
      </c>
      <c r="N3447" s="9" t="n">
        <v>573.5</v>
      </c>
      <c r="O3447" s="9" t="n">
        <v>541.97</v>
      </c>
      <c r="P3447" s="9" t="n">
        <v>585.8</v>
      </c>
      <c r="Q3447" s="9" t="n">
        <v>557.29</v>
      </c>
      <c r="R3447" s="9" t="n">
        <v>644.39</v>
      </c>
      <c r="S3447" s="9" t="n">
        <v>596.4299999999999</v>
      </c>
      <c r="T3447" s="9" t="n">
        <v>540.95</v>
      </c>
      <c r="U3447" s="10">
        <f>SUM(I3447:T3447)</f>
        <v/>
      </c>
    </row>
    <row r="3448">
      <c r="A3448" s="2" t="inlineStr">
        <is>
          <t>SN-2000-2100-2110-2110HT0002</t>
        </is>
      </c>
      <c r="B3448" s="2" t="inlineStr">
        <is>
          <t>2110HT0002</t>
        </is>
      </c>
      <c r="C3448" s="2" t="inlineStr">
        <is>
          <t>Tecle manual HT0002</t>
        </is>
      </c>
      <c r="D3448" s="2" t="n">
        <v>1149</v>
      </c>
      <c r="E3448" s="2" t="inlineStr">
        <is>
          <t>CC-2000</t>
        </is>
      </c>
      <c r="F3448" s="2" t="inlineStr">
        <is>
          <t>P01</t>
        </is>
      </c>
      <c r="G3448" s="2" t="n">
        <v>630000</v>
      </c>
      <c r="H3448" s="2" t="inlineStr">
        <is>
          <t>Servicios externos</t>
        </is>
      </c>
      <c r="I3448" s="9" t="n">
        <v>526.86</v>
      </c>
      <c r="J3448" s="9" t="n">
        <v>494.67</v>
      </c>
      <c r="K3448" s="9" t="n">
        <v>518.17</v>
      </c>
      <c r="L3448" s="9" t="n">
        <v>502.03</v>
      </c>
      <c r="M3448" s="9" t="n">
        <v>538.36</v>
      </c>
      <c r="N3448" s="9" t="n">
        <v>527.62</v>
      </c>
      <c r="O3448" s="9" t="n">
        <v>483.64</v>
      </c>
      <c r="P3448" s="9" t="n">
        <v>489.07</v>
      </c>
      <c r="Q3448" s="9" t="n">
        <v>461.28</v>
      </c>
      <c r="R3448" s="9" t="n">
        <v>559.47</v>
      </c>
      <c r="S3448" s="9" t="n">
        <v>524.86</v>
      </c>
      <c r="T3448" s="9" t="n">
        <v>489.69</v>
      </c>
      <c r="U3448" s="10">
        <f>SUM(I3448:T3448)</f>
        <v/>
      </c>
    </row>
    <row r="3449">
      <c r="A3449" s="2" t="inlineStr">
        <is>
          <t>SN-2000-2100-2110-2110HT0003</t>
        </is>
      </c>
      <c r="B3449" s="2" t="inlineStr">
        <is>
          <t>2110HT0003</t>
        </is>
      </c>
      <c r="C3449" s="2" t="inlineStr">
        <is>
          <t>Tecle manual HT0003</t>
        </is>
      </c>
      <c r="D3449" s="2" t="n">
        <v>1150</v>
      </c>
      <c r="E3449" s="2" t="inlineStr">
        <is>
          <t>CC-2000</t>
        </is>
      </c>
      <c r="F3449" s="2" t="inlineStr">
        <is>
          <t>P01</t>
        </is>
      </c>
      <c r="G3449" s="2" t="n">
        <v>610000</v>
      </c>
      <c r="H3449" s="2" t="inlineStr">
        <is>
          <t>Mano obra interna</t>
        </is>
      </c>
      <c r="I3449" s="9" t="n">
        <v>2175.52</v>
      </c>
      <c r="J3449" s="9" t="n">
        <v>2391.32</v>
      </c>
      <c r="K3449" s="9" t="n">
        <v>2477.82</v>
      </c>
      <c r="L3449" s="9" t="n">
        <v>2473.53</v>
      </c>
      <c r="M3449" s="9" t="n">
        <v>2093.62</v>
      </c>
      <c r="N3449" s="9" t="n">
        <v>2154.45</v>
      </c>
      <c r="O3449" s="9" t="n">
        <v>2137.81</v>
      </c>
      <c r="P3449" s="9" t="n">
        <v>2292.31</v>
      </c>
      <c r="Q3449" s="9" t="n">
        <v>2011.84</v>
      </c>
      <c r="R3449" s="9" t="n">
        <v>2540.27</v>
      </c>
      <c r="S3449" s="9" t="n">
        <v>2236.03</v>
      </c>
      <c r="T3449" s="9" t="n">
        <v>2317.55</v>
      </c>
      <c r="U3449" s="10">
        <f>SUM(I3449:T3449)</f>
        <v/>
      </c>
    </row>
    <row r="3450">
      <c r="A3450" s="2" t="inlineStr">
        <is>
          <t>SN-2000-2100-2110-2110HT0003</t>
        </is>
      </c>
      <c r="B3450" s="2" t="inlineStr">
        <is>
          <t>2110HT0003</t>
        </is>
      </c>
      <c r="C3450" s="2" t="inlineStr">
        <is>
          <t>Tecle manual HT0003</t>
        </is>
      </c>
      <c r="D3450" s="2" t="n">
        <v>1150</v>
      </c>
      <c r="E3450" s="2" t="inlineStr">
        <is>
          <t>CC-2000</t>
        </is>
      </c>
      <c r="F3450" s="2" t="inlineStr">
        <is>
          <t>P01</t>
        </is>
      </c>
      <c r="G3450" s="2" t="n">
        <v>620000</v>
      </c>
      <c r="H3450" s="2" t="inlineStr">
        <is>
          <t>Materiales</t>
        </is>
      </c>
      <c r="I3450" s="9" t="n">
        <v>2349.83</v>
      </c>
      <c r="J3450" s="9" t="n">
        <v>2183.42</v>
      </c>
      <c r="K3450" s="9" t="n">
        <v>2420.44</v>
      </c>
      <c r="L3450" s="9" t="n">
        <v>2524.53</v>
      </c>
      <c r="M3450" s="9" t="n">
        <v>2314.81</v>
      </c>
      <c r="N3450" s="9" t="n">
        <v>2246.26</v>
      </c>
      <c r="O3450" s="9" t="n">
        <v>2462.97</v>
      </c>
      <c r="P3450" s="9" t="n">
        <v>2305.65</v>
      </c>
      <c r="Q3450" s="9" t="n">
        <v>2312.8</v>
      </c>
      <c r="R3450" s="9" t="n">
        <v>2347.09</v>
      </c>
      <c r="S3450" s="9" t="n">
        <v>2241.44</v>
      </c>
      <c r="T3450" s="9" t="n">
        <v>2228.62</v>
      </c>
      <c r="U3450" s="10">
        <f>SUM(I3450:T3450)</f>
        <v/>
      </c>
    </row>
    <row r="3451">
      <c r="A3451" s="2" t="inlineStr">
        <is>
          <t>SN-2000-2100-2110-2110HT0003</t>
        </is>
      </c>
      <c r="B3451" s="2" t="inlineStr">
        <is>
          <t>2110HT0003</t>
        </is>
      </c>
      <c r="C3451" s="2" t="inlineStr">
        <is>
          <t>Tecle manual HT0003</t>
        </is>
      </c>
      <c r="D3451" s="2" t="n">
        <v>1150</v>
      </c>
      <c r="E3451" s="2" t="inlineStr">
        <is>
          <t>CC-2000</t>
        </is>
      </c>
      <c r="F3451" s="2" t="inlineStr">
        <is>
          <t>P01</t>
        </is>
      </c>
      <c r="G3451" s="2" t="n">
        <v>630000</v>
      </c>
      <c r="H3451" s="2" t="inlineStr">
        <is>
          <t>Servicios externos</t>
        </is>
      </c>
      <c r="I3451" s="9" t="n">
        <v>2069.18</v>
      </c>
      <c r="J3451" s="9" t="n">
        <v>2013.75</v>
      </c>
      <c r="K3451" s="9" t="n">
        <v>2105.27</v>
      </c>
      <c r="L3451" s="9" t="n">
        <v>2123.9</v>
      </c>
      <c r="M3451" s="9" t="n">
        <v>1993.77</v>
      </c>
      <c r="N3451" s="9" t="n">
        <v>2146.95</v>
      </c>
      <c r="O3451" s="9" t="n">
        <v>2045</v>
      </c>
      <c r="P3451" s="9" t="n">
        <v>2109.56</v>
      </c>
      <c r="Q3451" s="9" t="n">
        <v>1837.57</v>
      </c>
      <c r="R3451" s="9" t="n">
        <v>2161.63</v>
      </c>
      <c r="S3451" s="9" t="n">
        <v>2202.7</v>
      </c>
      <c r="T3451" s="9" t="n">
        <v>2288.61</v>
      </c>
      <c r="U3451" s="10">
        <f>SUM(I3451:T3451)</f>
        <v/>
      </c>
    </row>
    <row r="3452">
      <c r="A3452" s="2" t="inlineStr">
        <is>
          <t>SN-2000-2100-2110-2110HT0004</t>
        </is>
      </c>
      <c r="B3452" s="2" t="inlineStr">
        <is>
          <t>2110HT0004</t>
        </is>
      </c>
      <c r="C3452" s="2" t="inlineStr">
        <is>
          <t>Tecle manual HT0004</t>
        </is>
      </c>
      <c r="D3452" s="2" t="n">
        <v>1151</v>
      </c>
      <c r="E3452" s="2" t="inlineStr">
        <is>
          <t>CC-2000</t>
        </is>
      </c>
      <c r="F3452" s="2" t="inlineStr">
        <is>
          <t>P01</t>
        </is>
      </c>
      <c r="G3452" s="2" t="n">
        <v>610000</v>
      </c>
      <c r="H3452" s="2" t="inlineStr">
        <is>
          <t>Mano obra interna</t>
        </is>
      </c>
      <c r="I3452" s="9" t="n">
        <v>1554.36</v>
      </c>
      <c r="J3452" s="9" t="n">
        <v>1433.89</v>
      </c>
      <c r="K3452" s="9" t="n">
        <v>1493.43</v>
      </c>
      <c r="L3452" s="9" t="n">
        <v>1605.25</v>
      </c>
      <c r="M3452" s="9" t="n">
        <v>1608.81</v>
      </c>
      <c r="N3452" s="9" t="n">
        <v>1571.21</v>
      </c>
      <c r="O3452" s="9" t="n">
        <v>1492.99</v>
      </c>
      <c r="P3452" s="9" t="n">
        <v>1499.18</v>
      </c>
      <c r="Q3452" s="9" t="n">
        <v>1345.95</v>
      </c>
      <c r="R3452" s="9" t="n">
        <v>1738.79</v>
      </c>
      <c r="S3452" s="9" t="n">
        <v>1441.54</v>
      </c>
      <c r="T3452" s="9" t="n">
        <v>1562.67</v>
      </c>
      <c r="U3452" s="10">
        <f>SUM(I3452:T3452)</f>
        <v/>
      </c>
    </row>
    <row r="3453">
      <c r="A3453" s="2" t="inlineStr">
        <is>
          <t>SN-2000-2100-2110-2110HT0004</t>
        </is>
      </c>
      <c r="B3453" s="2" t="inlineStr">
        <is>
          <t>2110HT0004</t>
        </is>
      </c>
      <c r="C3453" s="2" t="inlineStr">
        <is>
          <t>Tecle manual HT0004</t>
        </is>
      </c>
      <c r="D3453" s="2" t="n">
        <v>1151</v>
      </c>
      <c r="E3453" s="2" t="inlineStr">
        <is>
          <t>CC-2000</t>
        </is>
      </c>
      <c r="F3453" s="2" t="inlineStr">
        <is>
          <t>P01</t>
        </is>
      </c>
      <c r="G3453" s="2" t="n">
        <v>620000</v>
      </c>
      <c r="H3453" s="2" t="inlineStr">
        <is>
          <t>Materiales</t>
        </is>
      </c>
      <c r="I3453" s="9" t="n">
        <v>1610.19</v>
      </c>
      <c r="J3453" s="9" t="n">
        <v>1386.31</v>
      </c>
      <c r="K3453" s="9" t="n">
        <v>1441.01</v>
      </c>
      <c r="L3453" s="9" t="n">
        <v>1620.8</v>
      </c>
      <c r="M3453" s="9" t="n">
        <v>1513.05</v>
      </c>
      <c r="N3453" s="9" t="n">
        <v>1500.62</v>
      </c>
      <c r="O3453" s="9" t="n">
        <v>1433.52</v>
      </c>
      <c r="P3453" s="9" t="n">
        <v>1605.18</v>
      </c>
      <c r="Q3453" s="9" t="n">
        <v>1473.05</v>
      </c>
      <c r="R3453" s="9" t="n">
        <v>1737.27</v>
      </c>
      <c r="S3453" s="9" t="n">
        <v>1430.39</v>
      </c>
      <c r="T3453" s="9" t="n">
        <v>1483.42</v>
      </c>
      <c r="U3453" s="10">
        <f>SUM(I3453:T3453)</f>
        <v/>
      </c>
    </row>
    <row r="3454">
      <c r="A3454" s="2" t="inlineStr">
        <is>
          <t>SN-2000-2100-2110-2110HT0004</t>
        </is>
      </c>
      <c r="B3454" s="2" t="inlineStr">
        <is>
          <t>2110HT0004</t>
        </is>
      </c>
      <c r="C3454" s="2" t="inlineStr">
        <is>
          <t>Tecle manual HT0004</t>
        </is>
      </c>
      <c r="D3454" s="2" t="n">
        <v>1151</v>
      </c>
      <c r="E3454" s="2" t="inlineStr">
        <is>
          <t>CC-2000</t>
        </is>
      </c>
      <c r="F3454" s="2" t="inlineStr">
        <is>
          <t>P01</t>
        </is>
      </c>
      <c r="G3454" s="2" t="n">
        <v>630000</v>
      </c>
      <c r="H3454" s="2" t="inlineStr">
        <is>
          <t>Servicios externos</t>
        </is>
      </c>
      <c r="I3454" s="9" t="n">
        <v>1303.55</v>
      </c>
      <c r="J3454" s="9" t="n">
        <v>1115.79</v>
      </c>
      <c r="K3454" s="9" t="n">
        <v>1157.45</v>
      </c>
      <c r="L3454" s="9" t="n">
        <v>1161.01</v>
      </c>
      <c r="M3454" s="9" t="n">
        <v>1233.7</v>
      </c>
      <c r="N3454" s="9" t="n">
        <v>1213.42</v>
      </c>
      <c r="O3454" s="9" t="n">
        <v>1254.72</v>
      </c>
      <c r="P3454" s="9" t="n">
        <v>1205.9</v>
      </c>
      <c r="Q3454" s="9" t="n">
        <v>1200.02</v>
      </c>
      <c r="R3454" s="9" t="n">
        <v>1199.53</v>
      </c>
      <c r="S3454" s="9" t="n">
        <v>1224.51</v>
      </c>
      <c r="T3454" s="9" t="n">
        <v>1198.43</v>
      </c>
      <c r="U3454" s="10">
        <f>SUM(I3454:T3454)</f>
        <v/>
      </c>
    </row>
    <row r="3455">
      <c r="A3455" s="2" t="inlineStr">
        <is>
          <t>SN-2000-2100-2120-2120ME0004</t>
        </is>
      </c>
      <c r="B3455" s="2" t="inlineStr">
        <is>
          <t>2120ME0004</t>
        </is>
      </c>
      <c r="C3455" s="2" t="inlineStr">
        <is>
          <t>Tecle eléctrico ME0004</t>
        </is>
      </c>
      <c r="D3455" s="2" t="n">
        <v>1152</v>
      </c>
      <c r="E3455" s="2" t="inlineStr">
        <is>
          <t>CC-2000</t>
        </is>
      </c>
      <c r="F3455" s="2" t="inlineStr">
        <is>
          <t>P01</t>
        </is>
      </c>
      <c r="G3455" s="2" t="n">
        <v>610000</v>
      </c>
      <c r="H3455" s="2" t="inlineStr">
        <is>
          <t>Mano obra interna</t>
        </is>
      </c>
      <c r="I3455" s="9" t="n">
        <v>1604.89</v>
      </c>
      <c r="J3455" s="9" t="n">
        <v>1523.51</v>
      </c>
      <c r="K3455" s="9" t="n">
        <v>1674.03</v>
      </c>
      <c r="L3455" s="9" t="n">
        <v>1619.7</v>
      </c>
      <c r="M3455" s="9" t="n">
        <v>1650.03</v>
      </c>
      <c r="N3455" s="9" t="n">
        <v>1508.1</v>
      </c>
      <c r="O3455" s="9" t="n">
        <v>1575.6</v>
      </c>
      <c r="P3455" s="9" t="n">
        <v>1771.24</v>
      </c>
      <c r="Q3455" s="9" t="n">
        <v>1661.07</v>
      </c>
      <c r="R3455" s="9" t="n">
        <v>1936.74</v>
      </c>
      <c r="S3455" s="9" t="n">
        <v>1665.08</v>
      </c>
      <c r="T3455" s="9" t="n">
        <v>1770.12</v>
      </c>
      <c r="U3455" s="10">
        <f>SUM(I3455:T3455)</f>
        <v/>
      </c>
    </row>
    <row r="3456">
      <c r="A3456" s="2" t="inlineStr">
        <is>
          <t>SN-2000-2100-2120-2120ME0004</t>
        </is>
      </c>
      <c r="B3456" s="2" t="inlineStr">
        <is>
          <t>2120ME0004</t>
        </is>
      </c>
      <c r="C3456" s="2" t="inlineStr">
        <is>
          <t>Tecle eléctrico ME0004</t>
        </is>
      </c>
      <c r="D3456" s="2" t="n">
        <v>1152</v>
      </c>
      <c r="E3456" s="2" t="inlineStr">
        <is>
          <t>CC-2000</t>
        </is>
      </c>
      <c r="F3456" s="2" t="inlineStr">
        <is>
          <t>P01</t>
        </is>
      </c>
      <c r="G3456" s="2" t="n">
        <v>620000</v>
      </c>
      <c r="H3456" s="2" t="inlineStr">
        <is>
          <t>Materiales</t>
        </is>
      </c>
      <c r="I3456" s="9" t="n">
        <v>1902.37</v>
      </c>
      <c r="J3456" s="9" t="n">
        <v>1741.18</v>
      </c>
      <c r="K3456" s="9" t="n">
        <v>1771.74</v>
      </c>
      <c r="L3456" s="9" t="n">
        <v>1779.3</v>
      </c>
      <c r="M3456" s="9" t="n">
        <v>1896.47</v>
      </c>
      <c r="N3456" s="9" t="n">
        <v>1791.99</v>
      </c>
      <c r="O3456" s="9" t="n">
        <v>1805.28</v>
      </c>
      <c r="P3456" s="9" t="n">
        <v>1679.22</v>
      </c>
      <c r="Q3456" s="9" t="n">
        <v>1628.41</v>
      </c>
      <c r="R3456" s="9" t="n">
        <v>2031.61</v>
      </c>
      <c r="S3456" s="9" t="n">
        <v>1762.76</v>
      </c>
      <c r="T3456" s="9" t="n">
        <v>1825.27</v>
      </c>
      <c r="U3456" s="10">
        <f>SUM(I3456:T3456)</f>
        <v/>
      </c>
    </row>
    <row r="3457">
      <c r="A3457" s="2" t="inlineStr">
        <is>
          <t>SN-2000-2100-2120-2120ME0004</t>
        </is>
      </c>
      <c r="B3457" s="2" t="inlineStr">
        <is>
          <t>2120ME0004</t>
        </is>
      </c>
      <c r="C3457" s="2" t="inlineStr">
        <is>
          <t>Tecle eléctrico ME0004</t>
        </is>
      </c>
      <c r="D3457" s="2" t="n">
        <v>1152</v>
      </c>
      <c r="E3457" s="2" t="inlineStr">
        <is>
          <t>CC-2000</t>
        </is>
      </c>
      <c r="F3457" s="2" t="inlineStr">
        <is>
          <t>P01</t>
        </is>
      </c>
      <c r="G3457" s="2" t="n">
        <v>630000</v>
      </c>
      <c r="H3457" s="2" t="inlineStr">
        <is>
          <t>Servicios externos</t>
        </is>
      </c>
      <c r="I3457" s="9" t="n">
        <v>1584.77</v>
      </c>
      <c r="J3457" s="9" t="n">
        <v>1615.35</v>
      </c>
      <c r="K3457" s="9" t="n">
        <v>1675.64</v>
      </c>
      <c r="L3457" s="9" t="n">
        <v>1442.76</v>
      </c>
      <c r="M3457" s="9" t="n">
        <v>1505.9</v>
      </c>
      <c r="N3457" s="9" t="n">
        <v>1419.42</v>
      </c>
      <c r="O3457" s="9" t="n">
        <v>1529.57</v>
      </c>
      <c r="P3457" s="9" t="n">
        <v>1551.07</v>
      </c>
      <c r="Q3457" s="9" t="n">
        <v>1352.6</v>
      </c>
      <c r="R3457" s="9" t="n">
        <v>1720.15</v>
      </c>
      <c r="S3457" s="9" t="n">
        <v>1471.65</v>
      </c>
      <c r="T3457" s="9" t="n">
        <v>1670.89</v>
      </c>
      <c r="U3457" s="10">
        <f>SUM(I3457:T3457)</f>
        <v/>
      </c>
    </row>
    <row r="3458">
      <c r="A3458" s="2" t="inlineStr">
        <is>
          <t>SN-2000-2100-21ER-2100FP0001</t>
        </is>
      </c>
      <c r="B3458" s="2" t="inlineStr">
        <is>
          <t>2100FP0001</t>
        </is>
      </c>
      <c r="C3458" s="2" t="inlineStr">
        <is>
          <t>Tablero control SCI FP0001</t>
        </is>
      </c>
      <c r="D3458" s="2" t="n">
        <v>1153</v>
      </c>
      <c r="E3458" s="2" t="inlineStr">
        <is>
          <t>CC-2000</t>
        </is>
      </c>
      <c r="F3458" s="2" t="inlineStr">
        <is>
          <t>P01</t>
        </is>
      </c>
      <c r="G3458" s="2" t="n">
        <v>610000</v>
      </c>
      <c r="H3458" s="2" t="inlineStr">
        <is>
          <t>Mano obra interna</t>
        </is>
      </c>
      <c r="I3458" s="9" t="n">
        <v>952.58</v>
      </c>
      <c r="J3458" s="9" t="n">
        <v>996.34</v>
      </c>
      <c r="K3458" s="9" t="n">
        <v>1044.57</v>
      </c>
      <c r="L3458" s="9" t="n">
        <v>1016.71</v>
      </c>
      <c r="M3458" s="9" t="n">
        <v>1045.09</v>
      </c>
      <c r="N3458" s="9" t="n">
        <v>926.02</v>
      </c>
      <c r="O3458" s="9" t="n">
        <v>969.28</v>
      </c>
      <c r="P3458" s="9" t="n">
        <v>1045.58</v>
      </c>
      <c r="Q3458" s="9" t="n">
        <v>919.62</v>
      </c>
      <c r="R3458" s="9" t="n">
        <v>1034.09</v>
      </c>
      <c r="S3458" s="9" t="n">
        <v>983.8099999999999</v>
      </c>
      <c r="T3458" s="9" t="n">
        <v>1015.53</v>
      </c>
      <c r="U3458" s="10">
        <f>SUM(I3458:T3458)</f>
        <v/>
      </c>
    </row>
    <row r="3459">
      <c r="A3459" s="2" t="inlineStr">
        <is>
          <t>SN-2000-2100-21ER-2100FP0001</t>
        </is>
      </c>
      <c r="B3459" s="2" t="inlineStr">
        <is>
          <t>2100FP0001</t>
        </is>
      </c>
      <c r="C3459" s="2" t="inlineStr">
        <is>
          <t>Tablero control SCI FP0001</t>
        </is>
      </c>
      <c r="D3459" s="2" t="n">
        <v>1153</v>
      </c>
      <c r="E3459" s="2" t="inlineStr">
        <is>
          <t>CC-2000</t>
        </is>
      </c>
      <c r="F3459" s="2" t="inlineStr">
        <is>
          <t>P01</t>
        </is>
      </c>
      <c r="G3459" s="2" t="n">
        <v>620000</v>
      </c>
      <c r="H3459" s="2" t="inlineStr">
        <is>
          <t>Materiales</t>
        </is>
      </c>
      <c r="I3459" s="9" t="n">
        <v>1049.53</v>
      </c>
      <c r="J3459" s="9" t="n">
        <v>1028.88</v>
      </c>
      <c r="K3459" s="9" t="n">
        <v>1020.94</v>
      </c>
      <c r="L3459" s="9" t="n">
        <v>1162.77</v>
      </c>
      <c r="M3459" s="9" t="n">
        <v>998.13</v>
      </c>
      <c r="N3459" s="9" t="n">
        <v>966.01</v>
      </c>
      <c r="O3459" s="9" t="n">
        <v>1087.93</v>
      </c>
      <c r="P3459" s="9" t="n">
        <v>1099.74</v>
      </c>
      <c r="Q3459" s="9" t="n">
        <v>1026.48</v>
      </c>
      <c r="R3459" s="9" t="n">
        <v>1122.87</v>
      </c>
      <c r="S3459" s="9" t="n">
        <v>1089.95</v>
      </c>
      <c r="T3459" s="9" t="n">
        <v>1085.81</v>
      </c>
      <c r="U3459" s="10">
        <f>SUM(I3459:T3459)</f>
        <v/>
      </c>
    </row>
    <row r="3460">
      <c r="A3460" s="2" t="inlineStr">
        <is>
          <t>SN-2000-2100-21ER-2100FP0001</t>
        </is>
      </c>
      <c r="B3460" s="2" t="inlineStr">
        <is>
          <t>2100FP0001</t>
        </is>
      </c>
      <c r="C3460" s="2" t="inlineStr">
        <is>
          <t>Tablero control SCI FP0001</t>
        </is>
      </c>
      <c r="D3460" s="2" t="n">
        <v>1153</v>
      </c>
      <c r="E3460" s="2" t="inlineStr">
        <is>
          <t>CC-2000</t>
        </is>
      </c>
      <c r="F3460" s="2" t="inlineStr">
        <is>
          <t>P01</t>
        </is>
      </c>
      <c r="G3460" s="2" t="n">
        <v>630000</v>
      </c>
      <c r="H3460" s="2" t="inlineStr">
        <is>
          <t>Servicios externos</t>
        </is>
      </c>
      <c r="I3460" s="9" t="n">
        <v>1160.62</v>
      </c>
      <c r="J3460" s="9" t="n">
        <v>1022.97</v>
      </c>
      <c r="K3460" s="9" t="n">
        <v>1181.8</v>
      </c>
      <c r="L3460" s="9" t="n">
        <v>1113.89</v>
      </c>
      <c r="M3460" s="9" t="n">
        <v>1140.54</v>
      </c>
      <c r="N3460" s="9" t="n">
        <v>986.11</v>
      </c>
      <c r="O3460" s="9" t="n">
        <v>1159.23</v>
      </c>
      <c r="P3460" s="9" t="n">
        <v>1114.86</v>
      </c>
      <c r="Q3460" s="9" t="n">
        <v>1027.35</v>
      </c>
      <c r="R3460" s="9" t="n">
        <v>1153.51</v>
      </c>
      <c r="S3460" s="9" t="n">
        <v>1125.1</v>
      </c>
      <c r="T3460" s="9" t="n">
        <v>1089.35</v>
      </c>
      <c r="U3460" s="10">
        <f>SUM(I3460:T3460)</f>
        <v/>
      </c>
    </row>
    <row r="3461">
      <c r="A3461" s="2" t="inlineStr">
        <is>
          <t>SN-2000-2200-2210-2210HT0006</t>
        </is>
      </c>
      <c r="B3461" s="2" t="inlineStr">
        <is>
          <t>2210HT0006</t>
        </is>
      </c>
      <c r="C3461" s="2" t="inlineStr">
        <is>
          <t>Tecle manual HT0006</t>
        </is>
      </c>
      <c r="D3461" s="2" t="n">
        <v>1154</v>
      </c>
      <c r="E3461" s="2" t="inlineStr">
        <is>
          <t>CC-2000</t>
        </is>
      </c>
      <c r="F3461" s="2" t="inlineStr">
        <is>
          <t>P01</t>
        </is>
      </c>
      <c r="G3461" s="2" t="n">
        <v>610000</v>
      </c>
      <c r="H3461" s="2" t="inlineStr">
        <is>
          <t>Mano obra interna</t>
        </is>
      </c>
      <c r="I3461" s="9" t="n">
        <v>2213.97</v>
      </c>
      <c r="J3461" s="9" t="n">
        <v>1973.5</v>
      </c>
      <c r="K3461" s="9" t="n">
        <v>2069.53</v>
      </c>
      <c r="L3461" s="9" t="n">
        <v>2214.47</v>
      </c>
      <c r="M3461" s="9" t="n">
        <v>1931.77</v>
      </c>
      <c r="N3461" s="9" t="n">
        <v>2086.65</v>
      </c>
      <c r="O3461" s="9" t="n">
        <v>2117.81</v>
      </c>
      <c r="P3461" s="9" t="n">
        <v>2086.71</v>
      </c>
      <c r="Q3461" s="9" t="n">
        <v>1848.11</v>
      </c>
      <c r="R3461" s="9" t="n">
        <v>2340.59</v>
      </c>
      <c r="S3461" s="9" t="n">
        <v>2107.04</v>
      </c>
      <c r="T3461" s="9" t="n">
        <v>2100.35</v>
      </c>
      <c r="U3461" s="10">
        <f>SUM(I3461:T3461)</f>
        <v/>
      </c>
    </row>
    <row r="3462">
      <c r="A3462" s="2" t="inlineStr">
        <is>
          <t>SN-2000-2200-2210-2210HT0006</t>
        </is>
      </c>
      <c r="B3462" s="2" t="inlineStr">
        <is>
          <t>2210HT0006</t>
        </is>
      </c>
      <c r="C3462" s="2" t="inlineStr">
        <is>
          <t>Tecle manual HT0006</t>
        </is>
      </c>
      <c r="D3462" s="2" t="n">
        <v>1154</v>
      </c>
      <c r="E3462" s="2" t="inlineStr">
        <is>
          <t>CC-2000</t>
        </is>
      </c>
      <c r="F3462" s="2" t="inlineStr">
        <is>
          <t>P01</t>
        </is>
      </c>
      <c r="G3462" s="2" t="n">
        <v>620000</v>
      </c>
      <c r="H3462" s="2" t="inlineStr">
        <is>
          <t>Materiales</t>
        </is>
      </c>
      <c r="I3462" s="9" t="n">
        <v>1902.55</v>
      </c>
      <c r="J3462" s="9" t="n">
        <v>1991.01</v>
      </c>
      <c r="K3462" s="9" t="n">
        <v>2048.78</v>
      </c>
      <c r="L3462" s="9" t="n">
        <v>1892.23</v>
      </c>
      <c r="M3462" s="9" t="n">
        <v>2013.08</v>
      </c>
      <c r="N3462" s="9" t="n">
        <v>1970.83</v>
      </c>
      <c r="O3462" s="9" t="n">
        <v>1806.42</v>
      </c>
      <c r="P3462" s="9" t="n">
        <v>2025.76</v>
      </c>
      <c r="Q3462" s="9" t="n">
        <v>1910.4</v>
      </c>
      <c r="R3462" s="9" t="n">
        <v>2259.7</v>
      </c>
      <c r="S3462" s="9" t="n">
        <v>1801.61</v>
      </c>
      <c r="T3462" s="9" t="n">
        <v>1930.75</v>
      </c>
      <c r="U3462" s="10">
        <f>SUM(I3462:T3462)</f>
        <v/>
      </c>
    </row>
    <row r="3463">
      <c r="A3463" s="2" t="inlineStr">
        <is>
          <t>SN-2000-2200-2210-2210HT0006</t>
        </is>
      </c>
      <c r="B3463" s="2" t="inlineStr">
        <is>
          <t>2210HT0006</t>
        </is>
      </c>
      <c r="C3463" s="2" t="inlineStr">
        <is>
          <t>Tecle manual HT0006</t>
        </is>
      </c>
      <c r="D3463" s="2" t="n">
        <v>1154</v>
      </c>
      <c r="E3463" s="2" t="inlineStr">
        <is>
          <t>CC-2000</t>
        </is>
      </c>
      <c r="F3463" s="2" t="inlineStr">
        <is>
          <t>P01</t>
        </is>
      </c>
      <c r="G3463" s="2" t="n">
        <v>630000</v>
      </c>
      <c r="H3463" s="2" t="inlineStr">
        <is>
          <t>Servicios externos</t>
        </is>
      </c>
      <c r="I3463" s="9" t="n">
        <v>2215.72</v>
      </c>
      <c r="J3463" s="9" t="n">
        <v>2294.79</v>
      </c>
      <c r="K3463" s="9" t="n">
        <v>2397.3</v>
      </c>
      <c r="L3463" s="9" t="n">
        <v>2412.88</v>
      </c>
      <c r="M3463" s="9" t="n">
        <v>2235.06</v>
      </c>
      <c r="N3463" s="9" t="n">
        <v>2370.52</v>
      </c>
      <c r="O3463" s="9" t="n">
        <v>2236.87</v>
      </c>
      <c r="P3463" s="9" t="n">
        <v>2375.08</v>
      </c>
      <c r="Q3463" s="9" t="n">
        <v>2159.4</v>
      </c>
      <c r="R3463" s="9" t="n">
        <v>2409.85</v>
      </c>
      <c r="S3463" s="9" t="n">
        <v>2135.26</v>
      </c>
      <c r="T3463" s="9" t="n">
        <v>2527.81</v>
      </c>
      <c r="U3463" s="10">
        <f>SUM(I3463:T3463)</f>
        <v/>
      </c>
    </row>
    <row r="3464">
      <c r="A3464" s="2" t="inlineStr">
        <is>
          <t>SN-2000-2200-2210-2210HY0003</t>
        </is>
      </c>
      <c r="B3464" s="2" t="inlineStr">
        <is>
          <t>2210HY0003</t>
        </is>
      </c>
      <c r="C3464" s="2" t="inlineStr">
        <is>
          <t>Unidad potencia hidráulica HY0003</t>
        </is>
      </c>
      <c r="D3464" s="2" t="n">
        <v>1155</v>
      </c>
      <c r="E3464" s="2" t="inlineStr">
        <is>
          <t>CC-2000</t>
        </is>
      </c>
      <c r="F3464" s="2" t="inlineStr">
        <is>
          <t>P01</t>
        </is>
      </c>
      <c r="G3464" s="2" t="n">
        <v>610000</v>
      </c>
      <c r="H3464" s="2" t="inlineStr">
        <is>
          <t>Mano obra interna</t>
        </is>
      </c>
      <c r="I3464" s="9" t="n">
        <v>2571.58</v>
      </c>
      <c r="J3464" s="9" t="n">
        <v>2550.7</v>
      </c>
      <c r="K3464" s="9" t="n">
        <v>2384.89</v>
      </c>
      <c r="L3464" s="9" t="n">
        <v>2619</v>
      </c>
      <c r="M3464" s="9" t="n">
        <v>2320.75</v>
      </c>
      <c r="N3464" s="9" t="n">
        <v>2460.06</v>
      </c>
      <c r="O3464" s="9" t="n">
        <v>2336.63</v>
      </c>
      <c r="P3464" s="9" t="n">
        <v>2607.63</v>
      </c>
      <c r="Q3464" s="9" t="n">
        <v>2373.29</v>
      </c>
      <c r="R3464" s="9" t="n">
        <v>2623.3</v>
      </c>
      <c r="S3464" s="9" t="n">
        <v>2344.46</v>
      </c>
      <c r="T3464" s="9" t="n">
        <v>2373.31</v>
      </c>
      <c r="U3464" s="10">
        <f>SUM(I3464:T3464)</f>
        <v/>
      </c>
    </row>
    <row r="3465">
      <c r="A3465" s="2" t="inlineStr">
        <is>
          <t>SN-2000-2200-2210-2210HY0003</t>
        </is>
      </c>
      <c r="B3465" s="2" t="inlineStr">
        <is>
          <t>2210HY0003</t>
        </is>
      </c>
      <c r="C3465" s="2" t="inlineStr">
        <is>
          <t>Unidad potencia hidráulica HY0003</t>
        </is>
      </c>
      <c r="D3465" s="2" t="n">
        <v>1155</v>
      </c>
      <c r="E3465" s="2" t="inlineStr">
        <is>
          <t>CC-2000</t>
        </is>
      </c>
      <c r="F3465" s="2" t="inlineStr">
        <is>
          <t>P01</t>
        </is>
      </c>
      <c r="G3465" s="2" t="n">
        <v>620000</v>
      </c>
      <c r="H3465" s="2" t="inlineStr">
        <is>
          <t>Materiales</t>
        </is>
      </c>
      <c r="I3465" s="9" t="n">
        <v>2535.58</v>
      </c>
      <c r="J3465" s="9" t="n">
        <v>2593.56</v>
      </c>
      <c r="K3465" s="9" t="n">
        <v>2613.91</v>
      </c>
      <c r="L3465" s="9" t="n">
        <v>2918.27</v>
      </c>
      <c r="M3465" s="9" t="n">
        <v>2653.85</v>
      </c>
      <c r="N3465" s="9" t="n">
        <v>2387.25</v>
      </c>
      <c r="O3465" s="9" t="n">
        <v>2717.41</v>
      </c>
      <c r="P3465" s="9" t="n">
        <v>2851.2</v>
      </c>
      <c r="Q3465" s="9" t="n">
        <v>2503.79</v>
      </c>
      <c r="R3465" s="9" t="n">
        <v>2833.26</v>
      </c>
      <c r="S3465" s="9" t="n">
        <v>2476.08</v>
      </c>
      <c r="T3465" s="9" t="n">
        <v>2509.34</v>
      </c>
      <c r="U3465" s="10">
        <f>SUM(I3465:T3465)</f>
        <v/>
      </c>
    </row>
    <row r="3466">
      <c r="A3466" s="2" t="inlineStr">
        <is>
          <t>SN-2000-2200-2210-2210HY0003</t>
        </is>
      </c>
      <c r="B3466" s="2" t="inlineStr">
        <is>
          <t>2210HY0003</t>
        </is>
      </c>
      <c r="C3466" s="2" t="inlineStr">
        <is>
          <t>Unidad potencia hidráulica HY0003</t>
        </is>
      </c>
      <c r="D3466" s="2" t="n">
        <v>1155</v>
      </c>
      <c r="E3466" s="2" t="inlineStr">
        <is>
          <t>CC-2000</t>
        </is>
      </c>
      <c r="F3466" s="2" t="inlineStr">
        <is>
          <t>P01</t>
        </is>
      </c>
      <c r="G3466" s="2" t="n">
        <v>630000</v>
      </c>
      <c r="H3466" s="2" t="inlineStr">
        <is>
          <t>Servicios externos</t>
        </is>
      </c>
      <c r="I3466" s="9" t="n">
        <v>2218.71</v>
      </c>
      <c r="J3466" s="9" t="n">
        <v>2208.47</v>
      </c>
      <c r="K3466" s="9" t="n">
        <v>2357.53</v>
      </c>
      <c r="L3466" s="9" t="n">
        <v>2305.92</v>
      </c>
      <c r="M3466" s="9" t="n">
        <v>2004.83</v>
      </c>
      <c r="N3466" s="9" t="n">
        <v>2150.39</v>
      </c>
      <c r="O3466" s="9" t="n">
        <v>2184.04</v>
      </c>
      <c r="P3466" s="9" t="n">
        <v>2142.67</v>
      </c>
      <c r="Q3466" s="9" t="n">
        <v>2029.32</v>
      </c>
      <c r="R3466" s="9" t="n">
        <v>2141.01</v>
      </c>
      <c r="S3466" s="9" t="n">
        <v>1941.82</v>
      </c>
      <c r="T3466" s="9" t="n">
        <v>2195.96</v>
      </c>
      <c r="U3466" s="10">
        <f>SUM(I3466:T3466)</f>
        <v/>
      </c>
    </row>
    <row r="3467">
      <c r="A3467" s="2" t="inlineStr">
        <is>
          <t>SN-2000-2200-2210-2210HY0007</t>
        </is>
      </c>
      <c r="B3467" s="2" t="inlineStr">
        <is>
          <t>2210HY0007</t>
        </is>
      </c>
      <c r="C3467" s="2" t="inlineStr">
        <is>
          <t>Unidad potencia hidráulica HY0007</t>
        </is>
      </c>
      <c r="D3467" s="2" t="n">
        <v>1156</v>
      </c>
      <c r="E3467" s="2" t="inlineStr">
        <is>
          <t>CC-2000</t>
        </is>
      </c>
      <c r="F3467" s="2" t="inlineStr">
        <is>
          <t>P01</t>
        </is>
      </c>
      <c r="G3467" s="2" t="n">
        <v>610000</v>
      </c>
      <c r="H3467" s="2" t="inlineStr">
        <is>
          <t>Mano obra interna</t>
        </is>
      </c>
      <c r="I3467" s="9" t="n">
        <v>476.29</v>
      </c>
      <c r="J3467" s="9" t="n">
        <v>445.54</v>
      </c>
      <c r="K3467" s="9" t="n">
        <v>509</v>
      </c>
      <c r="L3467" s="9" t="n">
        <v>507.47</v>
      </c>
      <c r="M3467" s="9" t="n">
        <v>493.59</v>
      </c>
      <c r="N3467" s="9" t="n">
        <v>471.11</v>
      </c>
      <c r="O3467" s="9" t="n">
        <v>499.43</v>
      </c>
      <c r="P3467" s="9" t="n">
        <v>478.11</v>
      </c>
      <c r="Q3467" s="9" t="n">
        <v>462.95</v>
      </c>
      <c r="R3467" s="9" t="n">
        <v>510.85</v>
      </c>
      <c r="S3467" s="9" t="n">
        <v>470.58</v>
      </c>
      <c r="T3467" s="9" t="n">
        <v>442.39</v>
      </c>
      <c r="U3467" s="10">
        <f>SUM(I3467:T3467)</f>
        <v/>
      </c>
    </row>
    <row r="3468">
      <c r="A3468" s="2" t="inlineStr">
        <is>
          <t>SN-2000-2200-2210-2210HY0007</t>
        </is>
      </c>
      <c r="B3468" s="2" t="inlineStr">
        <is>
          <t>2210HY0007</t>
        </is>
      </c>
      <c r="C3468" s="2" t="inlineStr">
        <is>
          <t>Unidad potencia hidráulica HY0007</t>
        </is>
      </c>
      <c r="D3468" s="2" t="n">
        <v>1156</v>
      </c>
      <c r="E3468" s="2" t="inlineStr">
        <is>
          <t>CC-2000</t>
        </is>
      </c>
      <c r="F3468" s="2" t="inlineStr">
        <is>
          <t>P01</t>
        </is>
      </c>
      <c r="G3468" s="2" t="n">
        <v>620000</v>
      </c>
      <c r="H3468" s="2" t="inlineStr">
        <is>
          <t>Materiales</t>
        </is>
      </c>
      <c r="I3468" s="9" t="n">
        <v>586.17</v>
      </c>
      <c r="J3468" s="9" t="n">
        <v>532.41</v>
      </c>
      <c r="K3468" s="9" t="n">
        <v>526.38</v>
      </c>
      <c r="L3468" s="9" t="n">
        <v>551.36</v>
      </c>
      <c r="M3468" s="9" t="n">
        <v>549.2</v>
      </c>
      <c r="N3468" s="9" t="n">
        <v>535.72</v>
      </c>
      <c r="O3468" s="9" t="n">
        <v>539.4299999999999</v>
      </c>
      <c r="P3468" s="9" t="n">
        <v>512.48</v>
      </c>
      <c r="Q3468" s="9" t="n">
        <v>534.16</v>
      </c>
      <c r="R3468" s="9" t="n">
        <v>604.64</v>
      </c>
      <c r="S3468" s="9" t="n">
        <v>500.92</v>
      </c>
      <c r="T3468" s="9" t="n">
        <v>572.3200000000001</v>
      </c>
      <c r="U3468" s="10">
        <f>SUM(I3468:T3468)</f>
        <v/>
      </c>
    </row>
    <row r="3469">
      <c r="A3469" s="2" t="inlineStr">
        <is>
          <t>SN-2000-2200-2210-2210HY0007</t>
        </is>
      </c>
      <c r="B3469" s="2" t="inlineStr">
        <is>
          <t>2210HY0007</t>
        </is>
      </c>
      <c r="C3469" s="2" t="inlineStr">
        <is>
          <t>Unidad potencia hidráulica HY0007</t>
        </is>
      </c>
      <c r="D3469" s="2" t="n">
        <v>1156</v>
      </c>
      <c r="E3469" s="2" t="inlineStr">
        <is>
          <t>CC-2000</t>
        </is>
      </c>
      <c r="F3469" s="2" t="inlineStr">
        <is>
          <t>P01</t>
        </is>
      </c>
      <c r="G3469" s="2" t="n">
        <v>630000</v>
      </c>
      <c r="H3469" s="2" t="inlineStr">
        <is>
          <t>Servicios externos</t>
        </is>
      </c>
      <c r="I3469" s="9" t="n">
        <v>486.02</v>
      </c>
      <c r="J3469" s="9" t="n">
        <v>511.48</v>
      </c>
      <c r="K3469" s="9" t="n">
        <v>536.6</v>
      </c>
      <c r="L3469" s="9" t="n">
        <v>493.5</v>
      </c>
      <c r="M3469" s="9" t="n">
        <v>447.59</v>
      </c>
      <c r="N3469" s="9" t="n">
        <v>445.73</v>
      </c>
      <c r="O3469" s="9" t="n">
        <v>523.21</v>
      </c>
      <c r="P3469" s="9" t="n">
        <v>521.76</v>
      </c>
      <c r="Q3469" s="9" t="n">
        <v>453.49</v>
      </c>
      <c r="R3469" s="9" t="n">
        <v>512.73</v>
      </c>
      <c r="S3469" s="9" t="n">
        <v>460.16</v>
      </c>
      <c r="T3469" s="9" t="n">
        <v>529.77</v>
      </c>
      <c r="U3469" s="10">
        <f>SUM(I3469:T3469)</f>
        <v/>
      </c>
    </row>
    <row r="3470">
      <c r="A3470" s="2" t="inlineStr">
        <is>
          <t>SN-2000-2200-2210-2210ME0001</t>
        </is>
      </c>
      <c r="B3470" s="2" t="inlineStr">
        <is>
          <t>2210ME0001</t>
        </is>
      </c>
      <c r="C3470" s="2" t="inlineStr">
        <is>
          <t>Sistema lanzas ME0001</t>
        </is>
      </c>
      <c r="D3470" s="2" t="n">
        <v>1157</v>
      </c>
      <c r="E3470" s="2" t="inlineStr">
        <is>
          <t>CC-2000</t>
        </is>
      </c>
      <c r="F3470" s="2" t="inlineStr">
        <is>
          <t>P01</t>
        </is>
      </c>
      <c r="G3470" s="2" t="n">
        <v>610000</v>
      </c>
      <c r="H3470" s="2" t="inlineStr">
        <is>
          <t>Mano obra interna</t>
        </is>
      </c>
      <c r="I3470" s="9" t="n">
        <v>1100.45</v>
      </c>
      <c r="J3470" s="9" t="n">
        <v>1098.86</v>
      </c>
      <c r="K3470" s="9" t="n">
        <v>1058.44</v>
      </c>
      <c r="L3470" s="9" t="n">
        <v>1056.4</v>
      </c>
      <c r="M3470" s="9" t="n">
        <v>1040.68</v>
      </c>
      <c r="N3470" s="9" t="n">
        <v>1054.1</v>
      </c>
      <c r="O3470" s="9" t="n">
        <v>1131.16</v>
      </c>
      <c r="P3470" s="9" t="n">
        <v>1083.22</v>
      </c>
      <c r="Q3470" s="9" t="n">
        <v>942.79</v>
      </c>
      <c r="R3470" s="9" t="n">
        <v>1150.39</v>
      </c>
      <c r="S3470" s="9" t="n">
        <v>979.58</v>
      </c>
      <c r="T3470" s="9" t="n">
        <v>1020.03</v>
      </c>
      <c r="U3470" s="10">
        <f>SUM(I3470:T3470)</f>
        <v/>
      </c>
    </row>
    <row r="3471">
      <c r="A3471" s="2" t="inlineStr">
        <is>
          <t>SN-2000-2200-2210-2210ME0001</t>
        </is>
      </c>
      <c r="B3471" s="2" t="inlineStr">
        <is>
          <t>2210ME0001</t>
        </is>
      </c>
      <c r="C3471" s="2" t="inlineStr">
        <is>
          <t>Sistema lanzas ME0001</t>
        </is>
      </c>
      <c r="D3471" s="2" t="n">
        <v>1157</v>
      </c>
      <c r="E3471" s="2" t="inlineStr">
        <is>
          <t>CC-2000</t>
        </is>
      </c>
      <c r="F3471" s="2" t="inlineStr">
        <is>
          <t>P01</t>
        </is>
      </c>
      <c r="G3471" s="2" t="n">
        <v>620000</v>
      </c>
      <c r="H3471" s="2" t="inlineStr">
        <is>
          <t>Materiales</t>
        </is>
      </c>
      <c r="I3471" s="9" t="n">
        <v>1189.31</v>
      </c>
      <c r="J3471" s="9" t="n">
        <v>1127.09</v>
      </c>
      <c r="K3471" s="9" t="n">
        <v>1169.32</v>
      </c>
      <c r="L3471" s="9" t="n">
        <v>1150.02</v>
      </c>
      <c r="M3471" s="9" t="n">
        <v>1142.82</v>
      </c>
      <c r="N3471" s="9" t="n">
        <v>1080.06</v>
      </c>
      <c r="O3471" s="9" t="n">
        <v>1108.31</v>
      </c>
      <c r="P3471" s="9" t="n">
        <v>1061.47</v>
      </c>
      <c r="Q3471" s="9" t="n">
        <v>946.1900000000001</v>
      </c>
      <c r="R3471" s="9" t="n">
        <v>1163.62</v>
      </c>
      <c r="S3471" s="9" t="n">
        <v>1122.53</v>
      </c>
      <c r="T3471" s="9" t="n">
        <v>1116.54</v>
      </c>
      <c r="U3471" s="10">
        <f>SUM(I3471:T3471)</f>
        <v/>
      </c>
    </row>
    <row r="3472">
      <c r="A3472" s="2" t="inlineStr">
        <is>
          <t>SN-2000-2200-2210-2210ME0001</t>
        </is>
      </c>
      <c r="B3472" s="2" t="inlineStr">
        <is>
          <t>2210ME0001</t>
        </is>
      </c>
      <c r="C3472" s="2" t="inlineStr">
        <is>
          <t>Sistema lanzas ME0001</t>
        </is>
      </c>
      <c r="D3472" s="2" t="n">
        <v>1157</v>
      </c>
      <c r="E3472" s="2" t="inlineStr">
        <is>
          <t>CC-2000</t>
        </is>
      </c>
      <c r="F3472" s="2" t="inlineStr">
        <is>
          <t>P01</t>
        </is>
      </c>
      <c r="G3472" s="2" t="n">
        <v>630000</v>
      </c>
      <c r="H3472" s="2" t="inlineStr">
        <is>
          <t>Servicios externos</t>
        </is>
      </c>
      <c r="I3472" s="9" t="n">
        <v>1021.23</v>
      </c>
      <c r="J3472" s="9" t="n">
        <v>956.97</v>
      </c>
      <c r="K3472" s="9" t="n">
        <v>1077.57</v>
      </c>
      <c r="L3472" s="9" t="n">
        <v>944.4400000000001</v>
      </c>
      <c r="M3472" s="9" t="n">
        <v>999.77</v>
      </c>
      <c r="N3472" s="9" t="n">
        <v>961.3</v>
      </c>
      <c r="O3472" s="9" t="n">
        <v>1053.15</v>
      </c>
      <c r="P3472" s="9" t="n">
        <v>986.49</v>
      </c>
      <c r="Q3472" s="9" t="n">
        <v>963.61</v>
      </c>
      <c r="R3472" s="9" t="n">
        <v>973.58</v>
      </c>
      <c r="S3472" s="9" t="n">
        <v>888.8</v>
      </c>
      <c r="T3472" s="9" t="n">
        <v>967.14</v>
      </c>
      <c r="U3472" s="10">
        <f>SUM(I3472:T3472)</f>
        <v/>
      </c>
    </row>
    <row r="3473">
      <c r="A3473" s="2" t="inlineStr">
        <is>
          <t>SN-2000-2200-2210-2210ME0002</t>
        </is>
      </c>
      <c r="B3473" s="2" t="inlineStr">
        <is>
          <t>2210ME0002</t>
        </is>
      </c>
      <c r="C3473" s="2" t="inlineStr">
        <is>
          <t>Sistema lanzas ME0002</t>
        </is>
      </c>
      <c r="D3473" s="2" t="n">
        <v>1158</v>
      </c>
      <c r="E3473" s="2" t="inlineStr">
        <is>
          <t>CC-2000</t>
        </is>
      </c>
      <c r="F3473" s="2" t="inlineStr">
        <is>
          <t>P01</t>
        </is>
      </c>
      <c r="G3473" s="2" t="n">
        <v>610000</v>
      </c>
      <c r="H3473" s="2" t="inlineStr">
        <is>
          <t>Mano obra interna</t>
        </is>
      </c>
      <c r="I3473" s="9" t="n">
        <v>883.64</v>
      </c>
      <c r="J3473" s="9" t="n">
        <v>818.6</v>
      </c>
      <c r="K3473" s="9" t="n">
        <v>913.17</v>
      </c>
      <c r="L3473" s="9" t="n">
        <v>901.46</v>
      </c>
      <c r="M3473" s="9" t="n">
        <v>867.05</v>
      </c>
      <c r="N3473" s="9" t="n">
        <v>779.7</v>
      </c>
      <c r="O3473" s="9" t="n">
        <v>932.75</v>
      </c>
      <c r="P3473" s="9" t="n">
        <v>884.92</v>
      </c>
      <c r="Q3473" s="9" t="n">
        <v>781.7</v>
      </c>
      <c r="R3473" s="9" t="n">
        <v>969.37</v>
      </c>
      <c r="S3473" s="9" t="n">
        <v>820.22</v>
      </c>
      <c r="T3473" s="9" t="n">
        <v>886.49</v>
      </c>
      <c r="U3473" s="10">
        <f>SUM(I3473:T3473)</f>
        <v/>
      </c>
    </row>
    <row r="3474">
      <c r="A3474" s="2" t="inlineStr">
        <is>
          <t>SN-2000-2200-2210-2210ME0002</t>
        </is>
      </c>
      <c r="B3474" s="2" t="inlineStr">
        <is>
          <t>2210ME0002</t>
        </is>
      </c>
      <c r="C3474" s="2" t="inlineStr">
        <is>
          <t>Sistema lanzas ME0002</t>
        </is>
      </c>
      <c r="D3474" s="2" t="n">
        <v>1158</v>
      </c>
      <c r="E3474" s="2" t="inlineStr">
        <is>
          <t>CC-2000</t>
        </is>
      </c>
      <c r="F3474" s="2" t="inlineStr">
        <is>
          <t>P01</t>
        </is>
      </c>
      <c r="G3474" s="2" t="n">
        <v>620000</v>
      </c>
      <c r="H3474" s="2" t="inlineStr">
        <is>
          <t>Materiales</t>
        </is>
      </c>
      <c r="I3474" s="9" t="n">
        <v>838.33</v>
      </c>
      <c r="J3474" s="9" t="n">
        <v>822.63</v>
      </c>
      <c r="K3474" s="9" t="n">
        <v>755.3</v>
      </c>
      <c r="L3474" s="9" t="n">
        <v>730.86</v>
      </c>
      <c r="M3474" s="9" t="n">
        <v>731.6900000000001</v>
      </c>
      <c r="N3474" s="9" t="n">
        <v>750.74</v>
      </c>
      <c r="O3474" s="9" t="n">
        <v>734.05</v>
      </c>
      <c r="P3474" s="9" t="n">
        <v>812.0700000000001</v>
      </c>
      <c r="Q3474" s="9" t="n">
        <v>710.0599999999999</v>
      </c>
      <c r="R3474" s="9" t="n">
        <v>849.5700000000001</v>
      </c>
      <c r="S3474" s="9" t="n">
        <v>744.0599999999999</v>
      </c>
      <c r="T3474" s="9" t="n">
        <v>836.29</v>
      </c>
      <c r="U3474" s="10">
        <f>SUM(I3474:T3474)</f>
        <v/>
      </c>
    </row>
    <row r="3475">
      <c r="A3475" s="2" t="inlineStr">
        <is>
          <t>SN-2000-2200-2210-2210ME0002</t>
        </is>
      </c>
      <c r="B3475" s="2" t="inlineStr">
        <is>
          <t>2210ME0002</t>
        </is>
      </c>
      <c r="C3475" s="2" t="inlineStr">
        <is>
          <t>Sistema lanzas ME0002</t>
        </is>
      </c>
      <c r="D3475" s="2" t="n">
        <v>1158</v>
      </c>
      <c r="E3475" s="2" t="inlineStr">
        <is>
          <t>CC-2000</t>
        </is>
      </c>
      <c r="F3475" s="2" t="inlineStr">
        <is>
          <t>P01</t>
        </is>
      </c>
      <c r="G3475" s="2" t="n">
        <v>630000</v>
      </c>
      <c r="H3475" s="2" t="inlineStr">
        <is>
          <t>Servicios externos</t>
        </is>
      </c>
      <c r="I3475" s="9" t="n">
        <v>742.1</v>
      </c>
      <c r="J3475" s="9" t="n">
        <v>707.41</v>
      </c>
      <c r="K3475" s="9" t="n">
        <v>740.71</v>
      </c>
      <c r="L3475" s="9" t="n">
        <v>706.8099999999999</v>
      </c>
      <c r="M3475" s="9" t="n">
        <v>640.1900000000001</v>
      </c>
      <c r="N3475" s="9" t="n">
        <v>690.71</v>
      </c>
      <c r="O3475" s="9" t="n">
        <v>738.52</v>
      </c>
      <c r="P3475" s="9" t="n">
        <v>654.1900000000001</v>
      </c>
      <c r="Q3475" s="9" t="n">
        <v>646.65</v>
      </c>
      <c r="R3475" s="9" t="n">
        <v>715.39</v>
      </c>
      <c r="S3475" s="9" t="n">
        <v>690.87</v>
      </c>
      <c r="T3475" s="9" t="n">
        <v>744.15</v>
      </c>
      <c r="U3475" s="10">
        <f>SUM(I3475:T3475)</f>
        <v/>
      </c>
    </row>
    <row r="3476">
      <c r="A3476" s="2" t="inlineStr">
        <is>
          <t>SN-2000-2200-2210-2210ME0005</t>
        </is>
      </c>
      <c r="B3476" s="2" t="inlineStr">
        <is>
          <t>2210ME0005</t>
        </is>
      </c>
      <c r="C3476" s="2" t="inlineStr">
        <is>
          <t>Plataforma móvil ME0005</t>
        </is>
      </c>
      <c r="D3476" s="2" t="n">
        <v>1159</v>
      </c>
      <c r="E3476" s="2" t="inlineStr">
        <is>
          <t>CC-2000</t>
        </is>
      </c>
      <c r="F3476" s="2" t="inlineStr">
        <is>
          <t>P01</t>
        </is>
      </c>
      <c r="G3476" s="2" t="n">
        <v>610000</v>
      </c>
      <c r="H3476" s="2" t="inlineStr">
        <is>
          <t>Mano obra interna</t>
        </is>
      </c>
      <c r="I3476" s="9" t="n">
        <v>1896.47</v>
      </c>
      <c r="J3476" s="9" t="n">
        <v>1775.85</v>
      </c>
      <c r="K3476" s="9" t="n">
        <v>2066.93</v>
      </c>
      <c r="L3476" s="9" t="n">
        <v>1900.53</v>
      </c>
      <c r="M3476" s="9" t="n">
        <v>1748.87</v>
      </c>
      <c r="N3476" s="9" t="n">
        <v>1850.29</v>
      </c>
      <c r="O3476" s="9" t="n">
        <v>1836.72</v>
      </c>
      <c r="P3476" s="9" t="n">
        <v>2016.4</v>
      </c>
      <c r="Q3476" s="9" t="n">
        <v>1679.51</v>
      </c>
      <c r="R3476" s="9" t="n">
        <v>2041.98</v>
      </c>
      <c r="S3476" s="9" t="n">
        <v>1779.17</v>
      </c>
      <c r="T3476" s="9" t="n">
        <v>2000.76</v>
      </c>
      <c r="U3476" s="10">
        <f>SUM(I3476:T3476)</f>
        <v/>
      </c>
    </row>
    <row r="3477">
      <c r="A3477" s="2" t="inlineStr">
        <is>
          <t>SN-2000-2200-2210-2210ME0005</t>
        </is>
      </c>
      <c r="B3477" s="2" t="inlineStr">
        <is>
          <t>2210ME0005</t>
        </is>
      </c>
      <c r="C3477" s="2" t="inlineStr">
        <is>
          <t>Plataforma móvil ME0005</t>
        </is>
      </c>
      <c r="D3477" s="2" t="n">
        <v>1159</v>
      </c>
      <c r="E3477" s="2" t="inlineStr">
        <is>
          <t>CC-2000</t>
        </is>
      </c>
      <c r="F3477" s="2" t="inlineStr">
        <is>
          <t>P01</t>
        </is>
      </c>
      <c r="G3477" s="2" t="n">
        <v>620000</v>
      </c>
      <c r="H3477" s="2" t="inlineStr">
        <is>
          <t>Materiales</t>
        </is>
      </c>
      <c r="I3477" s="9" t="n">
        <v>1895</v>
      </c>
      <c r="J3477" s="9" t="n">
        <v>1735.3</v>
      </c>
      <c r="K3477" s="9" t="n">
        <v>1684.87</v>
      </c>
      <c r="L3477" s="9" t="n">
        <v>1730.22</v>
      </c>
      <c r="M3477" s="9" t="n">
        <v>1895.57</v>
      </c>
      <c r="N3477" s="9" t="n">
        <v>1670.12</v>
      </c>
      <c r="O3477" s="9" t="n">
        <v>1808.67</v>
      </c>
      <c r="P3477" s="9" t="n">
        <v>1887.23</v>
      </c>
      <c r="Q3477" s="9" t="n">
        <v>1524.45</v>
      </c>
      <c r="R3477" s="9" t="n">
        <v>1961.68</v>
      </c>
      <c r="S3477" s="9" t="n">
        <v>1658.94</v>
      </c>
      <c r="T3477" s="9" t="n">
        <v>1736.48</v>
      </c>
      <c r="U3477" s="10">
        <f>SUM(I3477:T3477)</f>
        <v/>
      </c>
    </row>
    <row r="3478">
      <c r="A3478" s="2" t="inlineStr">
        <is>
          <t>SN-2000-2200-2210-2210ME0005</t>
        </is>
      </c>
      <c r="B3478" s="2" t="inlineStr">
        <is>
          <t>2210ME0005</t>
        </is>
      </c>
      <c r="C3478" s="2" t="inlineStr">
        <is>
          <t>Plataforma móvil ME0005</t>
        </is>
      </c>
      <c r="D3478" s="2" t="n">
        <v>1159</v>
      </c>
      <c r="E3478" s="2" t="inlineStr">
        <is>
          <t>CC-2000</t>
        </is>
      </c>
      <c r="F3478" s="2" t="inlineStr">
        <is>
          <t>P01</t>
        </is>
      </c>
      <c r="G3478" s="2" t="n">
        <v>630000</v>
      </c>
      <c r="H3478" s="2" t="inlineStr">
        <is>
          <t>Servicios externos</t>
        </is>
      </c>
      <c r="I3478" s="9" t="n">
        <v>1715.87</v>
      </c>
      <c r="J3478" s="9" t="n">
        <v>1542.1</v>
      </c>
      <c r="K3478" s="9" t="n">
        <v>1534.67</v>
      </c>
      <c r="L3478" s="9" t="n">
        <v>1528.17</v>
      </c>
      <c r="M3478" s="9" t="n">
        <v>1492.84</v>
      </c>
      <c r="N3478" s="9" t="n">
        <v>1625.62</v>
      </c>
      <c r="O3478" s="9" t="n">
        <v>1580.46</v>
      </c>
      <c r="P3478" s="9" t="n">
        <v>1703.43</v>
      </c>
      <c r="Q3478" s="9" t="n">
        <v>1563.4</v>
      </c>
      <c r="R3478" s="9" t="n">
        <v>1816.84</v>
      </c>
      <c r="S3478" s="9" t="n">
        <v>1494.49</v>
      </c>
      <c r="T3478" s="9" t="n">
        <v>1562.69</v>
      </c>
      <c r="U3478" s="10">
        <f>SUM(I3478:T3478)</f>
        <v/>
      </c>
    </row>
    <row r="3479">
      <c r="A3479" s="2" t="inlineStr">
        <is>
          <t>SN-2000-2200-2210-2210ME0006</t>
        </is>
      </c>
      <c r="B3479" s="2" t="inlineStr">
        <is>
          <t>2210ME0006</t>
        </is>
      </c>
      <c r="C3479" s="2" t="inlineStr">
        <is>
          <t>Plataforma móvil ME0006</t>
        </is>
      </c>
      <c r="D3479" s="2" t="n">
        <v>1160</v>
      </c>
      <c r="E3479" s="2" t="inlineStr">
        <is>
          <t>CC-2000</t>
        </is>
      </c>
      <c r="F3479" s="2" t="inlineStr">
        <is>
          <t>P01</t>
        </is>
      </c>
      <c r="G3479" s="2" t="n">
        <v>610000</v>
      </c>
      <c r="H3479" s="2" t="inlineStr">
        <is>
          <t>Mano obra interna</t>
        </is>
      </c>
      <c r="I3479" s="9" t="n">
        <v>255.95</v>
      </c>
      <c r="J3479" s="9" t="n">
        <v>250.58</v>
      </c>
      <c r="K3479" s="9" t="n">
        <v>243.37</v>
      </c>
      <c r="L3479" s="9" t="n">
        <v>279.26</v>
      </c>
      <c r="M3479" s="9" t="n">
        <v>233.66</v>
      </c>
      <c r="N3479" s="9" t="n">
        <v>230.42</v>
      </c>
      <c r="O3479" s="9" t="n">
        <v>261.43</v>
      </c>
      <c r="P3479" s="9" t="n">
        <v>239.88</v>
      </c>
      <c r="Q3479" s="9" t="n">
        <v>221.63</v>
      </c>
      <c r="R3479" s="9" t="n">
        <v>258.8</v>
      </c>
      <c r="S3479" s="9" t="n">
        <v>228.71</v>
      </c>
      <c r="T3479" s="9" t="n">
        <v>247.58</v>
      </c>
      <c r="U3479" s="10">
        <f>SUM(I3479:T3479)</f>
        <v/>
      </c>
    </row>
    <row r="3480">
      <c r="A3480" s="2" t="inlineStr">
        <is>
          <t>SN-2000-2200-2210-2210ME0006</t>
        </is>
      </c>
      <c r="B3480" s="2" t="inlineStr">
        <is>
          <t>2210ME0006</t>
        </is>
      </c>
      <c r="C3480" s="2" t="inlineStr">
        <is>
          <t>Plataforma móvil ME0006</t>
        </is>
      </c>
      <c r="D3480" s="2" t="n">
        <v>1160</v>
      </c>
      <c r="E3480" s="2" t="inlineStr">
        <is>
          <t>CC-2000</t>
        </is>
      </c>
      <c r="F3480" s="2" t="inlineStr">
        <is>
          <t>P01</t>
        </is>
      </c>
      <c r="G3480" s="2" t="n">
        <v>620000</v>
      </c>
      <c r="H3480" s="2" t="inlineStr">
        <is>
          <t>Materiales</t>
        </is>
      </c>
      <c r="I3480" s="9" t="n">
        <v>223.39</v>
      </c>
      <c r="J3480" s="9" t="n">
        <v>213.45</v>
      </c>
      <c r="K3480" s="9" t="n">
        <v>224.85</v>
      </c>
      <c r="L3480" s="9" t="n">
        <v>227.85</v>
      </c>
      <c r="M3480" s="9" t="n">
        <v>207.29</v>
      </c>
      <c r="N3480" s="9" t="n">
        <v>197.03</v>
      </c>
      <c r="O3480" s="9" t="n">
        <v>232.25</v>
      </c>
      <c r="P3480" s="9" t="n">
        <v>223.4</v>
      </c>
      <c r="Q3480" s="9" t="n">
        <v>189.42</v>
      </c>
      <c r="R3480" s="9" t="n">
        <v>253.45</v>
      </c>
      <c r="S3480" s="9" t="n">
        <v>218.43</v>
      </c>
      <c r="T3480" s="9" t="n">
        <v>209.75</v>
      </c>
      <c r="U3480" s="10">
        <f>SUM(I3480:T3480)</f>
        <v/>
      </c>
    </row>
    <row r="3481">
      <c r="A3481" s="2" t="inlineStr">
        <is>
          <t>SN-2000-2200-2210-2210ME0006</t>
        </is>
      </c>
      <c r="B3481" s="2" t="inlineStr">
        <is>
          <t>2210ME0006</t>
        </is>
      </c>
      <c r="C3481" s="2" t="inlineStr">
        <is>
          <t>Plataforma móvil ME0006</t>
        </is>
      </c>
      <c r="D3481" s="2" t="n">
        <v>1160</v>
      </c>
      <c r="E3481" s="2" t="inlineStr">
        <is>
          <t>CC-2000</t>
        </is>
      </c>
      <c r="F3481" s="2" t="inlineStr">
        <is>
          <t>P01</t>
        </is>
      </c>
      <c r="G3481" s="2" t="n">
        <v>630000</v>
      </c>
      <c r="H3481" s="2" t="inlineStr">
        <is>
          <t>Servicios externos</t>
        </is>
      </c>
      <c r="I3481" s="9" t="n">
        <v>268.88</v>
      </c>
      <c r="J3481" s="9" t="n">
        <v>285.67</v>
      </c>
      <c r="K3481" s="9" t="n">
        <v>260.08</v>
      </c>
      <c r="L3481" s="9" t="n">
        <v>260.16</v>
      </c>
      <c r="M3481" s="9" t="n">
        <v>273.12</v>
      </c>
      <c r="N3481" s="9" t="n">
        <v>237.69</v>
      </c>
      <c r="O3481" s="9" t="n">
        <v>248.57</v>
      </c>
      <c r="P3481" s="9" t="n">
        <v>281.56</v>
      </c>
      <c r="Q3481" s="9" t="n">
        <v>237.26</v>
      </c>
      <c r="R3481" s="9" t="n">
        <v>309.75</v>
      </c>
      <c r="S3481" s="9" t="n">
        <v>257.5</v>
      </c>
      <c r="T3481" s="9" t="n">
        <v>289.52</v>
      </c>
      <c r="U3481" s="10">
        <f>SUM(I3481:T3481)</f>
        <v/>
      </c>
    </row>
    <row r="3482">
      <c r="A3482" s="2" t="inlineStr">
        <is>
          <t>SN-3000-3100-3110-3110BN0006</t>
        </is>
      </c>
      <c r="B3482" s="2" t="inlineStr">
        <is>
          <t>3110BN0006</t>
        </is>
      </c>
      <c r="C3482" s="2" t="inlineStr">
        <is>
          <t>Tolva desechos BN0006</t>
        </is>
      </c>
      <c r="D3482" s="2" t="n">
        <v>1161</v>
      </c>
      <c r="E3482" s="2" t="inlineStr">
        <is>
          <t>CC-3000</t>
        </is>
      </c>
      <c r="F3482" s="2" t="inlineStr">
        <is>
          <t>P01</t>
        </is>
      </c>
      <c r="G3482" s="2" t="n">
        <v>610000</v>
      </c>
      <c r="H3482" s="2" t="inlineStr">
        <is>
          <t>Mano obra interna</t>
        </is>
      </c>
      <c r="I3482" s="9" t="n">
        <v>263.4</v>
      </c>
      <c r="J3482" s="9" t="n">
        <v>245.47</v>
      </c>
      <c r="K3482" s="9" t="n">
        <v>271.61</v>
      </c>
      <c r="L3482" s="9" t="n">
        <v>254.81</v>
      </c>
      <c r="M3482" s="9" t="n">
        <v>242.87</v>
      </c>
      <c r="N3482" s="9" t="n">
        <v>229.04</v>
      </c>
      <c r="O3482" s="9" t="n">
        <v>238.72</v>
      </c>
      <c r="P3482" s="9" t="n">
        <v>248.62</v>
      </c>
      <c r="Q3482" s="9" t="n">
        <v>248.07</v>
      </c>
      <c r="R3482" s="9" t="n">
        <v>263.88</v>
      </c>
      <c r="S3482" s="9" t="n">
        <v>240.59</v>
      </c>
      <c r="T3482" s="9" t="n">
        <v>277.49</v>
      </c>
      <c r="U3482" s="10">
        <f>SUM(I3482:T3482)</f>
        <v/>
      </c>
    </row>
    <row r="3483">
      <c r="A3483" s="2" t="inlineStr">
        <is>
          <t>SN-3000-3100-3110-3110BN0006</t>
        </is>
      </c>
      <c r="B3483" s="2" t="inlineStr">
        <is>
          <t>3110BN0006</t>
        </is>
      </c>
      <c r="C3483" s="2" t="inlineStr">
        <is>
          <t>Tolva desechos BN0006</t>
        </is>
      </c>
      <c r="D3483" s="2" t="n">
        <v>1161</v>
      </c>
      <c r="E3483" s="2" t="inlineStr">
        <is>
          <t>CC-3000</t>
        </is>
      </c>
      <c r="F3483" s="2" t="inlineStr">
        <is>
          <t>P01</t>
        </is>
      </c>
      <c r="G3483" s="2" t="n">
        <v>620000</v>
      </c>
      <c r="H3483" s="2" t="inlineStr">
        <is>
          <t>Materiales</t>
        </is>
      </c>
      <c r="I3483" s="9" t="n">
        <v>279.01</v>
      </c>
      <c r="J3483" s="9" t="n">
        <v>268.83</v>
      </c>
      <c r="K3483" s="9" t="n">
        <v>245.76</v>
      </c>
      <c r="L3483" s="9" t="n">
        <v>280.81</v>
      </c>
      <c r="M3483" s="9" t="n">
        <v>235.26</v>
      </c>
      <c r="N3483" s="9" t="n">
        <v>261.53</v>
      </c>
      <c r="O3483" s="9" t="n">
        <v>258.14</v>
      </c>
      <c r="P3483" s="9" t="n">
        <v>257.28</v>
      </c>
      <c r="Q3483" s="9" t="n">
        <v>246.54</v>
      </c>
      <c r="R3483" s="9" t="n">
        <v>292.96</v>
      </c>
      <c r="S3483" s="9" t="n">
        <v>252.57</v>
      </c>
      <c r="T3483" s="9" t="n">
        <v>256.81</v>
      </c>
      <c r="U3483" s="10">
        <f>SUM(I3483:T3483)</f>
        <v/>
      </c>
    </row>
    <row r="3484">
      <c r="A3484" s="2" t="inlineStr">
        <is>
          <t>SN-3000-3100-3110-3110BN0006</t>
        </is>
      </c>
      <c r="B3484" s="2" t="inlineStr">
        <is>
          <t>3110BN0006</t>
        </is>
      </c>
      <c r="C3484" s="2" t="inlineStr">
        <is>
          <t>Tolva desechos BN0006</t>
        </is>
      </c>
      <c r="D3484" s="2" t="n">
        <v>1161</v>
      </c>
      <c r="E3484" s="2" t="inlineStr">
        <is>
          <t>CC-3000</t>
        </is>
      </c>
      <c r="F3484" s="2" t="inlineStr">
        <is>
          <t>P01</t>
        </is>
      </c>
      <c r="G3484" s="2" t="n">
        <v>630000</v>
      </c>
      <c r="H3484" s="2" t="inlineStr">
        <is>
          <t>Servicios externos</t>
        </is>
      </c>
      <c r="I3484" s="9" t="n">
        <v>230.83</v>
      </c>
      <c r="J3484" s="9" t="n">
        <v>200.19</v>
      </c>
      <c r="K3484" s="9" t="n">
        <v>231.03</v>
      </c>
      <c r="L3484" s="9" t="n">
        <v>221.87</v>
      </c>
      <c r="M3484" s="9" t="n">
        <v>209.98</v>
      </c>
      <c r="N3484" s="9" t="n">
        <v>210.36</v>
      </c>
      <c r="O3484" s="9" t="n">
        <v>225.64</v>
      </c>
      <c r="P3484" s="9" t="n">
        <v>231.2</v>
      </c>
      <c r="Q3484" s="9" t="n">
        <v>193.6</v>
      </c>
      <c r="R3484" s="9" t="n">
        <v>249.74</v>
      </c>
      <c r="S3484" s="9" t="n">
        <v>224.65</v>
      </c>
      <c r="T3484" s="9" t="n">
        <v>230.33</v>
      </c>
      <c r="U3484" s="10">
        <f>SUM(I3484:T3484)</f>
        <v/>
      </c>
    </row>
    <row r="3485">
      <c r="A3485" s="2" t="inlineStr">
        <is>
          <t>SN-3000-3100-3110-3110BX0033</t>
        </is>
      </c>
      <c r="B3485" s="2" t="inlineStr">
        <is>
          <t>3110BX0033</t>
        </is>
      </c>
      <c r="C3485" s="2" t="inlineStr">
        <is>
          <t>Cajón bolas BX0033</t>
        </is>
      </c>
      <c r="D3485" s="2" t="n">
        <v>1162</v>
      </c>
      <c r="E3485" s="2" t="inlineStr">
        <is>
          <t>CC-3000</t>
        </is>
      </c>
      <c r="F3485" s="2" t="inlineStr">
        <is>
          <t>P01</t>
        </is>
      </c>
      <c r="G3485" s="2" t="n">
        <v>610000</v>
      </c>
      <c r="H3485" s="2" t="inlineStr">
        <is>
          <t>Mano obra interna</t>
        </is>
      </c>
      <c r="I3485" s="9" t="n">
        <v>860.8099999999999</v>
      </c>
      <c r="J3485" s="9" t="n">
        <v>746.25</v>
      </c>
      <c r="K3485" s="9" t="n">
        <v>854.0700000000001</v>
      </c>
      <c r="L3485" s="9" t="n">
        <v>869.15</v>
      </c>
      <c r="M3485" s="9" t="n">
        <v>866.8</v>
      </c>
      <c r="N3485" s="9" t="n">
        <v>790.9299999999999</v>
      </c>
      <c r="O3485" s="9" t="n">
        <v>856.9400000000001</v>
      </c>
      <c r="P3485" s="9" t="n">
        <v>844.25</v>
      </c>
      <c r="Q3485" s="9" t="n">
        <v>734.79</v>
      </c>
      <c r="R3485" s="9" t="n">
        <v>833.47</v>
      </c>
      <c r="S3485" s="9" t="n">
        <v>823.71</v>
      </c>
      <c r="T3485" s="9" t="n">
        <v>794.83</v>
      </c>
      <c r="U3485" s="10">
        <f>SUM(I3485:T3485)</f>
        <v/>
      </c>
    </row>
    <row r="3486">
      <c r="A3486" s="2" t="inlineStr">
        <is>
          <t>SN-3000-3100-3110-3110BX0033</t>
        </is>
      </c>
      <c r="B3486" s="2" t="inlineStr">
        <is>
          <t>3110BX0033</t>
        </is>
      </c>
      <c r="C3486" s="2" t="inlineStr">
        <is>
          <t>Cajón bolas BX0033</t>
        </is>
      </c>
      <c r="D3486" s="2" t="n">
        <v>1162</v>
      </c>
      <c r="E3486" s="2" t="inlineStr">
        <is>
          <t>CC-3000</t>
        </is>
      </c>
      <c r="F3486" s="2" t="inlineStr">
        <is>
          <t>P01</t>
        </is>
      </c>
      <c r="G3486" s="2" t="n">
        <v>620000</v>
      </c>
      <c r="H3486" s="2" t="inlineStr">
        <is>
          <t>Materiales</t>
        </is>
      </c>
      <c r="I3486" s="9" t="n">
        <v>683.64</v>
      </c>
      <c r="J3486" s="9" t="n">
        <v>674.5</v>
      </c>
      <c r="K3486" s="9" t="n">
        <v>684.21</v>
      </c>
      <c r="L3486" s="9" t="n">
        <v>710.24</v>
      </c>
      <c r="M3486" s="9" t="n">
        <v>617.92</v>
      </c>
      <c r="N3486" s="9" t="n">
        <v>601.05</v>
      </c>
      <c r="O3486" s="9" t="n">
        <v>669.25</v>
      </c>
      <c r="P3486" s="9" t="n">
        <v>688.58</v>
      </c>
      <c r="Q3486" s="9" t="n">
        <v>613.1900000000001</v>
      </c>
      <c r="R3486" s="9" t="n">
        <v>650.63</v>
      </c>
      <c r="S3486" s="9" t="n">
        <v>651.63</v>
      </c>
      <c r="T3486" s="9" t="n">
        <v>697.65</v>
      </c>
      <c r="U3486" s="10">
        <f>SUM(I3486:T3486)</f>
        <v/>
      </c>
    </row>
    <row r="3487">
      <c r="A3487" s="2" t="inlineStr">
        <is>
          <t>SN-3000-3100-3110-3110BX0033</t>
        </is>
      </c>
      <c r="B3487" s="2" t="inlineStr">
        <is>
          <t>3110BX0033</t>
        </is>
      </c>
      <c r="C3487" s="2" t="inlineStr">
        <is>
          <t>Cajón bolas BX0033</t>
        </is>
      </c>
      <c r="D3487" s="2" t="n">
        <v>1162</v>
      </c>
      <c r="E3487" s="2" t="inlineStr">
        <is>
          <t>CC-3000</t>
        </is>
      </c>
      <c r="F3487" s="2" t="inlineStr">
        <is>
          <t>P01</t>
        </is>
      </c>
      <c r="G3487" s="2" t="n">
        <v>630000</v>
      </c>
      <c r="H3487" s="2" t="inlineStr">
        <is>
          <t>Servicios externos</t>
        </is>
      </c>
      <c r="I3487" s="9" t="n">
        <v>655.9400000000001</v>
      </c>
      <c r="J3487" s="9" t="n">
        <v>683.38</v>
      </c>
      <c r="K3487" s="9" t="n">
        <v>661.5</v>
      </c>
      <c r="L3487" s="9" t="n">
        <v>697.65</v>
      </c>
      <c r="M3487" s="9" t="n">
        <v>631.91</v>
      </c>
      <c r="N3487" s="9" t="n">
        <v>632.39</v>
      </c>
      <c r="O3487" s="9" t="n">
        <v>679.9</v>
      </c>
      <c r="P3487" s="9" t="n">
        <v>648.4299999999999</v>
      </c>
      <c r="Q3487" s="9" t="n">
        <v>604.3099999999999</v>
      </c>
      <c r="R3487" s="9" t="n">
        <v>785.21</v>
      </c>
      <c r="S3487" s="9" t="n">
        <v>620.66</v>
      </c>
      <c r="T3487" s="9" t="n">
        <v>723.4</v>
      </c>
      <c r="U3487" s="10">
        <f>SUM(I3487:T3487)</f>
        <v/>
      </c>
    </row>
    <row r="3488">
      <c r="A3488" s="2" t="inlineStr">
        <is>
          <t>SN-3000-3100-3110-3110HO0001</t>
        </is>
      </c>
      <c r="B3488" s="2" t="inlineStr">
        <is>
          <t>3110HO0001</t>
        </is>
      </c>
      <c r="C3488" s="2" t="inlineStr">
        <is>
          <t>Tolva bolas HO0001</t>
        </is>
      </c>
      <c r="D3488" s="2" t="n">
        <v>1163</v>
      </c>
      <c r="E3488" s="2" t="inlineStr">
        <is>
          <t>CC-3000</t>
        </is>
      </c>
      <c r="F3488" s="2" t="inlineStr">
        <is>
          <t>P01</t>
        </is>
      </c>
      <c r="G3488" s="2" t="n">
        <v>610000</v>
      </c>
      <c r="H3488" s="2" t="inlineStr">
        <is>
          <t>Mano obra interna</t>
        </is>
      </c>
      <c r="I3488" s="9" t="n">
        <v>1367.63</v>
      </c>
      <c r="J3488" s="9" t="n">
        <v>1333.92</v>
      </c>
      <c r="K3488" s="9" t="n">
        <v>1502.14</v>
      </c>
      <c r="L3488" s="9" t="n">
        <v>1412.29</v>
      </c>
      <c r="M3488" s="9" t="n">
        <v>1403.79</v>
      </c>
      <c r="N3488" s="9" t="n">
        <v>1434.46</v>
      </c>
      <c r="O3488" s="9" t="n">
        <v>1341.96</v>
      </c>
      <c r="P3488" s="9" t="n">
        <v>1450</v>
      </c>
      <c r="Q3488" s="9" t="n">
        <v>1419.23</v>
      </c>
      <c r="R3488" s="9" t="n">
        <v>1426.77</v>
      </c>
      <c r="S3488" s="9" t="n">
        <v>1281.32</v>
      </c>
      <c r="T3488" s="9" t="n">
        <v>1457.63</v>
      </c>
      <c r="U3488" s="10">
        <f>SUM(I3488:T3488)</f>
        <v/>
      </c>
    </row>
    <row r="3489">
      <c r="A3489" s="2" t="inlineStr">
        <is>
          <t>SN-3000-3100-3110-3110HO0001</t>
        </is>
      </c>
      <c r="B3489" s="2" t="inlineStr">
        <is>
          <t>3110HO0001</t>
        </is>
      </c>
      <c r="C3489" s="2" t="inlineStr">
        <is>
          <t>Tolva bolas HO0001</t>
        </is>
      </c>
      <c r="D3489" s="2" t="n">
        <v>1163</v>
      </c>
      <c r="E3489" s="2" t="inlineStr">
        <is>
          <t>CC-3000</t>
        </is>
      </c>
      <c r="F3489" s="2" t="inlineStr">
        <is>
          <t>P01</t>
        </is>
      </c>
      <c r="G3489" s="2" t="n">
        <v>620000</v>
      </c>
      <c r="H3489" s="2" t="inlineStr">
        <is>
          <t>Materiales</t>
        </is>
      </c>
      <c r="I3489" s="9" t="n">
        <v>1400.92</v>
      </c>
      <c r="J3489" s="9" t="n">
        <v>1376.51</v>
      </c>
      <c r="K3489" s="9" t="n">
        <v>1386.85</v>
      </c>
      <c r="L3489" s="9" t="n">
        <v>1435.87</v>
      </c>
      <c r="M3489" s="9" t="n">
        <v>1318.05</v>
      </c>
      <c r="N3489" s="9" t="n">
        <v>1349.08</v>
      </c>
      <c r="O3489" s="9" t="n">
        <v>1449.98</v>
      </c>
      <c r="P3489" s="9" t="n">
        <v>1544.59</v>
      </c>
      <c r="Q3489" s="9" t="n">
        <v>1405.39</v>
      </c>
      <c r="R3489" s="9" t="n">
        <v>1629.06</v>
      </c>
      <c r="S3489" s="9" t="n">
        <v>1330.2</v>
      </c>
      <c r="T3489" s="9" t="n">
        <v>1361.61</v>
      </c>
      <c r="U3489" s="10">
        <f>SUM(I3489:T3489)</f>
        <v/>
      </c>
    </row>
    <row r="3490">
      <c r="A3490" s="2" t="inlineStr">
        <is>
          <t>SN-3000-3100-3110-3110HO0001</t>
        </is>
      </c>
      <c r="B3490" s="2" t="inlineStr">
        <is>
          <t>3110HO0001</t>
        </is>
      </c>
      <c r="C3490" s="2" t="inlineStr">
        <is>
          <t>Tolva bolas HO0001</t>
        </is>
      </c>
      <c r="D3490" s="2" t="n">
        <v>1163</v>
      </c>
      <c r="E3490" s="2" t="inlineStr">
        <is>
          <t>CC-3000</t>
        </is>
      </c>
      <c r="F3490" s="2" t="inlineStr">
        <is>
          <t>P01</t>
        </is>
      </c>
      <c r="G3490" s="2" t="n">
        <v>630000</v>
      </c>
      <c r="H3490" s="2" t="inlineStr">
        <is>
          <t>Servicios externos</t>
        </is>
      </c>
      <c r="I3490" s="9" t="n">
        <v>1318.25</v>
      </c>
      <c r="J3490" s="9" t="n">
        <v>1270.84</v>
      </c>
      <c r="K3490" s="9" t="n">
        <v>1244.64</v>
      </c>
      <c r="L3490" s="9" t="n">
        <v>1314.06</v>
      </c>
      <c r="M3490" s="9" t="n">
        <v>1202.41</v>
      </c>
      <c r="N3490" s="9" t="n">
        <v>1215.1</v>
      </c>
      <c r="O3490" s="9" t="n">
        <v>1197.36</v>
      </c>
      <c r="P3490" s="9" t="n">
        <v>1359.45</v>
      </c>
      <c r="Q3490" s="9" t="n">
        <v>1104.7</v>
      </c>
      <c r="R3490" s="9" t="n">
        <v>1485.47</v>
      </c>
      <c r="S3490" s="9" t="n">
        <v>1318.21</v>
      </c>
      <c r="T3490" s="9" t="n">
        <v>1358.87</v>
      </c>
      <c r="U3490" s="10">
        <f>SUM(I3490:T3490)</f>
        <v/>
      </c>
    </row>
    <row r="3491">
      <c r="A3491" s="2" t="inlineStr">
        <is>
          <t>SN-3000-3100-3110-3110HT0012</t>
        </is>
      </c>
      <c r="B3491" s="2" t="inlineStr">
        <is>
          <t>3110HT0012</t>
        </is>
      </c>
      <c r="C3491" s="2" t="inlineStr">
        <is>
          <t>Tecle manual HT0012</t>
        </is>
      </c>
      <c r="D3491" s="2" t="n">
        <v>1164</v>
      </c>
      <c r="E3491" s="2" t="inlineStr">
        <is>
          <t>CC-3000</t>
        </is>
      </c>
      <c r="F3491" s="2" t="inlineStr">
        <is>
          <t>P01</t>
        </is>
      </c>
      <c r="G3491" s="2" t="n">
        <v>610000</v>
      </c>
      <c r="H3491" s="2" t="inlineStr">
        <is>
          <t>Mano obra interna</t>
        </is>
      </c>
      <c r="I3491" s="9" t="n">
        <v>1353.3</v>
      </c>
      <c r="J3491" s="9" t="n">
        <v>1437.81</v>
      </c>
      <c r="K3491" s="9" t="n">
        <v>1555.06</v>
      </c>
      <c r="L3491" s="9" t="n">
        <v>1371.88</v>
      </c>
      <c r="M3491" s="9" t="n">
        <v>1431.98</v>
      </c>
      <c r="N3491" s="9" t="n">
        <v>1341.7</v>
      </c>
      <c r="O3491" s="9" t="n">
        <v>1413.56</v>
      </c>
      <c r="P3491" s="9" t="n">
        <v>1520.67</v>
      </c>
      <c r="Q3491" s="9" t="n">
        <v>1337.12</v>
      </c>
      <c r="R3491" s="9" t="n">
        <v>1439.35</v>
      </c>
      <c r="S3491" s="9" t="n">
        <v>1478.66</v>
      </c>
      <c r="T3491" s="9" t="n">
        <v>1375.81</v>
      </c>
      <c r="U3491" s="10">
        <f>SUM(I3491:T3491)</f>
        <v/>
      </c>
    </row>
    <row r="3492">
      <c r="A3492" s="2" t="inlineStr">
        <is>
          <t>SN-3000-3100-3110-3110HT0012</t>
        </is>
      </c>
      <c r="B3492" s="2" t="inlineStr">
        <is>
          <t>3110HT0012</t>
        </is>
      </c>
      <c r="C3492" s="2" t="inlineStr">
        <is>
          <t>Tecle manual HT0012</t>
        </is>
      </c>
      <c r="D3492" s="2" t="n">
        <v>1164</v>
      </c>
      <c r="E3492" s="2" t="inlineStr">
        <is>
          <t>CC-3000</t>
        </is>
      </c>
      <c r="F3492" s="2" t="inlineStr">
        <is>
          <t>P01</t>
        </is>
      </c>
      <c r="G3492" s="2" t="n">
        <v>620000</v>
      </c>
      <c r="H3492" s="2" t="inlineStr">
        <is>
          <t>Materiales</t>
        </is>
      </c>
      <c r="I3492" s="9" t="n">
        <v>1448.4</v>
      </c>
      <c r="J3492" s="9" t="n">
        <v>1377.99</v>
      </c>
      <c r="K3492" s="9" t="n">
        <v>1399.74</v>
      </c>
      <c r="L3492" s="9" t="n">
        <v>1401.04</v>
      </c>
      <c r="M3492" s="9" t="n">
        <v>1347.52</v>
      </c>
      <c r="N3492" s="9" t="n">
        <v>1253.48</v>
      </c>
      <c r="O3492" s="9" t="n">
        <v>1272.36</v>
      </c>
      <c r="P3492" s="9" t="n">
        <v>1273.07</v>
      </c>
      <c r="Q3492" s="9" t="n">
        <v>1273.64</v>
      </c>
      <c r="R3492" s="9" t="n">
        <v>1451.58</v>
      </c>
      <c r="S3492" s="9" t="n">
        <v>1294.62</v>
      </c>
      <c r="T3492" s="9" t="n">
        <v>1371.69</v>
      </c>
      <c r="U3492" s="10">
        <f>SUM(I3492:T3492)</f>
        <v/>
      </c>
    </row>
    <row r="3493">
      <c r="A3493" s="2" t="inlineStr">
        <is>
          <t>SN-3000-3100-3110-3110HT0012</t>
        </is>
      </c>
      <c r="B3493" s="2" t="inlineStr">
        <is>
          <t>3110HT0012</t>
        </is>
      </c>
      <c r="C3493" s="2" t="inlineStr">
        <is>
          <t>Tecle manual HT0012</t>
        </is>
      </c>
      <c r="D3493" s="2" t="n">
        <v>1164</v>
      </c>
      <c r="E3493" s="2" t="inlineStr">
        <is>
          <t>CC-3000</t>
        </is>
      </c>
      <c r="F3493" s="2" t="inlineStr">
        <is>
          <t>P01</t>
        </is>
      </c>
      <c r="G3493" s="2" t="n">
        <v>630000</v>
      </c>
      <c r="H3493" s="2" t="inlineStr">
        <is>
          <t>Servicios externos</t>
        </is>
      </c>
      <c r="I3493" s="9" t="n">
        <v>1407.63</v>
      </c>
      <c r="J3493" s="9" t="n">
        <v>1223.65</v>
      </c>
      <c r="K3493" s="9" t="n">
        <v>1338.17</v>
      </c>
      <c r="L3493" s="9" t="n">
        <v>1304.24</v>
      </c>
      <c r="M3493" s="9" t="n">
        <v>1320.51</v>
      </c>
      <c r="N3493" s="9" t="n">
        <v>1178.96</v>
      </c>
      <c r="O3493" s="9" t="n">
        <v>1382.51</v>
      </c>
      <c r="P3493" s="9" t="n">
        <v>1241.77</v>
      </c>
      <c r="Q3493" s="9" t="n">
        <v>1189.37</v>
      </c>
      <c r="R3493" s="9" t="n">
        <v>1494.9</v>
      </c>
      <c r="S3493" s="9" t="n">
        <v>1191.72</v>
      </c>
      <c r="T3493" s="9" t="n">
        <v>1380.38</v>
      </c>
      <c r="U3493" s="10">
        <f>SUM(I3493:T3493)</f>
        <v/>
      </c>
    </row>
    <row r="3494">
      <c r="A3494" s="2" t="inlineStr">
        <is>
          <t>SN-3000-3100-3110-3110HY0033</t>
        </is>
      </c>
      <c r="B3494" s="2" t="inlineStr">
        <is>
          <t>3110HY0033</t>
        </is>
      </c>
      <c r="C3494" s="2" t="inlineStr">
        <is>
          <t>Intercambiador calor por aire CQ0013</t>
        </is>
      </c>
      <c r="D3494" s="2" t="n">
        <v>1165</v>
      </c>
      <c r="E3494" s="2" t="inlineStr">
        <is>
          <t>CC-3000</t>
        </is>
      </c>
      <c r="F3494" s="2" t="inlineStr">
        <is>
          <t>P01</t>
        </is>
      </c>
      <c r="G3494" s="2" t="n">
        <v>610000</v>
      </c>
      <c r="H3494" s="2" t="inlineStr">
        <is>
          <t>Mano obra interna</t>
        </is>
      </c>
      <c r="I3494" s="9" t="n">
        <v>3063.19</v>
      </c>
      <c r="J3494" s="9" t="n">
        <v>2999.3</v>
      </c>
      <c r="K3494" s="9" t="n">
        <v>3180.48</v>
      </c>
      <c r="L3494" s="9" t="n">
        <v>2876.36</v>
      </c>
      <c r="M3494" s="9" t="n">
        <v>2952.5</v>
      </c>
      <c r="N3494" s="9" t="n">
        <v>2729.79</v>
      </c>
      <c r="O3494" s="9" t="n">
        <v>2828.44</v>
      </c>
      <c r="P3494" s="9" t="n">
        <v>2798.19</v>
      </c>
      <c r="Q3494" s="9" t="n">
        <v>2779.1</v>
      </c>
      <c r="R3494" s="9" t="n">
        <v>3325.86</v>
      </c>
      <c r="S3494" s="9" t="n">
        <v>3022.62</v>
      </c>
      <c r="T3494" s="9" t="n">
        <v>2954.78</v>
      </c>
      <c r="U3494" s="10">
        <f>SUM(I3494:T3494)</f>
        <v/>
      </c>
    </row>
    <row r="3495">
      <c r="A3495" s="2" t="inlineStr">
        <is>
          <t>SN-3000-3100-3110-3110HY0033</t>
        </is>
      </c>
      <c r="B3495" s="2" t="inlineStr">
        <is>
          <t>3110HY0033</t>
        </is>
      </c>
      <c r="C3495" s="2" t="inlineStr">
        <is>
          <t>Intercambiador calor por aire CQ0013</t>
        </is>
      </c>
      <c r="D3495" s="2" t="n">
        <v>1165</v>
      </c>
      <c r="E3495" s="2" t="inlineStr">
        <is>
          <t>CC-3000</t>
        </is>
      </c>
      <c r="F3495" s="2" t="inlineStr">
        <is>
          <t>P01</t>
        </is>
      </c>
      <c r="G3495" s="2" t="n">
        <v>620000</v>
      </c>
      <c r="H3495" s="2" t="inlineStr">
        <is>
          <t>Materiales</t>
        </is>
      </c>
      <c r="I3495" s="9" t="n">
        <v>2591.58</v>
      </c>
      <c r="J3495" s="9" t="n">
        <v>2536.36</v>
      </c>
      <c r="K3495" s="9" t="n">
        <v>2442.42</v>
      </c>
      <c r="L3495" s="9" t="n">
        <v>2437.43</v>
      </c>
      <c r="M3495" s="9" t="n">
        <v>2452.33</v>
      </c>
      <c r="N3495" s="9" t="n">
        <v>2335.54</v>
      </c>
      <c r="O3495" s="9" t="n">
        <v>2547.1</v>
      </c>
      <c r="P3495" s="9" t="n">
        <v>2464.72</v>
      </c>
      <c r="Q3495" s="9" t="n">
        <v>2151.84</v>
      </c>
      <c r="R3495" s="9" t="n">
        <v>2516.03</v>
      </c>
      <c r="S3495" s="9" t="n">
        <v>2539.52</v>
      </c>
      <c r="T3495" s="9" t="n">
        <v>2392.29</v>
      </c>
      <c r="U3495" s="10">
        <f>SUM(I3495:T3495)</f>
        <v/>
      </c>
    </row>
    <row r="3496">
      <c r="A3496" s="2" t="inlineStr">
        <is>
          <t>SN-3000-3100-3110-3110HY0033</t>
        </is>
      </c>
      <c r="B3496" s="2" t="inlineStr">
        <is>
          <t>3110HY0033</t>
        </is>
      </c>
      <c r="C3496" s="2" t="inlineStr">
        <is>
          <t>Intercambiador calor por aire CQ0013</t>
        </is>
      </c>
      <c r="D3496" s="2" t="n">
        <v>1165</v>
      </c>
      <c r="E3496" s="2" t="inlineStr">
        <is>
          <t>CC-3000</t>
        </is>
      </c>
      <c r="F3496" s="2" t="inlineStr">
        <is>
          <t>P01</t>
        </is>
      </c>
      <c r="G3496" s="2" t="n">
        <v>630000</v>
      </c>
      <c r="H3496" s="2" t="inlineStr">
        <is>
          <t>Servicios externos</t>
        </is>
      </c>
      <c r="I3496" s="9" t="n">
        <v>2321.21</v>
      </c>
      <c r="J3496" s="9" t="n">
        <v>2222.99</v>
      </c>
      <c r="K3496" s="9" t="n">
        <v>2298.21</v>
      </c>
      <c r="L3496" s="9" t="n">
        <v>2241.75</v>
      </c>
      <c r="M3496" s="9" t="n">
        <v>2332.96</v>
      </c>
      <c r="N3496" s="9" t="n">
        <v>1968.77</v>
      </c>
      <c r="O3496" s="9" t="n">
        <v>2197.17</v>
      </c>
      <c r="P3496" s="9" t="n">
        <v>2213.42</v>
      </c>
      <c r="Q3496" s="9" t="n">
        <v>1885.11</v>
      </c>
      <c r="R3496" s="9" t="n">
        <v>2331.27</v>
      </c>
      <c r="S3496" s="9" t="n">
        <v>2218.63</v>
      </c>
      <c r="T3496" s="9" t="n">
        <v>2214.87</v>
      </c>
      <c r="U3496" s="10">
        <f>SUM(I3496:T3496)</f>
        <v/>
      </c>
    </row>
    <row r="3497">
      <c r="A3497" s="2" t="inlineStr">
        <is>
          <t>SN-3000-3100-3110-3110ME0007</t>
        </is>
      </c>
      <c r="B3497" s="2" t="inlineStr">
        <is>
          <t>3110ME0007</t>
        </is>
      </c>
      <c r="C3497" s="2" t="inlineStr">
        <is>
          <t>Distribuidor bolas ME0007</t>
        </is>
      </c>
      <c r="D3497" s="2" t="n">
        <v>1166</v>
      </c>
      <c r="E3497" s="2" t="inlineStr">
        <is>
          <t>CC-3000</t>
        </is>
      </c>
      <c r="F3497" s="2" t="inlineStr">
        <is>
          <t>P01</t>
        </is>
      </c>
      <c r="G3497" s="2" t="n">
        <v>610000</v>
      </c>
      <c r="H3497" s="2" t="inlineStr">
        <is>
          <t>Mano obra interna</t>
        </is>
      </c>
      <c r="I3497" s="9" t="n">
        <v>1267.32</v>
      </c>
      <c r="J3497" s="9" t="n">
        <v>1245.84</v>
      </c>
      <c r="K3497" s="9" t="n">
        <v>1312.71</v>
      </c>
      <c r="L3497" s="9" t="n">
        <v>1277.68</v>
      </c>
      <c r="M3497" s="9" t="n">
        <v>1248.7</v>
      </c>
      <c r="N3497" s="9" t="n">
        <v>1196.28</v>
      </c>
      <c r="O3497" s="9" t="n">
        <v>1223.68</v>
      </c>
      <c r="P3497" s="9" t="n">
        <v>1225.33</v>
      </c>
      <c r="Q3497" s="9" t="n">
        <v>1073.42</v>
      </c>
      <c r="R3497" s="9" t="n">
        <v>1377.04</v>
      </c>
      <c r="S3497" s="9" t="n">
        <v>1139.28</v>
      </c>
      <c r="T3497" s="9" t="n">
        <v>1238.39</v>
      </c>
      <c r="U3497" s="10">
        <f>SUM(I3497:T3497)</f>
        <v/>
      </c>
    </row>
    <row r="3498">
      <c r="A3498" s="2" t="inlineStr">
        <is>
          <t>SN-3000-3100-3110-3110ME0007</t>
        </is>
      </c>
      <c r="B3498" s="2" t="inlineStr">
        <is>
          <t>3110ME0007</t>
        </is>
      </c>
      <c r="C3498" s="2" t="inlineStr">
        <is>
          <t>Distribuidor bolas ME0007</t>
        </is>
      </c>
      <c r="D3498" s="2" t="n">
        <v>1166</v>
      </c>
      <c r="E3498" s="2" t="inlineStr">
        <is>
          <t>CC-3000</t>
        </is>
      </c>
      <c r="F3498" s="2" t="inlineStr">
        <is>
          <t>P01</t>
        </is>
      </c>
      <c r="G3498" s="2" t="n">
        <v>620000</v>
      </c>
      <c r="H3498" s="2" t="inlineStr">
        <is>
          <t>Materiales</t>
        </is>
      </c>
      <c r="I3498" s="9" t="n">
        <v>1034.31</v>
      </c>
      <c r="J3498" s="9" t="n">
        <v>1041.08</v>
      </c>
      <c r="K3498" s="9" t="n">
        <v>1062.45</v>
      </c>
      <c r="L3498" s="9" t="n">
        <v>1023.19</v>
      </c>
      <c r="M3498" s="9" t="n">
        <v>982.74</v>
      </c>
      <c r="N3498" s="9" t="n">
        <v>937.7</v>
      </c>
      <c r="O3498" s="9" t="n">
        <v>936.45</v>
      </c>
      <c r="P3498" s="9" t="n">
        <v>957.79</v>
      </c>
      <c r="Q3498" s="9" t="n">
        <v>900.8</v>
      </c>
      <c r="R3498" s="9" t="n">
        <v>1134.8</v>
      </c>
      <c r="S3498" s="9" t="n">
        <v>939.7</v>
      </c>
      <c r="T3498" s="9" t="n">
        <v>1010.73</v>
      </c>
      <c r="U3498" s="10">
        <f>SUM(I3498:T3498)</f>
        <v/>
      </c>
    </row>
    <row r="3499">
      <c r="A3499" s="2" t="inlineStr">
        <is>
          <t>SN-3000-3100-3110-3110ME0007</t>
        </is>
      </c>
      <c r="B3499" s="2" t="inlineStr">
        <is>
          <t>3110ME0007</t>
        </is>
      </c>
      <c r="C3499" s="2" t="inlineStr">
        <is>
          <t>Distribuidor bolas ME0007</t>
        </is>
      </c>
      <c r="D3499" s="2" t="n">
        <v>1166</v>
      </c>
      <c r="E3499" s="2" t="inlineStr">
        <is>
          <t>CC-3000</t>
        </is>
      </c>
      <c r="F3499" s="2" t="inlineStr">
        <is>
          <t>P01</t>
        </is>
      </c>
      <c r="G3499" s="2" t="n">
        <v>630000</v>
      </c>
      <c r="H3499" s="2" t="inlineStr">
        <is>
          <t>Servicios externos</t>
        </is>
      </c>
      <c r="I3499" s="9" t="n">
        <v>1250.19</v>
      </c>
      <c r="J3499" s="9" t="n">
        <v>1154.75</v>
      </c>
      <c r="K3499" s="9" t="n">
        <v>1235.72</v>
      </c>
      <c r="L3499" s="9" t="n">
        <v>1223.13</v>
      </c>
      <c r="M3499" s="9" t="n">
        <v>1249.95</v>
      </c>
      <c r="N3499" s="9" t="n">
        <v>1129.34</v>
      </c>
      <c r="O3499" s="9" t="n">
        <v>1266.63</v>
      </c>
      <c r="P3499" s="9" t="n">
        <v>1296.14</v>
      </c>
      <c r="Q3499" s="9" t="n">
        <v>1106.85</v>
      </c>
      <c r="R3499" s="9" t="n">
        <v>1239.99</v>
      </c>
      <c r="S3499" s="9" t="n">
        <v>1208.27</v>
      </c>
      <c r="T3499" s="9" t="n">
        <v>1211.6</v>
      </c>
      <c r="U3499" s="10">
        <f>SUM(I3499:T3499)</f>
        <v/>
      </c>
    </row>
    <row r="3500">
      <c r="A3500" s="2" t="inlineStr">
        <is>
          <t>SN-3000-3100-3110-3110ME0011</t>
        </is>
      </c>
      <c r="B3500" s="2" t="inlineStr">
        <is>
          <t>3110ME0011</t>
        </is>
      </c>
      <c r="C3500" s="2" t="inlineStr">
        <is>
          <t>Inching drive ME0011</t>
        </is>
      </c>
      <c r="D3500" s="2" t="n">
        <v>1167</v>
      </c>
      <c r="E3500" s="2" t="inlineStr">
        <is>
          <t>CC-3000</t>
        </is>
      </c>
      <c r="F3500" s="2" t="inlineStr">
        <is>
          <t>P01</t>
        </is>
      </c>
      <c r="G3500" s="2" t="n">
        <v>610000</v>
      </c>
      <c r="H3500" s="2" t="inlineStr">
        <is>
          <t>Mano obra interna</t>
        </is>
      </c>
      <c r="I3500" s="9" t="n">
        <v>617.16</v>
      </c>
      <c r="J3500" s="9" t="n">
        <v>574.29</v>
      </c>
      <c r="K3500" s="9" t="n">
        <v>652.0700000000001</v>
      </c>
      <c r="L3500" s="9" t="n">
        <v>595.1900000000001</v>
      </c>
      <c r="M3500" s="9" t="n">
        <v>567.6799999999999</v>
      </c>
      <c r="N3500" s="9" t="n">
        <v>600.77</v>
      </c>
      <c r="O3500" s="9" t="n">
        <v>557.67</v>
      </c>
      <c r="P3500" s="9" t="n">
        <v>555.85</v>
      </c>
      <c r="Q3500" s="9" t="n">
        <v>589.35</v>
      </c>
      <c r="R3500" s="9" t="n">
        <v>608.55</v>
      </c>
      <c r="S3500" s="9" t="n">
        <v>540.73</v>
      </c>
      <c r="T3500" s="9" t="n">
        <v>604.02</v>
      </c>
      <c r="U3500" s="10">
        <f>SUM(I3500:T3500)</f>
        <v/>
      </c>
    </row>
    <row r="3501">
      <c r="A3501" s="2" t="inlineStr">
        <is>
          <t>SN-3000-3100-3110-3110ME0011</t>
        </is>
      </c>
      <c r="B3501" s="2" t="inlineStr">
        <is>
          <t>3110ME0011</t>
        </is>
      </c>
      <c r="C3501" s="2" t="inlineStr">
        <is>
          <t>Inching drive ME0011</t>
        </is>
      </c>
      <c r="D3501" s="2" t="n">
        <v>1167</v>
      </c>
      <c r="E3501" s="2" t="inlineStr">
        <is>
          <t>CC-3000</t>
        </is>
      </c>
      <c r="F3501" s="2" t="inlineStr">
        <is>
          <t>P01</t>
        </is>
      </c>
      <c r="G3501" s="2" t="n">
        <v>620000</v>
      </c>
      <c r="H3501" s="2" t="inlineStr">
        <is>
          <t>Materiales</t>
        </is>
      </c>
      <c r="I3501" s="9" t="n">
        <v>506.11</v>
      </c>
      <c r="J3501" s="9" t="n">
        <v>475.46</v>
      </c>
      <c r="K3501" s="9" t="n">
        <v>513.1</v>
      </c>
      <c r="L3501" s="9" t="n">
        <v>479.97</v>
      </c>
      <c r="M3501" s="9" t="n">
        <v>512.63</v>
      </c>
      <c r="N3501" s="9" t="n">
        <v>447.99</v>
      </c>
      <c r="O3501" s="9" t="n">
        <v>497.36</v>
      </c>
      <c r="P3501" s="9" t="n">
        <v>520.6799999999999</v>
      </c>
      <c r="Q3501" s="9" t="n">
        <v>445.62</v>
      </c>
      <c r="R3501" s="9" t="n">
        <v>496.16</v>
      </c>
      <c r="S3501" s="9" t="n">
        <v>438.38</v>
      </c>
      <c r="T3501" s="9" t="n">
        <v>530.23</v>
      </c>
      <c r="U3501" s="10">
        <f>SUM(I3501:T3501)</f>
        <v/>
      </c>
    </row>
    <row r="3502">
      <c r="A3502" s="2" t="inlineStr">
        <is>
          <t>SN-3000-3100-3110-3110ME0011</t>
        </is>
      </c>
      <c r="B3502" s="2" t="inlineStr">
        <is>
          <t>3110ME0011</t>
        </is>
      </c>
      <c r="C3502" s="2" t="inlineStr">
        <is>
          <t>Inching drive ME0011</t>
        </is>
      </c>
      <c r="D3502" s="2" t="n">
        <v>1167</v>
      </c>
      <c r="E3502" s="2" t="inlineStr">
        <is>
          <t>CC-3000</t>
        </is>
      </c>
      <c r="F3502" s="2" t="inlineStr">
        <is>
          <t>P01</t>
        </is>
      </c>
      <c r="G3502" s="2" t="n">
        <v>630000</v>
      </c>
      <c r="H3502" s="2" t="inlineStr">
        <is>
          <t>Servicios externos</t>
        </is>
      </c>
      <c r="I3502" s="9" t="n">
        <v>668.3</v>
      </c>
      <c r="J3502" s="9" t="n">
        <v>623.46</v>
      </c>
      <c r="K3502" s="9" t="n">
        <v>616.99</v>
      </c>
      <c r="L3502" s="9" t="n">
        <v>589.23</v>
      </c>
      <c r="M3502" s="9" t="n">
        <v>648.89</v>
      </c>
      <c r="N3502" s="9" t="n">
        <v>585.6</v>
      </c>
      <c r="O3502" s="9" t="n">
        <v>603.64</v>
      </c>
      <c r="P3502" s="9" t="n">
        <v>620.7</v>
      </c>
      <c r="Q3502" s="9" t="n">
        <v>535.17</v>
      </c>
      <c r="R3502" s="9" t="n">
        <v>641.45</v>
      </c>
      <c r="S3502" s="9" t="n">
        <v>607.04</v>
      </c>
      <c r="T3502" s="9" t="n">
        <v>582.8</v>
      </c>
      <c r="U3502" s="10">
        <f>SUM(I3502:T3502)</f>
        <v/>
      </c>
    </row>
    <row r="3503">
      <c r="A3503" s="2" t="inlineStr">
        <is>
          <t>SN-3000-3100-3110-3110ME0074</t>
        </is>
      </c>
      <c r="B3503" s="2" t="inlineStr">
        <is>
          <t>3110ME0074</t>
        </is>
      </c>
      <c r="C3503" s="2" t="inlineStr">
        <is>
          <t>Puerta de desvío ME0074</t>
        </is>
      </c>
      <c r="D3503" s="2" t="n">
        <v>1168</v>
      </c>
      <c r="E3503" s="2" t="inlineStr">
        <is>
          <t>CC-3000</t>
        </is>
      </c>
      <c r="F3503" s="2" t="inlineStr">
        <is>
          <t>P01</t>
        </is>
      </c>
      <c r="G3503" s="2" t="n">
        <v>610000</v>
      </c>
      <c r="H3503" s="2" t="inlineStr">
        <is>
          <t>Mano obra interna</t>
        </is>
      </c>
      <c r="I3503" s="9" t="n">
        <v>589.61</v>
      </c>
      <c r="J3503" s="9" t="n">
        <v>579.08</v>
      </c>
      <c r="K3503" s="9" t="n">
        <v>565.05</v>
      </c>
      <c r="L3503" s="9" t="n">
        <v>545.28</v>
      </c>
      <c r="M3503" s="9" t="n">
        <v>612.48</v>
      </c>
      <c r="N3503" s="9" t="n">
        <v>509.59</v>
      </c>
      <c r="O3503" s="9" t="n">
        <v>530.9</v>
      </c>
      <c r="P3503" s="9" t="n">
        <v>559.88</v>
      </c>
      <c r="Q3503" s="9" t="n">
        <v>512.9</v>
      </c>
      <c r="R3503" s="9" t="n">
        <v>629.14</v>
      </c>
      <c r="S3503" s="9" t="n">
        <v>593.39</v>
      </c>
      <c r="T3503" s="9" t="n">
        <v>583.39</v>
      </c>
      <c r="U3503" s="10">
        <f>SUM(I3503:T3503)</f>
        <v/>
      </c>
    </row>
    <row r="3504">
      <c r="A3504" s="2" t="inlineStr">
        <is>
          <t>SN-3000-3100-3110-3110ME0074</t>
        </is>
      </c>
      <c r="B3504" s="2" t="inlineStr">
        <is>
          <t>3110ME0074</t>
        </is>
      </c>
      <c r="C3504" s="2" t="inlineStr">
        <is>
          <t>Puerta de desvío ME0074</t>
        </is>
      </c>
      <c r="D3504" s="2" t="n">
        <v>1168</v>
      </c>
      <c r="E3504" s="2" t="inlineStr">
        <is>
          <t>CC-3000</t>
        </is>
      </c>
      <c r="F3504" s="2" t="inlineStr">
        <is>
          <t>P01</t>
        </is>
      </c>
      <c r="G3504" s="2" t="n">
        <v>620000</v>
      </c>
      <c r="H3504" s="2" t="inlineStr">
        <is>
          <t>Materiales</t>
        </is>
      </c>
      <c r="I3504" s="9" t="n">
        <v>738.24</v>
      </c>
      <c r="J3504" s="9" t="n">
        <v>635.23</v>
      </c>
      <c r="K3504" s="9" t="n">
        <v>698.89</v>
      </c>
      <c r="L3504" s="9" t="n">
        <v>709.45</v>
      </c>
      <c r="M3504" s="9" t="n">
        <v>653.63</v>
      </c>
      <c r="N3504" s="9" t="n">
        <v>673.8</v>
      </c>
      <c r="O3504" s="9" t="n">
        <v>701.34</v>
      </c>
      <c r="P3504" s="9" t="n">
        <v>669.65</v>
      </c>
      <c r="Q3504" s="9" t="n">
        <v>590.15</v>
      </c>
      <c r="R3504" s="9" t="n">
        <v>674.75</v>
      </c>
      <c r="S3504" s="9" t="n">
        <v>643.3099999999999</v>
      </c>
      <c r="T3504" s="9" t="n">
        <v>642.74</v>
      </c>
      <c r="U3504" s="10">
        <f>SUM(I3504:T3504)</f>
        <v/>
      </c>
    </row>
    <row r="3505">
      <c r="A3505" s="2" t="inlineStr">
        <is>
          <t>SN-3000-3100-3110-3110ME0074</t>
        </is>
      </c>
      <c r="B3505" s="2" t="inlineStr">
        <is>
          <t>3110ME0074</t>
        </is>
      </c>
      <c r="C3505" s="2" t="inlineStr">
        <is>
          <t>Puerta de desvío ME0074</t>
        </is>
      </c>
      <c r="D3505" s="2" t="n">
        <v>1168</v>
      </c>
      <c r="E3505" s="2" t="inlineStr">
        <is>
          <t>CC-3000</t>
        </is>
      </c>
      <c r="F3505" s="2" t="inlineStr">
        <is>
          <t>P01</t>
        </is>
      </c>
      <c r="G3505" s="2" t="n">
        <v>630000</v>
      </c>
      <c r="H3505" s="2" t="inlineStr">
        <is>
          <t>Servicios externos</t>
        </is>
      </c>
      <c r="I3505" s="9" t="n">
        <v>660.42</v>
      </c>
      <c r="J3505" s="9" t="n">
        <v>671.88</v>
      </c>
      <c r="K3505" s="9" t="n">
        <v>668.72</v>
      </c>
      <c r="L3505" s="9" t="n">
        <v>711.36</v>
      </c>
      <c r="M3505" s="9" t="n">
        <v>698.54</v>
      </c>
      <c r="N3505" s="9" t="n">
        <v>669.66</v>
      </c>
      <c r="O3505" s="9" t="n">
        <v>663.2</v>
      </c>
      <c r="P3505" s="9" t="n">
        <v>619.85</v>
      </c>
      <c r="Q3505" s="9" t="n">
        <v>605.91</v>
      </c>
      <c r="R3505" s="9" t="n">
        <v>708</v>
      </c>
      <c r="S3505" s="9" t="n">
        <v>690.7</v>
      </c>
      <c r="T3505" s="9" t="n">
        <v>681.48</v>
      </c>
      <c r="U3505" s="10">
        <f>SUM(I3505:T3505)</f>
        <v/>
      </c>
    </row>
    <row r="3506">
      <c r="A3506" s="2" t="inlineStr">
        <is>
          <t>SN-3000-3100-3110-3110ME0075</t>
        </is>
      </c>
      <c r="B3506" s="2" t="inlineStr">
        <is>
          <t>3110ME0075</t>
        </is>
      </c>
      <c r="C3506" s="2" t="inlineStr">
        <is>
          <t>Puerta de desvío ME0075</t>
        </is>
      </c>
      <c r="D3506" s="2" t="n">
        <v>1169</v>
      </c>
      <c r="E3506" s="2" t="inlineStr">
        <is>
          <t>CC-3000</t>
        </is>
      </c>
      <c r="F3506" s="2" t="inlineStr">
        <is>
          <t>P01</t>
        </is>
      </c>
      <c r="G3506" s="2" t="n">
        <v>610000</v>
      </c>
      <c r="H3506" s="2" t="inlineStr">
        <is>
          <t>Mano obra interna</t>
        </is>
      </c>
      <c r="I3506" s="9" t="n">
        <v>407.92</v>
      </c>
      <c r="J3506" s="9" t="n">
        <v>380.66</v>
      </c>
      <c r="K3506" s="9" t="n">
        <v>400.65</v>
      </c>
      <c r="L3506" s="9" t="n">
        <v>374.84</v>
      </c>
      <c r="M3506" s="9" t="n">
        <v>351.68</v>
      </c>
      <c r="N3506" s="9" t="n">
        <v>378.49</v>
      </c>
      <c r="O3506" s="9" t="n">
        <v>403.85</v>
      </c>
      <c r="P3506" s="9" t="n">
        <v>376.67</v>
      </c>
      <c r="Q3506" s="9" t="n">
        <v>358.69</v>
      </c>
      <c r="R3506" s="9" t="n">
        <v>399.61</v>
      </c>
      <c r="S3506" s="9" t="n">
        <v>367.18</v>
      </c>
      <c r="T3506" s="9" t="n">
        <v>369.94</v>
      </c>
      <c r="U3506" s="10">
        <f>SUM(I3506:T3506)</f>
        <v/>
      </c>
    </row>
    <row r="3507">
      <c r="A3507" s="2" t="inlineStr">
        <is>
          <t>SN-3000-3100-3110-3110ME0075</t>
        </is>
      </c>
      <c r="B3507" s="2" t="inlineStr">
        <is>
          <t>3110ME0075</t>
        </is>
      </c>
      <c r="C3507" s="2" t="inlineStr">
        <is>
          <t>Puerta de desvío ME0075</t>
        </is>
      </c>
      <c r="D3507" s="2" t="n">
        <v>1169</v>
      </c>
      <c r="E3507" s="2" t="inlineStr">
        <is>
          <t>CC-3000</t>
        </is>
      </c>
      <c r="F3507" s="2" t="inlineStr">
        <is>
          <t>P01</t>
        </is>
      </c>
      <c r="G3507" s="2" t="n">
        <v>620000</v>
      </c>
      <c r="H3507" s="2" t="inlineStr">
        <is>
          <t>Materiales</t>
        </is>
      </c>
      <c r="I3507" s="9" t="n">
        <v>393.5</v>
      </c>
      <c r="J3507" s="9" t="n">
        <v>382.99</v>
      </c>
      <c r="K3507" s="9" t="n">
        <v>368.68</v>
      </c>
      <c r="L3507" s="9" t="n">
        <v>402.2</v>
      </c>
      <c r="M3507" s="9" t="n">
        <v>363.8</v>
      </c>
      <c r="N3507" s="9" t="n">
        <v>362.12</v>
      </c>
      <c r="O3507" s="9" t="n">
        <v>380.74</v>
      </c>
      <c r="P3507" s="9" t="n">
        <v>382.51</v>
      </c>
      <c r="Q3507" s="9" t="n">
        <v>343.62</v>
      </c>
      <c r="R3507" s="9" t="n">
        <v>439.55</v>
      </c>
      <c r="S3507" s="9" t="n">
        <v>369.32</v>
      </c>
      <c r="T3507" s="9" t="n">
        <v>398.72</v>
      </c>
      <c r="U3507" s="10">
        <f>SUM(I3507:T3507)</f>
        <v/>
      </c>
    </row>
    <row r="3508">
      <c r="A3508" s="2" t="inlineStr">
        <is>
          <t>SN-3000-3100-3110-3110ME0075</t>
        </is>
      </c>
      <c r="B3508" s="2" t="inlineStr">
        <is>
          <t>3110ME0075</t>
        </is>
      </c>
      <c r="C3508" s="2" t="inlineStr">
        <is>
          <t>Puerta de desvío ME0075</t>
        </is>
      </c>
      <c r="D3508" s="2" t="n">
        <v>1169</v>
      </c>
      <c r="E3508" s="2" t="inlineStr">
        <is>
          <t>CC-3000</t>
        </is>
      </c>
      <c r="F3508" s="2" t="inlineStr">
        <is>
          <t>P01</t>
        </is>
      </c>
      <c r="G3508" s="2" t="n">
        <v>630000</v>
      </c>
      <c r="H3508" s="2" t="inlineStr">
        <is>
          <t>Servicios externos</t>
        </is>
      </c>
      <c r="I3508" s="9" t="n">
        <v>376.95</v>
      </c>
      <c r="J3508" s="9" t="n">
        <v>360.94</v>
      </c>
      <c r="K3508" s="9" t="n">
        <v>393.86</v>
      </c>
      <c r="L3508" s="9" t="n">
        <v>389.6</v>
      </c>
      <c r="M3508" s="9" t="n">
        <v>354.52</v>
      </c>
      <c r="N3508" s="9" t="n">
        <v>354.64</v>
      </c>
      <c r="O3508" s="9" t="n">
        <v>340.13</v>
      </c>
      <c r="P3508" s="9" t="n">
        <v>339.02</v>
      </c>
      <c r="Q3508" s="9" t="n">
        <v>336.86</v>
      </c>
      <c r="R3508" s="9" t="n">
        <v>416.58</v>
      </c>
      <c r="S3508" s="9" t="n">
        <v>359.88</v>
      </c>
      <c r="T3508" s="9" t="n">
        <v>378.41</v>
      </c>
      <c r="U3508" s="10">
        <f>SUM(I3508:T3508)</f>
        <v/>
      </c>
    </row>
    <row r="3509">
      <c r="A3509" s="2" t="inlineStr">
        <is>
          <t>SN-3000-3100-3110-3110MI0001LRS</t>
        </is>
      </c>
      <c r="B3509" s="2" t="inlineStr">
        <is>
          <t>3110MI0001LRS</t>
        </is>
      </c>
      <c r="C3509" s="2" t="inlineStr">
        <is>
          <t>Arrancador resistencia líquida MI0001LRS</t>
        </is>
      </c>
      <c r="D3509" s="2" t="n">
        <v>1170</v>
      </c>
      <c r="E3509" s="2" t="inlineStr">
        <is>
          <t>CC-3000</t>
        </is>
      </c>
      <c r="F3509" s="2" t="inlineStr">
        <is>
          <t>P01</t>
        </is>
      </c>
      <c r="G3509" s="2" t="n">
        <v>610000</v>
      </c>
      <c r="H3509" s="2" t="inlineStr">
        <is>
          <t>Mano obra interna</t>
        </is>
      </c>
      <c r="I3509" s="9" t="n">
        <v>2114.29</v>
      </c>
      <c r="J3509" s="9" t="n">
        <v>2022.49</v>
      </c>
      <c r="K3509" s="9" t="n">
        <v>2250.2</v>
      </c>
      <c r="L3509" s="9" t="n">
        <v>2009.12</v>
      </c>
      <c r="M3509" s="9" t="n">
        <v>2078.07</v>
      </c>
      <c r="N3509" s="9" t="n">
        <v>2126.34</v>
      </c>
      <c r="O3509" s="9" t="n">
        <v>2218.74</v>
      </c>
      <c r="P3509" s="9" t="n">
        <v>2202.7</v>
      </c>
      <c r="Q3509" s="9" t="n">
        <v>1903.62</v>
      </c>
      <c r="R3509" s="9" t="n">
        <v>2409.18</v>
      </c>
      <c r="S3509" s="9" t="n">
        <v>2118.74</v>
      </c>
      <c r="T3509" s="9" t="n">
        <v>2236.67</v>
      </c>
      <c r="U3509" s="10">
        <f>SUM(I3509:T3509)</f>
        <v/>
      </c>
    </row>
    <row r="3510">
      <c r="A3510" s="2" t="inlineStr">
        <is>
          <t>SN-3000-3100-3110-3110MI0001LRS</t>
        </is>
      </c>
      <c r="B3510" s="2" t="inlineStr">
        <is>
          <t>3110MI0001LRS</t>
        </is>
      </c>
      <c r="C3510" s="2" t="inlineStr">
        <is>
          <t>Arrancador resistencia líquida MI0001LRS</t>
        </is>
      </c>
      <c r="D3510" s="2" t="n">
        <v>1170</v>
      </c>
      <c r="E3510" s="2" t="inlineStr">
        <is>
          <t>CC-3000</t>
        </is>
      </c>
      <c r="F3510" s="2" t="inlineStr">
        <is>
          <t>P01</t>
        </is>
      </c>
      <c r="G3510" s="2" t="n">
        <v>620000</v>
      </c>
      <c r="H3510" s="2" t="inlineStr">
        <is>
          <t>Materiales</t>
        </is>
      </c>
      <c r="I3510" s="9" t="n">
        <v>2896.96</v>
      </c>
      <c r="J3510" s="9" t="n">
        <v>2503.55</v>
      </c>
      <c r="K3510" s="9" t="n">
        <v>2573.28</v>
      </c>
      <c r="L3510" s="9" t="n">
        <v>2793.61</v>
      </c>
      <c r="M3510" s="9" t="n">
        <v>2651.47</v>
      </c>
      <c r="N3510" s="9" t="n">
        <v>2465.81</v>
      </c>
      <c r="O3510" s="9" t="n">
        <v>2731.86</v>
      </c>
      <c r="P3510" s="9" t="n">
        <v>2464.63</v>
      </c>
      <c r="Q3510" s="9" t="n">
        <v>2290.14</v>
      </c>
      <c r="R3510" s="9" t="n">
        <v>2793.69</v>
      </c>
      <c r="S3510" s="9" t="n">
        <v>2441.87</v>
      </c>
      <c r="T3510" s="9" t="n">
        <v>2785.86</v>
      </c>
      <c r="U3510" s="10">
        <f>SUM(I3510:T3510)</f>
        <v/>
      </c>
    </row>
    <row r="3511">
      <c r="A3511" s="2" t="inlineStr">
        <is>
          <t>SN-3000-3100-3110-3110MI0001LRS</t>
        </is>
      </c>
      <c r="B3511" s="2" t="inlineStr">
        <is>
          <t>3110MI0001LRS</t>
        </is>
      </c>
      <c r="C3511" s="2" t="inlineStr">
        <is>
          <t>Arrancador resistencia líquida MI0001LRS</t>
        </is>
      </c>
      <c r="D3511" s="2" t="n">
        <v>1170</v>
      </c>
      <c r="E3511" s="2" t="inlineStr">
        <is>
          <t>CC-3000</t>
        </is>
      </c>
      <c r="F3511" s="2" t="inlineStr">
        <is>
          <t>P01</t>
        </is>
      </c>
      <c r="G3511" s="2" t="n">
        <v>630000</v>
      </c>
      <c r="H3511" s="2" t="inlineStr">
        <is>
          <t>Servicios externos</t>
        </is>
      </c>
      <c r="I3511" s="9" t="n">
        <v>2747.9</v>
      </c>
      <c r="J3511" s="9" t="n">
        <v>2648.2</v>
      </c>
      <c r="K3511" s="9" t="n">
        <v>2493.26</v>
      </c>
      <c r="L3511" s="9" t="n">
        <v>2687.05</v>
      </c>
      <c r="M3511" s="9" t="n">
        <v>2728.55</v>
      </c>
      <c r="N3511" s="9" t="n">
        <v>2570.52</v>
      </c>
      <c r="O3511" s="9" t="n">
        <v>2510.79</v>
      </c>
      <c r="P3511" s="9" t="n">
        <v>2768.17</v>
      </c>
      <c r="Q3511" s="9" t="n">
        <v>2624.04</v>
      </c>
      <c r="R3511" s="9" t="n">
        <v>2729.66</v>
      </c>
      <c r="S3511" s="9" t="n">
        <v>2421.1</v>
      </c>
      <c r="T3511" s="9" t="n">
        <v>2594.1</v>
      </c>
      <c r="U3511" s="10">
        <f>SUM(I3511:T3511)</f>
        <v/>
      </c>
    </row>
    <row r="3512">
      <c r="A3512" s="2" t="inlineStr">
        <is>
          <t>SN-3000-3100-3120-3120AY0001</t>
        </is>
      </c>
      <c r="B3512" s="2" t="inlineStr">
        <is>
          <t>3120AY0001</t>
        </is>
      </c>
      <c r="C3512" s="2" t="inlineStr">
        <is>
          <t>Analizador tamaño partícula pulpa AY0001</t>
        </is>
      </c>
      <c r="D3512" s="2" t="n">
        <v>1171</v>
      </c>
      <c r="E3512" s="2" t="inlineStr">
        <is>
          <t>CC-3000</t>
        </is>
      </c>
      <c r="F3512" s="2" t="inlineStr">
        <is>
          <t>P01</t>
        </is>
      </c>
      <c r="G3512" s="2" t="n">
        <v>610000</v>
      </c>
      <c r="H3512" s="2" t="inlineStr">
        <is>
          <t>Mano obra interna</t>
        </is>
      </c>
      <c r="I3512" s="9" t="n">
        <v>2412.32</v>
      </c>
      <c r="J3512" s="9" t="n">
        <v>2346.91</v>
      </c>
      <c r="K3512" s="9" t="n">
        <v>2349.45</v>
      </c>
      <c r="L3512" s="9" t="n">
        <v>2375.38</v>
      </c>
      <c r="M3512" s="9" t="n">
        <v>2266.32</v>
      </c>
      <c r="N3512" s="9" t="n">
        <v>2090.04</v>
      </c>
      <c r="O3512" s="9" t="n">
        <v>2277.97</v>
      </c>
      <c r="P3512" s="9" t="n">
        <v>2348.07</v>
      </c>
      <c r="Q3512" s="9" t="n">
        <v>2178.62</v>
      </c>
      <c r="R3512" s="9" t="n">
        <v>2243.52</v>
      </c>
      <c r="S3512" s="9" t="n">
        <v>2145.7</v>
      </c>
      <c r="T3512" s="9" t="n">
        <v>2225.76</v>
      </c>
      <c r="U3512" s="10">
        <f>SUM(I3512:T3512)</f>
        <v/>
      </c>
    </row>
    <row r="3513">
      <c r="A3513" s="2" t="inlineStr">
        <is>
          <t>SN-3000-3100-3120-3120AY0001</t>
        </is>
      </c>
      <c r="B3513" s="2" t="inlineStr">
        <is>
          <t>3120AY0001</t>
        </is>
      </c>
      <c r="C3513" s="2" t="inlineStr">
        <is>
          <t>Analizador tamaño partícula pulpa AY0001</t>
        </is>
      </c>
      <c r="D3513" s="2" t="n">
        <v>1171</v>
      </c>
      <c r="E3513" s="2" t="inlineStr">
        <is>
          <t>CC-3000</t>
        </is>
      </c>
      <c r="F3513" s="2" t="inlineStr">
        <is>
          <t>P01</t>
        </is>
      </c>
      <c r="G3513" s="2" t="n">
        <v>620000</v>
      </c>
      <c r="H3513" s="2" t="inlineStr">
        <is>
          <t>Materiales</t>
        </is>
      </c>
      <c r="I3513" s="9" t="n">
        <v>2833.81</v>
      </c>
      <c r="J3513" s="9" t="n">
        <v>2667.58</v>
      </c>
      <c r="K3513" s="9" t="n">
        <v>2957.68</v>
      </c>
      <c r="L3513" s="9" t="n">
        <v>2824.53</v>
      </c>
      <c r="M3513" s="9" t="n">
        <v>2639.68</v>
      </c>
      <c r="N3513" s="9" t="n">
        <v>2819.16</v>
      </c>
      <c r="O3513" s="9" t="n">
        <v>2604.69</v>
      </c>
      <c r="P3513" s="9" t="n">
        <v>2559.43</v>
      </c>
      <c r="Q3513" s="9" t="n">
        <v>2436.3</v>
      </c>
      <c r="R3513" s="9" t="n">
        <v>2831.92</v>
      </c>
      <c r="S3513" s="9" t="n">
        <v>2703.06</v>
      </c>
      <c r="T3513" s="9" t="n">
        <v>2872.81</v>
      </c>
      <c r="U3513" s="10">
        <f>SUM(I3513:T3513)</f>
        <v/>
      </c>
    </row>
    <row r="3514">
      <c r="A3514" s="2" t="inlineStr">
        <is>
          <t>SN-3000-3100-3120-3120AY0001</t>
        </is>
      </c>
      <c r="B3514" s="2" t="inlineStr">
        <is>
          <t>3120AY0001</t>
        </is>
      </c>
      <c r="C3514" s="2" t="inlineStr">
        <is>
          <t>Analizador tamaño partícula pulpa AY0001</t>
        </is>
      </c>
      <c r="D3514" s="2" t="n">
        <v>1171</v>
      </c>
      <c r="E3514" s="2" t="inlineStr">
        <is>
          <t>CC-3000</t>
        </is>
      </c>
      <c r="F3514" s="2" t="inlineStr">
        <is>
          <t>P01</t>
        </is>
      </c>
      <c r="G3514" s="2" t="n">
        <v>630000</v>
      </c>
      <c r="H3514" s="2" t="inlineStr">
        <is>
          <t>Servicios externos</t>
        </is>
      </c>
      <c r="I3514" s="9" t="n">
        <v>2520.88</v>
      </c>
      <c r="J3514" s="9" t="n">
        <v>2402.61</v>
      </c>
      <c r="K3514" s="9" t="n">
        <v>2670.76</v>
      </c>
      <c r="L3514" s="9" t="n">
        <v>2677</v>
      </c>
      <c r="M3514" s="9" t="n">
        <v>2484.82</v>
      </c>
      <c r="N3514" s="9" t="n">
        <v>2367.37</v>
      </c>
      <c r="O3514" s="9" t="n">
        <v>2419.25</v>
      </c>
      <c r="P3514" s="9" t="n">
        <v>2393.82</v>
      </c>
      <c r="Q3514" s="9" t="n">
        <v>2260.71</v>
      </c>
      <c r="R3514" s="9" t="n">
        <v>2903.66</v>
      </c>
      <c r="S3514" s="9" t="n">
        <v>2446.69</v>
      </c>
      <c r="T3514" s="9" t="n">
        <v>2431.68</v>
      </c>
      <c r="U3514" s="10">
        <f>SUM(I3514:T3514)</f>
        <v/>
      </c>
    </row>
    <row r="3515">
      <c r="A3515" s="2" t="inlineStr">
        <is>
          <t>SN-3000-3100-3120-3120HO0002</t>
        </is>
      </c>
      <c r="B3515" s="2" t="inlineStr">
        <is>
          <t>3120HO0002</t>
        </is>
      </c>
      <c r="C3515" s="2" t="inlineStr">
        <is>
          <t>Tolva bolas HO0002</t>
        </is>
      </c>
      <c r="D3515" s="2" t="n">
        <v>1172</v>
      </c>
      <c r="E3515" s="2" t="inlineStr">
        <is>
          <t>CC-3000</t>
        </is>
      </c>
      <c r="F3515" s="2" t="inlineStr">
        <is>
          <t>P01</t>
        </is>
      </c>
      <c r="G3515" s="2" t="n">
        <v>610000</v>
      </c>
      <c r="H3515" s="2" t="inlineStr">
        <is>
          <t>Mano obra interna</t>
        </is>
      </c>
      <c r="I3515" s="9" t="n">
        <v>2224.54</v>
      </c>
      <c r="J3515" s="9" t="n">
        <v>2109.45</v>
      </c>
      <c r="K3515" s="9" t="n">
        <v>2095.93</v>
      </c>
      <c r="L3515" s="9" t="n">
        <v>2304.71</v>
      </c>
      <c r="M3515" s="9" t="n">
        <v>2209.07</v>
      </c>
      <c r="N3515" s="9" t="n">
        <v>2036.53</v>
      </c>
      <c r="O3515" s="9" t="n">
        <v>2126.25</v>
      </c>
      <c r="P3515" s="9" t="n">
        <v>2045.81</v>
      </c>
      <c r="Q3515" s="9" t="n">
        <v>2098.66</v>
      </c>
      <c r="R3515" s="9" t="n">
        <v>2373.75</v>
      </c>
      <c r="S3515" s="9" t="n">
        <v>1958.41</v>
      </c>
      <c r="T3515" s="9" t="n">
        <v>2155.88</v>
      </c>
      <c r="U3515" s="10">
        <f>SUM(I3515:T3515)</f>
        <v/>
      </c>
    </row>
    <row r="3516">
      <c r="A3516" s="2" t="inlineStr">
        <is>
          <t>SN-3000-3100-3120-3120HO0002</t>
        </is>
      </c>
      <c r="B3516" s="2" t="inlineStr">
        <is>
          <t>3120HO0002</t>
        </is>
      </c>
      <c r="C3516" s="2" t="inlineStr">
        <is>
          <t>Tolva bolas HO0002</t>
        </is>
      </c>
      <c r="D3516" s="2" t="n">
        <v>1172</v>
      </c>
      <c r="E3516" s="2" t="inlineStr">
        <is>
          <t>CC-3000</t>
        </is>
      </c>
      <c r="F3516" s="2" t="inlineStr">
        <is>
          <t>P01</t>
        </is>
      </c>
      <c r="G3516" s="2" t="n">
        <v>620000</v>
      </c>
      <c r="H3516" s="2" t="inlineStr">
        <is>
          <t>Materiales</t>
        </is>
      </c>
      <c r="I3516" s="9" t="n">
        <v>2331.16</v>
      </c>
      <c r="J3516" s="9" t="n">
        <v>2202.77</v>
      </c>
      <c r="K3516" s="9" t="n">
        <v>2428.52</v>
      </c>
      <c r="L3516" s="9" t="n">
        <v>2240.05</v>
      </c>
      <c r="M3516" s="9" t="n">
        <v>2285.97</v>
      </c>
      <c r="N3516" s="9" t="n">
        <v>2259.67</v>
      </c>
      <c r="O3516" s="9" t="n">
        <v>2432.85</v>
      </c>
      <c r="P3516" s="9" t="n">
        <v>2370.2</v>
      </c>
      <c r="Q3516" s="9" t="n">
        <v>2102.42</v>
      </c>
      <c r="R3516" s="9" t="n">
        <v>2587.89</v>
      </c>
      <c r="S3516" s="9" t="n">
        <v>2369.6</v>
      </c>
      <c r="T3516" s="9" t="n">
        <v>2326.95</v>
      </c>
      <c r="U3516" s="10">
        <f>SUM(I3516:T3516)</f>
        <v/>
      </c>
    </row>
    <row r="3517">
      <c r="A3517" s="2" t="inlineStr">
        <is>
          <t>SN-3000-3100-3120-3120HO0002</t>
        </is>
      </c>
      <c r="B3517" s="2" t="inlineStr">
        <is>
          <t>3120HO0002</t>
        </is>
      </c>
      <c r="C3517" s="2" t="inlineStr">
        <is>
          <t>Tolva bolas HO0002</t>
        </is>
      </c>
      <c r="D3517" s="2" t="n">
        <v>1172</v>
      </c>
      <c r="E3517" s="2" t="inlineStr">
        <is>
          <t>CC-3000</t>
        </is>
      </c>
      <c r="F3517" s="2" t="inlineStr">
        <is>
          <t>P01</t>
        </is>
      </c>
      <c r="G3517" s="2" t="n">
        <v>630000</v>
      </c>
      <c r="H3517" s="2" t="inlineStr">
        <is>
          <t>Servicios externos</t>
        </is>
      </c>
      <c r="I3517" s="9" t="n">
        <v>1925.75</v>
      </c>
      <c r="J3517" s="9" t="n">
        <v>1657.4</v>
      </c>
      <c r="K3517" s="9" t="n">
        <v>1724.65</v>
      </c>
      <c r="L3517" s="9" t="n">
        <v>1761.34</v>
      </c>
      <c r="M3517" s="9" t="n">
        <v>1725.88</v>
      </c>
      <c r="N3517" s="9" t="n">
        <v>1781.37</v>
      </c>
      <c r="O3517" s="9" t="n">
        <v>1747.32</v>
      </c>
      <c r="P3517" s="9" t="n">
        <v>1648.47</v>
      </c>
      <c r="Q3517" s="9" t="n">
        <v>1691.16</v>
      </c>
      <c r="R3517" s="9" t="n">
        <v>1970.03</v>
      </c>
      <c r="S3517" s="9" t="n">
        <v>1807.81</v>
      </c>
      <c r="T3517" s="9" t="n">
        <v>1775.26</v>
      </c>
      <c r="U3517" s="10">
        <f>SUM(I3517:T3517)</f>
        <v/>
      </c>
    </row>
    <row r="3518">
      <c r="A3518" s="2" t="inlineStr">
        <is>
          <t>SN-3000-3100-3120-3120HT0014</t>
        </is>
      </c>
      <c r="B3518" s="2" t="inlineStr">
        <is>
          <t>3120HT0014</t>
        </is>
      </c>
      <c r="C3518" s="2" t="inlineStr">
        <is>
          <t>Tecle manual HT0014</t>
        </is>
      </c>
      <c r="D3518" s="2" t="n">
        <v>1173</v>
      </c>
      <c r="E3518" s="2" t="inlineStr">
        <is>
          <t>CC-3000</t>
        </is>
      </c>
      <c r="F3518" s="2" t="inlineStr">
        <is>
          <t>P01</t>
        </is>
      </c>
      <c r="G3518" s="2" t="n">
        <v>610000</v>
      </c>
      <c r="H3518" s="2" t="inlineStr">
        <is>
          <t>Mano obra interna</t>
        </is>
      </c>
      <c r="I3518" s="9" t="n">
        <v>1471.33</v>
      </c>
      <c r="J3518" s="9" t="n">
        <v>1322.16</v>
      </c>
      <c r="K3518" s="9" t="n">
        <v>1360.45</v>
      </c>
      <c r="L3518" s="9" t="n">
        <v>1525.76</v>
      </c>
      <c r="M3518" s="9" t="n">
        <v>1392.51</v>
      </c>
      <c r="N3518" s="9" t="n">
        <v>1371.83</v>
      </c>
      <c r="O3518" s="9" t="n">
        <v>1467.05</v>
      </c>
      <c r="P3518" s="9" t="n">
        <v>1405.47</v>
      </c>
      <c r="Q3518" s="9" t="n">
        <v>1234.82</v>
      </c>
      <c r="R3518" s="9" t="n">
        <v>1480.26</v>
      </c>
      <c r="S3518" s="9" t="n">
        <v>1315.85</v>
      </c>
      <c r="T3518" s="9" t="n">
        <v>1561.16</v>
      </c>
      <c r="U3518" s="10">
        <f>SUM(I3518:T3518)</f>
        <v/>
      </c>
    </row>
    <row r="3519">
      <c r="A3519" s="2" t="inlineStr">
        <is>
          <t>SN-3000-3100-3120-3120HT0014</t>
        </is>
      </c>
      <c r="B3519" s="2" t="inlineStr">
        <is>
          <t>3120HT0014</t>
        </is>
      </c>
      <c r="C3519" s="2" t="inlineStr">
        <is>
          <t>Tecle manual HT0014</t>
        </is>
      </c>
      <c r="D3519" s="2" t="n">
        <v>1173</v>
      </c>
      <c r="E3519" s="2" t="inlineStr">
        <is>
          <t>CC-3000</t>
        </is>
      </c>
      <c r="F3519" s="2" t="inlineStr">
        <is>
          <t>P01</t>
        </is>
      </c>
      <c r="G3519" s="2" t="n">
        <v>620000</v>
      </c>
      <c r="H3519" s="2" t="inlineStr">
        <is>
          <t>Materiales</t>
        </is>
      </c>
      <c r="I3519" s="9" t="n">
        <v>1712.59</v>
      </c>
      <c r="J3519" s="9" t="n">
        <v>1548.8</v>
      </c>
      <c r="K3519" s="9" t="n">
        <v>1637.02</v>
      </c>
      <c r="L3519" s="9" t="n">
        <v>1814.51</v>
      </c>
      <c r="M3519" s="9" t="n">
        <v>1792.49</v>
      </c>
      <c r="N3519" s="9" t="n">
        <v>1495.24</v>
      </c>
      <c r="O3519" s="9" t="n">
        <v>1802.56</v>
      </c>
      <c r="P3519" s="9" t="n">
        <v>1657.18</v>
      </c>
      <c r="Q3519" s="9" t="n">
        <v>1501.75</v>
      </c>
      <c r="R3519" s="9" t="n">
        <v>1707.28</v>
      </c>
      <c r="S3519" s="9" t="n">
        <v>1707.9</v>
      </c>
      <c r="T3519" s="9" t="n">
        <v>1707.29</v>
      </c>
      <c r="U3519" s="10">
        <f>SUM(I3519:T3519)</f>
        <v/>
      </c>
    </row>
    <row r="3520">
      <c r="A3520" s="2" t="inlineStr">
        <is>
          <t>SN-3000-3100-3120-3120HT0014</t>
        </is>
      </c>
      <c r="B3520" s="2" t="inlineStr">
        <is>
          <t>3120HT0014</t>
        </is>
      </c>
      <c r="C3520" s="2" t="inlineStr">
        <is>
          <t>Tecle manual HT0014</t>
        </is>
      </c>
      <c r="D3520" s="2" t="n">
        <v>1173</v>
      </c>
      <c r="E3520" s="2" t="inlineStr">
        <is>
          <t>CC-3000</t>
        </is>
      </c>
      <c r="F3520" s="2" t="inlineStr">
        <is>
          <t>P01</t>
        </is>
      </c>
      <c r="G3520" s="2" t="n">
        <v>630000</v>
      </c>
      <c r="H3520" s="2" t="inlineStr">
        <is>
          <t>Servicios externos</t>
        </is>
      </c>
      <c r="I3520" s="9" t="n">
        <v>1693.94</v>
      </c>
      <c r="J3520" s="9" t="n">
        <v>1757.94</v>
      </c>
      <c r="K3520" s="9" t="n">
        <v>1680.91</v>
      </c>
      <c r="L3520" s="9" t="n">
        <v>1657.22</v>
      </c>
      <c r="M3520" s="9" t="n">
        <v>1616.7</v>
      </c>
      <c r="N3520" s="9" t="n">
        <v>1741.15</v>
      </c>
      <c r="O3520" s="9" t="n">
        <v>1779.4</v>
      </c>
      <c r="P3520" s="9" t="n">
        <v>1641.41</v>
      </c>
      <c r="Q3520" s="9" t="n">
        <v>1585.65</v>
      </c>
      <c r="R3520" s="9" t="n">
        <v>1950.44</v>
      </c>
      <c r="S3520" s="9" t="n">
        <v>1622.35</v>
      </c>
      <c r="T3520" s="9" t="n">
        <v>1879.86</v>
      </c>
      <c r="U3520" s="10">
        <f>SUM(I3520:T3520)</f>
        <v/>
      </c>
    </row>
    <row r="3521">
      <c r="A3521" s="2" t="inlineStr">
        <is>
          <t>SN-3000-3100-3120-3120ME0008</t>
        </is>
      </c>
      <c r="B3521" s="2" t="inlineStr">
        <is>
          <t>3120ME0008</t>
        </is>
      </c>
      <c r="C3521" s="2" t="inlineStr">
        <is>
          <t>Distribuidor bolas ME0008</t>
        </is>
      </c>
      <c r="D3521" s="2" t="n">
        <v>1174</v>
      </c>
      <c r="E3521" s="2" t="inlineStr">
        <is>
          <t>CC-3000</t>
        </is>
      </c>
      <c r="F3521" s="2" t="inlineStr">
        <is>
          <t>P01</t>
        </is>
      </c>
      <c r="G3521" s="2" t="n">
        <v>610000</v>
      </c>
      <c r="H3521" s="2" t="inlineStr">
        <is>
          <t>Mano obra interna</t>
        </is>
      </c>
      <c r="I3521" s="9" t="n">
        <v>674.45</v>
      </c>
      <c r="J3521" s="9" t="n">
        <v>658.84</v>
      </c>
      <c r="K3521" s="9" t="n">
        <v>692.4299999999999</v>
      </c>
      <c r="L3521" s="9" t="n">
        <v>643.7</v>
      </c>
      <c r="M3521" s="9" t="n">
        <v>634.39</v>
      </c>
      <c r="N3521" s="9" t="n">
        <v>589.87</v>
      </c>
      <c r="O3521" s="9" t="n">
        <v>699.99</v>
      </c>
      <c r="P3521" s="9" t="n">
        <v>678.09</v>
      </c>
      <c r="Q3521" s="9" t="n">
        <v>565.59</v>
      </c>
      <c r="R3521" s="9" t="n">
        <v>712.1</v>
      </c>
      <c r="S3521" s="9" t="n">
        <v>618.29</v>
      </c>
      <c r="T3521" s="9" t="n">
        <v>698.4</v>
      </c>
      <c r="U3521" s="10">
        <f>SUM(I3521:T3521)</f>
        <v/>
      </c>
    </row>
    <row r="3522">
      <c r="A3522" s="2" t="inlineStr">
        <is>
          <t>SN-3000-3100-3120-3120ME0008</t>
        </is>
      </c>
      <c r="B3522" s="2" t="inlineStr">
        <is>
          <t>3120ME0008</t>
        </is>
      </c>
      <c r="C3522" s="2" t="inlineStr">
        <is>
          <t>Distribuidor bolas ME0008</t>
        </is>
      </c>
      <c r="D3522" s="2" t="n">
        <v>1174</v>
      </c>
      <c r="E3522" s="2" t="inlineStr">
        <is>
          <t>CC-3000</t>
        </is>
      </c>
      <c r="F3522" s="2" t="inlineStr">
        <is>
          <t>P01</t>
        </is>
      </c>
      <c r="G3522" s="2" t="n">
        <v>620000</v>
      </c>
      <c r="H3522" s="2" t="inlineStr">
        <is>
          <t>Materiales</t>
        </is>
      </c>
      <c r="I3522" s="9" t="n">
        <v>556.16</v>
      </c>
      <c r="J3522" s="9" t="n">
        <v>496.4</v>
      </c>
      <c r="K3522" s="9" t="n">
        <v>554.53</v>
      </c>
      <c r="L3522" s="9" t="n">
        <v>526.3099999999999</v>
      </c>
      <c r="M3522" s="9" t="n">
        <v>498.75</v>
      </c>
      <c r="N3522" s="9" t="n">
        <v>518.84</v>
      </c>
      <c r="O3522" s="9" t="n">
        <v>544.58</v>
      </c>
      <c r="P3522" s="9" t="n">
        <v>573.27</v>
      </c>
      <c r="Q3522" s="9" t="n">
        <v>509.12</v>
      </c>
      <c r="R3522" s="9" t="n">
        <v>575.72</v>
      </c>
      <c r="S3522" s="9" t="n">
        <v>549.54</v>
      </c>
      <c r="T3522" s="9" t="n">
        <v>568.8099999999999</v>
      </c>
      <c r="U3522" s="10">
        <f>SUM(I3522:T3522)</f>
        <v/>
      </c>
    </row>
    <row r="3523">
      <c r="A3523" s="2" t="inlineStr">
        <is>
          <t>SN-3000-3100-3120-3120ME0008</t>
        </is>
      </c>
      <c r="B3523" s="2" t="inlineStr">
        <is>
          <t>3120ME0008</t>
        </is>
      </c>
      <c r="C3523" s="2" t="inlineStr">
        <is>
          <t>Distribuidor bolas ME0008</t>
        </is>
      </c>
      <c r="D3523" s="2" t="n">
        <v>1174</v>
      </c>
      <c r="E3523" s="2" t="inlineStr">
        <is>
          <t>CC-3000</t>
        </is>
      </c>
      <c r="F3523" s="2" t="inlineStr">
        <is>
          <t>P01</t>
        </is>
      </c>
      <c r="G3523" s="2" t="n">
        <v>630000</v>
      </c>
      <c r="H3523" s="2" t="inlineStr">
        <is>
          <t>Servicios externos</t>
        </is>
      </c>
      <c r="I3523" s="9" t="n">
        <v>584.66</v>
      </c>
      <c r="J3523" s="9" t="n">
        <v>602.84</v>
      </c>
      <c r="K3523" s="9" t="n">
        <v>600.83</v>
      </c>
      <c r="L3523" s="9" t="n">
        <v>604.27</v>
      </c>
      <c r="M3523" s="9" t="n">
        <v>528.36</v>
      </c>
      <c r="N3523" s="9" t="n">
        <v>565.66</v>
      </c>
      <c r="O3523" s="9" t="n">
        <v>550.41</v>
      </c>
      <c r="P3523" s="9" t="n">
        <v>536.12</v>
      </c>
      <c r="Q3523" s="9" t="n">
        <v>561.9400000000001</v>
      </c>
      <c r="R3523" s="9" t="n">
        <v>635.38</v>
      </c>
      <c r="S3523" s="9" t="n">
        <v>545.24</v>
      </c>
      <c r="T3523" s="9" t="n">
        <v>573.8099999999999</v>
      </c>
      <c r="U3523" s="10">
        <f>SUM(I3523:T3523)</f>
        <v/>
      </c>
    </row>
    <row r="3524">
      <c r="A3524" s="2" t="inlineStr">
        <is>
          <t>SN-3000-3100-3120-3120ME0014</t>
        </is>
      </c>
      <c r="B3524" s="2" t="inlineStr">
        <is>
          <t>3120ME0014</t>
        </is>
      </c>
      <c r="C3524" s="2" t="inlineStr">
        <is>
          <t>Inching drive ME0014</t>
        </is>
      </c>
      <c r="D3524" s="2" t="n">
        <v>1175</v>
      </c>
      <c r="E3524" s="2" t="inlineStr">
        <is>
          <t>CC-3000</t>
        </is>
      </c>
      <c r="F3524" s="2" t="inlineStr">
        <is>
          <t>P01</t>
        </is>
      </c>
      <c r="G3524" s="2" t="n">
        <v>610000</v>
      </c>
      <c r="H3524" s="2" t="inlineStr">
        <is>
          <t>Mano obra interna</t>
        </is>
      </c>
      <c r="I3524" s="9" t="n">
        <v>382.46</v>
      </c>
      <c r="J3524" s="9" t="n">
        <v>390.75</v>
      </c>
      <c r="K3524" s="9" t="n">
        <v>395.83</v>
      </c>
      <c r="L3524" s="9" t="n">
        <v>410.31</v>
      </c>
      <c r="M3524" s="9" t="n">
        <v>423.84</v>
      </c>
      <c r="N3524" s="9" t="n">
        <v>364.74</v>
      </c>
      <c r="O3524" s="9" t="n">
        <v>380.17</v>
      </c>
      <c r="P3524" s="9" t="n">
        <v>432.39</v>
      </c>
      <c r="Q3524" s="9" t="n">
        <v>393.3</v>
      </c>
      <c r="R3524" s="9" t="n">
        <v>407.09</v>
      </c>
      <c r="S3524" s="9" t="n">
        <v>367.1</v>
      </c>
      <c r="T3524" s="9" t="n">
        <v>424.8</v>
      </c>
      <c r="U3524" s="10">
        <f>SUM(I3524:T3524)</f>
        <v/>
      </c>
    </row>
    <row r="3525">
      <c r="A3525" s="2" t="inlineStr">
        <is>
          <t>SN-3000-3100-3120-3120ME0014</t>
        </is>
      </c>
      <c r="B3525" s="2" t="inlineStr">
        <is>
          <t>3120ME0014</t>
        </is>
      </c>
      <c r="C3525" s="2" t="inlineStr">
        <is>
          <t>Inching drive ME0014</t>
        </is>
      </c>
      <c r="D3525" s="2" t="n">
        <v>1175</v>
      </c>
      <c r="E3525" s="2" t="inlineStr">
        <is>
          <t>CC-3000</t>
        </is>
      </c>
      <c r="F3525" s="2" t="inlineStr">
        <is>
          <t>P01</t>
        </is>
      </c>
      <c r="G3525" s="2" t="n">
        <v>620000</v>
      </c>
      <c r="H3525" s="2" t="inlineStr">
        <is>
          <t>Materiales</t>
        </is>
      </c>
      <c r="I3525" s="9" t="n">
        <v>436.59</v>
      </c>
      <c r="J3525" s="9" t="n">
        <v>400.4</v>
      </c>
      <c r="K3525" s="9" t="n">
        <v>457.81</v>
      </c>
      <c r="L3525" s="9" t="n">
        <v>435.1</v>
      </c>
      <c r="M3525" s="9" t="n">
        <v>378.96</v>
      </c>
      <c r="N3525" s="9" t="n">
        <v>384.03</v>
      </c>
      <c r="O3525" s="9" t="n">
        <v>417.26</v>
      </c>
      <c r="P3525" s="9" t="n">
        <v>388.92</v>
      </c>
      <c r="Q3525" s="9" t="n">
        <v>353.74</v>
      </c>
      <c r="R3525" s="9" t="n">
        <v>415.28</v>
      </c>
      <c r="S3525" s="9" t="n">
        <v>401.24</v>
      </c>
      <c r="T3525" s="9" t="n">
        <v>427.87</v>
      </c>
      <c r="U3525" s="10">
        <f>SUM(I3525:T3525)</f>
        <v/>
      </c>
    </row>
    <row r="3526">
      <c r="A3526" s="2" t="inlineStr">
        <is>
          <t>SN-3000-3100-3120-3120ME0014</t>
        </is>
      </c>
      <c r="B3526" s="2" t="inlineStr">
        <is>
          <t>3120ME0014</t>
        </is>
      </c>
      <c r="C3526" s="2" t="inlineStr">
        <is>
          <t>Inching drive ME0014</t>
        </is>
      </c>
      <c r="D3526" s="2" t="n">
        <v>1175</v>
      </c>
      <c r="E3526" s="2" t="inlineStr">
        <is>
          <t>CC-3000</t>
        </is>
      </c>
      <c r="F3526" s="2" t="inlineStr">
        <is>
          <t>P01</t>
        </is>
      </c>
      <c r="G3526" s="2" t="n">
        <v>630000</v>
      </c>
      <c r="H3526" s="2" t="inlineStr">
        <is>
          <t>Servicios externos</t>
        </is>
      </c>
      <c r="I3526" s="9" t="n">
        <v>382.81</v>
      </c>
      <c r="J3526" s="9" t="n">
        <v>366.55</v>
      </c>
      <c r="K3526" s="9" t="n">
        <v>403.43</v>
      </c>
      <c r="L3526" s="9" t="n">
        <v>393.75</v>
      </c>
      <c r="M3526" s="9" t="n">
        <v>387.21</v>
      </c>
      <c r="N3526" s="9" t="n">
        <v>375.34</v>
      </c>
      <c r="O3526" s="9" t="n">
        <v>362.05</v>
      </c>
      <c r="P3526" s="9" t="n">
        <v>364.36</v>
      </c>
      <c r="Q3526" s="9" t="n">
        <v>328.21</v>
      </c>
      <c r="R3526" s="9" t="n">
        <v>394.53</v>
      </c>
      <c r="S3526" s="9" t="n">
        <v>333.91</v>
      </c>
      <c r="T3526" s="9" t="n">
        <v>380.94</v>
      </c>
      <c r="U3526" s="10">
        <f>SUM(I3526:T3526)</f>
        <v/>
      </c>
    </row>
    <row r="3527">
      <c r="A3527" s="2" t="inlineStr">
        <is>
          <t>SN-3000-3100-3120-3120MI0002LRS</t>
        </is>
      </c>
      <c r="B3527" s="2" t="inlineStr">
        <is>
          <t>3120MI0002LRS</t>
        </is>
      </c>
      <c r="C3527" s="2" t="inlineStr">
        <is>
          <t>Arrancador resistencia líquida MI0002LRS</t>
        </is>
      </c>
      <c r="D3527" s="2" t="n">
        <v>1176</v>
      </c>
      <c r="E3527" s="2" t="inlineStr">
        <is>
          <t>CC-3000</t>
        </is>
      </c>
      <c r="F3527" s="2" t="inlineStr">
        <is>
          <t>P01</t>
        </is>
      </c>
      <c r="G3527" s="2" t="n">
        <v>610000</v>
      </c>
      <c r="H3527" s="2" t="inlineStr">
        <is>
          <t>Mano obra interna</t>
        </is>
      </c>
      <c r="I3527" s="9" t="n">
        <v>1358.06</v>
      </c>
      <c r="J3527" s="9" t="n">
        <v>1304.15</v>
      </c>
      <c r="K3527" s="9" t="n">
        <v>1533.44</v>
      </c>
      <c r="L3527" s="9" t="n">
        <v>1339.04</v>
      </c>
      <c r="M3527" s="9" t="n">
        <v>1460.67</v>
      </c>
      <c r="N3527" s="9" t="n">
        <v>1248.24</v>
      </c>
      <c r="O3527" s="9" t="n">
        <v>1423.22</v>
      </c>
      <c r="P3527" s="9" t="n">
        <v>1348.04</v>
      </c>
      <c r="Q3527" s="9" t="n">
        <v>1255</v>
      </c>
      <c r="R3527" s="9" t="n">
        <v>1617.45</v>
      </c>
      <c r="S3527" s="9" t="n">
        <v>1285.78</v>
      </c>
      <c r="T3527" s="9" t="n">
        <v>1342.62</v>
      </c>
      <c r="U3527" s="10">
        <f>SUM(I3527:T3527)</f>
        <v/>
      </c>
    </row>
    <row r="3528">
      <c r="A3528" s="2" t="inlineStr">
        <is>
          <t>SN-3000-3100-3120-3120MI0002LRS</t>
        </is>
      </c>
      <c r="B3528" s="2" t="inlineStr">
        <is>
          <t>3120MI0002LRS</t>
        </is>
      </c>
      <c r="C3528" s="2" t="inlineStr">
        <is>
          <t>Arrancador resistencia líquida MI0002LRS</t>
        </is>
      </c>
      <c r="D3528" s="2" t="n">
        <v>1176</v>
      </c>
      <c r="E3528" s="2" t="inlineStr">
        <is>
          <t>CC-3000</t>
        </is>
      </c>
      <c r="F3528" s="2" t="inlineStr">
        <is>
          <t>P01</t>
        </is>
      </c>
      <c r="G3528" s="2" t="n">
        <v>620000</v>
      </c>
      <c r="H3528" s="2" t="inlineStr">
        <is>
          <t>Materiales</t>
        </is>
      </c>
      <c r="I3528" s="9" t="n">
        <v>1687.29</v>
      </c>
      <c r="J3528" s="9" t="n">
        <v>1688.44</v>
      </c>
      <c r="K3528" s="9" t="n">
        <v>1694.8</v>
      </c>
      <c r="L3528" s="9" t="n">
        <v>1642.72</v>
      </c>
      <c r="M3528" s="9" t="n">
        <v>1552.17</v>
      </c>
      <c r="N3528" s="9" t="n">
        <v>1544.77</v>
      </c>
      <c r="O3528" s="9" t="n">
        <v>1617.94</v>
      </c>
      <c r="P3528" s="9" t="n">
        <v>1518.51</v>
      </c>
      <c r="Q3528" s="9" t="n">
        <v>1522.1</v>
      </c>
      <c r="R3528" s="9" t="n">
        <v>1635.18</v>
      </c>
      <c r="S3528" s="9" t="n">
        <v>1538.23</v>
      </c>
      <c r="T3528" s="9" t="n">
        <v>1553.11</v>
      </c>
      <c r="U3528" s="10">
        <f>SUM(I3528:T3528)</f>
        <v/>
      </c>
    </row>
    <row r="3529">
      <c r="A3529" s="2" t="inlineStr">
        <is>
          <t>SN-3000-3100-3120-3120MI0002LRS</t>
        </is>
      </c>
      <c r="B3529" s="2" t="inlineStr">
        <is>
          <t>3120MI0002LRS</t>
        </is>
      </c>
      <c r="C3529" s="2" t="inlineStr">
        <is>
          <t>Arrancador resistencia líquida MI0002LRS</t>
        </is>
      </c>
      <c r="D3529" s="2" t="n">
        <v>1176</v>
      </c>
      <c r="E3529" s="2" t="inlineStr">
        <is>
          <t>CC-3000</t>
        </is>
      </c>
      <c r="F3529" s="2" t="inlineStr">
        <is>
          <t>P01</t>
        </is>
      </c>
      <c r="G3529" s="2" t="n">
        <v>630000</v>
      </c>
      <c r="H3529" s="2" t="inlineStr">
        <is>
          <t>Servicios externos</t>
        </is>
      </c>
      <c r="I3529" s="9" t="n">
        <v>1565.14</v>
      </c>
      <c r="J3529" s="9" t="n">
        <v>1379.61</v>
      </c>
      <c r="K3529" s="9" t="n">
        <v>1432.11</v>
      </c>
      <c r="L3529" s="9" t="n">
        <v>1447.99</v>
      </c>
      <c r="M3529" s="9" t="n">
        <v>1411.18</v>
      </c>
      <c r="N3529" s="9" t="n">
        <v>1370</v>
      </c>
      <c r="O3529" s="9" t="n">
        <v>1572.45</v>
      </c>
      <c r="P3529" s="9" t="n">
        <v>1491.83</v>
      </c>
      <c r="Q3529" s="9" t="n">
        <v>1394.92</v>
      </c>
      <c r="R3529" s="9" t="n">
        <v>1661.33</v>
      </c>
      <c r="S3529" s="9" t="n">
        <v>1511.09</v>
      </c>
      <c r="T3529" s="9" t="n">
        <v>1406.71</v>
      </c>
      <c r="U3529" s="10">
        <f>SUM(I3529:T3529)</f>
        <v/>
      </c>
    </row>
    <row r="3530">
      <c r="A3530" s="2" t="inlineStr">
        <is>
          <t>SN-3000-3100-3120-3120PU0085</t>
        </is>
      </c>
      <c r="B3530" s="2" t="inlineStr">
        <is>
          <t>3120PU0085</t>
        </is>
      </c>
      <c r="C3530" s="2" t="inlineStr">
        <is>
          <t>Bomba centrífuga pulpa PU0085</t>
        </is>
      </c>
      <c r="D3530" s="2" t="n">
        <v>1177</v>
      </c>
      <c r="E3530" s="2" t="inlineStr">
        <is>
          <t>CC-3000</t>
        </is>
      </c>
      <c r="F3530" s="2" t="inlineStr">
        <is>
          <t>P01</t>
        </is>
      </c>
      <c r="G3530" s="2" t="n">
        <v>610000</v>
      </c>
      <c r="H3530" s="2" t="inlineStr">
        <is>
          <t>Mano obra interna</t>
        </is>
      </c>
      <c r="I3530" s="9" t="n">
        <v>1825.76</v>
      </c>
      <c r="J3530" s="9" t="n">
        <v>1534.86</v>
      </c>
      <c r="K3530" s="9" t="n">
        <v>1752.69</v>
      </c>
      <c r="L3530" s="9" t="n">
        <v>1560.43</v>
      </c>
      <c r="M3530" s="9" t="n">
        <v>1523.22</v>
      </c>
      <c r="N3530" s="9" t="n">
        <v>1531.4</v>
      </c>
      <c r="O3530" s="9" t="n">
        <v>1751.57</v>
      </c>
      <c r="P3530" s="9" t="n">
        <v>1698.04</v>
      </c>
      <c r="Q3530" s="9" t="n">
        <v>1530.79</v>
      </c>
      <c r="R3530" s="9" t="n">
        <v>1771.36</v>
      </c>
      <c r="S3530" s="9" t="n">
        <v>1597.14</v>
      </c>
      <c r="T3530" s="9" t="n">
        <v>1632.57</v>
      </c>
      <c r="U3530" s="10">
        <f>SUM(I3530:T3530)</f>
        <v/>
      </c>
    </row>
    <row r="3531">
      <c r="A3531" s="2" t="inlineStr">
        <is>
          <t>SN-3000-3100-3120-3120PU0085</t>
        </is>
      </c>
      <c r="B3531" s="2" t="inlineStr">
        <is>
          <t>3120PU0085</t>
        </is>
      </c>
      <c r="C3531" s="2" t="inlineStr">
        <is>
          <t>Bomba centrífuga pulpa PU0085</t>
        </is>
      </c>
      <c r="D3531" s="2" t="n">
        <v>1177</v>
      </c>
      <c r="E3531" s="2" t="inlineStr">
        <is>
          <t>CC-3000</t>
        </is>
      </c>
      <c r="F3531" s="2" t="inlineStr">
        <is>
          <t>P01</t>
        </is>
      </c>
      <c r="G3531" s="2" t="n">
        <v>620000</v>
      </c>
      <c r="H3531" s="2" t="inlineStr">
        <is>
          <t>Materiales</t>
        </is>
      </c>
      <c r="I3531" s="9" t="n">
        <v>1656.53</v>
      </c>
      <c r="J3531" s="9" t="n">
        <v>1576.91</v>
      </c>
      <c r="K3531" s="9" t="n">
        <v>1646.82</v>
      </c>
      <c r="L3531" s="9" t="n">
        <v>1755.07</v>
      </c>
      <c r="M3531" s="9" t="n">
        <v>1645.52</v>
      </c>
      <c r="N3531" s="9" t="n">
        <v>1447.53</v>
      </c>
      <c r="O3531" s="9" t="n">
        <v>1589.81</v>
      </c>
      <c r="P3531" s="9" t="n">
        <v>1549.76</v>
      </c>
      <c r="Q3531" s="9" t="n">
        <v>1610.72</v>
      </c>
      <c r="R3531" s="9" t="n">
        <v>1707.74</v>
      </c>
      <c r="S3531" s="9" t="n">
        <v>1446.56</v>
      </c>
      <c r="T3531" s="9" t="n">
        <v>1605.97</v>
      </c>
      <c r="U3531" s="10">
        <f>SUM(I3531:T3531)</f>
        <v/>
      </c>
    </row>
    <row r="3532">
      <c r="A3532" s="2" t="inlineStr">
        <is>
          <t>SN-3000-3100-3120-3120PU0085</t>
        </is>
      </c>
      <c r="B3532" s="2" t="inlineStr">
        <is>
          <t>3120PU0085</t>
        </is>
      </c>
      <c r="C3532" s="2" t="inlineStr">
        <is>
          <t>Bomba centrífuga pulpa PU0085</t>
        </is>
      </c>
      <c r="D3532" s="2" t="n">
        <v>1177</v>
      </c>
      <c r="E3532" s="2" t="inlineStr">
        <is>
          <t>CC-3000</t>
        </is>
      </c>
      <c r="F3532" s="2" t="inlineStr">
        <is>
          <t>P01</t>
        </is>
      </c>
      <c r="G3532" s="2" t="n">
        <v>630000</v>
      </c>
      <c r="H3532" s="2" t="inlineStr">
        <is>
          <t>Servicios externos</t>
        </is>
      </c>
      <c r="I3532" s="9" t="n">
        <v>1434.84</v>
      </c>
      <c r="J3532" s="9" t="n">
        <v>1302.83</v>
      </c>
      <c r="K3532" s="9" t="n">
        <v>1321.3</v>
      </c>
      <c r="L3532" s="9" t="n">
        <v>1322.57</v>
      </c>
      <c r="M3532" s="9" t="n">
        <v>1321.68</v>
      </c>
      <c r="N3532" s="9" t="n">
        <v>1290.61</v>
      </c>
      <c r="O3532" s="9" t="n">
        <v>1458.19</v>
      </c>
      <c r="P3532" s="9" t="n">
        <v>1331.6</v>
      </c>
      <c r="Q3532" s="9" t="n">
        <v>1191.32</v>
      </c>
      <c r="R3532" s="9" t="n">
        <v>1559.01</v>
      </c>
      <c r="S3532" s="9" t="n">
        <v>1418.37</v>
      </c>
      <c r="T3532" s="9" t="n">
        <v>1402.31</v>
      </c>
      <c r="U3532" s="10">
        <f>SUM(I3532:T3532)</f>
        <v/>
      </c>
    </row>
    <row r="3533">
      <c r="A3533" s="2" t="inlineStr">
        <is>
          <t>SN-3000-3100-3150-3150XM0014</t>
        </is>
      </c>
      <c r="B3533" s="2" t="inlineStr">
        <is>
          <t>3150XM0014</t>
        </is>
      </c>
      <c r="C3533" s="2" t="inlineStr">
        <is>
          <t>Celosía XM0014</t>
        </is>
      </c>
      <c r="D3533" s="2" t="n">
        <v>1178</v>
      </c>
      <c r="E3533" s="2" t="inlineStr">
        <is>
          <t>CC-3000</t>
        </is>
      </c>
      <c r="F3533" s="2" t="inlineStr">
        <is>
          <t>P01</t>
        </is>
      </c>
      <c r="G3533" s="2" t="n">
        <v>610000</v>
      </c>
      <c r="H3533" s="2" t="inlineStr">
        <is>
          <t>Mano obra interna</t>
        </is>
      </c>
      <c r="I3533" s="9" t="n">
        <v>458.88</v>
      </c>
      <c r="J3533" s="9" t="n">
        <v>390.9</v>
      </c>
      <c r="K3533" s="9" t="n">
        <v>474.54</v>
      </c>
      <c r="L3533" s="9" t="n">
        <v>466</v>
      </c>
      <c r="M3533" s="9" t="n">
        <v>429.36</v>
      </c>
      <c r="N3533" s="9" t="n">
        <v>397.18</v>
      </c>
      <c r="O3533" s="9" t="n">
        <v>398.74</v>
      </c>
      <c r="P3533" s="9" t="n">
        <v>464.86</v>
      </c>
      <c r="Q3533" s="9" t="n">
        <v>417.8</v>
      </c>
      <c r="R3533" s="9" t="n">
        <v>452.55</v>
      </c>
      <c r="S3533" s="9" t="n">
        <v>384.93</v>
      </c>
      <c r="T3533" s="9" t="n">
        <v>446.9</v>
      </c>
      <c r="U3533" s="10">
        <f>SUM(I3533:T3533)</f>
        <v/>
      </c>
    </row>
    <row r="3534">
      <c r="A3534" s="2" t="inlineStr">
        <is>
          <t>SN-3000-3100-3150-3150XM0014</t>
        </is>
      </c>
      <c r="B3534" s="2" t="inlineStr">
        <is>
          <t>3150XM0014</t>
        </is>
      </c>
      <c r="C3534" s="2" t="inlineStr">
        <is>
          <t>Celosía XM0014</t>
        </is>
      </c>
      <c r="D3534" s="2" t="n">
        <v>1178</v>
      </c>
      <c r="E3534" s="2" t="inlineStr">
        <is>
          <t>CC-3000</t>
        </is>
      </c>
      <c r="F3534" s="2" t="inlineStr">
        <is>
          <t>P01</t>
        </is>
      </c>
      <c r="G3534" s="2" t="n">
        <v>620000</v>
      </c>
      <c r="H3534" s="2" t="inlineStr">
        <is>
          <t>Materiales</t>
        </is>
      </c>
      <c r="I3534" s="9" t="n">
        <v>547.29</v>
      </c>
      <c r="J3534" s="9" t="n">
        <v>477.02</v>
      </c>
      <c r="K3534" s="9" t="n">
        <v>526.97</v>
      </c>
      <c r="L3534" s="9" t="n">
        <v>497.19</v>
      </c>
      <c r="M3534" s="9" t="n">
        <v>547.42</v>
      </c>
      <c r="N3534" s="9" t="n">
        <v>482.66</v>
      </c>
      <c r="O3534" s="9" t="n">
        <v>538.54</v>
      </c>
      <c r="P3534" s="9" t="n">
        <v>484.07</v>
      </c>
      <c r="Q3534" s="9" t="n">
        <v>454.33</v>
      </c>
      <c r="R3534" s="9" t="n">
        <v>575.6900000000001</v>
      </c>
      <c r="S3534" s="9" t="n">
        <v>529.95</v>
      </c>
      <c r="T3534" s="9" t="n">
        <v>501.47</v>
      </c>
      <c r="U3534" s="10">
        <f>SUM(I3534:T3534)</f>
        <v/>
      </c>
    </row>
    <row r="3535">
      <c r="A3535" s="2" t="inlineStr">
        <is>
          <t>SN-3000-3100-3150-3150XM0014</t>
        </is>
      </c>
      <c r="B3535" s="2" t="inlineStr">
        <is>
          <t>3150XM0014</t>
        </is>
      </c>
      <c r="C3535" s="2" t="inlineStr">
        <is>
          <t>Celosía XM0014</t>
        </is>
      </c>
      <c r="D3535" s="2" t="n">
        <v>1178</v>
      </c>
      <c r="E3535" s="2" t="inlineStr">
        <is>
          <t>CC-3000</t>
        </is>
      </c>
      <c r="F3535" s="2" t="inlineStr">
        <is>
          <t>P01</t>
        </is>
      </c>
      <c r="G3535" s="2" t="n">
        <v>630000</v>
      </c>
      <c r="H3535" s="2" t="inlineStr">
        <is>
          <t>Servicios externos</t>
        </is>
      </c>
      <c r="I3535" s="9" t="n">
        <v>447.18</v>
      </c>
      <c r="J3535" s="9" t="n">
        <v>443.39</v>
      </c>
      <c r="K3535" s="9" t="n">
        <v>452.53</v>
      </c>
      <c r="L3535" s="9" t="n">
        <v>410.87</v>
      </c>
      <c r="M3535" s="9" t="n">
        <v>428.3</v>
      </c>
      <c r="N3535" s="9" t="n">
        <v>436.24</v>
      </c>
      <c r="O3535" s="9" t="n">
        <v>455.35</v>
      </c>
      <c r="P3535" s="9" t="n">
        <v>435.35</v>
      </c>
      <c r="Q3535" s="9" t="n">
        <v>431.86</v>
      </c>
      <c r="R3535" s="9" t="n">
        <v>434.26</v>
      </c>
      <c r="S3535" s="9" t="n">
        <v>414.68</v>
      </c>
      <c r="T3535" s="9" t="n">
        <v>455.42</v>
      </c>
      <c r="U3535" s="10">
        <f>SUM(I3535:T3535)</f>
        <v/>
      </c>
    </row>
    <row r="3536">
      <c r="A3536" s="2" t="inlineStr">
        <is>
          <t>SN-3000-3100-3150-3150XM0015</t>
        </is>
      </c>
      <c r="B3536" s="2" t="inlineStr">
        <is>
          <t>3150XM0015</t>
        </is>
      </c>
      <c r="C3536" s="2" t="inlineStr">
        <is>
          <t>Celosía XM0015</t>
        </is>
      </c>
      <c r="D3536" s="2" t="n">
        <v>1179</v>
      </c>
      <c r="E3536" s="2" t="inlineStr">
        <is>
          <t>CC-3000</t>
        </is>
      </c>
      <c r="F3536" s="2" t="inlineStr">
        <is>
          <t>P01</t>
        </is>
      </c>
      <c r="G3536" s="2" t="n">
        <v>610000</v>
      </c>
      <c r="H3536" s="2" t="inlineStr">
        <is>
          <t>Mano obra interna</t>
        </is>
      </c>
      <c r="I3536" s="9" t="n">
        <v>1691.67</v>
      </c>
      <c r="J3536" s="9" t="n">
        <v>1481.84</v>
      </c>
      <c r="K3536" s="9" t="n">
        <v>1551.24</v>
      </c>
      <c r="L3536" s="9" t="n">
        <v>1502.31</v>
      </c>
      <c r="M3536" s="9" t="n">
        <v>1472.95</v>
      </c>
      <c r="N3536" s="9" t="n">
        <v>1491.2</v>
      </c>
      <c r="O3536" s="9" t="n">
        <v>1523.87</v>
      </c>
      <c r="P3536" s="9" t="n">
        <v>1463.92</v>
      </c>
      <c r="Q3536" s="9" t="n">
        <v>1505.04</v>
      </c>
      <c r="R3536" s="9" t="n">
        <v>1545.05</v>
      </c>
      <c r="S3536" s="9" t="n">
        <v>1571.25</v>
      </c>
      <c r="T3536" s="9" t="n">
        <v>1507.17</v>
      </c>
      <c r="U3536" s="10">
        <f>SUM(I3536:T3536)</f>
        <v/>
      </c>
    </row>
    <row r="3537">
      <c r="A3537" s="2" t="inlineStr">
        <is>
          <t>SN-3000-3100-3150-3150XM0015</t>
        </is>
      </c>
      <c r="B3537" s="2" t="inlineStr">
        <is>
          <t>3150XM0015</t>
        </is>
      </c>
      <c r="C3537" s="2" t="inlineStr">
        <is>
          <t>Celosía XM0015</t>
        </is>
      </c>
      <c r="D3537" s="2" t="n">
        <v>1179</v>
      </c>
      <c r="E3537" s="2" t="inlineStr">
        <is>
          <t>CC-3000</t>
        </is>
      </c>
      <c r="F3537" s="2" t="inlineStr">
        <is>
          <t>P01</t>
        </is>
      </c>
      <c r="G3537" s="2" t="n">
        <v>620000</v>
      </c>
      <c r="H3537" s="2" t="inlineStr">
        <is>
          <t>Materiales</t>
        </is>
      </c>
      <c r="I3537" s="9" t="n">
        <v>1638.89</v>
      </c>
      <c r="J3537" s="9" t="n">
        <v>1630</v>
      </c>
      <c r="K3537" s="9" t="n">
        <v>1768.31</v>
      </c>
      <c r="L3537" s="9" t="n">
        <v>1803.6</v>
      </c>
      <c r="M3537" s="9" t="n">
        <v>1569.38</v>
      </c>
      <c r="N3537" s="9" t="n">
        <v>1578.14</v>
      </c>
      <c r="O3537" s="9" t="n">
        <v>1628.41</v>
      </c>
      <c r="P3537" s="9" t="n">
        <v>1765.9</v>
      </c>
      <c r="Q3537" s="9" t="n">
        <v>1598.74</v>
      </c>
      <c r="R3537" s="9" t="n">
        <v>1735.86</v>
      </c>
      <c r="S3537" s="9" t="n">
        <v>1578.44</v>
      </c>
      <c r="T3537" s="9" t="n">
        <v>1593.36</v>
      </c>
      <c r="U3537" s="10">
        <f>SUM(I3537:T3537)</f>
        <v/>
      </c>
    </row>
    <row r="3538">
      <c r="A3538" s="2" t="inlineStr">
        <is>
          <t>SN-3000-3100-3150-3150XM0015</t>
        </is>
      </c>
      <c r="B3538" s="2" t="inlineStr">
        <is>
          <t>3150XM0015</t>
        </is>
      </c>
      <c r="C3538" s="2" t="inlineStr">
        <is>
          <t>Celosía XM0015</t>
        </is>
      </c>
      <c r="D3538" s="2" t="n">
        <v>1179</v>
      </c>
      <c r="E3538" s="2" t="inlineStr">
        <is>
          <t>CC-3000</t>
        </is>
      </c>
      <c r="F3538" s="2" t="inlineStr">
        <is>
          <t>P01</t>
        </is>
      </c>
      <c r="G3538" s="2" t="n">
        <v>630000</v>
      </c>
      <c r="H3538" s="2" t="inlineStr">
        <is>
          <t>Servicios externos</t>
        </is>
      </c>
      <c r="I3538" s="9" t="n">
        <v>1902.57</v>
      </c>
      <c r="J3538" s="9" t="n">
        <v>1868.83</v>
      </c>
      <c r="K3538" s="9" t="n">
        <v>1841.24</v>
      </c>
      <c r="L3538" s="9" t="n">
        <v>1854.4</v>
      </c>
      <c r="M3538" s="9" t="n">
        <v>1732.81</v>
      </c>
      <c r="N3538" s="9" t="n">
        <v>1718.06</v>
      </c>
      <c r="O3538" s="9" t="n">
        <v>1724.21</v>
      </c>
      <c r="P3538" s="9" t="n">
        <v>1831.97</v>
      </c>
      <c r="Q3538" s="9" t="n">
        <v>1518.53</v>
      </c>
      <c r="R3538" s="9" t="n">
        <v>1760.98</v>
      </c>
      <c r="S3538" s="9" t="n">
        <v>1768.89</v>
      </c>
      <c r="T3538" s="9" t="n">
        <v>1915.9</v>
      </c>
      <c r="U3538" s="10">
        <f>SUM(I3538:T3538)</f>
        <v/>
      </c>
    </row>
    <row r="3539">
      <c r="A3539" s="2" t="inlineStr">
        <is>
          <t>SN-3000-3100-3150-3150XM0016</t>
        </is>
      </c>
      <c r="B3539" s="2" t="inlineStr">
        <is>
          <t>3150XM0016</t>
        </is>
      </c>
      <c r="C3539" s="2" t="inlineStr">
        <is>
          <t>Celosía XM0016</t>
        </is>
      </c>
      <c r="D3539" s="2" t="n">
        <v>1180</v>
      </c>
      <c r="E3539" s="2" t="inlineStr">
        <is>
          <t>CC-3000</t>
        </is>
      </c>
      <c r="F3539" s="2" t="inlineStr">
        <is>
          <t>P01</t>
        </is>
      </c>
      <c r="G3539" s="2" t="n">
        <v>610000</v>
      </c>
      <c r="H3539" s="2" t="inlineStr">
        <is>
          <t>Mano obra interna</t>
        </is>
      </c>
      <c r="I3539" s="9" t="n">
        <v>232.48</v>
      </c>
      <c r="J3539" s="9" t="n">
        <v>227.66</v>
      </c>
      <c r="K3539" s="9" t="n">
        <v>221.7</v>
      </c>
      <c r="L3539" s="9" t="n">
        <v>210.53</v>
      </c>
      <c r="M3539" s="9" t="n">
        <v>232.57</v>
      </c>
      <c r="N3539" s="9" t="n">
        <v>224.86</v>
      </c>
      <c r="O3539" s="9" t="n">
        <v>217.82</v>
      </c>
      <c r="P3539" s="9" t="n">
        <v>209.67</v>
      </c>
      <c r="Q3539" s="9" t="n">
        <v>217.42</v>
      </c>
      <c r="R3539" s="9" t="n">
        <v>244.91</v>
      </c>
      <c r="S3539" s="9" t="n">
        <v>196.01</v>
      </c>
      <c r="T3539" s="9" t="n">
        <v>209.03</v>
      </c>
      <c r="U3539" s="10">
        <f>SUM(I3539:T3539)</f>
        <v/>
      </c>
    </row>
    <row r="3540">
      <c r="A3540" s="2" t="inlineStr">
        <is>
          <t>SN-3000-3100-3150-3150XM0016</t>
        </is>
      </c>
      <c r="B3540" s="2" t="inlineStr">
        <is>
          <t>3150XM0016</t>
        </is>
      </c>
      <c r="C3540" s="2" t="inlineStr">
        <is>
          <t>Celosía XM0016</t>
        </is>
      </c>
      <c r="D3540" s="2" t="n">
        <v>1180</v>
      </c>
      <c r="E3540" s="2" t="inlineStr">
        <is>
          <t>CC-3000</t>
        </is>
      </c>
      <c r="F3540" s="2" t="inlineStr">
        <is>
          <t>P01</t>
        </is>
      </c>
      <c r="G3540" s="2" t="n">
        <v>620000</v>
      </c>
      <c r="H3540" s="2" t="inlineStr">
        <is>
          <t>Materiales</t>
        </is>
      </c>
      <c r="I3540" s="9" t="n">
        <v>229.43</v>
      </c>
      <c r="J3540" s="9" t="n">
        <v>230.68</v>
      </c>
      <c r="K3540" s="9" t="n">
        <v>252.3</v>
      </c>
      <c r="L3540" s="9" t="n">
        <v>235.5</v>
      </c>
      <c r="M3540" s="9" t="n">
        <v>229.87</v>
      </c>
      <c r="N3540" s="9" t="n">
        <v>226.55</v>
      </c>
      <c r="O3540" s="9" t="n">
        <v>233.83</v>
      </c>
      <c r="P3540" s="9" t="n">
        <v>254.26</v>
      </c>
      <c r="Q3540" s="9" t="n">
        <v>225.91</v>
      </c>
      <c r="R3540" s="9" t="n">
        <v>252.44</v>
      </c>
      <c r="S3540" s="9" t="n">
        <v>227.9</v>
      </c>
      <c r="T3540" s="9" t="n">
        <v>228.15</v>
      </c>
      <c r="U3540" s="10">
        <f>SUM(I3540:T3540)</f>
        <v/>
      </c>
    </row>
    <row r="3541">
      <c r="A3541" s="2" t="inlineStr">
        <is>
          <t>SN-3000-3100-3150-3150XM0016</t>
        </is>
      </c>
      <c r="B3541" s="2" t="inlineStr">
        <is>
          <t>3150XM0016</t>
        </is>
      </c>
      <c r="C3541" s="2" t="inlineStr">
        <is>
          <t>Celosía XM0016</t>
        </is>
      </c>
      <c r="D3541" s="2" t="n">
        <v>1180</v>
      </c>
      <c r="E3541" s="2" t="inlineStr">
        <is>
          <t>CC-3000</t>
        </is>
      </c>
      <c r="F3541" s="2" t="inlineStr">
        <is>
          <t>P01</t>
        </is>
      </c>
      <c r="G3541" s="2" t="n">
        <v>630000</v>
      </c>
      <c r="H3541" s="2" t="inlineStr">
        <is>
          <t>Servicios externos</t>
        </is>
      </c>
      <c r="I3541" s="9" t="n">
        <v>183.56</v>
      </c>
      <c r="J3541" s="9" t="n">
        <v>160.53</v>
      </c>
      <c r="K3541" s="9" t="n">
        <v>178.56</v>
      </c>
      <c r="L3541" s="9" t="n">
        <v>187.32</v>
      </c>
      <c r="M3541" s="9" t="n">
        <v>168.34</v>
      </c>
      <c r="N3541" s="9" t="n">
        <v>162.02</v>
      </c>
      <c r="O3541" s="9" t="n">
        <v>184.21</v>
      </c>
      <c r="P3541" s="9" t="n">
        <v>183.76</v>
      </c>
      <c r="Q3541" s="9" t="n">
        <v>171.59</v>
      </c>
      <c r="R3541" s="9" t="n">
        <v>189.54</v>
      </c>
      <c r="S3541" s="9" t="n">
        <v>180.38</v>
      </c>
      <c r="T3541" s="9" t="n">
        <v>185.34</v>
      </c>
      <c r="U3541" s="10">
        <f>SUM(I3541:T3541)</f>
        <v/>
      </c>
    </row>
    <row r="3542">
      <c r="A3542" s="2" t="inlineStr">
        <is>
          <t>SN-3000-3100-3150-3150XM0017</t>
        </is>
      </c>
      <c r="B3542" s="2" t="inlineStr">
        <is>
          <t>3150XM0017</t>
        </is>
      </c>
      <c r="C3542" s="2" t="inlineStr">
        <is>
          <t>Celosía XM0017</t>
        </is>
      </c>
      <c r="D3542" s="2" t="n">
        <v>1181</v>
      </c>
      <c r="E3542" s="2" t="inlineStr">
        <is>
          <t>CC-3000</t>
        </is>
      </c>
      <c r="F3542" s="2" t="inlineStr">
        <is>
          <t>P01</t>
        </is>
      </c>
      <c r="G3542" s="2" t="n">
        <v>610000</v>
      </c>
      <c r="H3542" s="2" t="inlineStr">
        <is>
          <t>Mano obra interna</t>
        </is>
      </c>
      <c r="I3542" s="9" t="n">
        <v>2752.1</v>
      </c>
      <c r="J3542" s="9" t="n">
        <v>2443.75</v>
      </c>
      <c r="K3542" s="9" t="n">
        <v>2747.1</v>
      </c>
      <c r="L3542" s="9" t="n">
        <v>2597.08</v>
      </c>
      <c r="M3542" s="9" t="n">
        <v>2523.31</v>
      </c>
      <c r="N3542" s="9" t="n">
        <v>2373.9</v>
      </c>
      <c r="O3542" s="9" t="n">
        <v>2582.4</v>
      </c>
      <c r="P3542" s="9" t="n">
        <v>2631.32</v>
      </c>
      <c r="Q3542" s="9" t="n">
        <v>2498.06</v>
      </c>
      <c r="R3542" s="9" t="n">
        <v>2759.36</v>
      </c>
      <c r="S3542" s="9" t="n">
        <v>2676.36</v>
      </c>
      <c r="T3542" s="9" t="n">
        <v>2689.35</v>
      </c>
      <c r="U3542" s="10">
        <f>SUM(I3542:T3542)</f>
        <v/>
      </c>
    </row>
    <row r="3543">
      <c r="A3543" s="2" t="inlineStr">
        <is>
          <t>SN-3000-3100-3150-3150XM0017</t>
        </is>
      </c>
      <c r="B3543" s="2" t="inlineStr">
        <is>
          <t>3150XM0017</t>
        </is>
      </c>
      <c r="C3543" s="2" t="inlineStr">
        <is>
          <t>Celosía XM0017</t>
        </is>
      </c>
      <c r="D3543" s="2" t="n">
        <v>1181</v>
      </c>
      <c r="E3543" s="2" t="inlineStr">
        <is>
          <t>CC-3000</t>
        </is>
      </c>
      <c r="F3543" s="2" t="inlineStr">
        <is>
          <t>P01</t>
        </is>
      </c>
      <c r="G3543" s="2" t="n">
        <v>620000</v>
      </c>
      <c r="H3543" s="2" t="inlineStr">
        <is>
          <t>Materiales</t>
        </is>
      </c>
      <c r="I3543" s="9" t="n">
        <v>2673.52</v>
      </c>
      <c r="J3543" s="9" t="n">
        <v>2808.61</v>
      </c>
      <c r="K3543" s="9" t="n">
        <v>2856.93</v>
      </c>
      <c r="L3543" s="9" t="n">
        <v>2936.06</v>
      </c>
      <c r="M3543" s="9" t="n">
        <v>2541.02</v>
      </c>
      <c r="N3543" s="9" t="n">
        <v>2546.45</v>
      </c>
      <c r="O3543" s="9" t="n">
        <v>2548.34</v>
      </c>
      <c r="P3543" s="9" t="n">
        <v>2589.79</v>
      </c>
      <c r="Q3543" s="9" t="n">
        <v>2484.97</v>
      </c>
      <c r="R3543" s="9" t="n">
        <v>3113.13</v>
      </c>
      <c r="S3543" s="9" t="n">
        <v>2652.58</v>
      </c>
      <c r="T3543" s="9" t="n">
        <v>2680.84</v>
      </c>
      <c r="U3543" s="10">
        <f>SUM(I3543:T3543)</f>
        <v/>
      </c>
    </row>
    <row r="3544">
      <c r="A3544" s="2" t="inlineStr">
        <is>
          <t>SN-3000-3100-3150-3150XM0017</t>
        </is>
      </c>
      <c r="B3544" s="2" t="inlineStr">
        <is>
          <t>3150XM0017</t>
        </is>
      </c>
      <c r="C3544" s="2" t="inlineStr">
        <is>
          <t>Celosía XM0017</t>
        </is>
      </c>
      <c r="D3544" s="2" t="n">
        <v>1181</v>
      </c>
      <c r="E3544" s="2" t="inlineStr">
        <is>
          <t>CC-3000</t>
        </is>
      </c>
      <c r="F3544" s="2" t="inlineStr">
        <is>
          <t>P01</t>
        </is>
      </c>
      <c r="G3544" s="2" t="n">
        <v>630000</v>
      </c>
      <c r="H3544" s="2" t="inlineStr">
        <is>
          <t>Servicios externos</t>
        </is>
      </c>
      <c r="I3544" s="9" t="n">
        <v>2635.04</v>
      </c>
      <c r="J3544" s="9" t="n">
        <v>2696.54</v>
      </c>
      <c r="K3544" s="9" t="n">
        <v>2931.13</v>
      </c>
      <c r="L3544" s="9" t="n">
        <v>2895.82</v>
      </c>
      <c r="M3544" s="9" t="n">
        <v>2814.82</v>
      </c>
      <c r="N3544" s="9" t="n">
        <v>2549.88</v>
      </c>
      <c r="O3544" s="9" t="n">
        <v>2724.46</v>
      </c>
      <c r="P3544" s="9" t="n">
        <v>2986.96</v>
      </c>
      <c r="Q3544" s="9" t="n">
        <v>2800.23</v>
      </c>
      <c r="R3544" s="9" t="n">
        <v>2924.72</v>
      </c>
      <c r="S3544" s="9" t="n">
        <v>2769.4</v>
      </c>
      <c r="T3544" s="9" t="n">
        <v>2720.18</v>
      </c>
      <c r="U3544" s="10">
        <f>SUM(I3544:T3544)</f>
        <v/>
      </c>
    </row>
    <row r="3545">
      <c r="A3545" s="2" t="inlineStr">
        <is>
          <t>SN-3000-3100-3150-3150XM0025</t>
        </is>
      </c>
      <c r="B3545" s="2" t="inlineStr">
        <is>
          <t>3150XM0025</t>
        </is>
      </c>
      <c r="C3545" s="2" t="inlineStr">
        <is>
          <t>Celosía XM0025</t>
        </is>
      </c>
      <c r="D3545" s="2" t="n">
        <v>1182</v>
      </c>
      <c r="E3545" s="2" t="inlineStr">
        <is>
          <t>CC-3000</t>
        </is>
      </c>
      <c r="F3545" s="2" t="inlineStr">
        <is>
          <t>P01</t>
        </is>
      </c>
      <c r="G3545" s="2" t="n">
        <v>610000</v>
      </c>
      <c r="H3545" s="2" t="inlineStr">
        <is>
          <t>Mano obra interna</t>
        </is>
      </c>
      <c r="I3545" s="9" t="n">
        <v>1366.36</v>
      </c>
      <c r="J3545" s="9" t="n">
        <v>1259.53</v>
      </c>
      <c r="K3545" s="9" t="n">
        <v>1392.89</v>
      </c>
      <c r="L3545" s="9" t="n">
        <v>1333.76</v>
      </c>
      <c r="M3545" s="9" t="n">
        <v>1291.53</v>
      </c>
      <c r="N3545" s="9" t="n">
        <v>1131.31</v>
      </c>
      <c r="O3545" s="9" t="n">
        <v>1330.33</v>
      </c>
      <c r="P3545" s="9" t="n">
        <v>1375.39</v>
      </c>
      <c r="Q3545" s="9" t="n">
        <v>1185.13</v>
      </c>
      <c r="R3545" s="9" t="n">
        <v>1303.6</v>
      </c>
      <c r="S3545" s="9" t="n">
        <v>1332.28</v>
      </c>
      <c r="T3545" s="9" t="n">
        <v>1254.06</v>
      </c>
      <c r="U3545" s="10">
        <f>SUM(I3545:T3545)</f>
        <v/>
      </c>
    </row>
    <row r="3546">
      <c r="A3546" s="2" t="inlineStr">
        <is>
          <t>SN-3000-3100-3150-3150XM0025</t>
        </is>
      </c>
      <c r="B3546" s="2" t="inlineStr">
        <is>
          <t>3150XM0025</t>
        </is>
      </c>
      <c r="C3546" s="2" t="inlineStr">
        <is>
          <t>Celosía XM0025</t>
        </is>
      </c>
      <c r="D3546" s="2" t="n">
        <v>1182</v>
      </c>
      <c r="E3546" s="2" t="inlineStr">
        <is>
          <t>CC-3000</t>
        </is>
      </c>
      <c r="F3546" s="2" t="inlineStr">
        <is>
          <t>P01</t>
        </is>
      </c>
      <c r="G3546" s="2" t="n">
        <v>620000</v>
      </c>
      <c r="H3546" s="2" t="inlineStr">
        <is>
          <t>Materiales</t>
        </is>
      </c>
      <c r="I3546" s="9" t="n">
        <v>1224.02</v>
      </c>
      <c r="J3546" s="9" t="n">
        <v>1187.65</v>
      </c>
      <c r="K3546" s="9" t="n">
        <v>1266.51</v>
      </c>
      <c r="L3546" s="9" t="n">
        <v>1324.53</v>
      </c>
      <c r="M3546" s="9" t="n">
        <v>1284.45</v>
      </c>
      <c r="N3546" s="9" t="n">
        <v>1250.39</v>
      </c>
      <c r="O3546" s="9" t="n">
        <v>1303.82</v>
      </c>
      <c r="P3546" s="9" t="n">
        <v>1284.05</v>
      </c>
      <c r="Q3546" s="9" t="n">
        <v>1254.96</v>
      </c>
      <c r="R3546" s="9" t="n">
        <v>1483.12</v>
      </c>
      <c r="S3546" s="9" t="n">
        <v>1199.06</v>
      </c>
      <c r="T3546" s="9" t="n">
        <v>1227.86</v>
      </c>
      <c r="U3546" s="10">
        <f>SUM(I3546:T3546)</f>
        <v/>
      </c>
    </row>
    <row r="3547">
      <c r="A3547" s="2" t="inlineStr">
        <is>
          <t>SN-3000-3100-3150-3150XM0025</t>
        </is>
      </c>
      <c r="B3547" s="2" t="inlineStr">
        <is>
          <t>3150XM0025</t>
        </is>
      </c>
      <c r="C3547" s="2" t="inlineStr">
        <is>
          <t>Celosía XM0025</t>
        </is>
      </c>
      <c r="D3547" s="2" t="n">
        <v>1182</v>
      </c>
      <c r="E3547" s="2" t="inlineStr">
        <is>
          <t>CC-3000</t>
        </is>
      </c>
      <c r="F3547" s="2" t="inlineStr">
        <is>
          <t>P01</t>
        </is>
      </c>
      <c r="G3547" s="2" t="n">
        <v>630000</v>
      </c>
      <c r="H3547" s="2" t="inlineStr">
        <is>
          <t>Servicios externos</t>
        </is>
      </c>
      <c r="I3547" s="9" t="n">
        <v>1223.36</v>
      </c>
      <c r="J3547" s="9" t="n">
        <v>1355.32</v>
      </c>
      <c r="K3547" s="9" t="n">
        <v>1281.95</v>
      </c>
      <c r="L3547" s="9" t="n">
        <v>1335.67</v>
      </c>
      <c r="M3547" s="9" t="n">
        <v>1204.19</v>
      </c>
      <c r="N3547" s="9" t="n">
        <v>1250.23</v>
      </c>
      <c r="O3547" s="9" t="n">
        <v>1201.53</v>
      </c>
      <c r="P3547" s="9" t="n">
        <v>1351.39</v>
      </c>
      <c r="Q3547" s="9" t="n">
        <v>1294.96</v>
      </c>
      <c r="R3547" s="9" t="n">
        <v>1355.14</v>
      </c>
      <c r="S3547" s="9" t="n">
        <v>1206.66</v>
      </c>
      <c r="T3547" s="9" t="n">
        <v>1304.93</v>
      </c>
      <c r="U3547" s="10">
        <f>SUM(I3547:T3547)</f>
        <v/>
      </c>
    </row>
    <row r="3548">
      <c r="A3548" s="2" t="inlineStr">
        <is>
          <t>SN-3000-3100-3150-3150XM0026</t>
        </is>
      </c>
      <c r="B3548" s="2" t="inlineStr">
        <is>
          <t>3150XM0026</t>
        </is>
      </c>
      <c r="C3548" s="2" t="inlineStr">
        <is>
          <t>Celosía XM0026</t>
        </is>
      </c>
      <c r="D3548" s="2" t="n">
        <v>1183</v>
      </c>
      <c r="E3548" s="2" t="inlineStr">
        <is>
          <t>CC-3000</t>
        </is>
      </c>
      <c r="F3548" s="2" t="inlineStr">
        <is>
          <t>P01</t>
        </is>
      </c>
      <c r="G3548" s="2" t="n">
        <v>610000</v>
      </c>
      <c r="H3548" s="2" t="inlineStr">
        <is>
          <t>Mano obra interna</t>
        </is>
      </c>
      <c r="I3548" s="9" t="n">
        <v>1077.73</v>
      </c>
      <c r="J3548" s="9" t="n">
        <v>1147.29</v>
      </c>
      <c r="K3548" s="9" t="n">
        <v>1090.88</v>
      </c>
      <c r="L3548" s="9" t="n">
        <v>1045.66</v>
      </c>
      <c r="M3548" s="9" t="n">
        <v>1103.79</v>
      </c>
      <c r="N3548" s="9" t="n">
        <v>996.8</v>
      </c>
      <c r="O3548" s="9" t="n">
        <v>1146.77</v>
      </c>
      <c r="P3548" s="9" t="n">
        <v>1051.12</v>
      </c>
      <c r="Q3548" s="9" t="n">
        <v>1086.74</v>
      </c>
      <c r="R3548" s="9" t="n">
        <v>1192.47</v>
      </c>
      <c r="S3548" s="9" t="n">
        <v>1086.94</v>
      </c>
      <c r="T3548" s="9" t="n">
        <v>1070.97</v>
      </c>
      <c r="U3548" s="10">
        <f>SUM(I3548:T3548)</f>
        <v/>
      </c>
    </row>
    <row r="3549">
      <c r="A3549" s="2" t="inlineStr">
        <is>
          <t>SN-3000-3100-3150-3150XM0026</t>
        </is>
      </c>
      <c r="B3549" s="2" t="inlineStr">
        <is>
          <t>3150XM0026</t>
        </is>
      </c>
      <c r="C3549" s="2" t="inlineStr">
        <is>
          <t>Celosía XM0026</t>
        </is>
      </c>
      <c r="D3549" s="2" t="n">
        <v>1183</v>
      </c>
      <c r="E3549" s="2" t="inlineStr">
        <is>
          <t>CC-3000</t>
        </is>
      </c>
      <c r="F3549" s="2" t="inlineStr">
        <is>
          <t>P01</t>
        </is>
      </c>
      <c r="G3549" s="2" t="n">
        <v>620000</v>
      </c>
      <c r="H3549" s="2" t="inlineStr">
        <is>
          <t>Materiales</t>
        </is>
      </c>
      <c r="I3549" s="9" t="n">
        <v>949.4</v>
      </c>
      <c r="J3549" s="9" t="n">
        <v>861.98</v>
      </c>
      <c r="K3549" s="9" t="n">
        <v>922.55</v>
      </c>
      <c r="L3549" s="9" t="n">
        <v>927.9</v>
      </c>
      <c r="M3549" s="9" t="n">
        <v>862.46</v>
      </c>
      <c r="N3549" s="9" t="n">
        <v>912.02</v>
      </c>
      <c r="O3549" s="9" t="n">
        <v>975.36</v>
      </c>
      <c r="P3549" s="9" t="n">
        <v>900.28</v>
      </c>
      <c r="Q3549" s="9" t="n">
        <v>904.5599999999999</v>
      </c>
      <c r="R3549" s="9" t="n">
        <v>1042.46</v>
      </c>
      <c r="S3549" s="9" t="n">
        <v>834.67</v>
      </c>
      <c r="T3549" s="9" t="n">
        <v>876.09</v>
      </c>
      <c r="U3549" s="10">
        <f>SUM(I3549:T3549)</f>
        <v/>
      </c>
    </row>
    <row r="3550">
      <c r="A3550" s="2" t="inlineStr">
        <is>
          <t>SN-3000-3100-3150-3150XM0026</t>
        </is>
      </c>
      <c r="B3550" s="2" t="inlineStr">
        <is>
          <t>3150XM0026</t>
        </is>
      </c>
      <c r="C3550" s="2" t="inlineStr">
        <is>
          <t>Celosía XM0026</t>
        </is>
      </c>
      <c r="D3550" s="2" t="n">
        <v>1183</v>
      </c>
      <c r="E3550" s="2" t="inlineStr">
        <is>
          <t>CC-3000</t>
        </is>
      </c>
      <c r="F3550" s="2" t="inlineStr">
        <is>
          <t>P01</t>
        </is>
      </c>
      <c r="G3550" s="2" t="n">
        <v>630000</v>
      </c>
      <c r="H3550" s="2" t="inlineStr">
        <is>
          <t>Servicios externos</t>
        </is>
      </c>
      <c r="I3550" s="9" t="n">
        <v>1047.76</v>
      </c>
      <c r="J3550" s="9" t="n">
        <v>981.0700000000001</v>
      </c>
      <c r="K3550" s="9" t="n">
        <v>1022.92</v>
      </c>
      <c r="L3550" s="9" t="n">
        <v>1033.2</v>
      </c>
      <c r="M3550" s="9" t="n">
        <v>1042.4</v>
      </c>
      <c r="N3550" s="9" t="n">
        <v>912.25</v>
      </c>
      <c r="O3550" s="9" t="n">
        <v>1057.06</v>
      </c>
      <c r="P3550" s="9" t="n">
        <v>1091.03</v>
      </c>
      <c r="Q3550" s="9" t="n">
        <v>991.6</v>
      </c>
      <c r="R3550" s="9" t="n">
        <v>1047.92</v>
      </c>
      <c r="S3550" s="9" t="n">
        <v>924.1900000000001</v>
      </c>
      <c r="T3550" s="9" t="n">
        <v>1035.72</v>
      </c>
      <c r="U3550" s="10">
        <f>SUM(I3550:T3550)</f>
        <v/>
      </c>
    </row>
    <row r="3551">
      <c r="A3551" s="2" t="inlineStr">
        <is>
          <t>SN-3000-3100-3150-3150XM0027</t>
        </is>
      </c>
      <c r="B3551" s="2" t="inlineStr">
        <is>
          <t>3150XM0027</t>
        </is>
      </c>
      <c r="C3551" s="2" t="inlineStr">
        <is>
          <t>Celosía XM0027</t>
        </is>
      </c>
      <c r="D3551" s="2" t="n">
        <v>1184</v>
      </c>
      <c r="E3551" s="2" t="inlineStr">
        <is>
          <t>CC-3000</t>
        </is>
      </c>
      <c r="F3551" s="2" t="inlineStr">
        <is>
          <t>P01</t>
        </is>
      </c>
      <c r="G3551" s="2" t="n">
        <v>610000</v>
      </c>
      <c r="H3551" s="2" t="inlineStr">
        <is>
          <t>Mano obra interna</t>
        </is>
      </c>
      <c r="I3551" s="9" t="n">
        <v>2198.7</v>
      </c>
      <c r="J3551" s="9" t="n">
        <v>2038.42</v>
      </c>
      <c r="K3551" s="9" t="n">
        <v>1993.27</v>
      </c>
      <c r="L3551" s="9" t="n">
        <v>2166.02</v>
      </c>
      <c r="M3551" s="9" t="n">
        <v>2129.55</v>
      </c>
      <c r="N3551" s="9" t="n">
        <v>2095.54</v>
      </c>
      <c r="O3551" s="9" t="n">
        <v>2086.89</v>
      </c>
      <c r="P3551" s="9" t="n">
        <v>2052.4</v>
      </c>
      <c r="Q3551" s="9" t="n">
        <v>1943.92</v>
      </c>
      <c r="R3551" s="9" t="n">
        <v>2366.62</v>
      </c>
      <c r="S3551" s="9" t="n">
        <v>2024.41</v>
      </c>
      <c r="T3551" s="9" t="n">
        <v>1998.96</v>
      </c>
      <c r="U3551" s="10">
        <f>SUM(I3551:T3551)</f>
        <v/>
      </c>
    </row>
    <row r="3552">
      <c r="A3552" s="2" t="inlineStr">
        <is>
          <t>SN-3000-3100-3150-3150XM0027</t>
        </is>
      </c>
      <c r="B3552" s="2" t="inlineStr">
        <is>
          <t>3150XM0027</t>
        </is>
      </c>
      <c r="C3552" s="2" t="inlineStr">
        <is>
          <t>Celosía XM0027</t>
        </is>
      </c>
      <c r="D3552" s="2" t="n">
        <v>1184</v>
      </c>
      <c r="E3552" s="2" t="inlineStr">
        <is>
          <t>CC-3000</t>
        </is>
      </c>
      <c r="F3552" s="2" t="inlineStr">
        <is>
          <t>P01</t>
        </is>
      </c>
      <c r="G3552" s="2" t="n">
        <v>620000</v>
      </c>
      <c r="H3552" s="2" t="inlineStr">
        <is>
          <t>Materiales</t>
        </is>
      </c>
      <c r="I3552" s="9" t="n">
        <v>1962.75</v>
      </c>
      <c r="J3552" s="9" t="n">
        <v>1804.23</v>
      </c>
      <c r="K3552" s="9" t="n">
        <v>1870.7</v>
      </c>
      <c r="L3552" s="9" t="n">
        <v>1921.67</v>
      </c>
      <c r="M3552" s="9" t="n">
        <v>1840</v>
      </c>
      <c r="N3552" s="9" t="n">
        <v>1609.99</v>
      </c>
      <c r="O3552" s="9" t="n">
        <v>1878.73</v>
      </c>
      <c r="P3552" s="9" t="n">
        <v>1784.39</v>
      </c>
      <c r="Q3552" s="9" t="n">
        <v>1806.27</v>
      </c>
      <c r="R3552" s="9" t="n">
        <v>2101.93</v>
      </c>
      <c r="S3552" s="9" t="n">
        <v>1740.26</v>
      </c>
      <c r="T3552" s="9" t="n">
        <v>1977.42</v>
      </c>
      <c r="U3552" s="10">
        <f>SUM(I3552:T3552)</f>
        <v/>
      </c>
    </row>
    <row r="3553">
      <c r="A3553" s="2" t="inlineStr">
        <is>
          <t>SN-3000-3100-3150-3150XM0027</t>
        </is>
      </c>
      <c r="B3553" s="2" t="inlineStr">
        <is>
          <t>3150XM0027</t>
        </is>
      </c>
      <c r="C3553" s="2" t="inlineStr">
        <is>
          <t>Celosía XM0027</t>
        </is>
      </c>
      <c r="D3553" s="2" t="n">
        <v>1184</v>
      </c>
      <c r="E3553" s="2" t="inlineStr">
        <is>
          <t>CC-3000</t>
        </is>
      </c>
      <c r="F3553" s="2" t="inlineStr">
        <is>
          <t>P01</t>
        </is>
      </c>
      <c r="G3553" s="2" t="n">
        <v>630000</v>
      </c>
      <c r="H3553" s="2" t="inlineStr">
        <is>
          <t>Servicios externos</t>
        </is>
      </c>
      <c r="I3553" s="9" t="n">
        <v>1767.15</v>
      </c>
      <c r="J3553" s="9" t="n">
        <v>1543.82</v>
      </c>
      <c r="K3553" s="9" t="n">
        <v>1636.58</v>
      </c>
      <c r="L3553" s="9" t="n">
        <v>1819.25</v>
      </c>
      <c r="M3553" s="9" t="n">
        <v>1769.39</v>
      </c>
      <c r="N3553" s="9" t="n">
        <v>1616.42</v>
      </c>
      <c r="O3553" s="9" t="n">
        <v>1639.54</v>
      </c>
      <c r="P3553" s="9" t="n">
        <v>1667.49</v>
      </c>
      <c r="Q3553" s="9" t="n">
        <v>1658.25</v>
      </c>
      <c r="R3553" s="9" t="n">
        <v>1729.95</v>
      </c>
      <c r="S3553" s="9" t="n">
        <v>1574.76</v>
      </c>
      <c r="T3553" s="9" t="n">
        <v>1784.84</v>
      </c>
      <c r="U3553" s="10">
        <f>SUM(I3553:T3553)</f>
        <v/>
      </c>
    </row>
    <row r="3554">
      <c r="A3554" s="2" t="inlineStr">
        <is>
          <t>SN-3000-3100-3150-3150XM0028</t>
        </is>
      </c>
      <c r="B3554" s="2" t="inlineStr">
        <is>
          <t>3150XM0028</t>
        </is>
      </c>
      <c r="C3554" s="2" t="inlineStr">
        <is>
          <t>Celosía XM0028</t>
        </is>
      </c>
      <c r="D3554" s="2" t="n">
        <v>1185</v>
      </c>
      <c r="E3554" s="2" t="inlineStr">
        <is>
          <t>CC-3000</t>
        </is>
      </c>
      <c r="F3554" s="2" t="inlineStr">
        <is>
          <t>P01</t>
        </is>
      </c>
      <c r="G3554" s="2" t="n">
        <v>610000</v>
      </c>
      <c r="H3554" s="2" t="inlineStr">
        <is>
          <t>Mano obra interna</t>
        </is>
      </c>
      <c r="I3554" s="9" t="n">
        <v>2329.59</v>
      </c>
      <c r="J3554" s="9" t="n">
        <v>2520.89</v>
      </c>
      <c r="K3554" s="9" t="n">
        <v>2576.69</v>
      </c>
      <c r="L3554" s="9" t="n">
        <v>2387.35</v>
      </c>
      <c r="M3554" s="9" t="n">
        <v>2514.64</v>
      </c>
      <c r="N3554" s="9" t="n">
        <v>2418.87</v>
      </c>
      <c r="O3554" s="9" t="n">
        <v>2302.24</v>
      </c>
      <c r="P3554" s="9" t="n">
        <v>2440.06</v>
      </c>
      <c r="Q3554" s="9" t="n">
        <v>2366.18</v>
      </c>
      <c r="R3554" s="9" t="n">
        <v>2502.52</v>
      </c>
      <c r="S3554" s="9" t="n">
        <v>2348.97</v>
      </c>
      <c r="T3554" s="9" t="n">
        <v>2326.93</v>
      </c>
      <c r="U3554" s="10">
        <f>SUM(I3554:T3554)</f>
        <v/>
      </c>
    </row>
    <row r="3555">
      <c r="A3555" s="2" t="inlineStr">
        <is>
          <t>SN-3000-3100-3150-3150XM0028</t>
        </is>
      </c>
      <c r="B3555" s="2" t="inlineStr">
        <is>
          <t>3150XM0028</t>
        </is>
      </c>
      <c r="C3555" s="2" t="inlineStr">
        <is>
          <t>Celosía XM0028</t>
        </is>
      </c>
      <c r="D3555" s="2" t="n">
        <v>1185</v>
      </c>
      <c r="E3555" s="2" t="inlineStr">
        <is>
          <t>CC-3000</t>
        </is>
      </c>
      <c r="F3555" s="2" t="inlineStr">
        <is>
          <t>P01</t>
        </is>
      </c>
      <c r="G3555" s="2" t="n">
        <v>620000</v>
      </c>
      <c r="H3555" s="2" t="inlineStr">
        <is>
          <t>Materiales</t>
        </is>
      </c>
      <c r="I3555" s="9" t="n">
        <v>1912.74</v>
      </c>
      <c r="J3555" s="9" t="n">
        <v>1934.09</v>
      </c>
      <c r="K3555" s="9" t="n">
        <v>1908.12</v>
      </c>
      <c r="L3555" s="9" t="n">
        <v>1968</v>
      </c>
      <c r="M3555" s="9" t="n">
        <v>1872.08</v>
      </c>
      <c r="N3555" s="9" t="n">
        <v>1949.89</v>
      </c>
      <c r="O3555" s="9" t="n">
        <v>2025.84</v>
      </c>
      <c r="P3555" s="9" t="n">
        <v>1833.69</v>
      </c>
      <c r="Q3555" s="9" t="n">
        <v>1959.13</v>
      </c>
      <c r="R3555" s="9" t="n">
        <v>2198.97</v>
      </c>
      <c r="S3555" s="9" t="n">
        <v>1934.81</v>
      </c>
      <c r="T3555" s="9" t="n">
        <v>1984.27</v>
      </c>
      <c r="U3555" s="10">
        <f>SUM(I3555:T3555)</f>
        <v/>
      </c>
    </row>
    <row r="3556">
      <c r="A3556" s="2" t="inlineStr">
        <is>
          <t>SN-3000-3100-3150-3150XM0028</t>
        </is>
      </c>
      <c r="B3556" s="2" t="inlineStr">
        <is>
          <t>3150XM0028</t>
        </is>
      </c>
      <c r="C3556" s="2" t="inlineStr">
        <is>
          <t>Celosía XM0028</t>
        </is>
      </c>
      <c r="D3556" s="2" t="n">
        <v>1185</v>
      </c>
      <c r="E3556" s="2" t="inlineStr">
        <is>
          <t>CC-3000</t>
        </is>
      </c>
      <c r="F3556" s="2" t="inlineStr">
        <is>
          <t>P01</t>
        </is>
      </c>
      <c r="G3556" s="2" t="n">
        <v>630000</v>
      </c>
      <c r="H3556" s="2" t="inlineStr">
        <is>
          <t>Servicios externos</t>
        </is>
      </c>
      <c r="I3556" s="9" t="n">
        <v>2079.93</v>
      </c>
      <c r="J3556" s="9" t="n">
        <v>1721.35</v>
      </c>
      <c r="K3556" s="9" t="n">
        <v>2017.52</v>
      </c>
      <c r="L3556" s="9" t="n">
        <v>1941.34</v>
      </c>
      <c r="M3556" s="9" t="n">
        <v>1998.53</v>
      </c>
      <c r="N3556" s="9" t="n">
        <v>1779.24</v>
      </c>
      <c r="O3556" s="9" t="n">
        <v>1903.73</v>
      </c>
      <c r="P3556" s="9" t="n">
        <v>1969.3</v>
      </c>
      <c r="Q3556" s="9" t="n">
        <v>1638.22</v>
      </c>
      <c r="R3556" s="9" t="n">
        <v>1900.15</v>
      </c>
      <c r="S3556" s="9" t="n">
        <v>1751.89</v>
      </c>
      <c r="T3556" s="9" t="n">
        <v>1816.45</v>
      </c>
      <c r="U3556" s="10">
        <f>SUM(I3556:T3556)</f>
        <v/>
      </c>
    </row>
    <row r="3557">
      <c r="A3557" s="2" t="inlineStr">
        <is>
          <t>SN-3000-3100-31ER-3100FP0001</t>
        </is>
      </c>
      <c r="B3557" s="2" t="inlineStr">
        <is>
          <t>3100FP0001</t>
        </is>
      </c>
      <c r="C3557" s="2" t="inlineStr">
        <is>
          <t>Tablero control SCI FP0001</t>
        </is>
      </c>
      <c r="D3557" s="2" t="n">
        <v>1186</v>
      </c>
      <c r="E3557" s="2" t="inlineStr">
        <is>
          <t>CC-3000</t>
        </is>
      </c>
      <c r="F3557" s="2" t="inlineStr">
        <is>
          <t>P01</t>
        </is>
      </c>
      <c r="G3557" s="2" t="n">
        <v>610000</v>
      </c>
      <c r="H3557" s="2" t="inlineStr">
        <is>
          <t>Mano obra interna</t>
        </is>
      </c>
      <c r="I3557" s="9" t="n">
        <v>360.32</v>
      </c>
      <c r="J3557" s="9" t="n">
        <v>357.05</v>
      </c>
      <c r="K3557" s="9" t="n">
        <v>383.22</v>
      </c>
      <c r="L3557" s="9" t="n">
        <v>350.44</v>
      </c>
      <c r="M3557" s="9" t="n">
        <v>330.5</v>
      </c>
      <c r="N3557" s="9" t="n">
        <v>350.21</v>
      </c>
      <c r="O3557" s="9" t="n">
        <v>365.39</v>
      </c>
      <c r="P3557" s="9" t="n">
        <v>352.8</v>
      </c>
      <c r="Q3557" s="9" t="n">
        <v>310.53</v>
      </c>
      <c r="R3557" s="9" t="n">
        <v>397.7</v>
      </c>
      <c r="S3557" s="9" t="n">
        <v>317.85</v>
      </c>
      <c r="T3557" s="9" t="n">
        <v>325.64</v>
      </c>
      <c r="U3557" s="10">
        <f>SUM(I3557:T3557)</f>
        <v/>
      </c>
    </row>
    <row r="3558">
      <c r="A3558" s="2" t="inlineStr">
        <is>
          <t>SN-3000-3100-31ER-3100FP0001</t>
        </is>
      </c>
      <c r="B3558" s="2" t="inlineStr">
        <is>
          <t>3100FP0001</t>
        </is>
      </c>
      <c r="C3558" s="2" t="inlineStr">
        <is>
          <t>Tablero control SCI FP0001</t>
        </is>
      </c>
      <c r="D3558" s="2" t="n">
        <v>1186</v>
      </c>
      <c r="E3558" s="2" t="inlineStr">
        <is>
          <t>CC-3000</t>
        </is>
      </c>
      <c r="F3558" s="2" t="inlineStr">
        <is>
          <t>P01</t>
        </is>
      </c>
      <c r="G3558" s="2" t="n">
        <v>620000</v>
      </c>
      <c r="H3558" s="2" t="inlineStr">
        <is>
          <t>Materiales</t>
        </is>
      </c>
      <c r="I3558" s="9" t="n">
        <v>450.34</v>
      </c>
      <c r="J3558" s="9" t="n">
        <v>412.63</v>
      </c>
      <c r="K3558" s="9" t="n">
        <v>462.83</v>
      </c>
      <c r="L3558" s="9" t="n">
        <v>465.37</v>
      </c>
      <c r="M3558" s="9" t="n">
        <v>456</v>
      </c>
      <c r="N3558" s="9" t="n">
        <v>402.95</v>
      </c>
      <c r="O3558" s="9" t="n">
        <v>403.73</v>
      </c>
      <c r="P3558" s="9" t="n">
        <v>437.07</v>
      </c>
      <c r="Q3558" s="9" t="n">
        <v>429.67</v>
      </c>
      <c r="R3558" s="9" t="n">
        <v>448.93</v>
      </c>
      <c r="S3558" s="9" t="n">
        <v>417.41</v>
      </c>
      <c r="T3558" s="9" t="n">
        <v>425.91</v>
      </c>
      <c r="U3558" s="10">
        <f>SUM(I3558:T3558)</f>
        <v/>
      </c>
    </row>
    <row r="3559">
      <c r="A3559" s="2" t="inlineStr">
        <is>
          <t>SN-3000-3100-31ER-3100FP0001</t>
        </is>
      </c>
      <c r="B3559" s="2" t="inlineStr">
        <is>
          <t>3100FP0001</t>
        </is>
      </c>
      <c r="C3559" s="2" t="inlineStr">
        <is>
          <t>Tablero control SCI FP0001</t>
        </is>
      </c>
      <c r="D3559" s="2" t="n">
        <v>1186</v>
      </c>
      <c r="E3559" s="2" t="inlineStr">
        <is>
          <t>CC-3000</t>
        </is>
      </c>
      <c r="F3559" s="2" t="inlineStr">
        <is>
          <t>P01</t>
        </is>
      </c>
      <c r="G3559" s="2" t="n">
        <v>630000</v>
      </c>
      <c r="H3559" s="2" t="inlineStr">
        <is>
          <t>Servicios externos</t>
        </is>
      </c>
      <c r="I3559" s="9" t="n">
        <v>367.05</v>
      </c>
      <c r="J3559" s="9" t="n">
        <v>313.45</v>
      </c>
      <c r="K3559" s="9" t="n">
        <v>363.58</v>
      </c>
      <c r="L3559" s="9" t="n">
        <v>336.98</v>
      </c>
      <c r="M3559" s="9" t="n">
        <v>322.61</v>
      </c>
      <c r="N3559" s="9" t="n">
        <v>345.96</v>
      </c>
      <c r="O3559" s="9" t="n">
        <v>346.66</v>
      </c>
      <c r="P3559" s="9" t="n">
        <v>347.85</v>
      </c>
      <c r="Q3559" s="9" t="n">
        <v>327.71</v>
      </c>
      <c r="R3559" s="9" t="n">
        <v>355.23</v>
      </c>
      <c r="S3559" s="9" t="n">
        <v>330.54</v>
      </c>
      <c r="T3559" s="9" t="n">
        <v>330.41</v>
      </c>
      <c r="U3559" s="10">
        <f>SUM(I3559:T3559)</f>
        <v/>
      </c>
    </row>
    <row r="3560">
      <c r="A3560" s="2" t="inlineStr">
        <is>
          <t>SN-3000-3100-31ER-3100TU0002</t>
        </is>
      </c>
      <c r="B3560" s="2" t="inlineStr">
        <is>
          <t>3100TU0002</t>
        </is>
      </c>
      <c r="C3560" s="2" t="inlineStr">
        <is>
          <t>Tablero distribución TU0002</t>
        </is>
      </c>
      <c r="D3560" s="2" t="n">
        <v>1187</v>
      </c>
      <c r="E3560" s="2" t="inlineStr">
        <is>
          <t>CC-3000</t>
        </is>
      </c>
      <c r="F3560" s="2" t="inlineStr">
        <is>
          <t>P01</t>
        </is>
      </c>
      <c r="G3560" s="2" t="n">
        <v>610000</v>
      </c>
      <c r="H3560" s="2" t="inlineStr">
        <is>
          <t>Mano obra interna</t>
        </is>
      </c>
      <c r="I3560" s="9" t="n">
        <v>1165.67</v>
      </c>
      <c r="J3560" s="9" t="n">
        <v>1061.54</v>
      </c>
      <c r="K3560" s="9" t="n">
        <v>1233.74</v>
      </c>
      <c r="L3560" s="9" t="n">
        <v>1163.65</v>
      </c>
      <c r="M3560" s="9" t="n">
        <v>1111.5</v>
      </c>
      <c r="N3560" s="9" t="n">
        <v>994.59</v>
      </c>
      <c r="O3560" s="9" t="n">
        <v>1198.25</v>
      </c>
      <c r="P3560" s="9" t="n">
        <v>1204.44</v>
      </c>
      <c r="Q3560" s="9" t="n">
        <v>1056.79</v>
      </c>
      <c r="R3560" s="9" t="n">
        <v>1201.01</v>
      </c>
      <c r="S3560" s="9" t="n">
        <v>1063.66</v>
      </c>
      <c r="T3560" s="9" t="n">
        <v>1098.36</v>
      </c>
      <c r="U3560" s="10">
        <f>SUM(I3560:T3560)</f>
        <v/>
      </c>
    </row>
    <row r="3561">
      <c r="A3561" s="2" t="inlineStr">
        <is>
          <t>SN-3000-3100-31ER-3100TU0002</t>
        </is>
      </c>
      <c r="B3561" s="2" t="inlineStr">
        <is>
          <t>3100TU0002</t>
        </is>
      </c>
      <c r="C3561" s="2" t="inlineStr">
        <is>
          <t>Tablero distribución TU0002</t>
        </is>
      </c>
      <c r="D3561" s="2" t="n">
        <v>1187</v>
      </c>
      <c r="E3561" s="2" t="inlineStr">
        <is>
          <t>CC-3000</t>
        </is>
      </c>
      <c r="F3561" s="2" t="inlineStr">
        <is>
          <t>P01</t>
        </is>
      </c>
      <c r="G3561" s="2" t="n">
        <v>620000</v>
      </c>
      <c r="H3561" s="2" t="inlineStr">
        <is>
          <t>Materiales</t>
        </is>
      </c>
      <c r="I3561" s="9" t="n">
        <v>978.71</v>
      </c>
      <c r="J3561" s="9" t="n">
        <v>1071.28</v>
      </c>
      <c r="K3561" s="9" t="n">
        <v>997.12</v>
      </c>
      <c r="L3561" s="9" t="n">
        <v>1082.78</v>
      </c>
      <c r="M3561" s="9" t="n">
        <v>977.67</v>
      </c>
      <c r="N3561" s="9" t="n">
        <v>931.89</v>
      </c>
      <c r="O3561" s="9" t="n">
        <v>1029.29</v>
      </c>
      <c r="P3561" s="9" t="n">
        <v>1061.83</v>
      </c>
      <c r="Q3561" s="9" t="n">
        <v>983.35</v>
      </c>
      <c r="R3561" s="9" t="n">
        <v>1052.5</v>
      </c>
      <c r="S3561" s="9" t="n">
        <v>960.0700000000001</v>
      </c>
      <c r="T3561" s="9" t="n">
        <v>1095.57</v>
      </c>
      <c r="U3561" s="10">
        <f>SUM(I3561:T3561)</f>
        <v/>
      </c>
    </row>
    <row r="3562">
      <c r="A3562" s="2" t="inlineStr">
        <is>
          <t>SN-3000-3100-31ER-3100TU0002</t>
        </is>
      </c>
      <c r="B3562" s="2" t="inlineStr">
        <is>
          <t>3100TU0002</t>
        </is>
      </c>
      <c r="C3562" s="2" t="inlineStr">
        <is>
          <t>Tablero distribución TU0002</t>
        </is>
      </c>
      <c r="D3562" s="2" t="n">
        <v>1187</v>
      </c>
      <c r="E3562" s="2" t="inlineStr">
        <is>
          <t>CC-3000</t>
        </is>
      </c>
      <c r="F3562" s="2" t="inlineStr">
        <is>
          <t>P01</t>
        </is>
      </c>
      <c r="G3562" s="2" t="n">
        <v>630000</v>
      </c>
      <c r="H3562" s="2" t="inlineStr">
        <is>
          <t>Servicios externos</t>
        </is>
      </c>
      <c r="I3562" s="9" t="n">
        <v>1128.71</v>
      </c>
      <c r="J3562" s="9" t="n">
        <v>1014.14</v>
      </c>
      <c r="K3562" s="9" t="n">
        <v>1154.64</v>
      </c>
      <c r="L3562" s="9" t="n">
        <v>1068.09</v>
      </c>
      <c r="M3562" s="9" t="n">
        <v>1041.52</v>
      </c>
      <c r="N3562" s="9" t="n">
        <v>987.55</v>
      </c>
      <c r="O3562" s="9" t="n">
        <v>1004.95</v>
      </c>
      <c r="P3562" s="9" t="n">
        <v>1054.86</v>
      </c>
      <c r="Q3562" s="9" t="n">
        <v>918.4299999999999</v>
      </c>
      <c r="R3562" s="9" t="n">
        <v>1145</v>
      </c>
      <c r="S3562" s="9" t="n">
        <v>1072.39</v>
      </c>
      <c r="T3562" s="9" t="n">
        <v>1165.14</v>
      </c>
      <c r="U3562" s="10">
        <f>SUM(I3562:T3562)</f>
        <v/>
      </c>
    </row>
    <row r="3563">
      <c r="A3563" s="2" t="inlineStr">
        <is>
          <t>SN-3000-3100-31ER-3110SE0001</t>
        </is>
      </c>
      <c r="B3563" s="2" t="inlineStr">
        <is>
          <t>3110SE0001</t>
        </is>
      </c>
      <c r="C3563" s="2" t="inlineStr">
        <is>
          <t>Ciclo convertidor potencia MI0001SE</t>
        </is>
      </c>
      <c r="D3563" s="2" t="n">
        <v>1188</v>
      </c>
      <c r="E3563" s="2" t="inlineStr">
        <is>
          <t>CC-3000</t>
        </is>
      </c>
      <c r="F3563" s="2" t="inlineStr">
        <is>
          <t>P01</t>
        </is>
      </c>
      <c r="G3563" s="2" t="n">
        <v>610000</v>
      </c>
      <c r="H3563" s="2" t="inlineStr">
        <is>
          <t>Mano obra interna</t>
        </is>
      </c>
      <c r="I3563" s="9" t="n">
        <v>2264.64</v>
      </c>
      <c r="J3563" s="9" t="n">
        <v>2261.91</v>
      </c>
      <c r="K3563" s="9" t="n">
        <v>2246.51</v>
      </c>
      <c r="L3563" s="9" t="n">
        <v>2205.48</v>
      </c>
      <c r="M3563" s="9" t="n">
        <v>2257.71</v>
      </c>
      <c r="N3563" s="9" t="n">
        <v>2226.24</v>
      </c>
      <c r="O3563" s="9" t="n">
        <v>2417.71</v>
      </c>
      <c r="P3563" s="9" t="n">
        <v>2480.09</v>
      </c>
      <c r="Q3563" s="9" t="n">
        <v>2233.85</v>
      </c>
      <c r="R3563" s="9" t="n">
        <v>2368.6</v>
      </c>
      <c r="S3563" s="9" t="n">
        <v>2313.72</v>
      </c>
      <c r="T3563" s="9" t="n">
        <v>2346.84</v>
      </c>
      <c r="U3563" s="10">
        <f>SUM(I3563:T3563)</f>
        <v/>
      </c>
    </row>
    <row r="3564">
      <c r="A3564" s="2" t="inlineStr">
        <is>
          <t>SN-3000-3100-31ER-3110SE0001</t>
        </is>
      </c>
      <c r="B3564" s="2" t="inlineStr">
        <is>
          <t>3110SE0001</t>
        </is>
      </c>
      <c r="C3564" s="2" t="inlineStr">
        <is>
          <t>Ciclo convertidor potencia MI0001SE</t>
        </is>
      </c>
      <c r="D3564" s="2" t="n">
        <v>1188</v>
      </c>
      <c r="E3564" s="2" t="inlineStr">
        <is>
          <t>CC-3000</t>
        </is>
      </c>
      <c r="F3564" s="2" t="inlineStr">
        <is>
          <t>P01</t>
        </is>
      </c>
      <c r="G3564" s="2" t="n">
        <v>620000</v>
      </c>
      <c r="H3564" s="2" t="inlineStr">
        <is>
          <t>Materiales</t>
        </is>
      </c>
      <c r="I3564" s="9" t="n">
        <v>2770.46</v>
      </c>
      <c r="J3564" s="9" t="n">
        <v>2579.39</v>
      </c>
      <c r="K3564" s="9" t="n">
        <v>2693.38</v>
      </c>
      <c r="L3564" s="9" t="n">
        <v>2390.39</v>
      </c>
      <c r="M3564" s="9" t="n">
        <v>2657.43</v>
      </c>
      <c r="N3564" s="9" t="n">
        <v>2539.39</v>
      </c>
      <c r="O3564" s="9" t="n">
        <v>2456.51</v>
      </c>
      <c r="P3564" s="9" t="n">
        <v>2450.8</v>
      </c>
      <c r="Q3564" s="9" t="n">
        <v>2192.93</v>
      </c>
      <c r="R3564" s="9" t="n">
        <v>2539.37</v>
      </c>
      <c r="S3564" s="9" t="n">
        <v>2522.25</v>
      </c>
      <c r="T3564" s="9" t="n">
        <v>2445.43</v>
      </c>
      <c r="U3564" s="10">
        <f>SUM(I3564:T3564)</f>
        <v/>
      </c>
    </row>
    <row r="3565">
      <c r="A3565" s="2" t="inlineStr">
        <is>
          <t>SN-3000-3100-31ER-3110SE0001</t>
        </is>
      </c>
      <c r="B3565" s="2" t="inlineStr">
        <is>
          <t>3110SE0001</t>
        </is>
      </c>
      <c r="C3565" s="2" t="inlineStr">
        <is>
          <t>Ciclo convertidor potencia MI0001SE</t>
        </is>
      </c>
      <c r="D3565" s="2" t="n">
        <v>1188</v>
      </c>
      <c r="E3565" s="2" t="inlineStr">
        <is>
          <t>CC-3000</t>
        </is>
      </c>
      <c r="F3565" s="2" t="inlineStr">
        <is>
          <t>P01</t>
        </is>
      </c>
      <c r="G3565" s="2" t="n">
        <v>630000</v>
      </c>
      <c r="H3565" s="2" t="inlineStr">
        <is>
          <t>Servicios externos</t>
        </is>
      </c>
      <c r="I3565" s="9" t="n">
        <v>3077.81</v>
      </c>
      <c r="J3565" s="9" t="n">
        <v>2747.02</v>
      </c>
      <c r="K3565" s="9" t="n">
        <v>2892.23</v>
      </c>
      <c r="L3565" s="9" t="n">
        <v>2840.65</v>
      </c>
      <c r="M3565" s="9" t="n">
        <v>2644.32</v>
      </c>
      <c r="N3565" s="9" t="n">
        <v>2527.91</v>
      </c>
      <c r="O3565" s="9" t="n">
        <v>2837.76</v>
      </c>
      <c r="P3565" s="9" t="n">
        <v>3058.7</v>
      </c>
      <c r="Q3565" s="9" t="n">
        <v>2838.42</v>
      </c>
      <c r="R3565" s="9" t="n">
        <v>3235.35</v>
      </c>
      <c r="S3565" s="9" t="n">
        <v>2824.02</v>
      </c>
      <c r="T3565" s="9" t="n">
        <v>3066.14</v>
      </c>
      <c r="U3565" s="10">
        <f>SUM(I3565:T3565)</f>
        <v/>
      </c>
    </row>
    <row r="3566">
      <c r="A3566" s="2" t="inlineStr">
        <is>
          <t>SN-3000-3100-31ER-3200MC0012</t>
        </is>
      </c>
      <c r="B3566" s="2" t="inlineStr">
        <is>
          <t>3200MC0012</t>
        </is>
      </c>
      <c r="C3566" s="2" t="inlineStr">
        <is>
          <t>Celda interruptor entrada CCM</t>
        </is>
      </c>
      <c r="D3566" s="2" t="n">
        <v>1189</v>
      </c>
      <c r="E3566" s="2" t="inlineStr">
        <is>
          <t>CC-3000</t>
        </is>
      </c>
      <c r="F3566" s="2" t="inlineStr">
        <is>
          <t>P01</t>
        </is>
      </c>
      <c r="G3566" s="2" t="n">
        <v>610000</v>
      </c>
      <c r="H3566" s="2" t="inlineStr">
        <is>
          <t>Mano obra interna</t>
        </is>
      </c>
      <c r="I3566" s="9" t="n">
        <v>1681.92</v>
      </c>
      <c r="J3566" s="9" t="n">
        <v>1760.54</v>
      </c>
      <c r="K3566" s="9" t="n">
        <v>1911.95</v>
      </c>
      <c r="L3566" s="9" t="n">
        <v>1638.31</v>
      </c>
      <c r="M3566" s="9" t="n">
        <v>1650.13</v>
      </c>
      <c r="N3566" s="9" t="n">
        <v>1597.85</v>
      </c>
      <c r="O3566" s="9" t="n">
        <v>1625.77</v>
      </c>
      <c r="P3566" s="9" t="n">
        <v>1658.93</v>
      </c>
      <c r="Q3566" s="9" t="n">
        <v>1586.4</v>
      </c>
      <c r="R3566" s="9" t="n">
        <v>2004.4</v>
      </c>
      <c r="S3566" s="9" t="n">
        <v>1777.88</v>
      </c>
      <c r="T3566" s="9" t="n">
        <v>1887.97</v>
      </c>
      <c r="U3566" s="10">
        <f>SUM(I3566:T3566)</f>
        <v/>
      </c>
    </row>
    <row r="3567">
      <c r="A3567" s="2" t="inlineStr">
        <is>
          <t>SN-3000-3100-31ER-3200MC0012</t>
        </is>
      </c>
      <c r="B3567" s="2" t="inlineStr">
        <is>
          <t>3200MC0012</t>
        </is>
      </c>
      <c r="C3567" s="2" t="inlineStr">
        <is>
          <t>Celda interruptor entrada CCM</t>
        </is>
      </c>
      <c r="D3567" s="2" t="n">
        <v>1189</v>
      </c>
      <c r="E3567" s="2" t="inlineStr">
        <is>
          <t>CC-3000</t>
        </is>
      </c>
      <c r="F3567" s="2" t="inlineStr">
        <is>
          <t>P01</t>
        </is>
      </c>
      <c r="G3567" s="2" t="n">
        <v>620000</v>
      </c>
      <c r="H3567" s="2" t="inlineStr">
        <is>
          <t>Materiales</t>
        </is>
      </c>
      <c r="I3567" s="9" t="n">
        <v>1446.22</v>
      </c>
      <c r="J3567" s="9" t="n">
        <v>1414.99</v>
      </c>
      <c r="K3567" s="9" t="n">
        <v>1685.68</v>
      </c>
      <c r="L3567" s="9" t="n">
        <v>1480.35</v>
      </c>
      <c r="M3567" s="9" t="n">
        <v>1534.17</v>
      </c>
      <c r="N3567" s="9" t="n">
        <v>1401.22</v>
      </c>
      <c r="O3567" s="9" t="n">
        <v>1415.51</v>
      </c>
      <c r="P3567" s="9" t="n">
        <v>1429.49</v>
      </c>
      <c r="Q3567" s="9" t="n">
        <v>1474.36</v>
      </c>
      <c r="R3567" s="9" t="n">
        <v>1568.59</v>
      </c>
      <c r="S3567" s="9" t="n">
        <v>1419.17</v>
      </c>
      <c r="T3567" s="9" t="n">
        <v>1524.61</v>
      </c>
      <c r="U3567" s="10">
        <f>SUM(I3567:T3567)</f>
        <v/>
      </c>
    </row>
    <row r="3568">
      <c r="A3568" s="2" t="inlineStr">
        <is>
          <t>SN-3000-3100-31ER-3200MC0012</t>
        </is>
      </c>
      <c r="B3568" s="2" t="inlineStr">
        <is>
          <t>3200MC0012</t>
        </is>
      </c>
      <c r="C3568" s="2" t="inlineStr">
        <is>
          <t>Celda interruptor entrada CCM</t>
        </is>
      </c>
      <c r="D3568" s="2" t="n">
        <v>1189</v>
      </c>
      <c r="E3568" s="2" t="inlineStr">
        <is>
          <t>CC-3000</t>
        </is>
      </c>
      <c r="F3568" s="2" t="inlineStr">
        <is>
          <t>P01</t>
        </is>
      </c>
      <c r="G3568" s="2" t="n">
        <v>630000</v>
      </c>
      <c r="H3568" s="2" t="inlineStr">
        <is>
          <t>Servicios externos</t>
        </is>
      </c>
      <c r="I3568" s="9" t="n">
        <v>1755.16</v>
      </c>
      <c r="J3568" s="9" t="n">
        <v>1822.68</v>
      </c>
      <c r="K3568" s="9" t="n">
        <v>1763.69</v>
      </c>
      <c r="L3568" s="9" t="n">
        <v>1680.87</v>
      </c>
      <c r="M3568" s="9" t="n">
        <v>1719.8</v>
      </c>
      <c r="N3568" s="9" t="n">
        <v>1638.9</v>
      </c>
      <c r="O3568" s="9" t="n">
        <v>1807.98</v>
      </c>
      <c r="P3568" s="9" t="n">
        <v>1846.7</v>
      </c>
      <c r="Q3568" s="9" t="n">
        <v>1694.9</v>
      </c>
      <c r="R3568" s="9" t="n">
        <v>1830.21</v>
      </c>
      <c r="S3568" s="9" t="n">
        <v>1596.64</v>
      </c>
      <c r="T3568" s="9" t="n">
        <v>1869.73</v>
      </c>
      <c r="U3568" s="10">
        <f>SUM(I3568:T3568)</f>
        <v/>
      </c>
    </row>
    <row r="3569">
      <c r="A3569" s="2" t="inlineStr">
        <is>
          <t>SN-3000-3200-3210-3210BX0014</t>
        </is>
      </c>
      <c r="B3569" s="2" t="inlineStr">
        <is>
          <t>3210BX0014</t>
        </is>
      </c>
      <c r="C3569" s="2" t="inlineStr">
        <is>
          <t>Cajón pulpa muestreo BX0014</t>
        </is>
      </c>
      <c r="D3569" s="2" t="n">
        <v>1190</v>
      </c>
      <c r="E3569" s="2" t="inlineStr">
        <is>
          <t>CC-3000</t>
        </is>
      </c>
      <c r="F3569" s="2" t="inlineStr">
        <is>
          <t>P01</t>
        </is>
      </c>
      <c r="G3569" s="2" t="n">
        <v>610000</v>
      </c>
      <c r="H3569" s="2" t="inlineStr">
        <is>
          <t>Mano obra interna</t>
        </is>
      </c>
      <c r="I3569" s="9" t="n">
        <v>1005.65</v>
      </c>
      <c r="J3569" s="9" t="n">
        <v>1002.83</v>
      </c>
      <c r="K3569" s="9" t="n">
        <v>986.24</v>
      </c>
      <c r="L3569" s="9" t="n">
        <v>962</v>
      </c>
      <c r="M3569" s="9" t="n">
        <v>964.4</v>
      </c>
      <c r="N3569" s="9" t="n">
        <v>858.59</v>
      </c>
      <c r="O3569" s="9" t="n">
        <v>942.9400000000001</v>
      </c>
      <c r="P3569" s="9" t="n">
        <v>915.25</v>
      </c>
      <c r="Q3569" s="9" t="n">
        <v>831.79</v>
      </c>
      <c r="R3569" s="9" t="n">
        <v>1036.29</v>
      </c>
      <c r="S3569" s="9" t="n">
        <v>925.2</v>
      </c>
      <c r="T3569" s="9" t="n">
        <v>998.36</v>
      </c>
      <c r="U3569" s="10">
        <f>SUM(I3569:T3569)</f>
        <v/>
      </c>
    </row>
    <row r="3570">
      <c r="A3570" s="2" t="inlineStr">
        <is>
          <t>SN-3000-3200-3210-3210BX0014</t>
        </is>
      </c>
      <c r="B3570" s="2" t="inlineStr">
        <is>
          <t>3210BX0014</t>
        </is>
      </c>
      <c r="C3570" s="2" t="inlineStr">
        <is>
          <t>Cajón pulpa muestreo BX0014</t>
        </is>
      </c>
      <c r="D3570" s="2" t="n">
        <v>1190</v>
      </c>
      <c r="E3570" s="2" t="inlineStr">
        <is>
          <t>CC-3000</t>
        </is>
      </c>
      <c r="F3570" s="2" t="inlineStr">
        <is>
          <t>P01</t>
        </is>
      </c>
      <c r="G3570" s="2" t="n">
        <v>620000</v>
      </c>
      <c r="H3570" s="2" t="inlineStr">
        <is>
          <t>Materiales</t>
        </is>
      </c>
      <c r="I3570" s="9" t="n">
        <v>1028.41</v>
      </c>
      <c r="J3570" s="9" t="n">
        <v>1085.11</v>
      </c>
      <c r="K3570" s="9" t="n">
        <v>1064.88</v>
      </c>
      <c r="L3570" s="9" t="n">
        <v>1100.06</v>
      </c>
      <c r="M3570" s="9" t="n">
        <v>1102.18</v>
      </c>
      <c r="N3570" s="9" t="n">
        <v>968.9299999999999</v>
      </c>
      <c r="O3570" s="9" t="n">
        <v>1072.12</v>
      </c>
      <c r="P3570" s="9" t="n">
        <v>1050.49</v>
      </c>
      <c r="Q3570" s="9" t="n">
        <v>1027.34</v>
      </c>
      <c r="R3570" s="9" t="n">
        <v>1173.2</v>
      </c>
      <c r="S3570" s="9" t="n">
        <v>1064.96</v>
      </c>
      <c r="T3570" s="9" t="n">
        <v>1033.94</v>
      </c>
      <c r="U3570" s="10">
        <f>SUM(I3570:T3570)</f>
        <v/>
      </c>
    </row>
    <row r="3571">
      <c r="A3571" s="2" t="inlineStr">
        <is>
          <t>SN-3000-3200-3210-3210BX0014</t>
        </is>
      </c>
      <c r="B3571" s="2" t="inlineStr">
        <is>
          <t>3210BX0014</t>
        </is>
      </c>
      <c r="C3571" s="2" t="inlineStr">
        <is>
          <t>Cajón pulpa muestreo BX0014</t>
        </is>
      </c>
      <c r="D3571" s="2" t="n">
        <v>1190</v>
      </c>
      <c r="E3571" s="2" t="inlineStr">
        <is>
          <t>CC-3000</t>
        </is>
      </c>
      <c r="F3571" s="2" t="inlineStr">
        <is>
          <t>P01</t>
        </is>
      </c>
      <c r="G3571" s="2" t="n">
        <v>630000</v>
      </c>
      <c r="H3571" s="2" t="inlineStr">
        <is>
          <t>Servicios externos</t>
        </is>
      </c>
      <c r="I3571" s="9" t="n">
        <v>1060.44</v>
      </c>
      <c r="J3571" s="9" t="n">
        <v>999.05</v>
      </c>
      <c r="K3571" s="9" t="n">
        <v>1033.3</v>
      </c>
      <c r="L3571" s="9" t="n">
        <v>1015.88</v>
      </c>
      <c r="M3571" s="9" t="n">
        <v>931.61</v>
      </c>
      <c r="N3571" s="9" t="n">
        <v>924.98</v>
      </c>
      <c r="O3571" s="9" t="n">
        <v>949.84</v>
      </c>
      <c r="P3571" s="9" t="n">
        <v>1077.62</v>
      </c>
      <c r="Q3571" s="9" t="n">
        <v>1005.66</v>
      </c>
      <c r="R3571" s="9" t="n">
        <v>1162.62</v>
      </c>
      <c r="S3571" s="9" t="n">
        <v>1039.17</v>
      </c>
      <c r="T3571" s="9" t="n">
        <v>990.4299999999999</v>
      </c>
      <c r="U3571" s="10">
        <f>SUM(I3571:T3571)</f>
        <v/>
      </c>
    </row>
    <row r="3572">
      <c r="A3572" s="2" t="inlineStr">
        <is>
          <t>SN-3000-3200-3210-3210BX0034</t>
        </is>
      </c>
      <c r="B3572" s="2" t="inlineStr">
        <is>
          <t>3210BX0034</t>
        </is>
      </c>
      <c r="C3572" s="2" t="inlineStr">
        <is>
          <t>Cajón pulpa muestreo BX0034</t>
        </is>
      </c>
      <c r="D3572" s="2" t="n">
        <v>1191</v>
      </c>
      <c r="E3572" s="2" t="inlineStr">
        <is>
          <t>CC-3000</t>
        </is>
      </c>
      <c r="F3572" s="2" t="inlineStr">
        <is>
          <t>P01</t>
        </is>
      </c>
      <c r="G3572" s="2" t="n">
        <v>610000</v>
      </c>
      <c r="H3572" s="2" t="inlineStr">
        <is>
          <t>Mano obra interna</t>
        </is>
      </c>
      <c r="I3572" s="9" t="n">
        <v>533.79</v>
      </c>
      <c r="J3572" s="9" t="n">
        <v>503.52</v>
      </c>
      <c r="K3572" s="9" t="n">
        <v>466.03</v>
      </c>
      <c r="L3572" s="9" t="n">
        <v>498.43</v>
      </c>
      <c r="M3572" s="9" t="n">
        <v>447.75</v>
      </c>
      <c r="N3572" s="9" t="n">
        <v>452.83</v>
      </c>
      <c r="O3572" s="9" t="n">
        <v>486.04</v>
      </c>
      <c r="P3572" s="9" t="n">
        <v>521.33</v>
      </c>
      <c r="Q3572" s="9" t="n">
        <v>468.22</v>
      </c>
      <c r="R3572" s="9" t="n">
        <v>517.71</v>
      </c>
      <c r="S3572" s="9" t="n">
        <v>474.47</v>
      </c>
      <c r="T3572" s="9" t="n">
        <v>523.45</v>
      </c>
      <c r="U3572" s="10">
        <f>SUM(I3572:T3572)</f>
        <v/>
      </c>
    </row>
    <row r="3573">
      <c r="A3573" s="2" t="inlineStr">
        <is>
          <t>SN-3000-3200-3210-3210BX0034</t>
        </is>
      </c>
      <c r="B3573" s="2" t="inlineStr">
        <is>
          <t>3210BX0034</t>
        </is>
      </c>
      <c r="C3573" s="2" t="inlineStr">
        <is>
          <t>Cajón pulpa muestreo BX0034</t>
        </is>
      </c>
      <c r="D3573" s="2" t="n">
        <v>1191</v>
      </c>
      <c r="E3573" s="2" t="inlineStr">
        <is>
          <t>CC-3000</t>
        </is>
      </c>
      <c r="F3573" s="2" t="inlineStr">
        <is>
          <t>P01</t>
        </is>
      </c>
      <c r="G3573" s="2" t="n">
        <v>620000</v>
      </c>
      <c r="H3573" s="2" t="inlineStr">
        <is>
          <t>Materiales</t>
        </is>
      </c>
      <c r="I3573" s="9" t="n">
        <v>477.66</v>
      </c>
      <c r="J3573" s="9" t="n">
        <v>435.28</v>
      </c>
      <c r="K3573" s="9" t="n">
        <v>472.47</v>
      </c>
      <c r="L3573" s="9" t="n">
        <v>433.87</v>
      </c>
      <c r="M3573" s="9" t="n">
        <v>480.33</v>
      </c>
      <c r="N3573" s="9" t="n">
        <v>407.52</v>
      </c>
      <c r="O3573" s="9" t="n">
        <v>439.39</v>
      </c>
      <c r="P3573" s="9" t="n">
        <v>446.88</v>
      </c>
      <c r="Q3573" s="9" t="n">
        <v>436.26</v>
      </c>
      <c r="R3573" s="9" t="n">
        <v>512.9299999999999</v>
      </c>
      <c r="S3573" s="9" t="n">
        <v>414.92</v>
      </c>
      <c r="T3573" s="9" t="n">
        <v>432.21</v>
      </c>
      <c r="U3573" s="10">
        <f>SUM(I3573:T3573)</f>
        <v/>
      </c>
    </row>
    <row r="3574">
      <c r="A3574" s="2" t="inlineStr">
        <is>
          <t>SN-3000-3200-3210-3210BX0034</t>
        </is>
      </c>
      <c r="B3574" s="2" t="inlineStr">
        <is>
          <t>3210BX0034</t>
        </is>
      </c>
      <c r="C3574" s="2" t="inlineStr">
        <is>
          <t>Cajón pulpa muestreo BX0034</t>
        </is>
      </c>
      <c r="D3574" s="2" t="n">
        <v>1191</v>
      </c>
      <c r="E3574" s="2" t="inlineStr">
        <is>
          <t>CC-3000</t>
        </is>
      </c>
      <c r="F3574" s="2" t="inlineStr">
        <is>
          <t>P01</t>
        </is>
      </c>
      <c r="G3574" s="2" t="n">
        <v>630000</v>
      </c>
      <c r="H3574" s="2" t="inlineStr">
        <is>
          <t>Servicios externos</t>
        </is>
      </c>
      <c r="I3574" s="9" t="n">
        <v>540.1799999999999</v>
      </c>
      <c r="J3574" s="9" t="n">
        <v>530.77</v>
      </c>
      <c r="K3574" s="9" t="n">
        <v>542.89</v>
      </c>
      <c r="L3574" s="9" t="n">
        <v>544.0700000000001</v>
      </c>
      <c r="M3574" s="9" t="n">
        <v>496.68</v>
      </c>
      <c r="N3574" s="9" t="n">
        <v>496.36</v>
      </c>
      <c r="O3574" s="9" t="n">
        <v>537.03</v>
      </c>
      <c r="P3574" s="9" t="n">
        <v>484.57</v>
      </c>
      <c r="Q3574" s="9" t="n">
        <v>470.52</v>
      </c>
      <c r="R3574" s="9" t="n">
        <v>573.15</v>
      </c>
      <c r="S3574" s="9" t="n">
        <v>498.02</v>
      </c>
      <c r="T3574" s="9" t="n">
        <v>534.47</v>
      </c>
      <c r="U3574" s="10">
        <f>SUM(I3574:T3574)</f>
        <v/>
      </c>
    </row>
    <row r="3575">
      <c r="A3575" s="2" t="inlineStr">
        <is>
          <t>SN-3000-3200-3210-3210HO0008</t>
        </is>
      </c>
      <c r="B3575" s="2" t="inlineStr">
        <is>
          <t>3210HO0008</t>
        </is>
      </c>
      <c r="C3575" s="2" t="inlineStr">
        <is>
          <t>Tolva pulpa HO0008</t>
        </is>
      </c>
      <c r="D3575" s="2" t="n">
        <v>1192</v>
      </c>
      <c r="E3575" s="2" t="inlineStr">
        <is>
          <t>CC-3000</t>
        </is>
      </c>
      <c r="F3575" s="2" t="inlineStr">
        <is>
          <t>P01</t>
        </is>
      </c>
      <c r="G3575" s="2" t="n">
        <v>610000</v>
      </c>
      <c r="H3575" s="2" t="inlineStr">
        <is>
          <t>Mano obra interna</t>
        </is>
      </c>
      <c r="I3575" s="9" t="n">
        <v>437.75</v>
      </c>
      <c r="J3575" s="9" t="n">
        <v>422.08</v>
      </c>
      <c r="K3575" s="9" t="n">
        <v>512.03</v>
      </c>
      <c r="L3575" s="9" t="n">
        <v>507.4</v>
      </c>
      <c r="M3575" s="9" t="n">
        <v>437.5</v>
      </c>
      <c r="N3575" s="9" t="n">
        <v>418.13</v>
      </c>
      <c r="O3575" s="9" t="n">
        <v>427.95</v>
      </c>
      <c r="P3575" s="9" t="n">
        <v>443.23</v>
      </c>
      <c r="Q3575" s="9" t="n">
        <v>420.01</v>
      </c>
      <c r="R3575" s="9" t="n">
        <v>479.14</v>
      </c>
      <c r="S3575" s="9" t="n">
        <v>470.03</v>
      </c>
      <c r="T3575" s="9" t="n">
        <v>489.14</v>
      </c>
      <c r="U3575" s="10">
        <f>SUM(I3575:T3575)</f>
        <v/>
      </c>
    </row>
    <row r="3576">
      <c r="A3576" s="2" t="inlineStr">
        <is>
          <t>SN-3000-3200-3210-3210HO0008</t>
        </is>
      </c>
      <c r="B3576" s="2" t="inlineStr">
        <is>
          <t>3210HO0008</t>
        </is>
      </c>
      <c r="C3576" s="2" t="inlineStr">
        <is>
          <t>Tolva pulpa HO0008</t>
        </is>
      </c>
      <c r="D3576" s="2" t="n">
        <v>1192</v>
      </c>
      <c r="E3576" s="2" t="inlineStr">
        <is>
          <t>CC-3000</t>
        </is>
      </c>
      <c r="F3576" s="2" t="inlineStr">
        <is>
          <t>P01</t>
        </is>
      </c>
      <c r="G3576" s="2" t="n">
        <v>620000</v>
      </c>
      <c r="H3576" s="2" t="inlineStr">
        <is>
          <t>Materiales</t>
        </is>
      </c>
      <c r="I3576" s="9" t="n">
        <v>436.51</v>
      </c>
      <c r="J3576" s="9" t="n">
        <v>409.57</v>
      </c>
      <c r="K3576" s="9" t="n">
        <v>402.45</v>
      </c>
      <c r="L3576" s="9" t="n">
        <v>439.88</v>
      </c>
      <c r="M3576" s="9" t="n">
        <v>383.05</v>
      </c>
      <c r="N3576" s="9" t="n">
        <v>375.83</v>
      </c>
      <c r="O3576" s="9" t="n">
        <v>391.42</v>
      </c>
      <c r="P3576" s="9" t="n">
        <v>443.29</v>
      </c>
      <c r="Q3576" s="9" t="n">
        <v>398.09</v>
      </c>
      <c r="R3576" s="9" t="n">
        <v>440.67</v>
      </c>
      <c r="S3576" s="9" t="n">
        <v>421.95</v>
      </c>
      <c r="T3576" s="9" t="n">
        <v>401.54</v>
      </c>
      <c r="U3576" s="10">
        <f>SUM(I3576:T3576)</f>
        <v/>
      </c>
    </row>
    <row r="3577">
      <c r="A3577" s="2" t="inlineStr">
        <is>
          <t>SN-3000-3200-3210-3210HO0008</t>
        </is>
      </c>
      <c r="B3577" s="2" t="inlineStr">
        <is>
          <t>3210HO0008</t>
        </is>
      </c>
      <c r="C3577" s="2" t="inlineStr">
        <is>
          <t>Tolva pulpa HO0008</t>
        </is>
      </c>
      <c r="D3577" s="2" t="n">
        <v>1192</v>
      </c>
      <c r="E3577" s="2" t="inlineStr">
        <is>
          <t>CC-3000</t>
        </is>
      </c>
      <c r="F3577" s="2" t="inlineStr">
        <is>
          <t>P01</t>
        </is>
      </c>
      <c r="G3577" s="2" t="n">
        <v>630000</v>
      </c>
      <c r="H3577" s="2" t="inlineStr">
        <is>
          <t>Servicios externos</t>
        </is>
      </c>
      <c r="I3577" s="9" t="n">
        <v>564.24</v>
      </c>
      <c r="J3577" s="9" t="n">
        <v>532.75</v>
      </c>
      <c r="K3577" s="9" t="n">
        <v>578.85</v>
      </c>
      <c r="L3577" s="9" t="n">
        <v>560.33</v>
      </c>
      <c r="M3577" s="9" t="n">
        <v>563.13</v>
      </c>
      <c r="N3577" s="9" t="n">
        <v>539.27</v>
      </c>
      <c r="O3577" s="9" t="n">
        <v>510.16</v>
      </c>
      <c r="P3577" s="9" t="n">
        <v>513.13</v>
      </c>
      <c r="Q3577" s="9" t="n">
        <v>464.08</v>
      </c>
      <c r="R3577" s="9" t="n">
        <v>551.98</v>
      </c>
      <c r="S3577" s="9" t="n">
        <v>505.73</v>
      </c>
      <c r="T3577" s="9" t="n">
        <v>502.79</v>
      </c>
      <c r="U3577" s="10">
        <f>SUM(I3577:T3577)</f>
        <v/>
      </c>
    </row>
    <row r="3578">
      <c r="A3578" s="2" t="inlineStr">
        <is>
          <t>SN-3000-3200-3210-3210PU0088</t>
        </is>
      </c>
      <c r="B3578" s="2" t="inlineStr">
        <is>
          <t>3210PU0088</t>
        </is>
      </c>
      <c r="C3578" s="2" t="inlineStr">
        <is>
          <t>Bomba centrífuga PU0088</t>
        </is>
      </c>
      <c r="D3578" s="2" t="n">
        <v>1193</v>
      </c>
      <c r="E3578" s="2" t="inlineStr">
        <is>
          <t>CC-3000</t>
        </is>
      </c>
      <c r="F3578" s="2" t="inlineStr">
        <is>
          <t>P01</t>
        </is>
      </c>
      <c r="G3578" s="2" t="n">
        <v>610000</v>
      </c>
      <c r="H3578" s="2" t="inlineStr">
        <is>
          <t>Mano obra interna</t>
        </is>
      </c>
      <c r="I3578" s="9" t="n">
        <v>635.84</v>
      </c>
      <c r="J3578" s="9" t="n">
        <v>619.9</v>
      </c>
      <c r="K3578" s="9" t="n">
        <v>567.42</v>
      </c>
      <c r="L3578" s="9" t="n">
        <v>561.97</v>
      </c>
      <c r="M3578" s="9" t="n">
        <v>557.3200000000001</v>
      </c>
      <c r="N3578" s="9" t="n">
        <v>604.72</v>
      </c>
      <c r="O3578" s="9" t="n">
        <v>594.26</v>
      </c>
      <c r="P3578" s="9" t="n">
        <v>642.5599999999999</v>
      </c>
      <c r="Q3578" s="9" t="n">
        <v>590.1</v>
      </c>
      <c r="R3578" s="9" t="n">
        <v>683.92</v>
      </c>
      <c r="S3578" s="9" t="n">
        <v>543.51</v>
      </c>
      <c r="T3578" s="9" t="n">
        <v>603.39</v>
      </c>
      <c r="U3578" s="10">
        <f>SUM(I3578:T3578)</f>
        <v/>
      </c>
    </row>
    <row r="3579">
      <c r="A3579" s="2" t="inlineStr">
        <is>
          <t>SN-3000-3200-3210-3210PU0088</t>
        </is>
      </c>
      <c r="B3579" s="2" t="inlineStr">
        <is>
          <t>3210PU0088</t>
        </is>
      </c>
      <c r="C3579" s="2" t="inlineStr">
        <is>
          <t>Bomba centrífuga PU0088</t>
        </is>
      </c>
      <c r="D3579" s="2" t="n">
        <v>1193</v>
      </c>
      <c r="E3579" s="2" t="inlineStr">
        <is>
          <t>CC-3000</t>
        </is>
      </c>
      <c r="F3579" s="2" t="inlineStr">
        <is>
          <t>P01</t>
        </is>
      </c>
      <c r="G3579" s="2" t="n">
        <v>620000</v>
      </c>
      <c r="H3579" s="2" t="inlineStr">
        <is>
          <t>Materiales</t>
        </is>
      </c>
      <c r="I3579" s="9" t="n">
        <v>668.3099999999999</v>
      </c>
      <c r="J3579" s="9" t="n">
        <v>691.23</v>
      </c>
      <c r="K3579" s="9" t="n">
        <v>697.73</v>
      </c>
      <c r="L3579" s="9" t="n">
        <v>696.1900000000001</v>
      </c>
      <c r="M3579" s="9" t="n">
        <v>729.36</v>
      </c>
      <c r="N3579" s="9" t="n">
        <v>672.47</v>
      </c>
      <c r="O3579" s="9" t="n">
        <v>722.66</v>
      </c>
      <c r="P3579" s="9" t="n">
        <v>712.3099999999999</v>
      </c>
      <c r="Q3579" s="9" t="n">
        <v>648.67</v>
      </c>
      <c r="R3579" s="9" t="n">
        <v>782.92</v>
      </c>
      <c r="S3579" s="9" t="n">
        <v>722.04</v>
      </c>
      <c r="T3579" s="9" t="n">
        <v>756.49</v>
      </c>
      <c r="U3579" s="10">
        <f>SUM(I3579:T3579)</f>
        <v/>
      </c>
    </row>
    <row r="3580">
      <c r="A3580" s="2" t="inlineStr">
        <is>
          <t>SN-3000-3200-3210-3210PU0088</t>
        </is>
      </c>
      <c r="B3580" s="2" t="inlineStr">
        <is>
          <t>3210PU0088</t>
        </is>
      </c>
      <c r="C3580" s="2" t="inlineStr">
        <is>
          <t>Bomba centrífuga PU0088</t>
        </is>
      </c>
      <c r="D3580" s="2" t="n">
        <v>1193</v>
      </c>
      <c r="E3580" s="2" t="inlineStr">
        <is>
          <t>CC-3000</t>
        </is>
      </c>
      <c r="F3580" s="2" t="inlineStr">
        <is>
          <t>P01</t>
        </is>
      </c>
      <c r="G3580" s="2" t="n">
        <v>630000</v>
      </c>
      <c r="H3580" s="2" t="inlineStr">
        <is>
          <t>Servicios externos</t>
        </is>
      </c>
      <c r="I3580" s="9" t="n">
        <v>707.97</v>
      </c>
      <c r="J3580" s="9" t="n">
        <v>647.51</v>
      </c>
      <c r="K3580" s="9" t="n">
        <v>664.66</v>
      </c>
      <c r="L3580" s="9" t="n">
        <v>679.72</v>
      </c>
      <c r="M3580" s="9" t="n">
        <v>670.15</v>
      </c>
      <c r="N3580" s="9" t="n">
        <v>625.04</v>
      </c>
      <c r="O3580" s="9" t="n">
        <v>664.62</v>
      </c>
      <c r="P3580" s="9" t="n">
        <v>648.13</v>
      </c>
      <c r="Q3580" s="9" t="n">
        <v>649.33</v>
      </c>
      <c r="R3580" s="9" t="n">
        <v>704.61</v>
      </c>
      <c r="S3580" s="9" t="n">
        <v>698.86</v>
      </c>
      <c r="T3580" s="9" t="n">
        <v>686.35</v>
      </c>
      <c r="U3580" s="10">
        <f>SUM(I3580:T3580)</f>
        <v/>
      </c>
    </row>
    <row r="3581">
      <c r="A3581" s="2" t="inlineStr">
        <is>
          <t>SN-3000-3200-3210-3210SA0002</t>
        </is>
      </c>
      <c r="B3581" s="2" t="inlineStr">
        <is>
          <t>3210SA0002</t>
        </is>
      </c>
      <c r="C3581" s="2" t="inlineStr">
        <is>
          <t>Muestreador rotatorio SA0002</t>
        </is>
      </c>
      <c r="D3581" s="2" t="n">
        <v>1194</v>
      </c>
      <c r="E3581" s="2" t="inlineStr">
        <is>
          <t>CC-3000</t>
        </is>
      </c>
      <c r="F3581" s="2" t="inlineStr">
        <is>
          <t>P01</t>
        </is>
      </c>
      <c r="G3581" s="2" t="n">
        <v>610000</v>
      </c>
      <c r="H3581" s="2" t="inlineStr">
        <is>
          <t>Mano obra interna</t>
        </is>
      </c>
      <c r="I3581" s="9" t="n">
        <v>311.27</v>
      </c>
      <c r="J3581" s="9" t="n">
        <v>264.24</v>
      </c>
      <c r="K3581" s="9" t="n">
        <v>319.62</v>
      </c>
      <c r="L3581" s="9" t="n">
        <v>300.49</v>
      </c>
      <c r="M3581" s="9" t="n">
        <v>264.04</v>
      </c>
      <c r="N3581" s="9" t="n">
        <v>266.53</v>
      </c>
      <c r="O3581" s="9" t="n">
        <v>305.23</v>
      </c>
      <c r="P3581" s="9" t="n">
        <v>291.54</v>
      </c>
      <c r="Q3581" s="9" t="n">
        <v>258.36</v>
      </c>
      <c r="R3581" s="9" t="n">
        <v>331.7</v>
      </c>
      <c r="S3581" s="9" t="n">
        <v>290.94</v>
      </c>
      <c r="T3581" s="9" t="n">
        <v>302.59</v>
      </c>
      <c r="U3581" s="10">
        <f>SUM(I3581:T3581)</f>
        <v/>
      </c>
    </row>
    <row r="3582">
      <c r="A3582" s="2" t="inlineStr">
        <is>
          <t>SN-3000-3200-3210-3210SA0002</t>
        </is>
      </c>
      <c r="B3582" s="2" t="inlineStr">
        <is>
          <t>3210SA0002</t>
        </is>
      </c>
      <c r="C3582" s="2" t="inlineStr">
        <is>
          <t>Muestreador rotatorio SA0002</t>
        </is>
      </c>
      <c r="D3582" s="2" t="n">
        <v>1194</v>
      </c>
      <c r="E3582" s="2" t="inlineStr">
        <is>
          <t>CC-3000</t>
        </is>
      </c>
      <c r="F3582" s="2" t="inlineStr">
        <is>
          <t>P01</t>
        </is>
      </c>
      <c r="G3582" s="2" t="n">
        <v>620000</v>
      </c>
      <c r="H3582" s="2" t="inlineStr">
        <is>
          <t>Materiales</t>
        </is>
      </c>
      <c r="I3582" s="9" t="n">
        <v>324.36</v>
      </c>
      <c r="J3582" s="9" t="n">
        <v>289.74</v>
      </c>
      <c r="K3582" s="9" t="n">
        <v>318.44</v>
      </c>
      <c r="L3582" s="9" t="n">
        <v>328.35</v>
      </c>
      <c r="M3582" s="9" t="n">
        <v>286.04</v>
      </c>
      <c r="N3582" s="9" t="n">
        <v>275.5</v>
      </c>
      <c r="O3582" s="9" t="n">
        <v>288.1</v>
      </c>
      <c r="P3582" s="9" t="n">
        <v>289.47</v>
      </c>
      <c r="Q3582" s="9" t="n">
        <v>265.53</v>
      </c>
      <c r="R3582" s="9" t="n">
        <v>346.22</v>
      </c>
      <c r="S3582" s="9" t="n">
        <v>309.88</v>
      </c>
      <c r="T3582" s="9" t="n">
        <v>291.87</v>
      </c>
      <c r="U3582" s="10">
        <f>SUM(I3582:T3582)</f>
        <v/>
      </c>
    </row>
    <row r="3583">
      <c r="A3583" s="2" t="inlineStr">
        <is>
          <t>SN-3000-3200-3210-3210SA0002</t>
        </is>
      </c>
      <c r="B3583" s="2" t="inlineStr">
        <is>
          <t>3210SA0002</t>
        </is>
      </c>
      <c r="C3583" s="2" t="inlineStr">
        <is>
          <t>Muestreador rotatorio SA0002</t>
        </is>
      </c>
      <c r="D3583" s="2" t="n">
        <v>1194</v>
      </c>
      <c r="E3583" s="2" t="inlineStr">
        <is>
          <t>CC-3000</t>
        </is>
      </c>
      <c r="F3583" s="2" t="inlineStr">
        <is>
          <t>P01</t>
        </is>
      </c>
      <c r="G3583" s="2" t="n">
        <v>630000</v>
      </c>
      <c r="H3583" s="2" t="inlineStr">
        <is>
          <t>Servicios externos</t>
        </is>
      </c>
      <c r="I3583" s="9" t="n">
        <v>299.08</v>
      </c>
      <c r="J3583" s="9" t="n">
        <v>272.67</v>
      </c>
      <c r="K3583" s="9" t="n">
        <v>283.31</v>
      </c>
      <c r="L3583" s="9" t="n">
        <v>281.76</v>
      </c>
      <c r="M3583" s="9" t="n">
        <v>294.66</v>
      </c>
      <c r="N3583" s="9" t="n">
        <v>266.59</v>
      </c>
      <c r="O3583" s="9" t="n">
        <v>277.07</v>
      </c>
      <c r="P3583" s="9" t="n">
        <v>265.01</v>
      </c>
      <c r="Q3583" s="9" t="n">
        <v>284.75</v>
      </c>
      <c r="R3583" s="9" t="n">
        <v>322.18</v>
      </c>
      <c r="S3583" s="9" t="n">
        <v>276.76</v>
      </c>
      <c r="T3583" s="9" t="n">
        <v>312.06</v>
      </c>
      <c r="U3583" s="10">
        <f>SUM(I3583:T3583)</f>
        <v/>
      </c>
    </row>
    <row r="3584">
      <c r="A3584" s="2" t="inlineStr">
        <is>
          <t>SN-3000-3200-3210-3210SA0003</t>
        </is>
      </c>
      <c r="B3584" s="2" t="inlineStr">
        <is>
          <t>3210SA0003</t>
        </is>
      </c>
      <c r="C3584" s="2" t="inlineStr">
        <is>
          <t>Muestreador terciario SA0003</t>
        </is>
      </c>
      <c r="D3584" s="2" t="n">
        <v>1195</v>
      </c>
      <c r="E3584" s="2" t="inlineStr">
        <is>
          <t>CC-3000</t>
        </is>
      </c>
      <c r="F3584" s="2" t="inlineStr">
        <is>
          <t>P01</t>
        </is>
      </c>
      <c r="G3584" s="2" t="n">
        <v>610000</v>
      </c>
      <c r="H3584" s="2" t="inlineStr">
        <is>
          <t>Mano obra interna</t>
        </is>
      </c>
      <c r="I3584" s="9" t="n">
        <v>803.5599999999999</v>
      </c>
      <c r="J3584" s="9" t="n">
        <v>730.64</v>
      </c>
      <c r="K3584" s="9" t="n">
        <v>766.54</v>
      </c>
      <c r="L3584" s="9" t="n">
        <v>825.79</v>
      </c>
      <c r="M3584" s="9" t="n">
        <v>792.63</v>
      </c>
      <c r="N3584" s="9" t="n">
        <v>707.99</v>
      </c>
      <c r="O3584" s="9" t="n">
        <v>714.78</v>
      </c>
      <c r="P3584" s="9" t="n">
        <v>747.74</v>
      </c>
      <c r="Q3584" s="9" t="n">
        <v>742.47</v>
      </c>
      <c r="R3584" s="9" t="n">
        <v>773.02</v>
      </c>
      <c r="S3584" s="9" t="n">
        <v>761.7</v>
      </c>
      <c r="T3584" s="9" t="n">
        <v>825.58</v>
      </c>
      <c r="U3584" s="10">
        <f>SUM(I3584:T3584)</f>
        <v/>
      </c>
    </row>
    <row r="3585">
      <c r="A3585" s="2" t="inlineStr">
        <is>
          <t>SN-3000-3200-3210-3210SA0003</t>
        </is>
      </c>
      <c r="B3585" s="2" t="inlineStr">
        <is>
          <t>3210SA0003</t>
        </is>
      </c>
      <c r="C3585" s="2" t="inlineStr">
        <is>
          <t>Muestreador terciario SA0003</t>
        </is>
      </c>
      <c r="D3585" s="2" t="n">
        <v>1195</v>
      </c>
      <c r="E3585" s="2" t="inlineStr">
        <is>
          <t>CC-3000</t>
        </is>
      </c>
      <c r="F3585" s="2" t="inlineStr">
        <is>
          <t>P01</t>
        </is>
      </c>
      <c r="G3585" s="2" t="n">
        <v>620000</v>
      </c>
      <c r="H3585" s="2" t="inlineStr">
        <is>
          <t>Materiales</t>
        </is>
      </c>
      <c r="I3585" s="9" t="n">
        <v>774.67</v>
      </c>
      <c r="J3585" s="9" t="n">
        <v>655.71</v>
      </c>
      <c r="K3585" s="9" t="n">
        <v>759.74</v>
      </c>
      <c r="L3585" s="9" t="n">
        <v>767.23</v>
      </c>
      <c r="M3585" s="9" t="n">
        <v>703.59</v>
      </c>
      <c r="N3585" s="9" t="n">
        <v>653.26</v>
      </c>
      <c r="O3585" s="9" t="n">
        <v>766.37</v>
      </c>
      <c r="P3585" s="9" t="n">
        <v>661.7</v>
      </c>
      <c r="Q3585" s="9" t="n">
        <v>673.59</v>
      </c>
      <c r="R3585" s="9" t="n">
        <v>757.8</v>
      </c>
      <c r="S3585" s="9" t="n">
        <v>690.05</v>
      </c>
      <c r="T3585" s="9" t="n">
        <v>732.1900000000001</v>
      </c>
      <c r="U3585" s="10">
        <f>SUM(I3585:T3585)</f>
        <v/>
      </c>
    </row>
    <row r="3586">
      <c r="A3586" s="2" t="inlineStr">
        <is>
          <t>SN-3000-3200-3210-3210SA0003</t>
        </is>
      </c>
      <c r="B3586" s="2" t="inlineStr">
        <is>
          <t>3210SA0003</t>
        </is>
      </c>
      <c r="C3586" s="2" t="inlineStr">
        <is>
          <t>Muestreador terciario SA0003</t>
        </is>
      </c>
      <c r="D3586" s="2" t="n">
        <v>1195</v>
      </c>
      <c r="E3586" s="2" t="inlineStr">
        <is>
          <t>CC-3000</t>
        </is>
      </c>
      <c r="F3586" s="2" t="inlineStr">
        <is>
          <t>P01</t>
        </is>
      </c>
      <c r="G3586" s="2" t="n">
        <v>630000</v>
      </c>
      <c r="H3586" s="2" t="inlineStr">
        <is>
          <t>Servicios externos</t>
        </is>
      </c>
      <c r="I3586" s="9" t="n">
        <v>787.4</v>
      </c>
      <c r="J3586" s="9" t="n">
        <v>820.39</v>
      </c>
      <c r="K3586" s="9" t="n">
        <v>771.0700000000001</v>
      </c>
      <c r="L3586" s="9" t="n">
        <v>764.17</v>
      </c>
      <c r="M3586" s="9" t="n">
        <v>798.58</v>
      </c>
      <c r="N3586" s="9" t="n">
        <v>779.33</v>
      </c>
      <c r="O3586" s="9" t="n">
        <v>780.91</v>
      </c>
      <c r="P3586" s="9" t="n">
        <v>815.8</v>
      </c>
      <c r="Q3586" s="9" t="n">
        <v>755.6900000000001</v>
      </c>
      <c r="R3586" s="9" t="n">
        <v>852.15</v>
      </c>
      <c r="S3586" s="9" t="n">
        <v>802.89</v>
      </c>
      <c r="T3586" s="9" t="n">
        <v>881.95</v>
      </c>
      <c r="U3586" s="10">
        <f>SUM(I3586:T3586)</f>
        <v/>
      </c>
    </row>
    <row r="3587">
      <c r="A3587" s="2" t="inlineStr">
        <is>
          <t>SN-3000-3200-3220-3220SY0006</t>
        </is>
      </c>
      <c r="B3587" s="2" t="inlineStr">
        <is>
          <t>3220SY0006</t>
        </is>
      </c>
      <c r="C3587" s="2" t="inlineStr">
        <is>
          <t>Lava ojos de emergencia SY0006</t>
        </is>
      </c>
      <c r="D3587" s="2" t="n">
        <v>1196</v>
      </c>
      <c r="E3587" s="2" t="inlineStr">
        <is>
          <t>CC-3000</t>
        </is>
      </c>
      <c r="F3587" s="2" t="inlineStr">
        <is>
          <t>P01</t>
        </is>
      </c>
      <c r="G3587" s="2" t="n">
        <v>610000</v>
      </c>
      <c r="H3587" s="2" t="inlineStr">
        <is>
          <t>Mano obra interna</t>
        </is>
      </c>
      <c r="I3587" s="9" t="n">
        <v>926.65</v>
      </c>
      <c r="J3587" s="9" t="n">
        <v>820.33</v>
      </c>
      <c r="K3587" s="9" t="n">
        <v>932.99</v>
      </c>
      <c r="L3587" s="9" t="n">
        <v>908.27</v>
      </c>
      <c r="M3587" s="9" t="n">
        <v>878.22</v>
      </c>
      <c r="N3587" s="9" t="n">
        <v>882.05</v>
      </c>
      <c r="O3587" s="9" t="n">
        <v>831.34</v>
      </c>
      <c r="P3587" s="9" t="n">
        <v>849.09</v>
      </c>
      <c r="Q3587" s="9" t="n">
        <v>754.1</v>
      </c>
      <c r="R3587" s="9" t="n">
        <v>969.9400000000001</v>
      </c>
      <c r="S3587" s="9" t="n">
        <v>886.51</v>
      </c>
      <c r="T3587" s="9" t="n">
        <v>867.61</v>
      </c>
      <c r="U3587" s="10">
        <f>SUM(I3587:T3587)</f>
        <v/>
      </c>
    </row>
    <row r="3588">
      <c r="A3588" s="2" t="inlineStr">
        <is>
          <t>SN-3000-3200-3220-3220SY0006</t>
        </is>
      </c>
      <c r="B3588" s="2" t="inlineStr">
        <is>
          <t>3220SY0006</t>
        </is>
      </c>
      <c r="C3588" s="2" t="inlineStr">
        <is>
          <t>Lava ojos de emergencia SY0006</t>
        </is>
      </c>
      <c r="D3588" s="2" t="n">
        <v>1196</v>
      </c>
      <c r="E3588" s="2" t="inlineStr">
        <is>
          <t>CC-3000</t>
        </is>
      </c>
      <c r="F3588" s="2" t="inlineStr">
        <is>
          <t>P01</t>
        </is>
      </c>
      <c r="G3588" s="2" t="n">
        <v>620000</v>
      </c>
      <c r="H3588" s="2" t="inlineStr">
        <is>
          <t>Materiales</t>
        </is>
      </c>
      <c r="I3588" s="9" t="n">
        <v>861.66</v>
      </c>
      <c r="J3588" s="9" t="n">
        <v>755.66</v>
      </c>
      <c r="K3588" s="9" t="n">
        <v>821.21</v>
      </c>
      <c r="L3588" s="9" t="n">
        <v>823.3099999999999</v>
      </c>
      <c r="M3588" s="9" t="n">
        <v>817.08</v>
      </c>
      <c r="N3588" s="9" t="n">
        <v>784.0599999999999</v>
      </c>
      <c r="O3588" s="9" t="n">
        <v>785.16</v>
      </c>
      <c r="P3588" s="9" t="n">
        <v>827.9299999999999</v>
      </c>
      <c r="Q3588" s="9" t="n">
        <v>818.49</v>
      </c>
      <c r="R3588" s="9" t="n">
        <v>820.5599999999999</v>
      </c>
      <c r="S3588" s="9" t="n">
        <v>819.87</v>
      </c>
      <c r="T3588" s="9" t="n">
        <v>852.0700000000001</v>
      </c>
      <c r="U3588" s="10">
        <f>SUM(I3588:T3588)</f>
        <v/>
      </c>
    </row>
    <row r="3589">
      <c r="A3589" s="2" t="inlineStr">
        <is>
          <t>SN-3000-3200-3220-3220SY0006</t>
        </is>
      </c>
      <c r="B3589" s="2" t="inlineStr">
        <is>
          <t>3220SY0006</t>
        </is>
      </c>
      <c r="C3589" s="2" t="inlineStr">
        <is>
          <t>Lava ojos de emergencia SY0006</t>
        </is>
      </c>
      <c r="D3589" s="2" t="n">
        <v>1196</v>
      </c>
      <c r="E3589" s="2" t="inlineStr">
        <is>
          <t>CC-3000</t>
        </is>
      </c>
      <c r="F3589" s="2" t="inlineStr">
        <is>
          <t>P01</t>
        </is>
      </c>
      <c r="G3589" s="2" t="n">
        <v>630000</v>
      </c>
      <c r="H3589" s="2" t="inlineStr">
        <is>
          <t>Servicios externos</t>
        </is>
      </c>
      <c r="I3589" s="9" t="n">
        <v>1001.68</v>
      </c>
      <c r="J3589" s="9" t="n">
        <v>963.27</v>
      </c>
      <c r="K3589" s="9" t="n">
        <v>1031.97</v>
      </c>
      <c r="L3589" s="9" t="n">
        <v>943.65</v>
      </c>
      <c r="M3589" s="9" t="n">
        <v>963.54</v>
      </c>
      <c r="N3589" s="9" t="n">
        <v>919.64</v>
      </c>
      <c r="O3589" s="9" t="n">
        <v>949.91</v>
      </c>
      <c r="P3589" s="9" t="n">
        <v>893.74</v>
      </c>
      <c r="Q3589" s="9" t="n">
        <v>863.02</v>
      </c>
      <c r="R3589" s="9" t="n">
        <v>997.72</v>
      </c>
      <c r="S3589" s="9" t="n">
        <v>961.6</v>
      </c>
      <c r="T3589" s="9" t="n">
        <v>1038.66</v>
      </c>
      <c r="U3589" s="10">
        <f>SUM(I3589:T3589)</f>
        <v/>
      </c>
    </row>
    <row r="3590">
      <c r="A3590" s="2" t="inlineStr">
        <is>
          <t>SN-3000-3200-3220-3220TA0001</t>
        </is>
      </c>
      <c r="B3590" s="2" t="inlineStr">
        <is>
          <t>3220TA0001</t>
        </is>
      </c>
      <c r="C3590" s="2" t="inlineStr">
        <is>
          <t>Agitador mecánico AG0001</t>
        </is>
      </c>
      <c r="D3590" s="2" t="n">
        <v>1197</v>
      </c>
      <c r="E3590" s="2" t="inlineStr">
        <is>
          <t>CC-3000</t>
        </is>
      </c>
      <c r="F3590" s="2" t="inlineStr">
        <is>
          <t>P01</t>
        </is>
      </c>
      <c r="G3590" s="2" t="n">
        <v>610000</v>
      </c>
      <c r="H3590" s="2" t="inlineStr">
        <is>
          <t>Mano obra interna</t>
        </is>
      </c>
      <c r="I3590" s="9" t="n">
        <v>1727.37</v>
      </c>
      <c r="J3590" s="9" t="n">
        <v>1931.23</v>
      </c>
      <c r="K3590" s="9" t="n">
        <v>1930.43</v>
      </c>
      <c r="L3590" s="9" t="n">
        <v>1970.45</v>
      </c>
      <c r="M3590" s="9" t="n">
        <v>1694.51</v>
      </c>
      <c r="N3590" s="9" t="n">
        <v>1819.45</v>
      </c>
      <c r="O3590" s="9" t="n">
        <v>1907.56</v>
      </c>
      <c r="P3590" s="9" t="n">
        <v>1713.15</v>
      </c>
      <c r="Q3590" s="9" t="n">
        <v>1598.61</v>
      </c>
      <c r="R3590" s="9" t="n">
        <v>1893.99</v>
      </c>
      <c r="S3590" s="9" t="n">
        <v>1678.04</v>
      </c>
      <c r="T3590" s="9" t="n">
        <v>1982.8</v>
      </c>
      <c r="U3590" s="10">
        <f>SUM(I3590:T3590)</f>
        <v/>
      </c>
    </row>
    <row r="3591">
      <c r="A3591" s="2" t="inlineStr">
        <is>
          <t>SN-3000-3200-3220-3220TA0001</t>
        </is>
      </c>
      <c r="B3591" s="2" t="inlineStr">
        <is>
          <t>3220TA0001</t>
        </is>
      </c>
      <c r="C3591" s="2" t="inlineStr">
        <is>
          <t>Agitador mecánico AG0001</t>
        </is>
      </c>
      <c r="D3591" s="2" t="n">
        <v>1197</v>
      </c>
      <c r="E3591" s="2" t="inlineStr">
        <is>
          <t>CC-3000</t>
        </is>
      </c>
      <c r="F3591" s="2" t="inlineStr">
        <is>
          <t>P01</t>
        </is>
      </c>
      <c r="G3591" s="2" t="n">
        <v>620000</v>
      </c>
      <c r="H3591" s="2" t="inlineStr">
        <is>
          <t>Materiales</t>
        </is>
      </c>
      <c r="I3591" s="9" t="n">
        <v>1940.53</v>
      </c>
      <c r="J3591" s="9" t="n">
        <v>1884.7</v>
      </c>
      <c r="K3591" s="9" t="n">
        <v>1848</v>
      </c>
      <c r="L3591" s="9" t="n">
        <v>1919.32</v>
      </c>
      <c r="M3591" s="9" t="n">
        <v>1692.43</v>
      </c>
      <c r="N3591" s="9" t="n">
        <v>1715.7</v>
      </c>
      <c r="O3591" s="9" t="n">
        <v>1961.93</v>
      </c>
      <c r="P3591" s="9" t="n">
        <v>1726.56</v>
      </c>
      <c r="Q3591" s="9" t="n">
        <v>1667.44</v>
      </c>
      <c r="R3591" s="9" t="n">
        <v>2059.18</v>
      </c>
      <c r="S3591" s="9" t="n">
        <v>1813.1</v>
      </c>
      <c r="T3591" s="9" t="n">
        <v>1890.68</v>
      </c>
      <c r="U3591" s="10">
        <f>SUM(I3591:T3591)</f>
        <v/>
      </c>
    </row>
    <row r="3592">
      <c r="A3592" s="2" t="inlineStr">
        <is>
          <t>SN-3000-3200-3220-3220TA0001</t>
        </is>
      </c>
      <c r="B3592" s="2" t="inlineStr">
        <is>
          <t>3220TA0001</t>
        </is>
      </c>
      <c r="C3592" s="2" t="inlineStr">
        <is>
          <t>Agitador mecánico AG0001</t>
        </is>
      </c>
      <c r="D3592" s="2" t="n">
        <v>1197</v>
      </c>
      <c r="E3592" s="2" t="inlineStr">
        <is>
          <t>CC-3000</t>
        </is>
      </c>
      <c r="F3592" s="2" t="inlineStr">
        <is>
          <t>P01</t>
        </is>
      </c>
      <c r="G3592" s="2" t="n">
        <v>630000</v>
      </c>
      <c r="H3592" s="2" t="inlineStr">
        <is>
          <t>Servicios externos</t>
        </is>
      </c>
      <c r="I3592" s="9" t="n">
        <v>2003.79</v>
      </c>
      <c r="J3592" s="9" t="n">
        <v>2181.38</v>
      </c>
      <c r="K3592" s="9" t="n">
        <v>2324.03</v>
      </c>
      <c r="L3592" s="9" t="n">
        <v>2001.66</v>
      </c>
      <c r="M3592" s="9" t="n">
        <v>2120.68</v>
      </c>
      <c r="N3592" s="9" t="n">
        <v>1980.39</v>
      </c>
      <c r="O3592" s="9" t="n">
        <v>1971.13</v>
      </c>
      <c r="P3592" s="9" t="n">
        <v>2093.32</v>
      </c>
      <c r="Q3592" s="9" t="n">
        <v>2021.62</v>
      </c>
      <c r="R3592" s="9" t="n">
        <v>2442.78</v>
      </c>
      <c r="S3592" s="9" t="n">
        <v>2094.66</v>
      </c>
      <c r="T3592" s="9" t="n">
        <v>2277.31</v>
      </c>
      <c r="U3592" s="10">
        <f>SUM(I3592:T3592)</f>
        <v/>
      </c>
    </row>
    <row r="3593">
      <c r="A3593" s="2" t="inlineStr">
        <is>
          <t>SN-3000-3200-3220-3220TA0002</t>
        </is>
      </c>
      <c r="B3593" s="2" t="inlineStr">
        <is>
          <t>3220TA0002</t>
        </is>
      </c>
      <c r="C3593" s="2" t="inlineStr">
        <is>
          <t>Agitador mecánico AG0002</t>
        </is>
      </c>
      <c r="D3593" s="2" t="n">
        <v>1198</v>
      </c>
      <c r="E3593" s="2" t="inlineStr">
        <is>
          <t>CC-3000</t>
        </is>
      </c>
      <c r="F3593" s="2" t="inlineStr">
        <is>
          <t>P01</t>
        </is>
      </c>
      <c r="G3593" s="2" t="n">
        <v>610000</v>
      </c>
      <c r="H3593" s="2" t="inlineStr">
        <is>
          <t>Mano obra interna</t>
        </is>
      </c>
      <c r="I3593" s="9" t="n">
        <v>1552.94</v>
      </c>
      <c r="J3593" s="9" t="n">
        <v>1689.16</v>
      </c>
      <c r="K3593" s="9" t="n">
        <v>1747.58</v>
      </c>
      <c r="L3593" s="9" t="n">
        <v>1561.21</v>
      </c>
      <c r="M3593" s="9" t="n">
        <v>1609.16</v>
      </c>
      <c r="N3593" s="9" t="n">
        <v>1491.51</v>
      </c>
      <c r="O3593" s="9" t="n">
        <v>1587.81</v>
      </c>
      <c r="P3593" s="9" t="n">
        <v>1685.95</v>
      </c>
      <c r="Q3593" s="9" t="n">
        <v>1540.85</v>
      </c>
      <c r="R3593" s="9" t="n">
        <v>1648.21</v>
      </c>
      <c r="S3593" s="9" t="n">
        <v>1498.7</v>
      </c>
      <c r="T3593" s="9" t="n">
        <v>1564.32</v>
      </c>
      <c r="U3593" s="10">
        <f>SUM(I3593:T3593)</f>
        <v/>
      </c>
    </row>
    <row r="3594">
      <c r="A3594" s="2" t="inlineStr">
        <is>
          <t>SN-3000-3200-3220-3220TA0002</t>
        </is>
      </c>
      <c r="B3594" s="2" t="inlineStr">
        <is>
          <t>3220TA0002</t>
        </is>
      </c>
      <c r="C3594" s="2" t="inlineStr">
        <is>
          <t>Agitador mecánico AG0002</t>
        </is>
      </c>
      <c r="D3594" s="2" t="n">
        <v>1198</v>
      </c>
      <c r="E3594" s="2" t="inlineStr">
        <is>
          <t>CC-3000</t>
        </is>
      </c>
      <c r="F3594" s="2" t="inlineStr">
        <is>
          <t>P01</t>
        </is>
      </c>
      <c r="G3594" s="2" t="n">
        <v>620000</v>
      </c>
      <c r="H3594" s="2" t="inlineStr">
        <is>
          <t>Materiales</t>
        </is>
      </c>
      <c r="I3594" s="9" t="n">
        <v>1909.02</v>
      </c>
      <c r="J3594" s="9" t="n">
        <v>1977.68</v>
      </c>
      <c r="K3594" s="9" t="n">
        <v>2030.18</v>
      </c>
      <c r="L3594" s="9" t="n">
        <v>1825.84</v>
      </c>
      <c r="M3594" s="9" t="n">
        <v>1938.44</v>
      </c>
      <c r="N3594" s="9" t="n">
        <v>1792.47</v>
      </c>
      <c r="O3594" s="9" t="n">
        <v>1800.02</v>
      </c>
      <c r="P3594" s="9" t="n">
        <v>1830.69</v>
      </c>
      <c r="Q3594" s="9" t="n">
        <v>1875.25</v>
      </c>
      <c r="R3594" s="9" t="n">
        <v>2014.72</v>
      </c>
      <c r="S3594" s="9" t="n">
        <v>1876.9</v>
      </c>
      <c r="T3594" s="9" t="n">
        <v>1893.85</v>
      </c>
      <c r="U3594" s="10">
        <f>SUM(I3594:T3594)</f>
        <v/>
      </c>
    </row>
    <row r="3595">
      <c r="A3595" s="2" t="inlineStr">
        <is>
          <t>SN-3000-3200-3220-3220TA0002</t>
        </is>
      </c>
      <c r="B3595" s="2" t="inlineStr">
        <is>
          <t>3220TA0002</t>
        </is>
      </c>
      <c r="C3595" s="2" t="inlineStr">
        <is>
          <t>Agitador mecánico AG0002</t>
        </is>
      </c>
      <c r="D3595" s="2" t="n">
        <v>1198</v>
      </c>
      <c r="E3595" s="2" t="inlineStr">
        <is>
          <t>CC-3000</t>
        </is>
      </c>
      <c r="F3595" s="2" t="inlineStr">
        <is>
          <t>P01</t>
        </is>
      </c>
      <c r="G3595" s="2" t="n">
        <v>630000</v>
      </c>
      <c r="H3595" s="2" t="inlineStr">
        <is>
          <t>Servicios externos</t>
        </is>
      </c>
      <c r="I3595" s="9" t="n">
        <v>1805.28</v>
      </c>
      <c r="J3595" s="9" t="n">
        <v>1755.45</v>
      </c>
      <c r="K3595" s="9" t="n">
        <v>1622.46</v>
      </c>
      <c r="L3595" s="9" t="n">
        <v>1664.54</v>
      </c>
      <c r="M3595" s="9" t="n">
        <v>1672.98</v>
      </c>
      <c r="N3595" s="9" t="n">
        <v>1566.78</v>
      </c>
      <c r="O3595" s="9" t="n">
        <v>1765.75</v>
      </c>
      <c r="P3595" s="9" t="n">
        <v>1583.09</v>
      </c>
      <c r="Q3595" s="9" t="n">
        <v>1646.52</v>
      </c>
      <c r="R3595" s="9" t="n">
        <v>1855.1</v>
      </c>
      <c r="S3595" s="9" t="n">
        <v>1579.34</v>
      </c>
      <c r="T3595" s="9" t="n">
        <v>1670.77</v>
      </c>
      <c r="U3595" s="10">
        <f>SUM(I3595:T3595)</f>
        <v/>
      </c>
    </row>
    <row r="3596">
      <c r="A3596" s="2" t="inlineStr">
        <is>
          <t>SN-3000-3200-3220-3220TA0003</t>
        </is>
      </c>
      <c r="B3596" s="2" t="inlineStr">
        <is>
          <t>3220TA0003</t>
        </is>
      </c>
      <c r="C3596" s="2" t="inlineStr">
        <is>
          <t>Agitador mecánico AG0003</t>
        </is>
      </c>
      <c r="D3596" s="2" t="n">
        <v>1199</v>
      </c>
      <c r="E3596" s="2" t="inlineStr">
        <is>
          <t>CC-3000</t>
        </is>
      </c>
      <c r="F3596" s="2" t="inlineStr">
        <is>
          <t>P01</t>
        </is>
      </c>
      <c r="G3596" s="2" t="n">
        <v>610000</v>
      </c>
      <c r="H3596" s="2" t="inlineStr">
        <is>
          <t>Mano obra interna</t>
        </is>
      </c>
      <c r="I3596" s="9" t="n">
        <v>1301.64</v>
      </c>
      <c r="J3596" s="9" t="n">
        <v>1352.97</v>
      </c>
      <c r="K3596" s="9" t="n">
        <v>1342.43</v>
      </c>
      <c r="L3596" s="9" t="n">
        <v>1397.59</v>
      </c>
      <c r="M3596" s="9" t="n">
        <v>1316.85</v>
      </c>
      <c r="N3596" s="9" t="n">
        <v>1197.26</v>
      </c>
      <c r="O3596" s="9" t="n">
        <v>1328.02</v>
      </c>
      <c r="P3596" s="9" t="n">
        <v>1381.07</v>
      </c>
      <c r="Q3596" s="9" t="n">
        <v>1195.84</v>
      </c>
      <c r="R3596" s="9" t="n">
        <v>1465.66</v>
      </c>
      <c r="S3596" s="9" t="n">
        <v>1223.33</v>
      </c>
      <c r="T3596" s="9" t="n">
        <v>1268.8</v>
      </c>
      <c r="U3596" s="10">
        <f>SUM(I3596:T3596)</f>
        <v/>
      </c>
    </row>
    <row r="3597">
      <c r="A3597" s="2" t="inlineStr">
        <is>
          <t>SN-3000-3200-3220-3220TA0003</t>
        </is>
      </c>
      <c r="B3597" s="2" t="inlineStr">
        <is>
          <t>3220TA0003</t>
        </is>
      </c>
      <c r="C3597" s="2" t="inlineStr">
        <is>
          <t>Agitador mecánico AG0003</t>
        </is>
      </c>
      <c r="D3597" s="2" t="n">
        <v>1199</v>
      </c>
      <c r="E3597" s="2" t="inlineStr">
        <is>
          <t>CC-3000</t>
        </is>
      </c>
      <c r="F3597" s="2" t="inlineStr">
        <is>
          <t>P01</t>
        </is>
      </c>
      <c r="G3597" s="2" t="n">
        <v>620000</v>
      </c>
      <c r="H3597" s="2" t="inlineStr">
        <is>
          <t>Materiales</t>
        </is>
      </c>
      <c r="I3597" s="9" t="n">
        <v>1357.66</v>
      </c>
      <c r="J3597" s="9" t="n">
        <v>1389.13</v>
      </c>
      <c r="K3597" s="9" t="n">
        <v>1387.86</v>
      </c>
      <c r="L3597" s="9" t="n">
        <v>1291.07</v>
      </c>
      <c r="M3597" s="9" t="n">
        <v>1368.66</v>
      </c>
      <c r="N3597" s="9" t="n">
        <v>1288.09</v>
      </c>
      <c r="O3597" s="9" t="n">
        <v>1318.07</v>
      </c>
      <c r="P3597" s="9" t="n">
        <v>1418.35</v>
      </c>
      <c r="Q3597" s="9" t="n">
        <v>1190.66</v>
      </c>
      <c r="R3597" s="9" t="n">
        <v>1556.66</v>
      </c>
      <c r="S3597" s="9" t="n">
        <v>1275.9</v>
      </c>
      <c r="T3597" s="9" t="n">
        <v>1365.46</v>
      </c>
      <c r="U3597" s="10">
        <f>SUM(I3597:T3597)</f>
        <v/>
      </c>
    </row>
    <row r="3598">
      <c r="A3598" s="2" t="inlineStr">
        <is>
          <t>SN-3000-3200-3220-3220TA0003</t>
        </is>
      </c>
      <c r="B3598" s="2" t="inlineStr">
        <is>
          <t>3220TA0003</t>
        </is>
      </c>
      <c r="C3598" s="2" t="inlineStr">
        <is>
          <t>Agitador mecánico AG0003</t>
        </is>
      </c>
      <c r="D3598" s="2" t="n">
        <v>1199</v>
      </c>
      <c r="E3598" s="2" t="inlineStr">
        <is>
          <t>CC-3000</t>
        </is>
      </c>
      <c r="F3598" s="2" t="inlineStr">
        <is>
          <t>P01</t>
        </is>
      </c>
      <c r="G3598" s="2" t="n">
        <v>630000</v>
      </c>
      <c r="H3598" s="2" t="inlineStr">
        <is>
          <t>Servicios externos</t>
        </is>
      </c>
      <c r="I3598" s="9" t="n">
        <v>1718.24</v>
      </c>
      <c r="J3598" s="9" t="n">
        <v>1482.78</v>
      </c>
      <c r="K3598" s="9" t="n">
        <v>1687.62</v>
      </c>
      <c r="L3598" s="9" t="n">
        <v>1601.14</v>
      </c>
      <c r="M3598" s="9" t="n">
        <v>1601.08</v>
      </c>
      <c r="N3598" s="9" t="n">
        <v>1604.69</v>
      </c>
      <c r="O3598" s="9" t="n">
        <v>1615.36</v>
      </c>
      <c r="P3598" s="9" t="n">
        <v>1503.61</v>
      </c>
      <c r="Q3598" s="9" t="n">
        <v>1511.16</v>
      </c>
      <c r="R3598" s="9" t="n">
        <v>1609.67</v>
      </c>
      <c r="S3598" s="9" t="n">
        <v>1526.09</v>
      </c>
      <c r="T3598" s="9" t="n">
        <v>1633.85</v>
      </c>
      <c r="U3598" s="10">
        <f>SUM(I3598:T3598)</f>
        <v/>
      </c>
    </row>
    <row r="3599">
      <c r="A3599" s="2" t="inlineStr">
        <is>
          <t>SN-3000-3200-3220-3220TA0004</t>
        </is>
      </c>
      <c r="B3599" s="2" t="inlineStr">
        <is>
          <t>3220TA0004</t>
        </is>
      </c>
      <c r="C3599" s="2" t="inlineStr">
        <is>
          <t>Agitador mecánico AG0004</t>
        </is>
      </c>
      <c r="D3599" s="2" t="n">
        <v>1200</v>
      </c>
      <c r="E3599" s="2" t="inlineStr">
        <is>
          <t>CC-3000</t>
        </is>
      </c>
      <c r="F3599" s="2" t="inlineStr">
        <is>
          <t>P01</t>
        </is>
      </c>
      <c r="G3599" s="2" t="n">
        <v>610000</v>
      </c>
      <c r="H3599" s="2" t="inlineStr">
        <is>
          <t>Mano obra interna</t>
        </is>
      </c>
      <c r="I3599" s="9" t="n">
        <v>957.67</v>
      </c>
      <c r="J3599" s="9" t="n">
        <v>871.59</v>
      </c>
      <c r="K3599" s="9" t="n">
        <v>1033.7</v>
      </c>
      <c r="L3599" s="9" t="n">
        <v>980.88</v>
      </c>
      <c r="M3599" s="9" t="n">
        <v>900.33</v>
      </c>
      <c r="N3599" s="9" t="n">
        <v>962.8099999999999</v>
      </c>
      <c r="O3599" s="9" t="n">
        <v>995</v>
      </c>
      <c r="P3599" s="9" t="n">
        <v>883.0700000000001</v>
      </c>
      <c r="Q3599" s="9" t="n">
        <v>894.1</v>
      </c>
      <c r="R3599" s="9" t="n">
        <v>1020.4</v>
      </c>
      <c r="S3599" s="9" t="n">
        <v>862.66</v>
      </c>
      <c r="T3599" s="9" t="n">
        <v>910.54</v>
      </c>
      <c r="U3599" s="10">
        <f>SUM(I3599:T3599)</f>
        <v/>
      </c>
    </row>
    <row r="3600">
      <c r="A3600" s="2" t="inlineStr">
        <is>
          <t>SN-3000-3200-3220-3220TA0004</t>
        </is>
      </c>
      <c r="B3600" s="2" t="inlineStr">
        <is>
          <t>3220TA0004</t>
        </is>
      </c>
      <c r="C3600" s="2" t="inlineStr">
        <is>
          <t>Agitador mecánico AG0004</t>
        </is>
      </c>
      <c r="D3600" s="2" t="n">
        <v>1200</v>
      </c>
      <c r="E3600" s="2" t="inlineStr">
        <is>
          <t>CC-3000</t>
        </is>
      </c>
      <c r="F3600" s="2" t="inlineStr">
        <is>
          <t>P01</t>
        </is>
      </c>
      <c r="G3600" s="2" t="n">
        <v>620000</v>
      </c>
      <c r="H3600" s="2" t="inlineStr">
        <is>
          <t>Materiales</t>
        </is>
      </c>
      <c r="I3600" s="9" t="n">
        <v>872.36</v>
      </c>
      <c r="J3600" s="9" t="n">
        <v>912.79</v>
      </c>
      <c r="K3600" s="9" t="n">
        <v>849.12</v>
      </c>
      <c r="L3600" s="9" t="n">
        <v>958.65</v>
      </c>
      <c r="M3600" s="9" t="n">
        <v>918.04</v>
      </c>
      <c r="N3600" s="9" t="n">
        <v>873.16</v>
      </c>
      <c r="O3600" s="9" t="n">
        <v>846.66</v>
      </c>
      <c r="P3600" s="9" t="n">
        <v>909.27</v>
      </c>
      <c r="Q3600" s="9" t="n">
        <v>810.87</v>
      </c>
      <c r="R3600" s="9" t="n">
        <v>968.99</v>
      </c>
      <c r="S3600" s="9" t="n">
        <v>826.0599999999999</v>
      </c>
      <c r="T3600" s="9" t="n">
        <v>940.73</v>
      </c>
      <c r="U3600" s="10">
        <f>SUM(I3600:T3600)</f>
        <v/>
      </c>
    </row>
    <row r="3601">
      <c r="A3601" s="2" t="inlineStr">
        <is>
          <t>SN-3000-3200-3220-3220TA0004</t>
        </is>
      </c>
      <c r="B3601" s="2" t="inlineStr">
        <is>
          <t>3220TA0004</t>
        </is>
      </c>
      <c r="C3601" s="2" t="inlineStr">
        <is>
          <t>Agitador mecánico AG0004</t>
        </is>
      </c>
      <c r="D3601" s="2" t="n">
        <v>1200</v>
      </c>
      <c r="E3601" s="2" t="inlineStr">
        <is>
          <t>CC-3000</t>
        </is>
      </c>
      <c r="F3601" s="2" t="inlineStr">
        <is>
          <t>P01</t>
        </is>
      </c>
      <c r="G3601" s="2" t="n">
        <v>630000</v>
      </c>
      <c r="H3601" s="2" t="inlineStr">
        <is>
          <t>Servicios externos</t>
        </is>
      </c>
      <c r="I3601" s="9" t="n">
        <v>799.4299999999999</v>
      </c>
      <c r="J3601" s="9" t="n">
        <v>787.67</v>
      </c>
      <c r="K3601" s="9" t="n">
        <v>802.24</v>
      </c>
      <c r="L3601" s="9" t="n">
        <v>738.3099999999999</v>
      </c>
      <c r="M3601" s="9" t="n">
        <v>726.1</v>
      </c>
      <c r="N3601" s="9" t="n">
        <v>728.1799999999999</v>
      </c>
      <c r="O3601" s="9" t="n">
        <v>739.4299999999999</v>
      </c>
      <c r="P3601" s="9" t="n">
        <v>699.12</v>
      </c>
      <c r="Q3601" s="9" t="n">
        <v>655.33</v>
      </c>
      <c r="R3601" s="9" t="n">
        <v>854.53</v>
      </c>
      <c r="S3601" s="9" t="n">
        <v>686.5700000000001</v>
      </c>
      <c r="T3601" s="9" t="n">
        <v>823.92</v>
      </c>
      <c r="U3601" s="10">
        <f>SUM(I3601:T3601)</f>
        <v/>
      </c>
    </row>
    <row r="3602">
      <c r="A3602" s="2" t="inlineStr">
        <is>
          <t>SN-3000-3300-3310-3310BX0005</t>
        </is>
      </c>
      <c r="B3602" s="2" t="inlineStr">
        <is>
          <t>3310BX0005</t>
        </is>
      </c>
      <c r="C3602" s="2" t="inlineStr">
        <is>
          <t>Agitador mecánico AG0043</t>
        </is>
      </c>
      <c r="D3602" s="2" t="n">
        <v>1201</v>
      </c>
      <c r="E3602" s="2" t="inlineStr">
        <is>
          <t>CC-3000</t>
        </is>
      </c>
      <c r="F3602" s="2" t="inlineStr">
        <is>
          <t>P01</t>
        </is>
      </c>
      <c r="G3602" s="2" t="n">
        <v>610000</v>
      </c>
      <c r="H3602" s="2" t="inlineStr">
        <is>
          <t>Mano obra interna</t>
        </is>
      </c>
      <c r="I3602" s="9" t="n">
        <v>539.1900000000001</v>
      </c>
      <c r="J3602" s="9" t="n">
        <v>469.62</v>
      </c>
      <c r="K3602" s="9" t="n">
        <v>558.99</v>
      </c>
      <c r="L3602" s="9" t="n">
        <v>479.74</v>
      </c>
      <c r="M3602" s="9" t="n">
        <v>465.21</v>
      </c>
      <c r="N3602" s="9" t="n">
        <v>450.39</v>
      </c>
      <c r="O3602" s="9" t="n">
        <v>475.26</v>
      </c>
      <c r="P3602" s="9" t="n">
        <v>505.78</v>
      </c>
      <c r="Q3602" s="9" t="n">
        <v>493.95</v>
      </c>
      <c r="R3602" s="9" t="n">
        <v>528.1900000000001</v>
      </c>
      <c r="S3602" s="9" t="n">
        <v>510.34</v>
      </c>
      <c r="T3602" s="9" t="n">
        <v>537.33</v>
      </c>
      <c r="U3602" s="10">
        <f>SUM(I3602:T3602)</f>
        <v/>
      </c>
    </row>
    <row r="3603">
      <c r="A3603" s="2" t="inlineStr">
        <is>
          <t>SN-3000-3300-3310-3310BX0005</t>
        </is>
      </c>
      <c r="B3603" s="2" t="inlineStr">
        <is>
          <t>3310BX0005</t>
        </is>
      </c>
      <c r="C3603" s="2" t="inlineStr">
        <is>
          <t>Agitador mecánico AG0043</t>
        </is>
      </c>
      <c r="D3603" s="2" t="n">
        <v>1201</v>
      </c>
      <c r="E3603" s="2" t="inlineStr">
        <is>
          <t>CC-3000</t>
        </is>
      </c>
      <c r="F3603" s="2" t="inlineStr">
        <is>
          <t>P01</t>
        </is>
      </c>
      <c r="G3603" s="2" t="n">
        <v>620000</v>
      </c>
      <c r="H3603" s="2" t="inlineStr">
        <is>
          <t>Materiales</t>
        </is>
      </c>
      <c r="I3603" s="9" t="n">
        <v>550.13</v>
      </c>
      <c r="J3603" s="9" t="n">
        <v>529.5</v>
      </c>
      <c r="K3603" s="9" t="n">
        <v>553.38</v>
      </c>
      <c r="L3603" s="9" t="n">
        <v>570.38</v>
      </c>
      <c r="M3603" s="9" t="n">
        <v>564.0700000000001</v>
      </c>
      <c r="N3603" s="9" t="n">
        <v>542.5</v>
      </c>
      <c r="O3603" s="9" t="n">
        <v>548.99</v>
      </c>
      <c r="P3603" s="9" t="n">
        <v>581.64</v>
      </c>
      <c r="Q3603" s="9" t="n">
        <v>517.71</v>
      </c>
      <c r="R3603" s="9" t="n">
        <v>602.51</v>
      </c>
      <c r="S3603" s="9" t="n">
        <v>517.8099999999999</v>
      </c>
      <c r="T3603" s="9" t="n">
        <v>587.96</v>
      </c>
      <c r="U3603" s="10">
        <f>SUM(I3603:T3603)</f>
        <v/>
      </c>
    </row>
    <row r="3604">
      <c r="A3604" s="2" t="inlineStr">
        <is>
          <t>SN-3000-3300-3310-3310BX0005</t>
        </is>
      </c>
      <c r="B3604" s="2" t="inlineStr">
        <is>
          <t>3310BX0005</t>
        </is>
      </c>
      <c r="C3604" s="2" t="inlineStr">
        <is>
          <t>Agitador mecánico AG0043</t>
        </is>
      </c>
      <c r="D3604" s="2" t="n">
        <v>1201</v>
      </c>
      <c r="E3604" s="2" t="inlineStr">
        <is>
          <t>CC-3000</t>
        </is>
      </c>
      <c r="F3604" s="2" t="inlineStr">
        <is>
          <t>P01</t>
        </is>
      </c>
      <c r="G3604" s="2" t="n">
        <v>630000</v>
      </c>
      <c r="H3604" s="2" t="inlineStr">
        <is>
          <t>Servicios externos</t>
        </is>
      </c>
      <c r="I3604" s="9" t="n">
        <v>541.35</v>
      </c>
      <c r="J3604" s="9" t="n">
        <v>533.99</v>
      </c>
      <c r="K3604" s="9" t="n">
        <v>547.75</v>
      </c>
      <c r="L3604" s="9" t="n">
        <v>498.5</v>
      </c>
      <c r="M3604" s="9" t="n">
        <v>482.69</v>
      </c>
      <c r="N3604" s="9" t="n">
        <v>519.24</v>
      </c>
      <c r="O3604" s="9" t="n">
        <v>533.16</v>
      </c>
      <c r="P3604" s="9" t="n">
        <v>531.88</v>
      </c>
      <c r="Q3604" s="9" t="n">
        <v>490.74</v>
      </c>
      <c r="R3604" s="9" t="n">
        <v>528.76</v>
      </c>
      <c r="S3604" s="9" t="n">
        <v>520.42</v>
      </c>
      <c r="T3604" s="9" t="n">
        <v>487.31</v>
      </c>
      <c r="U3604" s="10">
        <f>SUM(I3604:T3604)</f>
        <v/>
      </c>
    </row>
    <row r="3605">
      <c r="A3605" s="2" t="inlineStr">
        <is>
          <t>SN-3000-3300-3310-3310BX0006</t>
        </is>
      </c>
      <c r="B3605" s="2" t="inlineStr">
        <is>
          <t>3310BX0006</t>
        </is>
      </c>
      <c r="C3605" s="2" t="inlineStr">
        <is>
          <t>Agitador mecánico AG0044</t>
        </is>
      </c>
      <c r="D3605" s="2" t="n">
        <v>1202</v>
      </c>
      <c r="E3605" s="2" t="inlineStr">
        <is>
          <t>CC-3000</t>
        </is>
      </c>
      <c r="F3605" s="2" t="inlineStr">
        <is>
          <t>P01</t>
        </is>
      </c>
      <c r="G3605" s="2" t="n">
        <v>610000</v>
      </c>
      <c r="H3605" s="2" t="inlineStr">
        <is>
          <t>Mano obra interna</t>
        </is>
      </c>
      <c r="I3605" s="9" t="n">
        <v>1552.09</v>
      </c>
      <c r="J3605" s="9" t="n">
        <v>1549.85</v>
      </c>
      <c r="K3605" s="9" t="n">
        <v>1598.6</v>
      </c>
      <c r="L3605" s="9" t="n">
        <v>1582.8</v>
      </c>
      <c r="M3605" s="9" t="n">
        <v>1555.78</v>
      </c>
      <c r="N3605" s="9" t="n">
        <v>1470.04</v>
      </c>
      <c r="O3605" s="9" t="n">
        <v>1497.01</v>
      </c>
      <c r="P3605" s="9" t="n">
        <v>1598.42</v>
      </c>
      <c r="Q3605" s="9" t="n">
        <v>1518.41</v>
      </c>
      <c r="R3605" s="9" t="n">
        <v>1675.27</v>
      </c>
      <c r="S3605" s="9" t="n">
        <v>1544.99</v>
      </c>
      <c r="T3605" s="9" t="n">
        <v>1590.78</v>
      </c>
      <c r="U3605" s="10">
        <f>SUM(I3605:T3605)</f>
        <v/>
      </c>
    </row>
    <row r="3606">
      <c r="A3606" s="2" t="inlineStr">
        <is>
          <t>SN-3000-3300-3310-3310BX0006</t>
        </is>
      </c>
      <c r="B3606" s="2" t="inlineStr">
        <is>
          <t>3310BX0006</t>
        </is>
      </c>
      <c r="C3606" s="2" t="inlineStr">
        <is>
          <t>Agitador mecánico AG0044</t>
        </is>
      </c>
      <c r="D3606" s="2" t="n">
        <v>1202</v>
      </c>
      <c r="E3606" s="2" t="inlineStr">
        <is>
          <t>CC-3000</t>
        </is>
      </c>
      <c r="F3606" s="2" t="inlineStr">
        <is>
          <t>P01</t>
        </is>
      </c>
      <c r="G3606" s="2" t="n">
        <v>620000</v>
      </c>
      <c r="H3606" s="2" t="inlineStr">
        <is>
          <t>Materiales</t>
        </is>
      </c>
      <c r="I3606" s="9" t="n">
        <v>1369.06</v>
      </c>
      <c r="J3606" s="9" t="n">
        <v>1232.38</v>
      </c>
      <c r="K3606" s="9" t="n">
        <v>1437.06</v>
      </c>
      <c r="L3606" s="9" t="n">
        <v>1389.56</v>
      </c>
      <c r="M3606" s="9" t="n">
        <v>1263.54</v>
      </c>
      <c r="N3606" s="9" t="n">
        <v>1306.92</v>
      </c>
      <c r="O3606" s="9" t="n">
        <v>1445.02</v>
      </c>
      <c r="P3606" s="9" t="n">
        <v>1322.17</v>
      </c>
      <c r="Q3606" s="9" t="n">
        <v>1361.51</v>
      </c>
      <c r="R3606" s="9" t="n">
        <v>1571.93</v>
      </c>
      <c r="S3606" s="9" t="n">
        <v>1374.45</v>
      </c>
      <c r="T3606" s="9" t="n">
        <v>1447.16</v>
      </c>
      <c r="U3606" s="10">
        <f>SUM(I3606:T3606)</f>
        <v/>
      </c>
    </row>
    <row r="3607">
      <c r="A3607" s="2" t="inlineStr">
        <is>
          <t>SN-3000-3300-3310-3310BX0006</t>
        </is>
      </c>
      <c r="B3607" s="2" t="inlineStr">
        <is>
          <t>3310BX0006</t>
        </is>
      </c>
      <c r="C3607" s="2" t="inlineStr">
        <is>
          <t>Agitador mecánico AG0044</t>
        </is>
      </c>
      <c r="D3607" s="2" t="n">
        <v>1202</v>
      </c>
      <c r="E3607" s="2" t="inlineStr">
        <is>
          <t>CC-3000</t>
        </is>
      </c>
      <c r="F3607" s="2" t="inlineStr">
        <is>
          <t>P01</t>
        </is>
      </c>
      <c r="G3607" s="2" t="n">
        <v>630000</v>
      </c>
      <c r="H3607" s="2" t="inlineStr">
        <is>
          <t>Servicios externos</t>
        </is>
      </c>
      <c r="I3607" s="9" t="n">
        <v>1568.12</v>
      </c>
      <c r="J3607" s="9" t="n">
        <v>1648.53</v>
      </c>
      <c r="K3607" s="9" t="n">
        <v>1575.34</v>
      </c>
      <c r="L3607" s="9" t="n">
        <v>1491.96</v>
      </c>
      <c r="M3607" s="9" t="n">
        <v>1458.47</v>
      </c>
      <c r="N3607" s="9" t="n">
        <v>1542.1</v>
      </c>
      <c r="O3607" s="9" t="n">
        <v>1531.9</v>
      </c>
      <c r="P3607" s="9" t="n">
        <v>1484.25</v>
      </c>
      <c r="Q3607" s="9" t="n">
        <v>1525.49</v>
      </c>
      <c r="R3607" s="9" t="n">
        <v>1679.75</v>
      </c>
      <c r="S3607" s="9" t="n">
        <v>1526.94</v>
      </c>
      <c r="T3607" s="9" t="n">
        <v>1495.92</v>
      </c>
      <c r="U3607" s="10">
        <f>SUM(I3607:T3607)</f>
        <v/>
      </c>
    </row>
    <row r="3608">
      <c r="A3608" s="2" t="inlineStr">
        <is>
          <t>SN-3000-3300-3310-3310BX0012</t>
        </is>
      </c>
      <c r="B3608" s="2" t="inlineStr">
        <is>
          <t>3310BX0012</t>
        </is>
      </c>
      <c r="C3608" s="2" t="inlineStr">
        <is>
          <t>Cajón pre carga BX0012</t>
        </is>
      </c>
      <c r="D3608" s="2" t="n">
        <v>1203</v>
      </c>
      <c r="E3608" s="2" t="inlineStr">
        <is>
          <t>CC-3000</t>
        </is>
      </c>
      <c r="F3608" s="2" t="inlineStr">
        <is>
          <t>P01</t>
        </is>
      </c>
      <c r="G3608" s="2" t="n">
        <v>610000</v>
      </c>
      <c r="H3608" s="2" t="inlineStr">
        <is>
          <t>Mano obra interna</t>
        </is>
      </c>
      <c r="I3608" s="9" t="n">
        <v>199.22</v>
      </c>
      <c r="J3608" s="9" t="n">
        <v>204.92</v>
      </c>
      <c r="K3608" s="9" t="n">
        <v>223.6</v>
      </c>
      <c r="L3608" s="9" t="n">
        <v>220.04</v>
      </c>
      <c r="M3608" s="9" t="n">
        <v>197.59</v>
      </c>
      <c r="N3608" s="9" t="n">
        <v>209.63</v>
      </c>
      <c r="O3608" s="9" t="n">
        <v>194.57</v>
      </c>
      <c r="P3608" s="9" t="n">
        <v>194.62</v>
      </c>
      <c r="Q3608" s="9" t="n">
        <v>204.03</v>
      </c>
      <c r="R3608" s="9" t="n">
        <v>214.71</v>
      </c>
      <c r="S3608" s="9" t="n">
        <v>207.64</v>
      </c>
      <c r="T3608" s="9" t="n">
        <v>194.12</v>
      </c>
      <c r="U3608" s="10">
        <f>SUM(I3608:T3608)</f>
        <v/>
      </c>
    </row>
    <row r="3609">
      <c r="A3609" s="2" t="inlineStr">
        <is>
          <t>SN-3000-3300-3310-3310BX0012</t>
        </is>
      </c>
      <c r="B3609" s="2" t="inlineStr">
        <is>
          <t>3310BX0012</t>
        </is>
      </c>
      <c r="C3609" s="2" t="inlineStr">
        <is>
          <t>Cajón pre carga BX0012</t>
        </is>
      </c>
      <c r="D3609" s="2" t="n">
        <v>1203</v>
      </c>
      <c r="E3609" s="2" t="inlineStr">
        <is>
          <t>CC-3000</t>
        </is>
      </c>
      <c r="F3609" s="2" t="inlineStr">
        <is>
          <t>P01</t>
        </is>
      </c>
      <c r="G3609" s="2" t="n">
        <v>620000</v>
      </c>
      <c r="H3609" s="2" t="inlineStr">
        <is>
          <t>Materiales</t>
        </is>
      </c>
      <c r="I3609" s="9" t="n">
        <v>202.06</v>
      </c>
      <c r="J3609" s="9" t="n">
        <v>181.85</v>
      </c>
      <c r="K3609" s="9" t="n">
        <v>185.54</v>
      </c>
      <c r="L3609" s="9" t="n">
        <v>197.77</v>
      </c>
      <c r="M3609" s="9" t="n">
        <v>187.3</v>
      </c>
      <c r="N3609" s="9" t="n">
        <v>194.98</v>
      </c>
      <c r="O3609" s="9" t="n">
        <v>204.55</v>
      </c>
      <c r="P3609" s="9" t="n">
        <v>197.95</v>
      </c>
      <c r="Q3609" s="9" t="n">
        <v>175.09</v>
      </c>
      <c r="R3609" s="9" t="n">
        <v>208.5</v>
      </c>
      <c r="S3609" s="9" t="n">
        <v>194.41</v>
      </c>
      <c r="T3609" s="9" t="n">
        <v>183.82</v>
      </c>
      <c r="U3609" s="10">
        <f>SUM(I3609:T3609)</f>
        <v/>
      </c>
    </row>
    <row r="3610">
      <c r="A3610" s="2" t="inlineStr">
        <is>
          <t>SN-3000-3300-3310-3310BX0012</t>
        </is>
      </c>
      <c r="B3610" s="2" t="inlineStr">
        <is>
          <t>3310BX0012</t>
        </is>
      </c>
      <c r="C3610" s="2" t="inlineStr">
        <is>
          <t>Cajón pre carga BX0012</t>
        </is>
      </c>
      <c r="D3610" s="2" t="n">
        <v>1203</v>
      </c>
      <c r="E3610" s="2" t="inlineStr">
        <is>
          <t>CC-3000</t>
        </is>
      </c>
      <c r="F3610" s="2" t="inlineStr">
        <is>
          <t>P01</t>
        </is>
      </c>
      <c r="G3610" s="2" t="n">
        <v>630000</v>
      </c>
      <c r="H3610" s="2" t="inlineStr">
        <is>
          <t>Servicios externos</t>
        </is>
      </c>
      <c r="I3610" s="9" t="n">
        <v>222.45</v>
      </c>
      <c r="J3610" s="9" t="n">
        <v>201.01</v>
      </c>
      <c r="K3610" s="9" t="n">
        <v>218.04</v>
      </c>
      <c r="L3610" s="9" t="n">
        <v>198.11</v>
      </c>
      <c r="M3610" s="9" t="n">
        <v>214.17</v>
      </c>
      <c r="N3610" s="9" t="n">
        <v>185.45</v>
      </c>
      <c r="O3610" s="9" t="n">
        <v>219.3</v>
      </c>
      <c r="P3610" s="9" t="n">
        <v>194.03</v>
      </c>
      <c r="Q3610" s="9" t="n">
        <v>204.96</v>
      </c>
      <c r="R3610" s="9" t="n">
        <v>218.6</v>
      </c>
      <c r="S3610" s="9" t="n">
        <v>204.6</v>
      </c>
      <c r="T3610" s="9" t="n">
        <v>221.96</v>
      </c>
      <c r="U3610" s="10">
        <f>SUM(I3610:T3610)</f>
        <v/>
      </c>
    </row>
    <row r="3611">
      <c r="A3611" s="2" t="inlineStr">
        <is>
          <t>SN-3000-3300-3310-3310BX0013</t>
        </is>
      </c>
      <c r="B3611" s="2" t="inlineStr">
        <is>
          <t>3310BX0013</t>
        </is>
      </c>
      <c r="C3611" s="2" t="inlineStr">
        <is>
          <t>Cajón pre carga BX0013</t>
        </is>
      </c>
      <c r="D3611" s="2" t="n">
        <v>1204</v>
      </c>
      <c r="E3611" s="2" t="inlineStr">
        <is>
          <t>CC-3000</t>
        </is>
      </c>
      <c r="F3611" s="2" t="inlineStr">
        <is>
          <t>P01</t>
        </is>
      </c>
      <c r="G3611" s="2" t="n">
        <v>610000</v>
      </c>
      <c r="H3611" s="2" t="inlineStr">
        <is>
          <t>Mano obra interna</t>
        </is>
      </c>
      <c r="I3611" s="9" t="n">
        <v>431.24</v>
      </c>
      <c r="J3611" s="9" t="n">
        <v>460.48</v>
      </c>
      <c r="K3611" s="9" t="n">
        <v>444.67</v>
      </c>
      <c r="L3611" s="9" t="n">
        <v>463.37</v>
      </c>
      <c r="M3611" s="9" t="n">
        <v>409.33</v>
      </c>
      <c r="N3611" s="9" t="n">
        <v>431.58</v>
      </c>
      <c r="O3611" s="9" t="n">
        <v>409.1</v>
      </c>
      <c r="P3611" s="9" t="n">
        <v>453.81</v>
      </c>
      <c r="Q3611" s="9" t="n">
        <v>397.03</v>
      </c>
      <c r="R3611" s="9" t="n">
        <v>470.72</v>
      </c>
      <c r="S3611" s="9" t="n">
        <v>402.18</v>
      </c>
      <c r="T3611" s="9" t="n">
        <v>454.51</v>
      </c>
      <c r="U3611" s="10">
        <f>SUM(I3611:T3611)</f>
        <v/>
      </c>
    </row>
    <row r="3612">
      <c r="A3612" s="2" t="inlineStr">
        <is>
          <t>SN-3000-3300-3310-3310BX0013</t>
        </is>
      </c>
      <c r="B3612" s="2" t="inlineStr">
        <is>
          <t>3310BX0013</t>
        </is>
      </c>
      <c r="C3612" s="2" t="inlineStr">
        <is>
          <t>Cajón pre carga BX0013</t>
        </is>
      </c>
      <c r="D3612" s="2" t="n">
        <v>1204</v>
      </c>
      <c r="E3612" s="2" t="inlineStr">
        <is>
          <t>CC-3000</t>
        </is>
      </c>
      <c r="F3612" s="2" t="inlineStr">
        <is>
          <t>P01</t>
        </is>
      </c>
      <c r="G3612" s="2" t="n">
        <v>620000</v>
      </c>
      <c r="H3612" s="2" t="inlineStr">
        <is>
          <t>Materiales</t>
        </is>
      </c>
      <c r="I3612" s="9" t="n">
        <v>475.75</v>
      </c>
      <c r="J3612" s="9" t="n">
        <v>479.1</v>
      </c>
      <c r="K3612" s="9" t="n">
        <v>464.75</v>
      </c>
      <c r="L3612" s="9" t="n">
        <v>512.7</v>
      </c>
      <c r="M3612" s="9" t="n">
        <v>487.98</v>
      </c>
      <c r="N3612" s="9" t="n">
        <v>459.68</v>
      </c>
      <c r="O3612" s="9" t="n">
        <v>446.86</v>
      </c>
      <c r="P3612" s="9" t="n">
        <v>488.75</v>
      </c>
      <c r="Q3612" s="9" t="n">
        <v>407.99</v>
      </c>
      <c r="R3612" s="9" t="n">
        <v>537.09</v>
      </c>
      <c r="S3612" s="9" t="n">
        <v>445.3</v>
      </c>
      <c r="T3612" s="9" t="n">
        <v>452.43</v>
      </c>
      <c r="U3612" s="10">
        <f>SUM(I3612:T3612)</f>
        <v/>
      </c>
    </row>
    <row r="3613">
      <c r="A3613" s="2" t="inlineStr">
        <is>
          <t>SN-3000-3300-3310-3310BX0013</t>
        </is>
      </c>
      <c r="B3613" s="2" t="inlineStr">
        <is>
          <t>3310BX0013</t>
        </is>
      </c>
      <c r="C3613" s="2" t="inlineStr">
        <is>
          <t>Cajón pre carga BX0013</t>
        </is>
      </c>
      <c r="D3613" s="2" t="n">
        <v>1204</v>
      </c>
      <c r="E3613" s="2" t="inlineStr">
        <is>
          <t>CC-3000</t>
        </is>
      </c>
      <c r="F3613" s="2" t="inlineStr">
        <is>
          <t>P01</t>
        </is>
      </c>
      <c r="G3613" s="2" t="n">
        <v>630000</v>
      </c>
      <c r="H3613" s="2" t="inlineStr">
        <is>
          <t>Servicios externos</t>
        </is>
      </c>
      <c r="I3613" s="9" t="n">
        <v>481.91</v>
      </c>
      <c r="J3613" s="9" t="n">
        <v>451.81</v>
      </c>
      <c r="K3613" s="9" t="n">
        <v>434.39</v>
      </c>
      <c r="L3613" s="9" t="n">
        <v>482.5</v>
      </c>
      <c r="M3613" s="9" t="n">
        <v>409.91</v>
      </c>
      <c r="N3613" s="9" t="n">
        <v>435.89</v>
      </c>
      <c r="O3613" s="9" t="n">
        <v>450.73</v>
      </c>
      <c r="P3613" s="9" t="n">
        <v>461.76</v>
      </c>
      <c r="Q3613" s="9" t="n">
        <v>401.38</v>
      </c>
      <c r="R3613" s="9" t="n">
        <v>466.53</v>
      </c>
      <c r="S3613" s="9" t="n">
        <v>433.95</v>
      </c>
      <c r="T3613" s="9" t="n">
        <v>438.76</v>
      </c>
      <c r="U3613" s="10">
        <f>SUM(I3613:T3613)</f>
        <v/>
      </c>
    </row>
    <row r="3614">
      <c r="A3614" s="2" t="inlineStr">
        <is>
          <t>SN-3000-3300-3320-3320HT0052</t>
        </is>
      </c>
      <c r="B3614" s="2" t="inlineStr">
        <is>
          <t>3320HT0052</t>
        </is>
      </c>
      <c r="C3614" s="2" t="inlineStr">
        <is>
          <t>Tecle manual HT0052</t>
        </is>
      </c>
      <c r="D3614" s="2" t="n">
        <v>1205</v>
      </c>
      <c r="E3614" s="2" t="inlineStr">
        <is>
          <t>CC-3000</t>
        </is>
      </c>
      <c r="F3614" s="2" t="inlineStr">
        <is>
          <t>P01</t>
        </is>
      </c>
      <c r="G3614" s="2" t="n">
        <v>610000</v>
      </c>
      <c r="H3614" s="2" t="inlineStr">
        <is>
          <t>Mano obra interna</t>
        </is>
      </c>
      <c r="I3614" s="9" t="n">
        <v>1117.99</v>
      </c>
      <c r="J3614" s="9" t="n">
        <v>1063.8</v>
      </c>
      <c r="K3614" s="9" t="n">
        <v>1076.45</v>
      </c>
      <c r="L3614" s="9" t="n">
        <v>1045.56</v>
      </c>
      <c r="M3614" s="9" t="n">
        <v>1015.42</v>
      </c>
      <c r="N3614" s="9" t="n">
        <v>1048.87</v>
      </c>
      <c r="O3614" s="9" t="n">
        <v>1095.56</v>
      </c>
      <c r="P3614" s="9" t="n">
        <v>1109.4</v>
      </c>
      <c r="Q3614" s="9" t="n">
        <v>1024.56</v>
      </c>
      <c r="R3614" s="9" t="n">
        <v>1186.19</v>
      </c>
      <c r="S3614" s="9" t="n">
        <v>981.98</v>
      </c>
      <c r="T3614" s="9" t="n">
        <v>1003.68</v>
      </c>
      <c r="U3614" s="10">
        <f>SUM(I3614:T3614)</f>
        <v/>
      </c>
    </row>
    <row r="3615">
      <c r="A3615" s="2" t="inlineStr">
        <is>
          <t>SN-3000-3300-3320-3320HT0052</t>
        </is>
      </c>
      <c r="B3615" s="2" t="inlineStr">
        <is>
          <t>3320HT0052</t>
        </is>
      </c>
      <c r="C3615" s="2" t="inlineStr">
        <is>
          <t>Tecle manual HT0052</t>
        </is>
      </c>
      <c r="D3615" s="2" t="n">
        <v>1205</v>
      </c>
      <c r="E3615" s="2" t="inlineStr">
        <is>
          <t>CC-3000</t>
        </is>
      </c>
      <c r="F3615" s="2" t="inlineStr">
        <is>
          <t>P01</t>
        </is>
      </c>
      <c r="G3615" s="2" t="n">
        <v>620000</v>
      </c>
      <c r="H3615" s="2" t="inlineStr">
        <is>
          <t>Materiales</t>
        </is>
      </c>
      <c r="I3615" s="9" t="n">
        <v>1226.7</v>
      </c>
      <c r="J3615" s="9" t="n">
        <v>1362.23</v>
      </c>
      <c r="K3615" s="9" t="n">
        <v>1404.25</v>
      </c>
      <c r="L3615" s="9" t="n">
        <v>1319.45</v>
      </c>
      <c r="M3615" s="9" t="n">
        <v>1240.78</v>
      </c>
      <c r="N3615" s="9" t="n">
        <v>1232.97</v>
      </c>
      <c r="O3615" s="9" t="n">
        <v>1332.86</v>
      </c>
      <c r="P3615" s="9" t="n">
        <v>1335.78</v>
      </c>
      <c r="Q3615" s="9" t="n">
        <v>1113.81</v>
      </c>
      <c r="R3615" s="9" t="n">
        <v>1452.37</v>
      </c>
      <c r="S3615" s="9" t="n">
        <v>1271.25</v>
      </c>
      <c r="T3615" s="9" t="n">
        <v>1207.39</v>
      </c>
      <c r="U3615" s="10">
        <f>SUM(I3615:T3615)</f>
        <v/>
      </c>
    </row>
    <row r="3616">
      <c r="A3616" s="2" t="inlineStr">
        <is>
          <t>SN-3000-3300-3320-3320HT0052</t>
        </is>
      </c>
      <c r="B3616" s="2" t="inlineStr">
        <is>
          <t>3320HT0052</t>
        </is>
      </c>
      <c r="C3616" s="2" t="inlineStr">
        <is>
          <t>Tecle manual HT0052</t>
        </is>
      </c>
      <c r="D3616" s="2" t="n">
        <v>1205</v>
      </c>
      <c r="E3616" s="2" t="inlineStr">
        <is>
          <t>CC-3000</t>
        </is>
      </c>
      <c r="F3616" s="2" t="inlineStr">
        <is>
          <t>P01</t>
        </is>
      </c>
      <c r="G3616" s="2" t="n">
        <v>630000</v>
      </c>
      <c r="H3616" s="2" t="inlineStr">
        <is>
          <t>Servicios externos</t>
        </is>
      </c>
      <c r="I3616" s="9" t="n">
        <v>1167.67</v>
      </c>
      <c r="J3616" s="9" t="n">
        <v>1068.54</v>
      </c>
      <c r="K3616" s="9" t="n">
        <v>1113.04</v>
      </c>
      <c r="L3616" s="9" t="n">
        <v>1076.36</v>
      </c>
      <c r="M3616" s="9" t="n">
        <v>1204.49</v>
      </c>
      <c r="N3616" s="9" t="n">
        <v>1014.18</v>
      </c>
      <c r="O3616" s="9" t="n">
        <v>1117.91</v>
      </c>
      <c r="P3616" s="9" t="n">
        <v>1087.32</v>
      </c>
      <c r="Q3616" s="9" t="n">
        <v>1103.95</v>
      </c>
      <c r="R3616" s="9" t="n">
        <v>1272.26</v>
      </c>
      <c r="S3616" s="9" t="n">
        <v>1159.58</v>
      </c>
      <c r="T3616" s="9" t="n">
        <v>1180.5</v>
      </c>
      <c r="U3616" s="10">
        <f>SUM(I3616:T3616)</f>
        <v/>
      </c>
    </row>
    <row r="3617">
      <c r="A3617" s="2" t="inlineStr">
        <is>
          <t>SN-3000-3300-3320-3320PU0107</t>
        </is>
      </c>
      <c r="B3617" s="2" t="inlineStr">
        <is>
          <t>3320PU0107</t>
        </is>
      </c>
      <c r="C3617" s="2" t="inlineStr">
        <is>
          <t>Bomba centrífuga carbón PU0107</t>
        </is>
      </c>
      <c r="D3617" s="2" t="n">
        <v>1206</v>
      </c>
      <c r="E3617" s="2" t="inlineStr">
        <is>
          <t>CC-3000</t>
        </is>
      </c>
      <c r="F3617" s="2" t="inlineStr">
        <is>
          <t>P01</t>
        </is>
      </c>
      <c r="G3617" s="2" t="n">
        <v>610000</v>
      </c>
      <c r="H3617" s="2" t="inlineStr">
        <is>
          <t>Mano obra interna</t>
        </is>
      </c>
      <c r="I3617" s="9" t="n">
        <v>1879.18</v>
      </c>
      <c r="J3617" s="9" t="n">
        <v>1880.43</v>
      </c>
      <c r="K3617" s="9" t="n">
        <v>1809.02</v>
      </c>
      <c r="L3617" s="9" t="n">
        <v>1966.15</v>
      </c>
      <c r="M3617" s="9" t="n">
        <v>1732.05</v>
      </c>
      <c r="N3617" s="9" t="n">
        <v>1889.88</v>
      </c>
      <c r="O3617" s="9" t="n">
        <v>1871.12</v>
      </c>
      <c r="P3617" s="9" t="n">
        <v>1876.25</v>
      </c>
      <c r="Q3617" s="9" t="n">
        <v>1763.03</v>
      </c>
      <c r="R3617" s="9" t="n">
        <v>2104.12</v>
      </c>
      <c r="S3617" s="9" t="n">
        <v>1802.67</v>
      </c>
      <c r="T3617" s="9" t="n">
        <v>1874.35</v>
      </c>
      <c r="U3617" s="10">
        <f>SUM(I3617:T3617)</f>
        <v/>
      </c>
    </row>
    <row r="3618">
      <c r="A3618" s="2" t="inlineStr">
        <is>
          <t>SN-3000-3300-3320-3320PU0107</t>
        </is>
      </c>
      <c r="B3618" s="2" t="inlineStr">
        <is>
          <t>3320PU0107</t>
        </is>
      </c>
      <c r="C3618" s="2" t="inlineStr">
        <is>
          <t>Bomba centrífuga carbón PU0107</t>
        </is>
      </c>
      <c r="D3618" s="2" t="n">
        <v>1206</v>
      </c>
      <c r="E3618" s="2" t="inlineStr">
        <is>
          <t>CC-3000</t>
        </is>
      </c>
      <c r="F3618" s="2" t="inlineStr">
        <is>
          <t>P01</t>
        </is>
      </c>
      <c r="G3618" s="2" t="n">
        <v>620000</v>
      </c>
      <c r="H3618" s="2" t="inlineStr">
        <is>
          <t>Materiales</t>
        </is>
      </c>
      <c r="I3618" s="9" t="n">
        <v>1607.29</v>
      </c>
      <c r="J3618" s="9" t="n">
        <v>1567.07</v>
      </c>
      <c r="K3618" s="9" t="n">
        <v>1589.05</v>
      </c>
      <c r="L3618" s="9" t="n">
        <v>1812.14</v>
      </c>
      <c r="M3618" s="9" t="n">
        <v>1727.02</v>
      </c>
      <c r="N3618" s="9" t="n">
        <v>1528.51</v>
      </c>
      <c r="O3618" s="9" t="n">
        <v>1541.51</v>
      </c>
      <c r="P3618" s="9" t="n">
        <v>1670.74</v>
      </c>
      <c r="Q3618" s="9" t="n">
        <v>1536.58</v>
      </c>
      <c r="R3618" s="9" t="n">
        <v>1885.12</v>
      </c>
      <c r="S3618" s="9" t="n">
        <v>1595.46</v>
      </c>
      <c r="T3618" s="9" t="n">
        <v>1797.94</v>
      </c>
      <c r="U3618" s="10">
        <f>SUM(I3618:T3618)</f>
        <v/>
      </c>
    </row>
    <row r="3619">
      <c r="A3619" s="2" t="inlineStr">
        <is>
          <t>SN-3000-3300-3320-3320PU0107</t>
        </is>
      </c>
      <c r="B3619" s="2" t="inlineStr">
        <is>
          <t>3320PU0107</t>
        </is>
      </c>
      <c r="C3619" s="2" t="inlineStr">
        <is>
          <t>Bomba centrífuga carbón PU0107</t>
        </is>
      </c>
      <c r="D3619" s="2" t="n">
        <v>1206</v>
      </c>
      <c r="E3619" s="2" t="inlineStr">
        <is>
          <t>CC-3000</t>
        </is>
      </c>
      <c r="F3619" s="2" t="inlineStr">
        <is>
          <t>P01</t>
        </is>
      </c>
      <c r="G3619" s="2" t="n">
        <v>630000</v>
      </c>
      <c r="H3619" s="2" t="inlineStr">
        <is>
          <t>Servicios externos</t>
        </is>
      </c>
      <c r="I3619" s="9" t="n">
        <v>1535.21</v>
      </c>
      <c r="J3619" s="9" t="n">
        <v>1618.66</v>
      </c>
      <c r="K3619" s="9" t="n">
        <v>1461.61</v>
      </c>
      <c r="L3619" s="9" t="n">
        <v>1543.28</v>
      </c>
      <c r="M3619" s="9" t="n">
        <v>1462.47</v>
      </c>
      <c r="N3619" s="9" t="n">
        <v>1476.82</v>
      </c>
      <c r="O3619" s="9" t="n">
        <v>1483.11</v>
      </c>
      <c r="P3619" s="9" t="n">
        <v>1626.58</v>
      </c>
      <c r="Q3619" s="9" t="n">
        <v>1530.67</v>
      </c>
      <c r="R3619" s="9" t="n">
        <v>1749.95</v>
      </c>
      <c r="S3619" s="9" t="n">
        <v>1463.62</v>
      </c>
      <c r="T3619" s="9" t="n">
        <v>1681.92</v>
      </c>
      <c r="U3619" s="10">
        <f>SUM(I3619:T3619)</f>
        <v/>
      </c>
    </row>
    <row r="3620">
      <c r="A3620" s="2" t="inlineStr">
        <is>
          <t>SN-3000-3300-3320-3320PU0108</t>
        </is>
      </c>
      <c r="B3620" s="2" t="inlineStr">
        <is>
          <t>3320PU0108</t>
        </is>
      </c>
      <c r="C3620" s="2" t="inlineStr">
        <is>
          <t>Bomba centrífuga carbón PU0108</t>
        </is>
      </c>
      <c r="D3620" s="2" t="n">
        <v>1207</v>
      </c>
      <c r="E3620" s="2" t="inlineStr">
        <is>
          <t>CC-3000</t>
        </is>
      </c>
      <c r="F3620" s="2" t="inlineStr">
        <is>
          <t>P01</t>
        </is>
      </c>
      <c r="G3620" s="2" t="n">
        <v>610000</v>
      </c>
      <c r="H3620" s="2" t="inlineStr">
        <is>
          <t>Mano obra interna</t>
        </is>
      </c>
      <c r="I3620" s="9" t="n">
        <v>2571.99</v>
      </c>
      <c r="J3620" s="9" t="n">
        <v>2374.88</v>
      </c>
      <c r="K3620" s="9" t="n">
        <v>2731.77</v>
      </c>
      <c r="L3620" s="9" t="n">
        <v>2732.31</v>
      </c>
      <c r="M3620" s="9" t="n">
        <v>2398.2</v>
      </c>
      <c r="N3620" s="9" t="n">
        <v>2485.37</v>
      </c>
      <c r="O3620" s="9" t="n">
        <v>2781.31</v>
      </c>
      <c r="P3620" s="9" t="n">
        <v>2505.48</v>
      </c>
      <c r="Q3620" s="9" t="n">
        <v>2324.68</v>
      </c>
      <c r="R3620" s="9" t="n">
        <v>2960.79</v>
      </c>
      <c r="S3620" s="9" t="n">
        <v>2343.86</v>
      </c>
      <c r="T3620" s="9" t="n">
        <v>2798.9</v>
      </c>
      <c r="U3620" s="10">
        <f>SUM(I3620:T3620)</f>
        <v/>
      </c>
    </row>
    <row r="3621">
      <c r="A3621" s="2" t="inlineStr">
        <is>
          <t>SN-3000-3300-3320-3320PU0108</t>
        </is>
      </c>
      <c r="B3621" s="2" t="inlineStr">
        <is>
          <t>3320PU0108</t>
        </is>
      </c>
      <c r="C3621" s="2" t="inlineStr">
        <is>
          <t>Bomba centrífuga carbón PU0108</t>
        </is>
      </c>
      <c r="D3621" s="2" t="n">
        <v>1207</v>
      </c>
      <c r="E3621" s="2" t="inlineStr">
        <is>
          <t>CC-3000</t>
        </is>
      </c>
      <c r="F3621" s="2" t="inlineStr">
        <is>
          <t>P01</t>
        </is>
      </c>
      <c r="G3621" s="2" t="n">
        <v>620000</v>
      </c>
      <c r="H3621" s="2" t="inlineStr">
        <is>
          <t>Materiales</t>
        </is>
      </c>
      <c r="I3621" s="9" t="n">
        <v>2525.1</v>
      </c>
      <c r="J3621" s="9" t="n">
        <v>2314.18</v>
      </c>
      <c r="K3621" s="9" t="n">
        <v>2397.36</v>
      </c>
      <c r="L3621" s="9" t="n">
        <v>2521.88</v>
      </c>
      <c r="M3621" s="9" t="n">
        <v>2573.32</v>
      </c>
      <c r="N3621" s="9" t="n">
        <v>2402.1</v>
      </c>
      <c r="O3621" s="9" t="n">
        <v>2614.82</v>
      </c>
      <c r="P3621" s="9" t="n">
        <v>2584.28</v>
      </c>
      <c r="Q3621" s="9" t="n">
        <v>2370.82</v>
      </c>
      <c r="R3621" s="9" t="n">
        <v>2918.02</v>
      </c>
      <c r="S3621" s="9" t="n">
        <v>2526.16</v>
      </c>
      <c r="T3621" s="9" t="n">
        <v>2724.37</v>
      </c>
      <c r="U3621" s="10">
        <f>SUM(I3621:T3621)</f>
        <v/>
      </c>
    </row>
    <row r="3622">
      <c r="A3622" s="2" t="inlineStr">
        <is>
          <t>SN-3000-3300-3320-3320PU0108</t>
        </is>
      </c>
      <c r="B3622" s="2" t="inlineStr">
        <is>
          <t>3320PU0108</t>
        </is>
      </c>
      <c r="C3622" s="2" t="inlineStr">
        <is>
          <t>Bomba centrífuga carbón PU0108</t>
        </is>
      </c>
      <c r="D3622" s="2" t="n">
        <v>1207</v>
      </c>
      <c r="E3622" s="2" t="inlineStr">
        <is>
          <t>CC-3000</t>
        </is>
      </c>
      <c r="F3622" s="2" t="inlineStr">
        <is>
          <t>P01</t>
        </is>
      </c>
      <c r="G3622" s="2" t="n">
        <v>630000</v>
      </c>
      <c r="H3622" s="2" t="inlineStr">
        <is>
          <t>Servicios externos</t>
        </is>
      </c>
      <c r="I3622" s="9" t="n">
        <v>2290.21</v>
      </c>
      <c r="J3622" s="9" t="n">
        <v>2169.88</v>
      </c>
      <c r="K3622" s="9" t="n">
        <v>2389.86</v>
      </c>
      <c r="L3622" s="9" t="n">
        <v>2220.82</v>
      </c>
      <c r="M3622" s="9" t="n">
        <v>2071.16</v>
      </c>
      <c r="N3622" s="9" t="n">
        <v>2035.78</v>
      </c>
      <c r="O3622" s="9" t="n">
        <v>2072.64</v>
      </c>
      <c r="P3622" s="9" t="n">
        <v>2070.55</v>
      </c>
      <c r="Q3622" s="9" t="n">
        <v>2009.79</v>
      </c>
      <c r="R3622" s="9" t="n">
        <v>2486.36</v>
      </c>
      <c r="S3622" s="9" t="n">
        <v>1996.48</v>
      </c>
      <c r="T3622" s="9" t="n">
        <v>2126.78</v>
      </c>
      <c r="U3622" s="10">
        <f>SUM(I3622:T3622)</f>
        <v/>
      </c>
    </row>
    <row r="3623">
      <c r="A3623" s="2" t="inlineStr">
        <is>
          <t>SN-3000-3300-3320-3320PU0109</t>
        </is>
      </c>
      <c r="B3623" s="2" t="inlineStr">
        <is>
          <t>3320PU0109</t>
        </is>
      </c>
      <c r="C3623" s="2" t="inlineStr">
        <is>
          <t>Bomba centrífuga carbón PU0109</t>
        </is>
      </c>
      <c r="D3623" s="2" t="n">
        <v>1208</v>
      </c>
      <c r="E3623" s="2" t="inlineStr">
        <is>
          <t>CC-3000</t>
        </is>
      </c>
      <c r="F3623" s="2" t="inlineStr">
        <is>
          <t>P01</t>
        </is>
      </c>
      <c r="G3623" s="2" t="n">
        <v>610000</v>
      </c>
      <c r="H3623" s="2" t="inlineStr">
        <is>
          <t>Mano obra interna</t>
        </is>
      </c>
      <c r="I3623" s="9" t="n">
        <v>2193.9</v>
      </c>
      <c r="J3623" s="9" t="n">
        <v>2333.16</v>
      </c>
      <c r="K3623" s="9" t="n">
        <v>2191.49</v>
      </c>
      <c r="L3623" s="9" t="n">
        <v>2233.59</v>
      </c>
      <c r="M3623" s="9" t="n">
        <v>2041.77</v>
      </c>
      <c r="N3623" s="9" t="n">
        <v>2275</v>
      </c>
      <c r="O3623" s="9" t="n">
        <v>2344.59</v>
      </c>
      <c r="P3623" s="9" t="n">
        <v>2316.18</v>
      </c>
      <c r="Q3623" s="9" t="n">
        <v>1940.78</v>
      </c>
      <c r="R3623" s="9" t="n">
        <v>2557.47</v>
      </c>
      <c r="S3623" s="9" t="n">
        <v>2282.01</v>
      </c>
      <c r="T3623" s="9" t="n">
        <v>2215.55</v>
      </c>
      <c r="U3623" s="10">
        <f>SUM(I3623:T3623)</f>
        <v/>
      </c>
    </row>
    <row r="3624">
      <c r="A3624" s="2" t="inlineStr">
        <is>
          <t>SN-3000-3300-3320-3320PU0109</t>
        </is>
      </c>
      <c r="B3624" s="2" t="inlineStr">
        <is>
          <t>3320PU0109</t>
        </is>
      </c>
      <c r="C3624" s="2" t="inlineStr">
        <is>
          <t>Bomba centrífuga carbón PU0109</t>
        </is>
      </c>
      <c r="D3624" s="2" t="n">
        <v>1208</v>
      </c>
      <c r="E3624" s="2" t="inlineStr">
        <is>
          <t>CC-3000</t>
        </is>
      </c>
      <c r="F3624" s="2" t="inlineStr">
        <is>
          <t>P01</t>
        </is>
      </c>
      <c r="G3624" s="2" t="n">
        <v>620000</v>
      </c>
      <c r="H3624" s="2" t="inlineStr">
        <is>
          <t>Materiales</t>
        </is>
      </c>
      <c r="I3624" s="9" t="n">
        <v>2284.58</v>
      </c>
      <c r="J3624" s="9" t="n">
        <v>2013.56</v>
      </c>
      <c r="K3624" s="9" t="n">
        <v>2007.61</v>
      </c>
      <c r="L3624" s="9" t="n">
        <v>2244.97</v>
      </c>
      <c r="M3624" s="9" t="n">
        <v>2045.29</v>
      </c>
      <c r="N3624" s="9" t="n">
        <v>2137.87</v>
      </c>
      <c r="O3624" s="9" t="n">
        <v>2092.31</v>
      </c>
      <c r="P3624" s="9" t="n">
        <v>1916.86</v>
      </c>
      <c r="Q3624" s="9" t="n">
        <v>1928.52</v>
      </c>
      <c r="R3624" s="9" t="n">
        <v>2315.22</v>
      </c>
      <c r="S3624" s="9" t="n">
        <v>1855.93</v>
      </c>
      <c r="T3624" s="9" t="n">
        <v>2076.12</v>
      </c>
      <c r="U3624" s="10">
        <f>SUM(I3624:T3624)</f>
        <v/>
      </c>
    </row>
    <row r="3625">
      <c r="A3625" s="2" t="inlineStr">
        <is>
          <t>SN-3000-3300-3320-3320PU0109</t>
        </is>
      </c>
      <c r="B3625" s="2" t="inlineStr">
        <is>
          <t>3320PU0109</t>
        </is>
      </c>
      <c r="C3625" s="2" t="inlineStr">
        <is>
          <t>Bomba centrífuga carbón PU0109</t>
        </is>
      </c>
      <c r="D3625" s="2" t="n">
        <v>1208</v>
      </c>
      <c r="E3625" s="2" t="inlineStr">
        <is>
          <t>CC-3000</t>
        </is>
      </c>
      <c r="F3625" s="2" t="inlineStr">
        <is>
          <t>P01</t>
        </is>
      </c>
      <c r="G3625" s="2" t="n">
        <v>630000</v>
      </c>
      <c r="H3625" s="2" t="inlineStr">
        <is>
          <t>Servicios externos</t>
        </is>
      </c>
      <c r="I3625" s="9" t="n">
        <v>1785.01</v>
      </c>
      <c r="J3625" s="9" t="n">
        <v>1806.73</v>
      </c>
      <c r="K3625" s="9" t="n">
        <v>1798.66</v>
      </c>
      <c r="L3625" s="9" t="n">
        <v>1801.58</v>
      </c>
      <c r="M3625" s="9" t="n">
        <v>1663.74</v>
      </c>
      <c r="N3625" s="9" t="n">
        <v>1650.83</v>
      </c>
      <c r="O3625" s="9" t="n">
        <v>1722.19</v>
      </c>
      <c r="P3625" s="9" t="n">
        <v>1779.09</v>
      </c>
      <c r="Q3625" s="9" t="n">
        <v>1682.13</v>
      </c>
      <c r="R3625" s="9" t="n">
        <v>1891.53</v>
      </c>
      <c r="S3625" s="9" t="n">
        <v>1781.87</v>
      </c>
      <c r="T3625" s="9" t="n">
        <v>1825.92</v>
      </c>
      <c r="U3625" s="10">
        <f>SUM(I3625:T3625)</f>
        <v/>
      </c>
    </row>
    <row r="3626">
      <c r="A3626" s="2" t="inlineStr">
        <is>
          <t>SN-3000-3300-3320-3320PU0110</t>
        </is>
      </c>
      <c r="B3626" s="2" t="inlineStr">
        <is>
          <t>3320PU0110</t>
        </is>
      </c>
      <c r="C3626" s="2" t="inlineStr">
        <is>
          <t>Bomba centrífuga carbón PU0110</t>
        </is>
      </c>
      <c r="D3626" s="2" t="n">
        <v>1209</v>
      </c>
      <c r="E3626" s="2" t="inlineStr">
        <is>
          <t>CC-3000</t>
        </is>
      </c>
      <c r="F3626" s="2" t="inlineStr">
        <is>
          <t>P01</t>
        </is>
      </c>
      <c r="G3626" s="2" t="n">
        <v>610000</v>
      </c>
      <c r="H3626" s="2" t="inlineStr">
        <is>
          <t>Mano obra interna</t>
        </is>
      </c>
      <c r="I3626" s="9" t="n">
        <v>2481.99</v>
      </c>
      <c r="J3626" s="9" t="n">
        <v>2545.94</v>
      </c>
      <c r="K3626" s="9" t="n">
        <v>2683.19</v>
      </c>
      <c r="L3626" s="9" t="n">
        <v>2434.37</v>
      </c>
      <c r="M3626" s="9" t="n">
        <v>2490.08</v>
      </c>
      <c r="N3626" s="9" t="n">
        <v>2288.49</v>
      </c>
      <c r="O3626" s="9" t="n">
        <v>2283.22</v>
      </c>
      <c r="P3626" s="9" t="n">
        <v>2575.92</v>
      </c>
      <c r="Q3626" s="9" t="n">
        <v>2416.78</v>
      </c>
      <c r="R3626" s="9" t="n">
        <v>2620.85</v>
      </c>
      <c r="S3626" s="9" t="n">
        <v>2169.67</v>
      </c>
      <c r="T3626" s="9" t="n">
        <v>2589.08</v>
      </c>
      <c r="U3626" s="10">
        <f>SUM(I3626:T3626)</f>
        <v/>
      </c>
    </row>
    <row r="3627">
      <c r="A3627" s="2" t="inlineStr">
        <is>
          <t>SN-3000-3300-3320-3320PU0110</t>
        </is>
      </c>
      <c r="B3627" s="2" t="inlineStr">
        <is>
          <t>3320PU0110</t>
        </is>
      </c>
      <c r="C3627" s="2" t="inlineStr">
        <is>
          <t>Bomba centrífuga carbón PU0110</t>
        </is>
      </c>
      <c r="D3627" s="2" t="n">
        <v>1209</v>
      </c>
      <c r="E3627" s="2" t="inlineStr">
        <is>
          <t>CC-3000</t>
        </is>
      </c>
      <c r="F3627" s="2" t="inlineStr">
        <is>
          <t>P01</t>
        </is>
      </c>
      <c r="G3627" s="2" t="n">
        <v>620000</v>
      </c>
      <c r="H3627" s="2" t="inlineStr">
        <is>
          <t>Materiales</t>
        </is>
      </c>
      <c r="I3627" s="9" t="n">
        <v>2599.38</v>
      </c>
      <c r="J3627" s="9" t="n">
        <v>2556.98</v>
      </c>
      <c r="K3627" s="9" t="n">
        <v>2661.63</v>
      </c>
      <c r="L3627" s="9" t="n">
        <v>2875.52</v>
      </c>
      <c r="M3627" s="9" t="n">
        <v>2617.03</v>
      </c>
      <c r="N3627" s="9" t="n">
        <v>2456.44</v>
      </c>
      <c r="O3627" s="9" t="n">
        <v>2915.95</v>
      </c>
      <c r="P3627" s="9" t="n">
        <v>2929.44</v>
      </c>
      <c r="Q3627" s="9" t="n">
        <v>2396.15</v>
      </c>
      <c r="R3627" s="9" t="n">
        <v>2819.16</v>
      </c>
      <c r="S3627" s="9" t="n">
        <v>2683.8</v>
      </c>
      <c r="T3627" s="9" t="n">
        <v>2617.59</v>
      </c>
      <c r="U3627" s="10">
        <f>SUM(I3627:T3627)</f>
        <v/>
      </c>
    </row>
    <row r="3628">
      <c r="A3628" s="2" t="inlineStr">
        <is>
          <t>SN-3000-3300-3320-3320PU0110</t>
        </is>
      </c>
      <c r="B3628" s="2" t="inlineStr">
        <is>
          <t>3320PU0110</t>
        </is>
      </c>
      <c r="C3628" s="2" t="inlineStr">
        <is>
          <t>Bomba centrífuga carbón PU0110</t>
        </is>
      </c>
      <c r="D3628" s="2" t="n">
        <v>1209</v>
      </c>
      <c r="E3628" s="2" t="inlineStr">
        <is>
          <t>CC-3000</t>
        </is>
      </c>
      <c r="F3628" s="2" t="inlineStr">
        <is>
          <t>P01</t>
        </is>
      </c>
      <c r="G3628" s="2" t="n">
        <v>630000</v>
      </c>
      <c r="H3628" s="2" t="inlineStr">
        <is>
          <t>Servicios externos</t>
        </is>
      </c>
      <c r="I3628" s="9" t="n">
        <v>2368.11</v>
      </c>
      <c r="J3628" s="9" t="n">
        <v>2514.57</v>
      </c>
      <c r="K3628" s="9" t="n">
        <v>2639.23</v>
      </c>
      <c r="L3628" s="9" t="n">
        <v>2567.68</v>
      </c>
      <c r="M3628" s="9" t="n">
        <v>2431.22</v>
      </c>
      <c r="N3628" s="9" t="n">
        <v>2357.8</v>
      </c>
      <c r="O3628" s="9" t="n">
        <v>2371.51</v>
      </c>
      <c r="P3628" s="9" t="n">
        <v>2391.74</v>
      </c>
      <c r="Q3628" s="9" t="n">
        <v>2265.08</v>
      </c>
      <c r="R3628" s="9" t="n">
        <v>2663.91</v>
      </c>
      <c r="S3628" s="9" t="n">
        <v>2157.22</v>
      </c>
      <c r="T3628" s="9" t="n">
        <v>2310.99</v>
      </c>
      <c r="U3628" s="10">
        <f>SUM(I3628:T3628)</f>
        <v/>
      </c>
    </row>
    <row r="3629">
      <c r="A3629" s="2" t="inlineStr">
        <is>
          <t>SN-3000-3300-3320-3320PU0111</t>
        </is>
      </c>
      <c r="B3629" s="2" t="inlineStr">
        <is>
          <t>3320PU0111</t>
        </is>
      </c>
      <c r="C3629" s="2" t="inlineStr">
        <is>
          <t>Bomba centrífuga carbón PU0111</t>
        </is>
      </c>
      <c r="D3629" s="2" t="n">
        <v>1210</v>
      </c>
      <c r="E3629" s="2" t="inlineStr">
        <is>
          <t>CC-3000</t>
        </is>
      </c>
      <c r="F3629" s="2" t="inlineStr">
        <is>
          <t>P01</t>
        </is>
      </c>
      <c r="G3629" s="2" t="n">
        <v>610000</v>
      </c>
      <c r="H3629" s="2" t="inlineStr">
        <is>
          <t>Mano obra interna</t>
        </is>
      </c>
      <c r="I3629" s="9" t="n">
        <v>3046.15</v>
      </c>
      <c r="J3629" s="9" t="n">
        <v>2906.57</v>
      </c>
      <c r="K3629" s="9" t="n">
        <v>3122.26</v>
      </c>
      <c r="L3629" s="9" t="n">
        <v>3027.57</v>
      </c>
      <c r="M3629" s="9" t="n">
        <v>2834.69</v>
      </c>
      <c r="N3629" s="9" t="n">
        <v>2793.23</v>
      </c>
      <c r="O3629" s="9" t="n">
        <v>3134.94</v>
      </c>
      <c r="P3629" s="9" t="n">
        <v>2926.86</v>
      </c>
      <c r="Q3629" s="9" t="n">
        <v>2920.35</v>
      </c>
      <c r="R3629" s="9" t="n">
        <v>3093.66</v>
      </c>
      <c r="S3629" s="9" t="n">
        <v>2749.44</v>
      </c>
      <c r="T3629" s="9" t="n">
        <v>3290.23</v>
      </c>
      <c r="U3629" s="10">
        <f>SUM(I3629:T3629)</f>
        <v/>
      </c>
    </row>
    <row r="3630">
      <c r="A3630" s="2" t="inlineStr">
        <is>
          <t>SN-3000-3300-3320-3320PU0111</t>
        </is>
      </c>
      <c r="B3630" s="2" t="inlineStr">
        <is>
          <t>3320PU0111</t>
        </is>
      </c>
      <c r="C3630" s="2" t="inlineStr">
        <is>
          <t>Bomba centrífuga carbón PU0111</t>
        </is>
      </c>
      <c r="D3630" s="2" t="n">
        <v>1210</v>
      </c>
      <c r="E3630" s="2" t="inlineStr">
        <is>
          <t>CC-3000</t>
        </is>
      </c>
      <c r="F3630" s="2" t="inlineStr">
        <is>
          <t>P01</t>
        </is>
      </c>
      <c r="G3630" s="2" t="n">
        <v>620000</v>
      </c>
      <c r="H3630" s="2" t="inlineStr">
        <is>
          <t>Materiales</t>
        </is>
      </c>
      <c r="I3630" s="9" t="n">
        <v>2874.81</v>
      </c>
      <c r="J3630" s="9" t="n">
        <v>2498.91</v>
      </c>
      <c r="K3630" s="9" t="n">
        <v>2712.01</v>
      </c>
      <c r="L3630" s="9" t="n">
        <v>2943.81</v>
      </c>
      <c r="M3630" s="9" t="n">
        <v>2560.51</v>
      </c>
      <c r="N3630" s="9" t="n">
        <v>2754</v>
      </c>
      <c r="O3630" s="9" t="n">
        <v>2781.46</v>
      </c>
      <c r="P3630" s="9" t="n">
        <v>2846.6</v>
      </c>
      <c r="Q3630" s="9" t="n">
        <v>2612.65</v>
      </c>
      <c r="R3630" s="9" t="n">
        <v>2919.08</v>
      </c>
      <c r="S3630" s="9" t="n">
        <v>2567.23</v>
      </c>
      <c r="T3630" s="9" t="n">
        <v>2860.9</v>
      </c>
      <c r="U3630" s="10">
        <f>SUM(I3630:T3630)</f>
        <v/>
      </c>
    </row>
    <row r="3631">
      <c r="A3631" s="2" t="inlineStr">
        <is>
          <t>SN-3000-3300-3320-3320PU0111</t>
        </is>
      </c>
      <c r="B3631" s="2" t="inlineStr">
        <is>
          <t>3320PU0111</t>
        </is>
      </c>
      <c r="C3631" s="2" t="inlineStr">
        <is>
          <t>Bomba centrífuga carbón PU0111</t>
        </is>
      </c>
      <c r="D3631" s="2" t="n">
        <v>1210</v>
      </c>
      <c r="E3631" s="2" t="inlineStr">
        <is>
          <t>CC-3000</t>
        </is>
      </c>
      <c r="F3631" s="2" t="inlineStr">
        <is>
          <t>P01</t>
        </is>
      </c>
      <c r="G3631" s="2" t="n">
        <v>630000</v>
      </c>
      <c r="H3631" s="2" t="inlineStr">
        <is>
          <t>Servicios externos</t>
        </is>
      </c>
      <c r="I3631" s="9" t="n">
        <v>2639.01</v>
      </c>
      <c r="J3631" s="9" t="n">
        <v>2693.24</v>
      </c>
      <c r="K3631" s="9" t="n">
        <v>2807.74</v>
      </c>
      <c r="L3631" s="9" t="n">
        <v>2876.8</v>
      </c>
      <c r="M3631" s="9" t="n">
        <v>2588.93</v>
      </c>
      <c r="N3631" s="9" t="n">
        <v>2850.59</v>
      </c>
      <c r="O3631" s="9" t="n">
        <v>2811.13</v>
      </c>
      <c r="P3631" s="9" t="n">
        <v>2975.04</v>
      </c>
      <c r="Q3631" s="9" t="n">
        <v>2727.11</v>
      </c>
      <c r="R3631" s="9" t="n">
        <v>2858.53</v>
      </c>
      <c r="S3631" s="9" t="n">
        <v>2540.39</v>
      </c>
      <c r="T3631" s="9" t="n">
        <v>2993.17</v>
      </c>
      <c r="U3631" s="10">
        <f>SUM(I3631:T3631)</f>
        <v/>
      </c>
    </row>
    <row r="3632">
      <c r="A3632" s="2" t="inlineStr">
        <is>
          <t>SN-3000-3300-3320-3320PU0112</t>
        </is>
      </c>
      <c r="B3632" s="2" t="inlineStr">
        <is>
          <t>3320PU0112</t>
        </is>
      </c>
      <c r="C3632" s="2" t="inlineStr">
        <is>
          <t>Bomba centrífuga carbón PU0112</t>
        </is>
      </c>
      <c r="D3632" s="2" t="n">
        <v>1211</v>
      </c>
      <c r="E3632" s="2" t="inlineStr">
        <is>
          <t>CC-3000</t>
        </is>
      </c>
      <c r="F3632" s="2" t="inlineStr">
        <is>
          <t>P01</t>
        </is>
      </c>
      <c r="G3632" s="2" t="n">
        <v>610000</v>
      </c>
      <c r="H3632" s="2" t="inlineStr">
        <is>
          <t>Mano obra interna</t>
        </is>
      </c>
      <c r="I3632" s="9" t="n">
        <v>1482.65</v>
      </c>
      <c r="J3632" s="9" t="n">
        <v>1657.09</v>
      </c>
      <c r="K3632" s="9" t="n">
        <v>1616.04</v>
      </c>
      <c r="L3632" s="9" t="n">
        <v>1556.73</v>
      </c>
      <c r="M3632" s="9" t="n">
        <v>1561.13</v>
      </c>
      <c r="N3632" s="9" t="n">
        <v>1581.86</v>
      </c>
      <c r="O3632" s="9" t="n">
        <v>1475.83</v>
      </c>
      <c r="P3632" s="9" t="n">
        <v>1536.61</v>
      </c>
      <c r="Q3632" s="9" t="n">
        <v>1422.07</v>
      </c>
      <c r="R3632" s="9" t="n">
        <v>1788.85</v>
      </c>
      <c r="S3632" s="9" t="n">
        <v>1590.88</v>
      </c>
      <c r="T3632" s="9" t="n">
        <v>1571.1</v>
      </c>
      <c r="U3632" s="10">
        <f>SUM(I3632:T3632)</f>
        <v/>
      </c>
    </row>
    <row r="3633">
      <c r="A3633" s="2" t="inlineStr">
        <is>
          <t>SN-3000-3300-3320-3320PU0112</t>
        </is>
      </c>
      <c r="B3633" s="2" t="inlineStr">
        <is>
          <t>3320PU0112</t>
        </is>
      </c>
      <c r="C3633" s="2" t="inlineStr">
        <is>
          <t>Bomba centrífuga carbón PU0112</t>
        </is>
      </c>
      <c r="D3633" s="2" t="n">
        <v>1211</v>
      </c>
      <c r="E3633" s="2" t="inlineStr">
        <is>
          <t>CC-3000</t>
        </is>
      </c>
      <c r="F3633" s="2" t="inlineStr">
        <is>
          <t>P01</t>
        </is>
      </c>
      <c r="G3633" s="2" t="n">
        <v>620000</v>
      </c>
      <c r="H3633" s="2" t="inlineStr">
        <is>
          <t>Materiales</t>
        </is>
      </c>
      <c r="I3633" s="9" t="n">
        <v>1559.58</v>
      </c>
      <c r="J3633" s="9" t="n">
        <v>1547.91</v>
      </c>
      <c r="K3633" s="9" t="n">
        <v>1729.15</v>
      </c>
      <c r="L3633" s="9" t="n">
        <v>1597.27</v>
      </c>
      <c r="M3633" s="9" t="n">
        <v>1658.12</v>
      </c>
      <c r="N3633" s="9" t="n">
        <v>1544.47</v>
      </c>
      <c r="O3633" s="9" t="n">
        <v>1460.33</v>
      </c>
      <c r="P3633" s="9" t="n">
        <v>1626.35</v>
      </c>
      <c r="Q3633" s="9" t="n">
        <v>1368.17</v>
      </c>
      <c r="R3633" s="9" t="n">
        <v>1684.52</v>
      </c>
      <c r="S3633" s="9" t="n">
        <v>1531.61</v>
      </c>
      <c r="T3633" s="9" t="n">
        <v>1676.02</v>
      </c>
      <c r="U3633" s="10">
        <f>SUM(I3633:T3633)</f>
        <v/>
      </c>
    </row>
    <row r="3634">
      <c r="A3634" s="2" t="inlineStr">
        <is>
          <t>SN-3000-3300-3320-3320PU0112</t>
        </is>
      </c>
      <c r="B3634" s="2" t="inlineStr">
        <is>
          <t>3320PU0112</t>
        </is>
      </c>
      <c r="C3634" s="2" t="inlineStr">
        <is>
          <t>Bomba centrífuga carbón PU0112</t>
        </is>
      </c>
      <c r="D3634" s="2" t="n">
        <v>1211</v>
      </c>
      <c r="E3634" s="2" t="inlineStr">
        <is>
          <t>CC-3000</t>
        </is>
      </c>
      <c r="F3634" s="2" t="inlineStr">
        <is>
          <t>P01</t>
        </is>
      </c>
      <c r="G3634" s="2" t="n">
        <v>630000</v>
      </c>
      <c r="H3634" s="2" t="inlineStr">
        <is>
          <t>Servicios externos</t>
        </is>
      </c>
      <c r="I3634" s="9" t="n">
        <v>1479.14</v>
      </c>
      <c r="J3634" s="9" t="n">
        <v>1439.61</v>
      </c>
      <c r="K3634" s="9" t="n">
        <v>1317.37</v>
      </c>
      <c r="L3634" s="9" t="n">
        <v>1482.97</v>
      </c>
      <c r="M3634" s="9" t="n">
        <v>1300.48</v>
      </c>
      <c r="N3634" s="9" t="n">
        <v>1219.09</v>
      </c>
      <c r="O3634" s="9" t="n">
        <v>1467.67</v>
      </c>
      <c r="P3634" s="9" t="n">
        <v>1342.15</v>
      </c>
      <c r="Q3634" s="9" t="n">
        <v>1297.29</v>
      </c>
      <c r="R3634" s="9" t="n">
        <v>1486.39</v>
      </c>
      <c r="S3634" s="9" t="n">
        <v>1262.36</v>
      </c>
      <c r="T3634" s="9" t="n">
        <v>1424.65</v>
      </c>
      <c r="U3634" s="10">
        <f>SUM(I3634:T3634)</f>
        <v/>
      </c>
    </row>
    <row r="3635">
      <c r="A3635" s="2" t="inlineStr">
        <is>
          <t>SN-3000-3300-3320-3320PU0113</t>
        </is>
      </c>
      <c r="B3635" s="2" t="inlineStr">
        <is>
          <t>3320PU0113</t>
        </is>
      </c>
      <c r="C3635" s="2" t="inlineStr">
        <is>
          <t>Bomba centrífuga carbón PU0113</t>
        </is>
      </c>
      <c r="D3635" s="2" t="n">
        <v>1212</v>
      </c>
      <c r="E3635" s="2" t="inlineStr">
        <is>
          <t>CC-3000</t>
        </is>
      </c>
      <c r="F3635" s="2" t="inlineStr">
        <is>
          <t>P01</t>
        </is>
      </c>
      <c r="G3635" s="2" t="n">
        <v>610000</v>
      </c>
      <c r="H3635" s="2" t="inlineStr">
        <is>
          <t>Mano obra interna</t>
        </is>
      </c>
      <c r="I3635" s="9" t="n">
        <v>2011.87</v>
      </c>
      <c r="J3635" s="9" t="n">
        <v>2182.72</v>
      </c>
      <c r="K3635" s="9" t="n">
        <v>2289.43</v>
      </c>
      <c r="L3635" s="9" t="n">
        <v>2108.82</v>
      </c>
      <c r="M3635" s="9" t="n">
        <v>1939.25</v>
      </c>
      <c r="N3635" s="9" t="n">
        <v>1953.37</v>
      </c>
      <c r="O3635" s="9" t="n">
        <v>2194.9</v>
      </c>
      <c r="P3635" s="9" t="n">
        <v>1925.37</v>
      </c>
      <c r="Q3635" s="9" t="n">
        <v>1811.37</v>
      </c>
      <c r="R3635" s="9" t="n">
        <v>2372.6</v>
      </c>
      <c r="S3635" s="9" t="n">
        <v>1975.88</v>
      </c>
      <c r="T3635" s="9" t="n">
        <v>1959.85</v>
      </c>
      <c r="U3635" s="10">
        <f>SUM(I3635:T3635)</f>
        <v/>
      </c>
    </row>
    <row r="3636">
      <c r="A3636" s="2" t="inlineStr">
        <is>
          <t>SN-3000-3300-3320-3320PU0113</t>
        </is>
      </c>
      <c r="B3636" s="2" t="inlineStr">
        <is>
          <t>3320PU0113</t>
        </is>
      </c>
      <c r="C3636" s="2" t="inlineStr">
        <is>
          <t>Bomba centrífuga carbón PU0113</t>
        </is>
      </c>
      <c r="D3636" s="2" t="n">
        <v>1212</v>
      </c>
      <c r="E3636" s="2" t="inlineStr">
        <is>
          <t>CC-3000</t>
        </is>
      </c>
      <c r="F3636" s="2" t="inlineStr">
        <is>
          <t>P01</t>
        </is>
      </c>
      <c r="G3636" s="2" t="n">
        <v>620000</v>
      </c>
      <c r="H3636" s="2" t="inlineStr">
        <is>
          <t>Materiales</t>
        </is>
      </c>
      <c r="I3636" s="9" t="n">
        <v>2241.1</v>
      </c>
      <c r="J3636" s="9" t="n">
        <v>2034.19</v>
      </c>
      <c r="K3636" s="9" t="n">
        <v>2019.12</v>
      </c>
      <c r="L3636" s="9" t="n">
        <v>2247.66</v>
      </c>
      <c r="M3636" s="9" t="n">
        <v>2160.45</v>
      </c>
      <c r="N3636" s="9" t="n">
        <v>1826.92</v>
      </c>
      <c r="O3636" s="9" t="n">
        <v>2096.5</v>
      </c>
      <c r="P3636" s="9" t="n">
        <v>1982.64</v>
      </c>
      <c r="Q3636" s="9" t="n">
        <v>1935.96</v>
      </c>
      <c r="R3636" s="9" t="n">
        <v>2152.19</v>
      </c>
      <c r="S3636" s="9" t="n">
        <v>1943.68</v>
      </c>
      <c r="T3636" s="9" t="n">
        <v>2133.67</v>
      </c>
      <c r="U3636" s="10">
        <f>SUM(I3636:T3636)</f>
        <v/>
      </c>
    </row>
    <row r="3637">
      <c r="A3637" s="2" t="inlineStr">
        <is>
          <t>SN-3000-3300-3320-3320PU0113</t>
        </is>
      </c>
      <c r="B3637" s="2" t="inlineStr">
        <is>
          <t>3320PU0113</t>
        </is>
      </c>
      <c r="C3637" s="2" t="inlineStr">
        <is>
          <t>Bomba centrífuga carbón PU0113</t>
        </is>
      </c>
      <c r="D3637" s="2" t="n">
        <v>1212</v>
      </c>
      <c r="E3637" s="2" t="inlineStr">
        <is>
          <t>CC-3000</t>
        </is>
      </c>
      <c r="F3637" s="2" t="inlineStr">
        <is>
          <t>P01</t>
        </is>
      </c>
      <c r="G3637" s="2" t="n">
        <v>630000</v>
      </c>
      <c r="H3637" s="2" t="inlineStr">
        <is>
          <t>Servicios externos</t>
        </is>
      </c>
      <c r="I3637" s="9" t="n">
        <v>2386.25</v>
      </c>
      <c r="J3637" s="9" t="n">
        <v>2194.37</v>
      </c>
      <c r="K3637" s="9" t="n">
        <v>2636.82</v>
      </c>
      <c r="L3637" s="9" t="n">
        <v>2303.29</v>
      </c>
      <c r="M3637" s="9" t="n">
        <v>2402.91</v>
      </c>
      <c r="N3637" s="9" t="n">
        <v>2121.2</v>
      </c>
      <c r="O3637" s="9" t="n">
        <v>2450.13</v>
      </c>
      <c r="P3637" s="9" t="n">
        <v>2221.61</v>
      </c>
      <c r="Q3637" s="9" t="n">
        <v>2117.28</v>
      </c>
      <c r="R3637" s="9" t="n">
        <v>2624.13</v>
      </c>
      <c r="S3637" s="9" t="n">
        <v>2221.53</v>
      </c>
      <c r="T3637" s="9" t="n">
        <v>2425.37</v>
      </c>
      <c r="U3637" s="10">
        <f>SUM(I3637:T3637)</f>
        <v/>
      </c>
    </row>
    <row r="3638">
      <c r="A3638" s="2" t="inlineStr">
        <is>
          <t>SN-3000-3300-3320-3320PU0114</t>
        </is>
      </c>
      <c r="B3638" s="2" t="inlineStr">
        <is>
          <t>3320PU0114</t>
        </is>
      </c>
      <c r="C3638" s="2" t="inlineStr">
        <is>
          <t>Bomba centrífuga carbón PU0114</t>
        </is>
      </c>
      <c r="D3638" s="2" t="n">
        <v>1213</v>
      </c>
      <c r="E3638" s="2" t="inlineStr">
        <is>
          <t>CC-3000</t>
        </is>
      </c>
      <c r="F3638" s="2" t="inlineStr">
        <is>
          <t>P01</t>
        </is>
      </c>
      <c r="G3638" s="2" t="n">
        <v>610000</v>
      </c>
      <c r="H3638" s="2" t="inlineStr">
        <is>
          <t>Mano obra interna</t>
        </is>
      </c>
      <c r="I3638" s="9" t="n">
        <v>884.95</v>
      </c>
      <c r="J3638" s="9" t="n">
        <v>929.97</v>
      </c>
      <c r="K3638" s="9" t="n">
        <v>869.1799999999999</v>
      </c>
      <c r="L3638" s="9" t="n">
        <v>872.51</v>
      </c>
      <c r="M3638" s="9" t="n">
        <v>859.73</v>
      </c>
      <c r="N3638" s="9" t="n">
        <v>803.4299999999999</v>
      </c>
      <c r="O3638" s="9" t="n">
        <v>851.6799999999999</v>
      </c>
      <c r="P3638" s="9" t="n">
        <v>877.73</v>
      </c>
      <c r="Q3638" s="9" t="n">
        <v>792.12</v>
      </c>
      <c r="R3638" s="9" t="n">
        <v>1039.11</v>
      </c>
      <c r="S3638" s="9" t="n">
        <v>819.98</v>
      </c>
      <c r="T3638" s="9" t="n">
        <v>977.09</v>
      </c>
      <c r="U3638" s="10">
        <f>SUM(I3638:T3638)</f>
        <v/>
      </c>
    </row>
    <row r="3639">
      <c r="A3639" s="2" t="inlineStr">
        <is>
          <t>SN-3000-3300-3320-3320PU0114</t>
        </is>
      </c>
      <c r="B3639" s="2" t="inlineStr">
        <is>
          <t>3320PU0114</t>
        </is>
      </c>
      <c r="C3639" s="2" t="inlineStr">
        <is>
          <t>Bomba centrífuga carbón PU0114</t>
        </is>
      </c>
      <c r="D3639" s="2" t="n">
        <v>1213</v>
      </c>
      <c r="E3639" s="2" t="inlineStr">
        <is>
          <t>CC-3000</t>
        </is>
      </c>
      <c r="F3639" s="2" t="inlineStr">
        <is>
          <t>P01</t>
        </is>
      </c>
      <c r="G3639" s="2" t="n">
        <v>620000</v>
      </c>
      <c r="H3639" s="2" t="inlineStr">
        <is>
          <t>Materiales</t>
        </is>
      </c>
      <c r="I3639" s="9" t="n">
        <v>1021.23</v>
      </c>
      <c r="J3639" s="9" t="n">
        <v>972.5</v>
      </c>
      <c r="K3639" s="9" t="n">
        <v>1023.07</v>
      </c>
      <c r="L3639" s="9" t="n">
        <v>1107.99</v>
      </c>
      <c r="M3639" s="9" t="n">
        <v>1086.41</v>
      </c>
      <c r="N3639" s="9" t="n">
        <v>1041.41</v>
      </c>
      <c r="O3639" s="9" t="n">
        <v>1076.22</v>
      </c>
      <c r="P3639" s="9" t="n">
        <v>1012.26</v>
      </c>
      <c r="Q3639" s="9" t="n">
        <v>1049.04</v>
      </c>
      <c r="R3639" s="9" t="n">
        <v>1120.65</v>
      </c>
      <c r="S3639" s="9" t="n">
        <v>1114.98</v>
      </c>
      <c r="T3639" s="9" t="n">
        <v>1064.53</v>
      </c>
      <c r="U3639" s="10">
        <f>SUM(I3639:T3639)</f>
        <v/>
      </c>
    </row>
    <row r="3640">
      <c r="A3640" s="2" t="inlineStr">
        <is>
          <t>SN-3000-3300-3320-3320PU0114</t>
        </is>
      </c>
      <c r="B3640" s="2" t="inlineStr">
        <is>
          <t>3320PU0114</t>
        </is>
      </c>
      <c r="C3640" s="2" t="inlineStr">
        <is>
          <t>Bomba centrífuga carbón PU0114</t>
        </is>
      </c>
      <c r="D3640" s="2" t="n">
        <v>1213</v>
      </c>
      <c r="E3640" s="2" t="inlineStr">
        <is>
          <t>CC-3000</t>
        </is>
      </c>
      <c r="F3640" s="2" t="inlineStr">
        <is>
          <t>P01</t>
        </is>
      </c>
      <c r="G3640" s="2" t="n">
        <v>630000</v>
      </c>
      <c r="H3640" s="2" t="inlineStr">
        <is>
          <t>Servicios externos</t>
        </is>
      </c>
      <c r="I3640" s="9" t="n">
        <v>943.59</v>
      </c>
      <c r="J3640" s="9" t="n">
        <v>865.55</v>
      </c>
      <c r="K3640" s="9" t="n">
        <v>928.83</v>
      </c>
      <c r="L3640" s="9" t="n">
        <v>875.62</v>
      </c>
      <c r="M3640" s="9" t="n">
        <v>913.75</v>
      </c>
      <c r="N3640" s="9" t="n">
        <v>886.84</v>
      </c>
      <c r="O3640" s="9" t="n">
        <v>861.0700000000001</v>
      </c>
      <c r="P3640" s="9" t="n">
        <v>832.78</v>
      </c>
      <c r="Q3640" s="9" t="n">
        <v>828.5</v>
      </c>
      <c r="R3640" s="9" t="n">
        <v>1005.86</v>
      </c>
      <c r="S3640" s="9" t="n">
        <v>858.2</v>
      </c>
      <c r="T3640" s="9" t="n">
        <v>946.51</v>
      </c>
      <c r="U3640" s="10">
        <f>SUM(I3640:T3640)</f>
        <v/>
      </c>
    </row>
    <row r="3641">
      <c r="A3641" s="2" t="inlineStr">
        <is>
          <t>SN-3000-3300-3320-3320PU0479</t>
        </is>
      </c>
      <c r="B3641" s="2" t="inlineStr">
        <is>
          <t>3320PU0479</t>
        </is>
      </c>
      <c r="C3641" s="2" t="inlineStr">
        <is>
          <t>Bomba centrífuga pulpa PU0479</t>
        </is>
      </c>
      <c r="D3641" s="2" t="n">
        <v>1214</v>
      </c>
      <c r="E3641" s="2" t="inlineStr">
        <is>
          <t>CC-3000</t>
        </is>
      </c>
      <c r="F3641" s="2" t="inlineStr">
        <is>
          <t>P01</t>
        </is>
      </c>
      <c r="G3641" s="2" t="n">
        <v>610000</v>
      </c>
      <c r="H3641" s="2" t="inlineStr">
        <is>
          <t>Mano obra interna</t>
        </is>
      </c>
      <c r="I3641" s="9" t="n">
        <v>795.5599999999999</v>
      </c>
      <c r="J3641" s="9" t="n">
        <v>675.1</v>
      </c>
      <c r="K3641" s="9" t="n">
        <v>736.88</v>
      </c>
      <c r="L3641" s="9" t="n">
        <v>746.23</v>
      </c>
      <c r="M3641" s="9" t="n">
        <v>740.9400000000001</v>
      </c>
      <c r="N3641" s="9" t="n">
        <v>675.66</v>
      </c>
      <c r="O3641" s="9" t="n">
        <v>780.74</v>
      </c>
      <c r="P3641" s="9" t="n">
        <v>777.38</v>
      </c>
      <c r="Q3641" s="9" t="n">
        <v>712.85</v>
      </c>
      <c r="R3641" s="9" t="n">
        <v>739.47</v>
      </c>
      <c r="S3641" s="9" t="n">
        <v>659.71</v>
      </c>
      <c r="T3641" s="9" t="n">
        <v>741.41</v>
      </c>
      <c r="U3641" s="10">
        <f>SUM(I3641:T3641)</f>
        <v/>
      </c>
    </row>
    <row r="3642">
      <c r="A3642" s="2" t="inlineStr">
        <is>
          <t>SN-3000-3300-3320-3320PU0479</t>
        </is>
      </c>
      <c r="B3642" s="2" t="inlineStr">
        <is>
          <t>3320PU0479</t>
        </is>
      </c>
      <c r="C3642" s="2" t="inlineStr">
        <is>
          <t>Bomba centrífuga pulpa PU0479</t>
        </is>
      </c>
      <c r="D3642" s="2" t="n">
        <v>1214</v>
      </c>
      <c r="E3642" s="2" t="inlineStr">
        <is>
          <t>CC-3000</t>
        </is>
      </c>
      <c r="F3642" s="2" t="inlineStr">
        <is>
          <t>P01</t>
        </is>
      </c>
      <c r="G3642" s="2" t="n">
        <v>620000</v>
      </c>
      <c r="H3642" s="2" t="inlineStr">
        <is>
          <t>Materiales</t>
        </is>
      </c>
      <c r="I3642" s="9" t="n">
        <v>774.99</v>
      </c>
      <c r="J3642" s="9" t="n">
        <v>813.63</v>
      </c>
      <c r="K3642" s="9" t="n">
        <v>837.14</v>
      </c>
      <c r="L3642" s="9" t="n">
        <v>855.53</v>
      </c>
      <c r="M3642" s="9" t="n">
        <v>791.24</v>
      </c>
      <c r="N3642" s="9" t="n">
        <v>796.26</v>
      </c>
      <c r="O3642" s="9" t="n">
        <v>764.21</v>
      </c>
      <c r="P3642" s="9" t="n">
        <v>770.4</v>
      </c>
      <c r="Q3642" s="9" t="n">
        <v>800.55</v>
      </c>
      <c r="R3642" s="9" t="n">
        <v>847.4299999999999</v>
      </c>
      <c r="S3642" s="9" t="n">
        <v>842.8099999999999</v>
      </c>
      <c r="T3642" s="9" t="n">
        <v>760.33</v>
      </c>
      <c r="U3642" s="10">
        <f>SUM(I3642:T3642)</f>
        <v/>
      </c>
    </row>
    <row r="3643">
      <c r="A3643" s="2" t="inlineStr">
        <is>
          <t>SN-3000-3300-3320-3320PU0479</t>
        </is>
      </c>
      <c r="B3643" s="2" t="inlineStr">
        <is>
          <t>3320PU0479</t>
        </is>
      </c>
      <c r="C3643" s="2" t="inlineStr">
        <is>
          <t>Bomba centrífuga pulpa PU0479</t>
        </is>
      </c>
      <c r="D3643" s="2" t="n">
        <v>1214</v>
      </c>
      <c r="E3643" s="2" t="inlineStr">
        <is>
          <t>CC-3000</t>
        </is>
      </c>
      <c r="F3643" s="2" t="inlineStr">
        <is>
          <t>P01</t>
        </is>
      </c>
      <c r="G3643" s="2" t="n">
        <v>630000</v>
      </c>
      <c r="H3643" s="2" t="inlineStr">
        <is>
          <t>Servicios externos</t>
        </is>
      </c>
      <c r="I3643" s="9" t="n">
        <v>726</v>
      </c>
      <c r="J3643" s="9" t="n">
        <v>777.76</v>
      </c>
      <c r="K3643" s="9" t="n">
        <v>813.99</v>
      </c>
      <c r="L3643" s="9" t="n">
        <v>716.11</v>
      </c>
      <c r="M3643" s="9" t="n">
        <v>697.13</v>
      </c>
      <c r="N3643" s="9" t="n">
        <v>727.46</v>
      </c>
      <c r="O3643" s="9" t="n">
        <v>777.63</v>
      </c>
      <c r="P3643" s="9" t="n">
        <v>750.26</v>
      </c>
      <c r="Q3643" s="9" t="n">
        <v>720.83</v>
      </c>
      <c r="R3643" s="9" t="n">
        <v>733.91</v>
      </c>
      <c r="S3643" s="9" t="n">
        <v>724.22</v>
      </c>
      <c r="T3643" s="9" t="n">
        <v>766.3</v>
      </c>
      <c r="U3643" s="10">
        <f>SUM(I3643:T3643)</f>
        <v/>
      </c>
    </row>
    <row r="3644">
      <c r="A3644" s="2" t="inlineStr">
        <is>
          <t>SN-3000-3300-3320-3320SN0013</t>
        </is>
      </c>
      <c r="B3644" s="2" t="inlineStr">
        <is>
          <t>3320SN0013</t>
        </is>
      </c>
      <c r="C3644" s="2" t="inlineStr">
        <is>
          <t>Bomba harnero SN0013</t>
        </is>
      </c>
      <c r="D3644" s="2" t="n">
        <v>1215</v>
      </c>
      <c r="E3644" s="2" t="inlineStr">
        <is>
          <t>CC-3000</t>
        </is>
      </c>
      <c r="F3644" s="2" t="inlineStr">
        <is>
          <t>P01</t>
        </is>
      </c>
      <c r="G3644" s="2" t="n">
        <v>610000</v>
      </c>
      <c r="H3644" s="2" t="inlineStr">
        <is>
          <t>Mano obra interna</t>
        </is>
      </c>
      <c r="I3644" s="9" t="n">
        <v>1557.02</v>
      </c>
      <c r="J3644" s="9" t="n">
        <v>1540.4</v>
      </c>
      <c r="K3644" s="9" t="n">
        <v>1602.41</v>
      </c>
      <c r="L3644" s="9" t="n">
        <v>1431.57</v>
      </c>
      <c r="M3644" s="9" t="n">
        <v>1404.48</v>
      </c>
      <c r="N3644" s="9" t="n">
        <v>1396.04</v>
      </c>
      <c r="O3644" s="9" t="n">
        <v>1381.08</v>
      </c>
      <c r="P3644" s="9" t="n">
        <v>1565.17</v>
      </c>
      <c r="Q3644" s="9" t="n">
        <v>1285.74</v>
      </c>
      <c r="R3644" s="9" t="n">
        <v>1640.67</v>
      </c>
      <c r="S3644" s="9" t="n">
        <v>1377.78</v>
      </c>
      <c r="T3644" s="9" t="n">
        <v>1499.44</v>
      </c>
      <c r="U3644" s="10">
        <f>SUM(I3644:T3644)</f>
        <v/>
      </c>
    </row>
    <row r="3645">
      <c r="A3645" s="2" t="inlineStr">
        <is>
          <t>SN-3000-3300-3320-3320SN0013</t>
        </is>
      </c>
      <c r="B3645" s="2" t="inlineStr">
        <is>
          <t>3320SN0013</t>
        </is>
      </c>
      <c r="C3645" s="2" t="inlineStr">
        <is>
          <t>Bomba harnero SN0013</t>
        </is>
      </c>
      <c r="D3645" s="2" t="n">
        <v>1215</v>
      </c>
      <c r="E3645" s="2" t="inlineStr">
        <is>
          <t>CC-3000</t>
        </is>
      </c>
      <c r="F3645" s="2" t="inlineStr">
        <is>
          <t>P01</t>
        </is>
      </c>
      <c r="G3645" s="2" t="n">
        <v>620000</v>
      </c>
      <c r="H3645" s="2" t="inlineStr">
        <is>
          <t>Materiales</t>
        </is>
      </c>
      <c r="I3645" s="9" t="n">
        <v>1351.37</v>
      </c>
      <c r="J3645" s="9" t="n">
        <v>1356.14</v>
      </c>
      <c r="K3645" s="9" t="n">
        <v>1473.95</v>
      </c>
      <c r="L3645" s="9" t="n">
        <v>1483.04</v>
      </c>
      <c r="M3645" s="9" t="n">
        <v>1271.62</v>
      </c>
      <c r="N3645" s="9" t="n">
        <v>1254.46</v>
      </c>
      <c r="O3645" s="9" t="n">
        <v>1441.09</v>
      </c>
      <c r="P3645" s="9" t="n">
        <v>1457.86</v>
      </c>
      <c r="Q3645" s="9" t="n">
        <v>1238.81</v>
      </c>
      <c r="R3645" s="9" t="n">
        <v>1433.51</v>
      </c>
      <c r="S3645" s="9" t="n">
        <v>1256.33</v>
      </c>
      <c r="T3645" s="9" t="n">
        <v>1331.09</v>
      </c>
      <c r="U3645" s="10">
        <f>SUM(I3645:T3645)</f>
        <v/>
      </c>
    </row>
    <row r="3646">
      <c r="A3646" s="2" t="inlineStr">
        <is>
          <t>SN-3000-3300-3320-3320SN0013</t>
        </is>
      </c>
      <c r="B3646" s="2" t="inlineStr">
        <is>
          <t>3320SN0013</t>
        </is>
      </c>
      <c r="C3646" s="2" t="inlineStr">
        <is>
          <t>Bomba harnero SN0013</t>
        </is>
      </c>
      <c r="D3646" s="2" t="n">
        <v>1215</v>
      </c>
      <c r="E3646" s="2" t="inlineStr">
        <is>
          <t>CC-3000</t>
        </is>
      </c>
      <c r="F3646" s="2" t="inlineStr">
        <is>
          <t>P01</t>
        </is>
      </c>
      <c r="G3646" s="2" t="n">
        <v>630000</v>
      </c>
      <c r="H3646" s="2" t="inlineStr">
        <is>
          <t>Servicios externos</t>
        </is>
      </c>
      <c r="I3646" s="9" t="n">
        <v>1363.72</v>
      </c>
      <c r="J3646" s="9" t="n">
        <v>1380.82</v>
      </c>
      <c r="K3646" s="9" t="n">
        <v>1282.44</v>
      </c>
      <c r="L3646" s="9" t="n">
        <v>1400.12</v>
      </c>
      <c r="M3646" s="9" t="n">
        <v>1318.68</v>
      </c>
      <c r="N3646" s="9" t="n">
        <v>1347.71</v>
      </c>
      <c r="O3646" s="9" t="n">
        <v>1380.38</v>
      </c>
      <c r="P3646" s="9" t="n">
        <v>1390.23</v>
      </c>
      <c r="Q3646" s="9" t="n">
        <v>1253.2</v>
      </c>
      <c r="R3646" s="9" t="n">
        <v>1490.97</v>
      </c>
      <c r="S3646" s="9" t="n">
        <v>1244.46</v>
      </c>
      <c r="T3646" s="9" t="n">
        <v>1274.27</v>
      </c>
      <c r="U3646" s="10">
        <f>SUM(I3646:T3646)</f>
        <v/>
      </c>
    </row>
    <row r="3647">
      <c r="A3647" s="2" t="inlineStr">
        <is>
          <t>SN-3000-3300-3320-3320SN0014</t>
        </is>
      </c>
      <c r="B3647" s="2" t="inlineStr">
        <is>
          <t>3320SN0014</t>
        </is>
      </c>
      <c r="C3647" s="2" t="inlineStr">
        <is>
          <t>Bomba harnero SN0014</t>
        </is>
      </c>
      <c r="D3647" s="2" t="n">
        <v>1216</v>
      </c>
      <c r="E3647" s="2" t="inlineStr">
        <is>
          <t>CC-3000</t>
        </is>
      </c>
      <c r="F3647" s="2" t="inlineStr">
        <is>
          <t>P01</t>
        </is>
      </c>
      <c r="G3647" s="2" t="n">
        <v>610000</v>
      </c>
      <c r="H3647" s="2" t="inlineStr">
        <is>
          <t>Mano obra interna</t>
        </is>
      </c>
      <c r="I3647" s="9" t="n">
        <v>1838.57</v>
      </c>
      <c r="J3647" s="9" t="n">
        <v>1597.7</v>
      </c>
      <c r="K3647" s="9" t="n">
        <v>1896</v>
      </c>
      <c r="L3647" s="9" t="n">
        <v>1731.32</v>
      </c>
      <c r="M3647" s="9" t="n">
        <v>1662.54</v>
      </c>
      <c r="N3647" s="9" t="n">
        <v>1692.42</v>
      </c>
      <c r="O3647" s="9" t="n">
        <v>1755.79</v>
      </c>
      <c r="P3647" s="9" t="n">
        <v>1745.26</v>
      </c>
      <c r="Q3647" s="9" t="n">
        <v>1552.57</v>
      </c>
      <c r="R3647" s="9" t="n">
        <v>2009.8</v>
      </c>
      <c r="S3647" s="9" t="n">
        <v>1801.53</v>
      </c>
      <c r="T3647" s="9" t="n">
        <v>1621.95</v>
      </c>
      <c r="U3647" s="10">
        <f>SUM(I3647:T3647)</f>
        <v/>
      </c>
    </row>
    <row r="3648">
      <c r="A3648" s="2" t="inlineStr">
        <is>
          <t>SN-3000-3300-3320-3320SN0014</t>
        </is>
      </c>
      <c r="B3648" s="2" t="inlineStr">
        <is>
          <t>3320SN0014</t>
        </is>
      </c>
      <c r="C3648" s="2" t="inlineStr">
        <is>
          <t>Bomba harnero SN0014</t>
        </is>
      </c>
      <c r="D3648" s="2" t="n">
        <v>1216</v>
      </c>
      <c r="E3648" s="2" t="inlineStr">
        <is>
          <t>CC-3000</t>
        </is>
      </c>
      <c r="F3648" s="2" t="inlineStr">
        <is>
          <t>P01</t>
        </is>
      </c>
      <c r="G3648" s="2" t="n">
        <v>620000</v>
      </c>
      <c r="H3648" s="2" t="inlineStr">
        <is>
          <t>Materiales</t>
        </is>
      </c>
      <c r="I3648" s="9" t="n">
        <v>1356.52</v>
      </c>
      <c r="J3648" s="9" t="n">
        <v>1490.41</v>
      </c>
      <c r="K3648" s="9" t="n">
        <v>1569.78</v>
      </c>
      <c r="L3648" s="9" t="n">
        <v>1468.89</v>
      </c>
      <c r="M3648" s="9" t="n">
        <v>1495.27</v>
      </c>
      <c r="N3648" s="9" t="n">
        <v>1414.64</v>
      </c>
      <c r="O3648" s="9" t="n">
        <v>1433.57</v>
      </c>
      <c r="P3648" s="9" t="n">
        <v>1400.74</v>
      </c>
      <c r="Q3648" s="9" t="n">
        <v>1284.07</v>
      </c>
      <c r="R3648" s="9" t="n">
        <v>1485.92</v>
      </c>
      <c r="S3648" s="9" t="n">
        <v>1401.03</v>
      </c>
      <c r="T3648" s="9" t="n">
        <v>1376.76</v>
      </c>
      <c r="U3648" s="10">
        <f>SUM(I3648:T3648)</f>
        <v/>
      </c>
    </row>
    <row r="3649">
      <c r="A3649" s="2" t="inlineStr">
        <is>
          <t>SN-3000-3300-3320-3320SN0014</t>
        </is>
      </c>
      <c r="B3649" s="2" t="inlineStr">
        <is>
          <t>3320SN0014</t>
        </is>
      </c>
      <c r="C3649" s="2" t="inlineStr">
        <is>
          <t>Bomba harnero SN0014</t>
        </is>
      </c>
      <c r="D3649" s="2" t="n">
        <v>1216</v>
      </c>
      <c r="E3649" s="2" t="inlineStr">
        <is>
          <t>CC-3000</t>
        </is>
      </c>
      <c r="F3649" s="2" t="inlineStr">
        <is>
          <t>P01</t>
        </is>
      </c>
      <c r="G3649" s="2" t="n">
        <v>630000</v>
      </c>
      <c r="H3649" s="2" t="inlineStr">
        <is>
          <t>Servicios externos</t>
        </is>
      </c>
      <c r="I3649" s="9" t="n">
        <v>1278.98</v>
      </c>
      <c r="J3649" s="9" t="n">
        <v>1363.04</v>
      </c>
      <c r="K3649" s="9" t="n">
        <v>1513.28</v>
      </c>
      <c r="L3649" s="9" t="n">
        <v>1475.84</v>
      </c>
      <c r="M3649" s="9" t="n">
        <v>1389.56</v>
      </c>
      <c r="N3649" s="9" t="n">
        <v>1359</v>
      </c>
      <c r="O3649" s="9" t="n">
        <v>1341.87</v>
      </c>
      <c r="P3649" s="9" t="n">
        <v>1314.45</v>
      </c>
      <c r="Q3649" s="9" t="n">
        <v>1238.79</v>
      </c>
      <c r="R3649" s="9" t="n">
        <v>1367.78</v>
      </c>
      <c r="S3649" s="9" t="n">
        <v>1344.11</v>
      </c>
      <c r="T3649" s="9" t="n">
        <v>1307.77</v>
      </c>
      <c r="U3649" s="10">
        <f>SUM(I3649:T3649)</f>
        <v/>
      </c>
    </row>
    <row r="3650">
      <c r="A3650" s="2" t="inlineStr">
        <is>
          <t>SN-3000-3300-3320-3320SN0015</t>
        </is>
      </c>
      <c r="B3650" s="2" t="inlineStr">
        <is>
          <t>3320SN0015</t>
        </is>
      </c>
      <c r="C3650" s="2" t="inlineStr">
        <is>
          <t>Bomba harnero SN0015</t>
        </is>
      </c>
      <c r="D3650" s="2" t="n">
        <v>1217</v>
      </c>
      <c r="E3650" s="2" t="inlineStr">
        <is>
          <t>CC-3000</t>
        </is>
      </c>
      <c r="F3650" s="2" t="inlineStr">
        <is>
          <t>P01</t>
        </is>
      </c>
      <c r="G3650" s="2" t="n">
        <v>610000</v>
      </c>
      <c r="H3650" s="2" t="inlineStr">
        <is>
          <t>Mano obra interna</t>
        </is>
      </c>
      <c r="I3650" s="9" t="n">
        <v>625.8099999999999</v>
      </c>
      <c r="J3650" s="9" t="n">
        <v>607.62</v>
      </c>
      <c r="K3650" s="9" t="n">
        <v>714.12</v>
      </c>
      <c r="L3650" s="9" t="n">
        <v>617.62</v>
      </c>
      <c r="M3650" s="9" t="n">
        <v>638.24</v>
      </c>
      <c r="N3650" s="9" t="n">
        <v>573.54</v>
      </c>
      <c r="O3650" s="9" t="n">
        <v>603.02</v>
      </c>
      <c r="P3650" s="9" t="n">
        <v>658.3099999999999</v>
      </c>
      <c r="Q3650" s="9" t="n">
        <v>613</v>
      </c>
      <c r="R3650" s="9" t="n">
        <v>661.46</v>
      </c>
      <c r="S3650" s="9" t="n">
        <v>661.64</v>
      </c>
      <c r="T3650" s="9" t="n">
        <v>675.78</v>
      </c>
      <c r="U3650" s="10">
        <f>SUM(I3650:T3650)</f>
        <v/>
      </c>
    </row>
    <row r="3651">
      <c r="A3651" s="2" t="inlineStr">
        <is>
          <t>SN-3000-3300-3320-3320SN0015</t>
        </is>
      </c>
      <c r="B3651" s="2" t="inlineStr">
        <is>
          <t>3320SN0015</t>
        </is>
      </c>
      <c r="C3651" s="2" t="inlineStr">
        <is>
          <t>Bomba harnero SN0015</t>
        </is>
      </c>
      <c r="D3651" s="2" t="n">
        <v>1217</v>
      </c>
      <c r="E3651" s="2" t="inlineStr">
        <is>
          <t>CC-3000</t>
        </is>
      </c>
      <c r="F3651" s="2" t="inlineStr">
        <is>
          <t>P01</t>
        </is>
      </c>
      <c r="G3651" s="2" t="n">
        <v>620000</v>
      </c>
      <c r="H3651" s="2" t="inlineStr">
        <is>
          <t>Materiales</t>
        </is>
      </c>
      <c r="I3651" s="9" t="n">
        <v>529.88</v>
      </c>
      <c r="J3651" s="9" t="n">
        <v>554.3200000000001</v>
      </c>
      <c r="K3651" s="9" t="n">
        <v>578.8</v>
      </c>
      <c r="L3651" s="9" t="n">
        <v>521.7</v>
      </c>
      <c r="M3651" s="9" t="n">
        <v>522.3200000000001</v>
      </c>
      <c r="N3651" s="9" t="n">
        <v>493.63</v>
      </c>
      <c r="O3651" s="9" t="n">
        <v>523.26</v>
      </c>
      <c r="P3651" s="9" t="n">
        <v>522.0599999999999</v>
      </c>
      <c r="Q3651" s="9" t="n">
        <v>541.79</v>
      </c>
      <c r="R3651" s="9" t="n">
        <v>606.6</v>
      </c>
      <c r="S3651" s="9" t="n">
        <v>547.02</v>
      </c>
      <c r="T3651" s="9" t="n">
        <v>529.3200000000001</v>
      </c>
      <c r="U3651" s="10">
        <f>SUM(I3651:T3651)</f>
        <v/>
      </c>
    </row>
    <row r="3652">
      <c r="A3652" s="2" t="inlineStr">
        <is>
          <t>SN-3000-3300-3320-3320SN0015</t>
        </is>
      </c>
      <c r="B3652" s="2" t="inlineStr">
        <is>
          <t>3320SN0015</t>
        </is>
      </c>
      <c r="C3652" s="2" t="inlineStr">
        <is>
          <t>Bomba harnero SN0015</t>
        </is>
      </c>
      <c r="D3652" s="2" t="n">
        <v>1217</v>
      </c>
      <c r="E3652" s="2" t="inlineStr">
        <is>
          <t>CC-3000</t>
        </is>
      </c>
      <c r="F3652" s="2" t="inlineStr">
        <is>
          <t>P01</t>
        </is>
      </c>
      <c r="G3652" s="2" t="n">
        <v>630000</v>
      </c>
      <c r="H3652" s="2" t="inlineStr">
        <is>
          <t>Servicios externos</t>
        </is>
      </c>
      <c r="I3652" s="9" t="n">
        <v>470.9</v>
      </c>
      <c r="J3652" s="9" t="n">
        <v>493.01</v>
      </c>
      <c r="K3652" s="9" t="n">
        <v>494.51</v>
      </c>
      <c r="L3652" s="9" t="n">
        <v>482.4</v>
      </c>
      <c r="M3652" s="9" t="n">
        <v>455.85</v>
      </c>
      <c r="N3652" s="9" t="n">
        <v>503.11</v>
      </c>
      <c r="O3652" s="9" t="n">
        <v>504.56</v>
      </c>
      <c r="P3652" s="9" t="n">
        <v>464.85</v>
      </c>
      <c r="Q3652" s="9" t="n">
        <v>481.76</v>
      </c>
      <c r="R3652" s="9" t="n">
        <v>557.22</v>
      </c>
      <c r="S3652" s="9" t="n">
        <v>464.33</v>
      </c>
      <c r="T3652" s="9" t="n">
        <v>478.63</v>
      </c>
      <c r="U3652" s="10">
        <f>SUM(I3652:T3652)</f>
        <v/>
      </c>
    </row>
    <row r="3653">
      <c r="A3653" s="2" t="inlineStr">
        <is>
          <t>SN-3000-3300-3320-3320SN0016</t>
        </is>
      </c>
      <c r="B3653" s="2" t="inlineStr">
        <is>
          <t>3320SN0016</t>
        </is>
      </c>
      <c r="C3653" s="2" t="inlineStr">
        <is>
          <t>Bomba harnero SN0016</t>
        </is>
      </c>
      <c r="D3653" s="2" t="n">
        <v>1218</v>
      </c>
      <c r="E3653" s="2" t="inlineStr">
        <is>
          <t>CC-3000</t>
        </is>
      </c>
      <c r="F3653" s="2" t="inlineStr">
        <is>
          <t>P01</t>
        </is>
      </c>
      <c r="G3653" s="2" t="n">
        <v>610000</v>
      </c>
      <c r="H3653" s="2" t="inlineStr">
        <is>
          <t>Mano obra interna</t>
        </is>
      </c>
      <c r="I3653" s="9" t="n">
        <v>1364.09</v>
      </c>
      <c r="J3653" s="9" t="n">
        <v>1428.1</v>
      </c>
      <c r="K3653" s="9" t="n">
        <v>1313.69</v>
      </c>
      <c r="L3653" s="9" t="n">
        <v>1403.82</v>
      </c>
      <c r="M3653" s="9" t="n">
        <v>1289.79</v>
      </c>
      <c r="N3653" s="9" t="n">
        <v>1349.5</v>
      </c>
      <c r="O3653" s="9" t="n">
        <v>1483.65</v>
      </c>
      <c r="P3653" s="9" t="n">
        <v>1353.45</v>
      </c>
      <c r="Q3653" s="9" t="n">
        <v>1196.97</v>
      </c>
      <c r="R3653" s="9" t="n">
        <v>1438.21</v>
      </c>
      <c r="S3653" s="9" t="n">
        <v>1413.13</v>
      </c>
      <c r="T3653" s="9" t="n">
        <v>1453.37</v>
      </c>
      <c r="U3653" s="10">
        <f>SUM(I3653:T3653)</f>
        <v/>
      </c>
    </row>
    <row r="3654">
      <c r="A3654" s="2" t="inlineStr">
        <is>
          <t>SN-3000-3300-3320-3320SN0016</t>
        </is>
      </c>
      <c r="B3654" s="2" t="inlineStr">
        <is>
          <t>3320SN0016</t>
        </is>
      </c>
      <c r="C3654" s="2" t="inlineStr">
        <is>
          <t>Bomba harnero SN0016</t>
        </is>
      </c>
      <c r="D3654" s="2" t="n">
        <v>1218</v>
      </c>
      <c r="E3654" s="2" t="inlineStr">
        <is>
          <t>CC-3000</t>
        </is>
      </c>
      <c r="F3654" s="2" t="inlineStr">
        <is>
          <t>P01</t>
        </is>
      </c>
      <c r="G3654" s="2" t="n">
        <v>620000</v>
      </c>
      <c r="H3654" s="2" t="inlineStr">
        <is>
          <t>Materiales</t>
        </is>
      </c>
      <c r="I3654" s="9" t="n">
        <v>1203.28</v>
      </c>
      <c r="J3654" s="9" t="n">
        <v>1103.47</v>
      </c>
      <c r="K3654" s="9" t="n">
        <v>1073.51</v>
      </c>
      <c r="L3654" s="9" t="n">
        <v>1136.18</v>
      </c>
      <c r="M3654" s="9" t="n">
        <v>1079.11</v>
      </c>
      <c r="N3654" s="9" t="n">
        <v>1104.42</v>
      </c>
      <c r="O3654" s="9" t="n">
        <v>1072.04</v>
      </c>
      <c r="P3654" s="9" t="n">
        <v>1164.02</v>
      </c>
      <c r="Q3654" s="9" t="n">
        <v>1074.05</v>
      </c>
      <c r="R3654" s="9" t="n">
        <v>1218.25</v>
      </c>
      <c r="S3654" s="9" t="n">
        <v>1022.77</v>
      </c>
      <c r="T3654" s="9" t="n">
        <v>1199.2</v>
      </c>
      <c r="U3654" s="10">
        <f>SUM(I3654:T3654)</f>
        <v/>
      </c>
    </row>
    <row r="3655">
      <c r="A3655" s="2" t="inlineStr">
        <is>
          <t>SN-3000-3300-3320-3320SN0016</t>
        </is>
      </c>
      <c r="B3655" s="2" t="inlineStr">
        <is>
          <t>3320SN0016</t>
        </is>
      </c>
      <c r="C3655" s="2" t="inlineStr">
        <is>
          <t>Bomba harnero SN0016</t>
        </is>
      </c>
      <c r="D3655" s="2" t="n">
        <v>1218</v>
      </c>
      <c r="E3655" s="2" t="inlineStr">
        <is>
          <t>CC-3000</t>
        </is>
      </c>
      <c r="F3655" s="2" t="inlineStr">
        <is>
          <t>P01</t>
        </is>
      </c>
      <c r="G3655" s="2" t="n">
        <v>630000</v>
      </c>
      <c r="H3655" s="2" t="inlineStr">
        <is>
          <t>Servicios externos</t>
        </is>
      </c>
      <c r="I3655" s="9" t="n">
        <v>1332.68</v>
      </c>
      <c r="J3655" s="9" t="n">
        <v>1152.1</v>
      </c>
      <c r="K3655" s="9" t="n">
        <v>1362.12</v>
      </c>
      <c r="L3655" s="9" t="n">
        <v>1315.92</v>
      </c>
      <c r="M3655" s="9" t="n">
        <v>1300.06</v>
      </c>
      <c r="N3655" s="9" t="n">
        <v>1117.79</v>
      </c>
      <c r="O3655" s="9" t="n">
        <v>1212.51</v>
      </c>
      <c r="P3655" s="9" t="n">
        <v>1145.8</v>
      </c>
      <c r="Q3655" s="9" t="n">
        <v>1074.58</v>
      </c>
      <c r="R3655" s="9" t="n">
        <v>1275.99</v>
      </c>
      <c r="S3655" s="9" t="n">
        <v>1272.15</v>
      </c>
      <c r="T3655" s="9" t="n">
        <v>1277.03</v>
      </c>
      <c r="U3655" s="10">
        <f>SUM(I3655:T3655)</f>
        <v/>
      </c>
    </row>
    <row r="3656">
      <c r="A3656" s="2" t="inlineStr">
        <is>
          <t>SN-3000-3300-3320-3320SN0017</t>
        </is>
      </c>
      <c r="B3656" s="2" t="inlineStr">
        <is>
          <t>3320SN0017</t>
        </is>
      </c>
      <c r="C3656" s="2" t="inlineStr">
        <is>
          <t>Bomba harnero SN0017</t>
        </is>
      </c>
      <c r="D3656" s="2" t="n">
        <v>1219</v>
      </c>
      <c r="E3656" s="2" t="inlineStr">
        <is>
          <t>CC-3000</t>
        </is>
      </c>
      <c r="F3656" s="2" t="inlineStr">
        <is>
          <t>P01</t>
        </is>
      </c>
      <c r="G3656" s="2" t="n">
        <v>610000</v>
      </c>
      <c r="H3656" s="2" t="inlineStr">
        <is>
          <t>Mano obra interna</t>
        </is>
      </c>
      <c r="I3656" s="9" t="n">
        <v>1966.71</v>
      </c>
      <c r="J3656" s="9" t="n">
        <v>1836.58</v>
      </c>
      <c r="K3656" s="9" t="n">
        <v>1973.4</v>
      </c>
      <c r="L3656" s="9" t="n">
        <v>1960.99</v>
      </c>
      <c r="M3656" s="9" t="n">
        <v>1848.67</v>
      </c>
      <c r="N3656" s="9" t="n">
        <v>1646.46</v>
      </c>
      <c r="O3656" s="9" t="n">
        <v>1939.5</v>
      </c>
      <c r="P3656" s="9" t="n">
        <v>1744.36</v>
      </c>
      <c r="Q3656" s="9" t="n">
        <v>1717.72</v>
      </c>
      <c r="R3656" s="9" t="n">
        <v>2043.63</v>
      </c>
      <c r="S3656" s="9" t="n">
        <v>1648.21</v>
      </c>
      <c r="T3656" s="9" t="n">
        <v>1854.39</v>
      </c>
      <c r="U3656" s="10">
        <f>SUM(I3656:T3656)</f>
        <v/>
      </c>
    </row>
    <row r="3657">
      <c r="A3657" s="2" t="inlineStr">
        <is>
          <t>SN-3000-3300-3320-3320SN0017</t>
        </is>
      </c>
      <c r="B3657" s="2" t="inlineStr">
        <is>
          <t>3320SN0017</t>
        </is>
      </c>
      <c r="C3657" s="2" t="inlineStr">
        <is>
          <t>Bomba harnero SN0017</t>
        </is>
      </c>
      <c r="D3657" s="2" t="n">
        <v>1219</v>
      </c>
      <c r="E3657" s="2" t="inlineStr">
        <is>
          <t>CC-3000</t>
        </is>
      </c>
      <c r="F3657" s="2" t="inlineStr">
        <is>
          <t>P01</t>
        </is>
      </c>
      <c r="G3657" s="2" t="n">
        <v>620000</v>
      </c>
      <c r="H3657" s="2" t="inlineStr">
        <is>
          <t>Materiales</t>
        </is>
      </c>
      <c r="I3657" s="9" t="n">
        <v>1796.31</v>
      </c>
      <c r="J3657" s="9" t="n">
        <v>1665.76</v>
      </c>
      <c r="K3657" s="9" t="n">
        <v>2005.39</v>
      </c>
      <c r="L3657" s="9" t="n">
        <v>1765.89</v>
      </c>
      <c r="M3657" s="9" t="n">
        <v>1925.56</v>
      </c>
      <c r="N3657" s="9" t="n">
        <v>1782.35</v>
      </c>
      <c r="O3657" s="9" t="n">
        <v>1871.07</v>
      </c>
      <c r="P3657" s="9" t="n">
        <v>1929.72</v>
      </c>
      <c r="Q3657" s="9" t="n">
        <v>1710.45</v>
      </c>
      <c r="R3657" s="9" t="n">
        <v>1933.4</v>
      </c>
      <c r="S3657" s="9" t="n">
        <v>1673.46</v>
      </c>
      <c r="T3657" s="9" t="n">
        <v>1882.91</v>
      </c>
      <c r="U3657" s="10">
        <f>SUM(I3657:T3657)</f>
        <v/>
      </c>
    </row>
    <row r="3658">
      <c r="A3658" s="2" t="inlineStr">
        <is>
          <t>SN-3000-3300-3320-3320SN0017</t>
        </is>
      </c>
      <c r="B3658" s="2" t="inlineStr">
        <is>
          <t>3320SN0017</t>
        </is>
      </c>
      <c r="C3658" s="2" t="inlineStr">
        <is>
          <t>Bomba harnero SN0017</t>
        </is>
      </c>
      <c r="D3658" s="2" t="n">
        <v>1219</v>
      </c>
      <c r="E3658" s="2" t="inlineStr">
        <is>
          <t>CC-3000</t>
        </is>
      </c>
      <c r="F3658" s="2" t="inlineStr">
        <is>
          <t>P01</t>
        </is>
      </c>
      <c r="G3658" s="2" t="n">
        <v>630000</v>
      </c>
      <c r="H3658" s="2" t="inlineStr">
        <is>
          <t>Servicios externos</t>
        </is>
      </c>
      <c r="I3658" s="9" t="n">
        <v>1883.88</v>
      </c>
      <c r="J3658" s="9" t="n">
        <v>1909.54</v>
      </c>
      <c r="K3658" s="9" t="n">
        <v>1949.63</v>
      </c>
      <c r="L3658" s="9" t="n">
        <v>2045.76</v>
      </c>
      <c r="M3658" s="9" t="n">
        <v>1906.58</v>
      </c>
      <c r="N3658" s="9" t="n">
        <v>1951.11</v>
      </c>
      <c r="O3658" s="9" t="n">
        <v>1914.7</v>
      </c>
      <c r="P3658" s="9" t="n">
        <v>2025.15</v>
      </c>
      <c r="Q3658" s="9" t="n">
        <v>1782.27</v>
      </c>
      <c r="R3658" s="9" t="n">
        <v>2077.12</v>
      </c>
      <c r="S3658" s="9" t="n">
        <v>1808.03</v>
      </c>
      <c r="T3658" s="9" t="n">
        <v>1905.75</v>
      </c>
      <c r="U3658" s="10">
        <f>SUM(I3658:T3658)</f>
        <v/>
      </c>
    </row>
    <row r="3659">
      <c r="A3659" s="2" t="inlineStr">
        <is>
          <t>SN-3000-3300-3320-3320SN0018</t>
        </is>
      </c>
      <c r="B3659" s="2" t="inlineStr">
        <is>
          <t>3320SN0018</t>
        </is>
      </c>
      <c r="C3659" s="2" t="inlineStr">
        <is>
          <t>Bomba harnero SN0018</t>
        </is>
      </c>
      <c r="D3659" s="2" t="n">
        <v>1220</v>
      </c>
      <c r="E3659" s="2" t="inlineStr">
        <is>
          <t>CC-3000</t>
        </is>
      </c>
      <c r="F3659" s="2" t="inlineStr">
        <is>
          <t>P01</t>
        </is>
      </c>
      <c r="G3659" s="2" t="n">
        <v>610000</v>
      </c>
      <c r="H3659" s="2" t="inlineStr">
        <is>
          <t>Mano obra interna</t>
        </is>
      </c>
      <c r="I3659" s="9" t="n">
        <v>2610.39</v>
      </c>
      <c r="J3659" s="9" t="n">
        <v>2475.44</v>
      </c>
      <c r="K3659" s="9" t="n">
        <v>2906.03</v>
      </c>
      <c r="L3659" s="9" t="n">
        <v>2768.18</v>
      </c>
      <c r="M3659" s="9" t="n">
        <v>2556.63</v>
      </c>
      <c r="N3659" s="9" t="n">
        <v>2530.33</v>
      </c>
      <c r="O3659" s="9" t="n">
        <v>2687.42</v>
      </c>
      <c r="P3659" s="9" t="n">
        <v>2712.96</v>
      </c>
      <c r="Q3659" s="9" t="n">
        <v>2618.54</v>
      </c>
      <c r="R3659" s="9" t="n">
        <v>2836.6</v>
      </c>
      <c r="S3659" s="9" t="n">
        <v>2663.24</v>
      </c>
      <c r="T3659" s="9" t="n">
        <v>2860.71</v>
      </c>
      <c r="U3659" s="10">
        <f>SUM(I3659:T3659)</f>
        <v/>
      </c>
    </row>
    <row r="3660">
      <c r="A3660" s="2" t="inlineStr">
        <is>
          <t>SN-3000-3300-3320-3320SN0018</t>
        </is>
      </c>
      <c r="B3660" s="2" t="inlineStr">
        <is>
          <t>3320SN0018</t>
        </is>
      </c>
      <c r="C3660" s="2" t="inlineStr">
        <is>
          <t>Bomba harnero SN0018</t>
        </is>
      </c>
      <c r="D3660" s="2" t="n">
        <v>1220</v>
      </c>
      <c r="E3660" s="2" t="inlineStr">
        <is>
          <t>CC-3000</t>
        </is>
      </c>
      <c r="F3660" s="2" t="inlineStr">
        <is>
          <t>P01</t>
        </is>
      </c>
      <c r="G3660" s="2" t="n">
        <v>620000</v>
      </c>
      <c r="H3660" s="2" t="inlineStr">
        <is>
          <t>Materiales</t>
        </is>
      </c>
      <c r="I3660" s="9" t="n">
        <v>2417.69</v>
      </c>
      <c r="J3660" s="9" t="n">
        <v>2369.72</v>
      </c>
      <c r="K3660" s="9" t="n">
        <v>2581.88</v>
      </c>
      <c r="L3660" s="9" t="n">
        <v>2675.12</v>
      </c>
      <c r="M3660" s="9" t="n">
        <v>2553.13</v>
      </c>
      <c r="N3660" s="9" t="n">
        <v>2388.61</v>
      </c>
      <c r="O3660" s="9" t="n">
        <v>2657.26</v>
      </c>
      <c r="P3660" s="9" t="n">
        <v>2439.36</v>
      </c>
      <c r="Q3660" s="9" t="n">
        <v>2420.59</v>
      </c>
      <c r="R3660" s="9" t="n">
        <v>2794.04</v>
      </c>
      <c r="S3660" s="9" t="n">
        <v>2542.33</v>
      </c>
      <c r="T3660" s="9" t="n">
        <v>2697.07</v>
      </c>
      <c r="U3660" s="10">
        <f>SUM(I3660:T3660)</f>
        <v/>
      </c>
    </row>
    <row r="3661">
      <c r="A3661" s="2" t="inlineStr">
        <is>
          <t>SN-3000-3300-3320-3320SN0018</t>
        </is>
      </c>
      <c r="B3661" s="2" t="inlineStr">
        <is>
          <t>3320SN0018</t>
        </is>
      </c>
      <c r="C3661" s="2" t="inlineStr">
        <is>
          <t>Bomba harnero SN0018</t>
        </is>
      </c>
      <c r="D3661" s="2" t="n">
        <v>1220</v>
      </c>
      <c r="E3661" s="2" t="inlineStr">
        <is>
          <t>CC-3000</t>
        </is>
      </c>
      <c r="F3661" s="2" t="inlineStr">
        <is>
          <t>P01</t>
        </is>
      </c>
      <c r="G3661" s="2" t="n">
        <v>630000</v>
      </c>
      <c r="H3661" s="2" t="inlineStr">
        <is>
          <t>Servicios externos</t>
        </is>
      </c>
      <c r="I3661" s="9" t="n">
        <v>2249.32</v>
      </c>
      <c r="J3661" s="9" t="n">
        <v>2266.84</v>
      </c>
      <c r="K3661" s="9" t="n">
        <v>2524.77</v>
      </c>
      <c r="L3661" s="9" t="n">
        <v>2494.55</v>
      </c>
      <c r="M3661" s="9" t="n">
        <v>2232.07</v>
      </c>
      <c r="N3661" s="9" t="n">
        <v>2054.04</v>
      </c>
      <c r="O3661" s="9" t="n">
        <v>2320.88</v>
      </c>
      <c r="P3661" s="9" t="n">
        <v>2304.86</v>
      </c>
      <c r="Q3661" s="9" t="n">
        <v>2013.18</v>
      </c>
      <c r="R3661" s="9" t="n">
        <v>2615.69</v>
      </c>
      <c r="S3661" s="9" t="n">
        <v>2164.58</v>
      </c>
      <c r="T3661" s="9" t="n">
        <v>2405.39</v>
      </c>
      <c r="U3661" s="10">
        <f>SUM(I3661:T3661)</f>
        <v/>
      </c>
    </row>
    <row r="3662">
      <c r="A3662" s="2" t="inlineStr">
        <is>
          <t>SN-3000-3300-3320-3320SN0019</t>
        </is>
      </c>
      <c r="B3662" s="2" t="inlineStr">
        <is>
          <t>3320SN0019</t>
        </is>
      </c>
      <c r="C3662" s="2" t="inlineStr">
        <is>
          <t>Bomba harnero SN0019</t>
        </is>
      </c>
      <c r="D3662" s="2" t="n">
        <v>1221</v>
      </c>
      <c r="E3662" s="2" t="inlineStr">
        <is>
          <t>CC-3000</t>
        </is>
      </c>
      <c r="F3662" s="2" t="inlineStr">
        <is>
          <t>P01</t>
        </is>
      </c>
      <c r="G3662" s="2" t="n">
        <v>610000</v>
      </c>
      <c r="H3662" s="2" t="inlineStr">
        <is>
          <t>Mano obra interna</t>
        </is>
      </c>
      <c r="I3662" s="9" t="n">
        <v>486.27</v>
      </c>
      <c r="J3662" s="9" t="n">
        <v>460.51</v>
      </c>
      <c r="K3662" s="9" t="n">
        <v>456.3</v>
      </c>
      <c r="L3662" s="9" t="n">
        <v>469.81</v>
      </c>
      <c r="M3662" s="9" t="n">
        <v>423.4</v>
      </c>
      <c r="N3662" s="9" t="n">
        <v>464</v>
      </c>
      <c r="O3662" s="9" t="n">
        <v>471.9</v>
      </c>
      <c r="P3662" s="9" t="n">
        <v>470.81</v>
      </c>
      <c r="Q3662" s="9" t="n">
        <v>395.97</v>
      </c>
      <c r="R3662" s="9" t="n">
        <v>448.19</v>
      </c>
      <c r="S3662" s="9" t="n">
        <v>441.92</v>
      </c>
      <c r="T3662" s="9" t="n">
        <v>431.01</v>
      </c>
      <c r="U3662" s="10">
        <f>SUM(I3662:T3662)</f>
        <v/>
      </c>
    </row>
    <row r="3663">
      <c r="A3663" s="2" t="inlineStr">
        <is>
          <t>SN-3000-3300-3320-3320SN0019</t>
        </is>
      </c>
      <c r="B3663" s="2" t="inlineStr">
        <is>
          <t>3320SN0019</t>
        </is>
      </c>
      <c r="C3663" s="2" t="inlineStr">
        <is>
          <t>Bomba harnero SN0019</t>
        </is>
      </c>
      <c r="D3663" s="2" t="n">
        <v>1221</v>
      </c>
      <c r="E3663" s="2" t="inlineStr">
        <is>
          <t>CC-3000</t>
        </is>
      </c>
      <c r="F3663" s="2" t="inlineStr">
        <is>
          <t>P01</t>
        </is>
      </c>
      <c r="G3663" s="2" t="n">
        <v>620000</v>
      </c>
      <c r="H3663" s="2" t="inlineStr">
        <is>
          <t>Materiales</t>
        </is>
      </c>
      <c r="I3663" s="9" t="n">
        <v>539.47</v>
      </c>
      <c r="J3663" s="9" t="n">
        <v>513.91</v>
      </c>
      <c r="K3663" s="9" t="n">
        <v>514.9</v>
      </c>
      <c r="L3663" s="9" t="n">
        <v>590.9</v>
      </c>
      <c r="M3663" s="9" t="n">
        <v>568.78</v>
      </c>
      <c r="N3663" s="9" t="n">
        <v>481.92</v>
      </c>
      <c r="O3663" s="9" t="n">
        <v>521.55</v>
      </c>
      <c r="P3663" s="9" t="n">
        <v>525.89</v>
      </c>
      <c r="Q3663" s="9" t="n">
        <v>482.41</v>
      </c>
      <c r="R3663" s="9" t="n">
        <v>617.8099999999999</v>
      </c>
      <c r="S3663" s="9" t="n">
        <v>536.9</v>
      </c>
      <c r="T3663" s="9" t="n">
        <v>583.25</v>
      </c>
      <c r="U3663" s="10">
        <f>SUM(I3663:T3663)</f>
        <v/>
      </c>
    </row>
    <row r="3664">
      <c r="A3664" s="2" t="inlineStr">
        <is>
          <t>SN-3000-3300-3320-3320SN0019</t>
        </is>
      </c>
      <c r="B3664" s="2" t="inlineStr">
        <is>
          <t>3320SN0019</t>
        </is>
      </c>
      <c r="C3664" s="2" t="inlineStr">
        <is>
          <t>Bomba harnero SN0019</t>
        </is>
      </c>
      <c r="D3664" s="2" t="n">
        <v>1221</v>
      </c>
      <c r="E3664" s="2" t="inlineStr">
        <is>
          <t>CC-3000</t>
        </is>
      </c>
      <c r="F3664" s="2" t="inlineStr">
        <is>
          <t>P01</t>
        </is>
      </c>
      <c r="G3664" s="2" t="n">
        <v>630000</v>
      </c>
      <c r="H3664" s="2" t="inlineStr">
        <is>
          <t>Servicios externos</t>
        </is>
      </c>
      <c r="I3664" s="9" t="n">
        <v>580.4</v>
      </c>
      <c r="J3664" s="9" t="n">
        <v>554.98</v>
      </c>
      <c r="K3664" s="9" t="n">
        <v>596.6</v>
      </c>
      <c r="L3664" s="9" t="n">
        <v>574.79</v>
      </c>
      <c r="M3664" s="9" t="n">
        <v>513.72</v>
      </c>
      <c r="N3664" s="9" t="n">
        <v>534.67</v>
      </c>
      <c r="O3664" s="9" t="n">
        <v>547.86</v>
      </c>
      <c r="P3664" s="9" t="n">
        <v>587.98</v>
      </c>
      <c r="Q3664" s="9" t="n">
        <v>509.35</v>
      </c>
      <c r="R3664" s="9" t="n">
        <v>545.63</v>
      </c>
      <c r="S3664" s="9" t="n">
        <v>508.9</v>
      </c>
      <c r="T3664" s="9" t="n">
        <v>591.4299999999999</v>
      </c>
      <c r="U3664" s="10">
        <f>SUM(I3664:T3664)</f>
        <v/>
      </c>
    </row>
    <row r="3665">
      <c r="A3665" s="2" t="inlineStr">
        <is>
          <t>SN-3000-3300-3320-3320SN0020</t>
        </is>
      </c>
      <c r="B3665" s="2" t="inlineStr">
        <is>
          <t>3320SN0020</t>
        </is>
      </c>
      <c r="C3665" s="2" t="inlineStr">
        <is>
          <t>Bomba harnero SN0020</t>
        </is>
      </c>
      <c r="D3665" s="2" t="n">
        <v>1222</v>
      </c>
      <c r="E3665" s="2" t="inlineStr">
        <is>
          <t>CC-3000</t>
        </is>
      </c>
      <c r="F3665" s="2" t="inlineStr">
        <is>
          <t>P01</t>
        </is>
      </c>
      <c r="G3665" s="2" t="n">
        <v>610000</v>
      </c>
      <c r="H3665" s="2" t="inlineStr">
        <is>
          <t>Mano obra interna</t>
        </is>
      </c>
      <c r="I3665" s="9" t="n">
        <v>1364.24</v>
      </c>
      <c r="J3665" s="9" t="n">
        <v>1179.7</v>
      </c>
      <c r="K3665" s="9" t="n">
        <v>1228.65</v>
      </c>
      <c r="L3665" s="9" t="n">
        <v>1313.37</v>
      </c>
      <c r="M3665" s="9" t="n">
        <v>1377.92</v>
      </c>
      <c r="N3665" s="9" t="n">
        <v>1305.44</v>
      </c>
      <c r="O3665" s="9" t="n">
        <v>1379.22</v>
      </c>
      <c r="P3665" s="9" t="n">
        <v>1313.75</v>
      </c>
      <c r="Q3665" s="9" t="n">
        <v>1269.09</v>
      </c>
      <c r="R3665" s="9" t="n">
        <v>1350.25</v>
      </c>
      <c r="S3665" s="9" t="n">
        <v>1153.69</v>
      </c>
      <c r="T3665" s="9" t="n">
        <v>1395.95</v>
      </c>
      <c r="U3665" s="10">
        <f>SUM(I3665:T3665)</f>
        <v/>
      </c>
    </row>
    <row r="3666">
      <c r="A3666" s="2" t="inlineStr">
        <is>
          <t>SN-3000-3300-3320-3320SN0020</t>
        </is>
      </c>
      <c r="B3666" s="2" t="inlineStr">
        <is>
          <t>3320SN0020</t>
        </is>
      </c>
      <c r="C3666" s="2" t="inlineStr">
        <is>
          <t>Bomba harnero SN0020</t>
        </is>
      </c>
      <c r="D3666" s="2" t="n">
        <v>1222</v>
      </c>
      <c r="E3666" s="2" t="inlineStr">
        <is>
          <t>CC-3000</t>
        </is>
      </c>
      <c r="F3666" s="2" t="inlineStr">
        <is>
          <t>P01</t>
        </is>
      </c>
      <c r="G3666" s="2" t="n">
        <v>620000</v>
      </c>
      <c r="H3666" s="2" t="inlineStr">
        <is>
          <t>Materiales</t>
        </is>
      </c>
      <c r="I3666" s="9" t="n">
        <v>1096.84</v>
      </c>
      <c r="J3666" s="9" t="n">
        <v>1046.81</v>
      </c>
      <c r="K3666" s="9" t="n">
        <v>1010.86</v>
      </c>
      <c r="L3666" s="9" t="n">
        <v>1007.83</v>
      </c>
      <c r="M3666" s="9" t="n">
        <v>997.77</v>
      </c>
      <c r="N3666" s="9" t="n">
        <v>1031.75</v>
      </c>
      <c r="O3666" s="9" t="n">
        <v>960.5599999999999</v>
      </c>
      <c r="P3666" s="9" t="n">
        <v>1020.37</v>
      </c>
      <c r="Q3666" s="9" t="n">
        <v>990.39</v>
      </c>
      <c r="R3666" s="9" t="n">
        <v>1059.08</v>
      </c>
      <c r="S3666" s="9" t="n">
        <v>942.34</v>
      </c>
      <c r="T3666" s="9" t="n">
        <v>1033.46</v>
      </c>
      <c r="U3666" s="10">
        <f>SUM(I3666:T3666)</f>
        <v/>
      </c>
    </row>
    <row r="3667">
      <c r="A3667" s="2" t="inlineStr">
        <is>
          <t>SN-3000-3300-3320-3320SN0020</t>
        </is>
      </c>
      <c r="B3667" s="2" t="inlineStr">
        <is>
          <t>3320SN0020</t>
        </is>
      </c>
      <c r="C3667" s="2" t="inlineStr">
        <is>
          <t>Bomba harnero SN0020</t>
        </is>
      </c>
      <c r="D3667" s="2" t="n">
        <v>1222</v>
      </c>
      <c r="E3667" s="2" t="inlineStr">
        <is>
          <t>CC-3000</t>
        </is>
      </c>
      <c r="F3667" s="2" t="inlineStr">
        <is>
          <t>P01</t>
        </is>
      </c>
      <c r="G3667" s="2" t="n">
        <v>630000</v>
      </c>
      <c r="H3667" s="2" t="inlineStr">
        <is>
          <t>Servicios externos</t>
        </is>
      </c>
      <c r="I3667" s="9" t="n">
        <v>1082.5</v>
      </c>
      <c r="J3667" s="9" t="n">
        <v>1096.64</v>
      </c>
      <c r="K3667" s="9" t="n">
        <v>983.74</v>
      </c>
      <c r="L3667" s="9" t="n">
        <v>1126.67</v>
      </c>
      <c r="M3667" s="9" t="n">
        <v>1014.02</v>
      </c>
      <c r="N3667" s="9" t="n">
        <v>1016.17</v>
      </c>
      <c r="O3667" s="9" t="n">
        <v>1094.35</v>
      </c>
      <c r="P3667" s="9" t="n">
        <v>1047.08</v>
      </c>
      <c r="Q3667" s="9" t="n">
        <v>901.98</v>
      </c>
      <c r="R3667" s="9" t="n">
        <v>1052.68</v>
      </c>
      <c r="S3667" s="9" t="n">
        <v>1049.02</v>
      </c>
      <c r="T3667" s="9" t="n">
        <v>1005.51</v>
      </c>
      <c r="U3667" s="10">
        <f>SUM(I3667:T3667)</f>
        <v/>
      </c>
    </row>
    <row r="3668">
      <c r="A3668" s="2" t="inlineStr">
        <is>
          <t>SN-3000-3300-3320-3320TA0007</t>
        </is>
      </c>
      <c r="B3668" s="2" t="inlineStr">
        <is>
          <t>3320TA0007</t>
        </is>
      </c>
      <c r="C3668" s="2" t="inlineStr">
        <is>
          <t>Agitador mecánico AG0007</t>
        </is>
      </c>
      <c r="D3668" s="2" t="n">
        <v>1223</v>
      </c>
      <c r="E3668" s="2" t="inlineStr">
        <is>
          <t>CC-3000</t>
        </is>
      </c>
      <c r="F3668" s="2" t="inlineStr">
        <is>
          <t>P01</t>
        </is>
      </c>
      <c r="G3668" s="2" t="n">
        <v>610000</v>
      </c>
      <c r="H3668" s="2" t="inlineStr">
        <is>
          <t>Mano obra interna</t>
        </is>
      </c>
      <c r="I3668" s="9" t="n">
        <v>2072.74</v>
      </c>
      <c r="J3668" s="9" t="n">
        <v>1959.39</v>
      </c>
      <c r="K3668" s="9" t="n">
        <v>2216.34</v>
      </c>
      <c r="L3668" s="9" t="n">
        <v>2176.99</v>
      </c>
      <c r="M3668" s="9" t="n">
        <v>2080.32</v>
      </c>
      <c r="N3668" s="9" t="n">
        <v>1923.8</v>
      </c>
      <c r="O3668" s="9" t="n">
        <v>1965.04</v>
      </c>
      <c r="P3668" s="9" t="n">
        <v>2057.73</v>
      </c>
      <c r="Q3668" s="9" t="n">
        <v>2009.08</v>
      </c>
      <c r="R3668" s="9" t="n">
        <v>2241.96</v>
      </c>
      <c r="S3668" s="9" t="n">
        <v>2138.03</v>
      </c>
      <c r="T3668" s="9" t="n">
        <v>1922.93</v>
      </c>
      <c r="U3668" s="10">
        <f>SUM(I3668:T3668)</f>
        <v/>
      </c>
    </row>
    <row r="3669">
      <c r="A3669" s="2" t="inlineStr">
        <is>
          <t>SN-3000-3300-3320-3320TA0007</t>
        </is>
      </c>
      <c r="B3669" s="2" t="inlineStr">
        <is>
          <t>3320TA0007</t>
        </is>
      </c>
      <c r="C3669" s="2" t="inlineStr">
        <is>
          <t>Agitador mecánico AG0007</t>
        </is>
      </c>
      <c r="D3669" s="2" t="n">
        <v>1223</v>
      </c>
      <c r="E3669" s="2" t="inlineStr">
        <is>
          <t>CC-3000</t>
        </is>
      </c>
      <c r="F3669" s="2" t="inlineStr">
        <is>
          <t>P01</t>
        </is>
      </c>
      <c r="G3669" s="2" t="n">
        <v>620000</v>
      </c>
      <c r="H3669" s="2" t="inlineStr">
        <is>
          <t>Materiales</t>
        </is>
      </c>
      <c r="I3669" s="9" t="n">
        <v>2343.44</v>
      </c>
      <c r="J3669" s="9" t="n">
        <v>2310.41</v>
      </c>
      <c r="K3669" s="9" t="n">
        <v>2237.17</v>
      </c>
      <c r="L3669" s="9" t="n">
        <v>2279.51</v>
      </c>
      <c r="M3669" s="9" t="n">
        <v>2309.08</v>
      </c>
      <c r="N3669" s="9" t="n">
        <v>2218.33</v>
      </c>
      <c r="O3669" s="9" t="n">
        <v>2169.21</v>
      </c>
      <c r="P3669" s="9" t="n">
        <v>2163.18</v>
      </c>
      <c r="Q3669" s="9" t="n">
        <v>2127.42</v>
      </c>
      <c r="R3669" s="9" t="n">
        <v>2568.72</v>
      </c>
      <c r="S3669" s="9" t="n">
        <v>2135.12</v>
      </c>
      <c r="T3669" s="9" t="n">
        <v>2207.26</v>
      </c>
      <c r="U3669" s="10">
        <f>SUM(I3669:T3669)</f>
        <v/>
      </c>
    </row>
    <row r="3670">
      <c r="A3670" s="2" t="inlineStr">
        <is>
          <t>SN-3000-3300-3320-3320TA0007</t>
        </is>
      </c>
      <c r="B3670" s="2" t="inlineStr">
        <is>
          <t>3320TA0007</t>
        </is>
      </c>
      <c r="C3670" s="2" t="inlineStr">
        <is>
          <t>Agitador mecánico AG0007</t>
        </is>
      </c>
      <c r="D3670" s="2" t="n">
        <v>1223</v>
      </c>
      <c r="E3670" s="2" t="inlineStr">
        <is>
          <t>CC-3000</t>
        </is>
      </c>
      <c r="F3670" s="2" t="inlineStr">
        <is>
          <t>P01</t>
        </is>
      </c>
      <c r="G3670" s="2" t="n">
        <v>630000</v>
      </c>
      <c r="H3670" s="2" t="inlineStr">
        <is>
          <t>Servicios externos</t>
        </is>
      </c>
      <c r="I3670" s="9" t="n">
        <v>2336.68</v>
      </c>
      <c r="J3670" s="9" t="n">
        <v>2151.01</v>
      </c>
      <c r="K3670" s="9" t="n">
        <v>2131.69</v>
      </c>
      <c r="L3670" s="9" t="n">
        <v>2353.4</v>
      </c>
      <c r="M3670" s="9" t="n">
        <v>2149.02</v>
      </c>
      <c r="N3670" s="9" t="n">
        <v>1980.05</v>
      </c>
      <c r="O3670" s="9" t="n">
        <v>2264.81</v>
      </c>
      <c r="P3670" s="9" t="n">
        <v>2159.24</v>
      </c>
      <c r="Q3670" s="9" t="n">
        <v>2016.61</v>
      </c>
      <c r="R3670" s="9" t="n">
        <v>2390.24</v>
      </c>
      <c r="S3670" s="9" t="n">
        <v>2227.72</v>
      </c>
      <c r="T3670" s="9" t="n">
        <v>2176.08</v>
      </c>
      <c r="U3670" s="10">
        <f>SUM(I3670:T3670)</f>
        <v/>
      </c>
    </row>
    <row r="3671">
      <c r="A3671" s="2" t="inlineStr">
        <is>
          <t>SN-3000-3300-3320-3320TA0008</t>
        </is>
      </c>
      <c r="B3671" s="2" t="inlineStr">
        <is>
          <t>3320TA0008</t>
        </is>
      </c>
      <c r="C3671" s="2" t="inlineStr">
        <is>
          <t>Agitador mecánico AG0008</t>
        </is>
      </c>
      <c r="D3671" s="2" t="n">
        <v>1224</v>
      </c>
      <c r="E3671" s="2" t="inlineStr">
        <is>
          <t>CC-3000</t>
        </is>
      </c>
      <c r="F3671" s="2" t="inlineStr">
        <is>
          <t>P01</t>
        </is>
      </c>
      <c r="G3671" s="2" t="n">
        <v>610000</v>
      </c>
      <c r="H3671" s="2" t="inlineStr">
        <is>
          <t>Mano obra interna</t>
        </is>
      </c>
      <c r="I3671" s="9" t="n">
        <v>2315.47</v>
      </c>
      <c r="J3671" s="9" t="n">
        <v>2100.16</v>
      </c>
      <c r="K3671" s="9" t="n">
        <v>2443.36</v>
      </c>
      <c r="L3671" s="9" t="n">
        <v>2518.99</v>
      </c>
      <c r="M3671" s="9" t="n">
        <v>2329.92</v>
      </c>
      <c r="N3671" s="9" t="n">
        <v>2116.2</v>
      </c>
      <c r="O3671" s="9" t="n">
        <v>2180.01</v>
      </c>
      <c r="P3671" s="9" t="n">
        <v>2196.15</v>
      </c>
      <c r="Q3671" s="9" t="n">
        <v>2042.05</v>
      </c>
      <c r="R3671" s="9" t="n">
        <v>2402.26</v>
      </c>
      <c r="S3671" s="9" t="n">
        <v>2079.43</v>
      </c>
      <c r="T3671" s="9" t="n">
        <v>2477.57</v>
      </c>
      <c r="U3671" s="10">
        <f>SUM(I3671:T3671)</f>
        <v/>
      </c>
    </row>
    <row r="3672">
      <c r="A3672" s="2" t="inlineStr">
        <is>
          <t>SN-3000-3300-3320-3320TA0008</t>
        </is>
      </c>
      <c r="B3672" s="2" t="inlineStr">
        <is>
          <t>3320TA0008</t>
        </is>
      </c>
      <c r="C3672" s="2" t="inlineStr">
        <is>
          <t>Agitador mecánico AG0008</t>
        </is>
      </c>
      <c r="D3672" s="2" t="n">
        <v>1224</v>
      </c>
      <c r="E3672" s="2" t="inlineStr">
        <is>
          <t>CC-3000</t>
        </is>
      </c>
      <c r="F3672" s="2" t="inlineStr">
        <is>
          <t>P01</t>
        </is>
      </c>
      <c r="G3672" s="2" t="n">
        <v>620000</v>
      </c>
      <c r="H3672" s="2" t="inlineStr">
        <is>
          <t>Materiales</t>
        </is>
      </c>
      <c r="I3672" s="9" t="n">
        <v>2988.67</v>
      </c>
      <c r="J3672" s="9" t="n">
        <v>2632.67</v>
      </c>
      <c r="K3672" s="9" t="n">
        <v>3109.84</v>
      </c>
      <c r="L3672" s="9" t="n">
        <v>2732.01</v>
      </c>
      <c r="M3672" s="9" t="n">
        <v>2665.75</v>
      </c>
      <c r="N3672" s="9" t="n">
        <v>2671.52</v>
      </c>
      <c r="O3672" s="9" t="n">
        <v>2844.4</v>
      </c>
      <c r="P3672" s="9" t="n">
        <v>2805.34</v>
      </c>
      <c r="Q3672" s="9" t="n">
        <v>2532.6</v>
      </c>
      <c r="R3672" s="9" t="n">
        <v>2907.69</v>
      </c>
      <c r="S3672" s="9" t="n">
        <v>2942.86</v>
      </c>
      <c r="T3672" s="9" t="n">
        <v>2853.45</v>
      </c>
      <c r="U3672" s="10">
        <f>SUM(I3672:T3672)</f>
        <v/>
      </c>
    </row>
    <row r="3673">
      <c r="A3673" s="2" t="inlineStr">
        <is>
          <t>SN-3000-3300-3320-3320TA0008</t>
        </is>
      </c>
      <c r="B3673" s="2" t="inlineStr">
        <is>
          <t>3320TA0008</t>
        </is>
      </c>
      <c r="C3673" s="2" t="inlineStr">
        <is>
          <t>Agitador mecánico AG0008</t>
        </is>
      </c>
      <c r="D3673" s="2" t="n">
        <v>1224</v>
      </c>
      <c r="E3673" s="2" t="inlineStr">
        <is>
          <t>CC-3000</t>
        </is>
      </c>
      <c r="F3673" s="2" t="inlineStr">
        <is>
          <t>P01</t>
        </is>
      </c>
      <c r="G3673" s="2" t="n">
        <v>630000</v>
      </c>
      <c r="H3673" s="2" t="inlineStr">
        <is>
          <t>Servicios externos</t>
        </is>
      </c>
      <c r="I3673" s="9" t="n">
        <v>2323.31</v>
      </c>
      <c r="J3673" s="9" t="n">
        <v>2079.63</v>
      </c>
      <c r="K3673" s="9" t="n">
        <v>2390.53</v>
      </c>
      <c r="L3673" s="9" t="n">
        <v>2237.09</v>
      </c>
      <c r="M3673" s="9" t="n">
        <v>2292.49</v>
      </c>
      <c r="N3673" s="9" t="n">
        <v>2220.24</v>
      </c>
      <c r="O3673" s="9" t="n">
        <v>2394.53</v>
      </c>
      <c r="P3673" s="9" t="n">
        <v>2180.43</v>
      </c>
      <c r="Q3673" s="9" t="n">
        <v>2110.56</v>
      </c>
      <c r="R3673" s="9" t="n">
        <v>2641.23</v>
      </c>
      <c r="S3673" s="9" t="n">
        <v>2288.01</v>
      </c>
      <c r="T3673" s="9" t="n">
        <v>2490.5</v>
      </c>
      <c r="U3673" s="10">
        <f>SUM(I3673:T3673)</f>
        <v/>
      </c>
    </row>
    <row r="3674">
      <c r="A3674" s="2" t="inlineStr">
        <is>
          <t>SN-3000-3300-3320-3320TA0009</t>
        </is>
      </c>
      <c r="B3674" s="2" t="inlineStr">
        <is>
          <t>3320TA0009</t>
        </is>
      </c>
      <c r="C3674" s="2" t="inlineStr">
        <is>
          <t>Agitador mecánico AG0009</t>
        </is>
      </c>
      <c r="D3674" s="2" t="n">
        <v>1225</v>
      </c>
      <c r="E3674" s="2" t="inlineStr">
        <is>
          <t>CC-3000</t>
        </is>
      </c>
      <c r="F3674" s="2" t="inlineStr">
        <is>
          <t>P01</t>
        </is>
      </c>
      <c r="G3674" s="2" t="n">
        <v>610000</v>
      </c>
      <c r="H3674" s="2" t="inlineStr">
        <is>
          <t>Mano obra interna</t>
        </is>
      </c>
      <c r="I3674" s="9" t="n">
        <v>2429.93</v>
      </c>
      <c r="J3674" s="9" t="n">
        <v>2216.45</v>
      </c>
      <c r="K3674" s="9" t="n">
        <v>2512.07</v>
      </c>
      <c r="L3674" s="9" t="n">
        <v>2466.21</v>
      </c>
      <c r="M3674" s="9" t="n">
        <v>2347.6</v>
      </c>
      <c r="N3674" s="9" t="n">
        <v>2306.9</v>
      </c>
      <c r="O3674" s="9" t="n">
        <v>2382.45</v>
      </c>
      <c r="P3674" s="9" t="n">
        <v>2344.37</v>
      </c>
      <c r="Q3674" s="9" t="n">
        <v>2147.92</v>
      </c>
      <c r="R3674" s="9" t="n">
        <v>2338.56</v>
      </c>
      <c r="S3674" s="9" t="n">
        <v>2396.65</v>
      </c>
      <c r="T3674" s="9" t="n">
        <v>2512.42</v>
      </c>
      <c r="U3674" s="10">
        <f>SUM(I3674:T3674)</f>
        <v/>
      </c>
    </row>
    <row r="3675">
      <c r="A3675" s="2" t="inlineStr">
        <is>
          <t>SN-3000-3300-3320-3320TA0009</t>
        </is>
      </c>
      <c r="B3675" s="2" t="inlineStr">
        <is>
          <t>3320TA0009</t>
        </is>
      </c>
      <c r="C3675" s="2" t="inlineStr">
        <is>
          <t>Agitador mecánico AG0009</t>
        </is>
      </c>
      <c r="D3675" s="2" t="n">
        <v>1225</v>
      </c>
      <c r="E3675" s="2" t="inlineStr">
        <is>
          <t>CC-3000</t>
        </is>
      </c>
      <c r="F3675" s="2" t="inlineStr">
        <is>
          <t>P01</t>
        </is>
      </c>
      <c r="G3675" s="2" t="n">
        <v>620000</v>
      </c>
      <c r="H3675" s="2" t="inlineStr">
        <is>
          <t>Materiales</t>
        </is>
      </c>
      <c r="I3675" s="9" t="n">
        <v>2101.75</v>
      </c>
      <c r="J3675" s="9" t="n">
        <v>1946.87</v>
      </c>
      <c r="K3675" s="9" t="n">
        <v>2029.93</v>
      </c>
      <c r="L3675" s="9" t="n">
        <v>2036.04</v>
      </c>
      <c r="M3675" s="9" t="n">
        <v>2068.68</v>
      </c>
      <c r="N3675" s="9" t="n">
        <v>1942.38</v>
      </c>
      <c r="O3675" s="9" t="n">
        <v>2058.79</v>
      </c>
      <c r="P3675" s="9" t="n">
        <v>2204.9</v>
      </c>
      <c r="Q3675" s="9" t="n">
        <v>2136.66</v>
      </c>
      <c r="R3675" s="9" t="n">
        <v>2197.75</v>
      </c>
      <c r="S3675" s="9" t="n">
        <v>2058.57</v>
      </c>
      <c r="T3675" s="9" t="n">
        <v>2340.63</v>
      </c>
      <c r="U3675" s="10">
        <f>SUM(I3675:T3675)</f>
        <v/>
      </c>
    </row>
    <row r="3676">
      <c r="A3676" s="2" t="inlineStr">
        <is>
          <t>SN-3000-3300-3320-3320TA0009</t>
        </is>
      </c>
      <c r="B3676" s="2" t="inlineStr">
        <is>
          <t>3320TA0009</t>
        </is>
      </c>
      <c r="C3676" s="2" t="inlineStr">
        <is>
          <t>Agitador mecánico AG0009</t>
        </is>
      </c>
      <c r="D3676" s="2" t="n">
        <v>1225</v>
      </c>
      <c r="E3676" s="2" t="inlineStr">
        <is>
          <t>CC-3000</t>
        </is>
      </c>
      <c r="F3676" s="2" t="inlineStr">
        <is>
          <t>P01</t>
        </is>
      </c>
      <c r="G3676" s="2" t="n">
        <v>630000</v>
      </c>
      <c r="H3676" s="2" t="inlineStr">
        <is>
          <t>Servicios externos</t>
        </is>
      </c>
      <c r="I3676" s="9" t="n">
        <v>2321.77</v>
      </c>
      <c r="J3676" s="9" t="n">
        <v>2227.95</v>
      </c>
      <c r="K3676" s="9" t="n">
        <v>2303.98</v>
      </c>
      <c r="L3676" s="9" t="n">
        <v>2249.49</v>
      </c>
      <c r="M3676" s="9" t="n">
        <v>2290.58</v>
      </c>
      <c r="N3676" s="9" t="n">
        <v>2170.46</v>
      </c>
      <c r="O3676" s="9" t="n">
        <v>2421.75</v>
      </c>
      <c r="P3676" s="9" t="n">
        <v>2229.67</v>
      </c>
      <c r="Q3676" s="9" t="n">
        <v>2250.38</v>
      </c>
      <c r="R3676" s="9" t="n">
        <v>2426.94</v>
      </c>
      <c r="S3676" s="9" t="n">
        <v>2288.47</v>
      </c>
      <c r="T3676" s="9" t="n">
        <v>2416.35</v>
      </c>
      <c r="U3676" s="10">
        <f>SUM(I3676:T3676)</f>
        <v/>
      </c>
    </row>
    <row r="3677">
      <c r="A3677" s="2" t="inlineStr">
        <is>
          <t>SN-3000-3300-3320-3320TA0010</t>
        </is>
      </c>
      <c r="B3677" s="2" t="inlineStr">
        <is>
          <t>3320TA0010</t>
        </is>
      </c>
      <c r="C3677" s="2" t="inlineStr">
        <is>
          <t>Agitador mecánico AG0010</t>
        </is>
      </c>
      <c r="D3677" s="2" t="n">
        <v>1226</v>
      </c>
      <c r="E3677" s="2" t="inlineStr">
        <is>
          <t>CC-3000</t>
        </is>
      </c>
      <c r="F3677" s="2" t="inlineStr">
        <is>
          <t>P01</t>
        </is>
      </c>
      <c r="G3677" s="2" t="n">
        <v>610000</v>
      </c>
      <c r="H3677" s="2" t="inlineStr">
        <is>
          <t>Mano obra interna</t>
        </is>
      </c>
      <c r="I3677" s="9" t="n">
        <v>2537.54</v>
      </c>
      <c r="J3677" s="9" t="n">
        <v>2492.44</v>
      </c>
      <c r="K3677" s="9" t="n">
        <v>2595</v>
      </c>
      <c r="L3677" s="9" t="n">
        <v>2712.37</v>
      </c>
      <c r="M3677" s="9" t="n">
        <v>2418.66</v>
      </c>
      <c r="N3677" s="9" t="n">
        <v>2514.05</v>
      </c>
      <c r="O3677" s="9" t="n">
        <v>2449.96</v>
      </c>
      <c r="P3677" s="9" t="n">
        <v>2551.65</v>
      </c>
      <c r="Q3677" s="9" t="n">
        <v>2513.59</v>
      </c>
      <c r="R3677" s="9" t="n">
        <v>2787.99</v>
      </c>
      <c r="S3677" s="9" t="n">
        <v>2448.98</v>
      </c>
      <c r="T3677" s="9" t="n">
        <v>2710.17</v>
      </c>
      <c r="U3677" s="10">
        <f>SUM(I3677:T3677)</f>
        <v/>
      </c>
    </row>
    <row r="3678">
      <c r="A3678" s="2" t="inlineStr">
        <is>
          <t>SN-3000-3300-3320-3320TA0010</t>
        </is>
      </c>
      <c r="B3678" s="2" t="inlineStr">
        <is>
          <t>3320TA0010</t>
        </is>
      </c>
      <c r="C3678" s="2" t="inlineStr">
        <is>
          <t>Agitador mecánico AG0010</t>
        </is>
      </c>
      <c r="D3678" s="2" t="n">
        <v>1226</v>
      </c>
      <c r="E3678" s="2" t="inlineStr">
        <is>
          <t>CC-3000</t>
        </is>
      </c>
      <c r="F3678" s="2" t="inlineStr">
        <is>
          <t>P01</t>
        </is>
      </c>
      <c r="G3678" s="2" t="n">
        <v>620000</v>
      </c>
      <c r="H3678" s="2" t="inlineStr">
        <is>
          <t>Materiales</t>
        </is>
      </c>
      <c r="I3678" s="9" t="n">
        <v>2492.15</v>
      </c>
      <c r="J3678" s="9" t="n">
        <v>2422.24</v>
      </c>
      <c r="K3678" s="9" t="n">
        <v>2680.28</v>
      </c>
      <c r="L3678" s="9" t="n">
        <v>2790.37</v>
      </c>
      <c r="M3678" s="9" t="n">
        <v>2399.62</v>
      </c>
      <c r="N3678" s="9" t="n">
        <v>2489.36</v>
      </c>
      <c r="O3678" s="9" t="n">
        <v>2707.56</v>
      </c>
      <c r="P3678" s="9" t="n">
        <v>2523.68</v>
      </c>
      <c r="Q3678" s="9" t="n">
        <v>2296.07</v>
      </c>
      <c r="R3678" s="9" t="n">
        <v>2813.48</v>
      </c>
      <c r="S3678" s="9" t="n">
        <v>2275.46</v>
      </c>
      <c r="T3678" s="9" t="n">
        <v>2521.06</v>
      </c>
      <c r="U3678" s="10">
        <f>SUM(I3678:T3678)</f>
        <v/>
      </c>
    </row>
    <row r="3679">
      <c r="A3679" s="2" t="inlineStr">
        <is>
          <t>SN-3000-3300-3320-3320TA0010</t>
        </is>
      </c>
      <c r="B3679" s="2" t="inlineStr">
        <is>
          <t>3320TA0010</t>
        </is>
      </c>
      <c r="C3679" s="2" t="inlineStr">
        <is>
          <t>Agitador mecánico AG0010</t>
        </is>
      </c>
      <c r="D3679" s="2" t="n">
        <v>1226</v>
      </c>
      <c r="E3679" s="2" t="inlineStr">
        <is>
          <t>CC-3000</t>
        </is>
      </c>
      <c r="F3679" s="2" t="inlineStr">
        <is>
          <t>P01</t>
        </is>
      </c>
      <c r="G3679" s="2" t="n">
        <v>630000</v>
      </c>
      <c r="H3679" s="2" t="inlineStr">
        <is>
          <t>Servicios externos</t>
        </is>
      </c>
      <c r="I3679" s="9" t="n">
        <v>2133.6</v>
      </c>
      <c r="J3679" s="9" t="n">
        <v>2042.93</v>
      </c>
      <c r="K3679" s="9" t="n">
        <v>2341.1</v>
      </c>
      <c r="L3679" s="9" t="n">
        <v>2397.27</v>
      </c>
      <c r="M3679" s="9" t="n">
        <v>2123.86</v>
      </c>
      <c r="N3679" s="9" t="n">
        <v>1939.51</v>
      </c>
      <c r="O3679" s="9" t="n">
        <v>2263.97</v>
      </c>
      <c r="P3679" s="9" t="n">
        <v>2198.08</v>
      </c>
      <c r="Q3679" s="9" t="n">
        <v>2108.06</v>
      </c>
      <c r="R3679" s="9" t="n">
        <v>2413.63</v>
      </c>
      <c r="S3679" s="9" t="n">
        <v>2253.84</v>
      </c>
      <c r="T3679" s="9" t="n">
        <v>2091.18</v>
      </c>
      <c r="U3679" s="10">
        <f>SUM(I3679:T3679)</f>
        <v/>
      </c>
    </row>
    <row r="3680">
      <c r="A3680" s="2" t="inlineStr">
        <is>
          <t>SN-3000-3300-3320-3320TA0011</t>
        </is>
      </c>
      <c r="B3680" s="2" t="inlineStr">
        <is>
          <t>3320TA0011</t>
        </is>
      </c>
      <c r="C3680" s="2" t="inlineStr">
        <is>
          <t>Agitador mecánico AG0011</t>
        </is>
      </c>
      <c r="D3680" s="2" t="n">
        <v>1227</v>
      </c>
      <c r="E3680" s="2" t="inlineStr">
        <is>
          <t>CC-3000</t>
        </is>
      </c>
      <c r="F3680" s="2" t="inlineStr">
        <is>
          <t>P01</t>
        </is>
      </c>
      <c r="G3680" s="2" t="n">
        <v>610000</v>
      </c>
      <c r="H3680" s="2" t="inlineStr">
        <is>
          <t>Mano obra interna</t>
        </is>
      </c>
      <c r="I3680" s="9" t="n">
        <v>841.7</v>
      </c>
      <c r="J3680" s="9" t="n">
        <v>832</v>
      </c>
      <c r="K3680" s="9" t="n">
        <v>932.17</v>
      </c>
      <c r="L3680" s="9" t="n">
        <v>920.9</v>
      </c>
      <c r="M3680" s="9" t="n">
        <v>887.02</v>
      </c>
      <c r="N3680" s="9" t="n">
        <v>772.88</v>
      </c>
      <c r="O3680" s="9" t="n">
        <v>877.4400000000001</v>
      </c>
      <c r="P3680" s="9" t="n">
        <v>829.5599999999999</v>
      </c>
      <c r="Q3680" s="9" t="n">
        <v>841.8099999999999</v>
      </c>
      <c r="R3680" s="9" t="n">
        <v>870.63</v>
      </c>
      <c r="S3680" s="9" t="n">
        <v>771.9299999999999</v>
      </c>
      <c r="T3680" s="9" t="n">
        <v>905.55</v>
      </c>
      <c r="U3680" s="10">
        <f>SUM(I3680:T3680)</f>
        <v/>
      </c>
    </row>
    <row r="3681">
      <c r="A3681" s="2" t="inlineStr">
        <is>
          <t>SN-3000-3300-3320-3320TA0011</t>
        </is>
      </c>
      <c r="B3681" s="2" t="inlineStr">
        <is>
          <t>3320TA0011</t>
        </is>
      </c>
      <c r="C3681" s="2" t="inlineStr">
        <is>
          <t>Agitador mecánico AG0011</t>
        </is>
      </c>
      <c r="D3681" s="2" t="n">
        <v>1227</v>
      </c>
      <c r="E3681" s="2" t="inlineStr">
        <is>
          <t>CC-3000</t>
        </is>
      </c>
      <c r="F3681" s="2" t="inlineStr">
        <is>
          <t>P01</t>
        </is>
      </c>
      <c r="G3681" s="2" t="n">
        <v>620000</v>
      </c>
      <c r="H3681" s="2" t="inlineStr">
        <is>
          <t>Materiales</t>
        </is>
      </c>
      <c r="I3681" s="9" t="n">
        <v>1047.95</v>
      </c>
      <c r="J3681" s="9" t="n">
        <v>908.9299999999999</v>
      </c>
      <c r="K3681" s="9" t="n">
        <v>1069.24</v>
      </c>
      <c r="L3681" s="9" t="n">
        <v>1026.22</v>
      </c>
      <c r="M3681" s="9" t="n">
        <v>989.67</v>
      </c>
      <c r="N3681" s="9" t="n">
        <v>945.78</v>
      </c>
      <c r="O3681" s="9" t="n">
        <v>1018.18</v>
      </c>
      <c r="P3681" s="9" t="n">
        <v>962.4400000000001</v>
      </c>
      <c r="Q3681" s="9" t="n">
        <v>855.46</v>
      </c>
      <c r="R3681" s="9" t="n">
        <v>1059.52</v>
      </c>
      <c r="S3681" s="9" t="n">
        <v>982.6799999999999</v>
      </c>
      <c r="T3681" s="9" t="n">
        <v>935.9299999999999</v>
      </c>
      <c r="U3681" s="10">
        <f>SUM(I3681:T3681)</f>
        <v/>
      </c>
    </row>
    <row r="3682">
      <c r="A3682" s="2" t="inlineStr">
        <is>
          <t>SN-3000-3300-3320-3320TA0011</t>
        </is>
      </c>
      <c r="B3682" s="2" t="inlineStr">
        <is>
          <t>3320TA0011</t>
        </is>
      </c>
      <c r="C3682" s="2" t="inlineStr">
        <is>
          <t>Agitador mecánico AG0011</t>
        </is>
      </c>
      <c r="D3682" s="2" t="n">
        <v>1227</v>
      </c>
      <c r="E3682" s="2" t="inlineStr">
        <is>
          <t>CC-3000</t>
        </is>
      </c>
      <c r="F3682" s="2" t="inlineStr">
        <is>
          <t>P01</t>
        </is>
      </c>
      <c r="G3682" s="2" t="n">
        <v>630000</v>
      </c>
      <c r="H3682" s="2" t="inlineStr">
        <is>
          <t>Servicios externos</t>
        </is>
      </c>
      <c r="I3682" s="9" t="n">
        <v>894.67</v>
      </c>
      <c r="J3682" s="9" t="n">
        <v>805.98</v>
      </c>
      <c r="K3682" s="9" t="n">
        <v>830.28</v>
      </c>
      <c r="L3682" s="9" t="n">
        <v>922.52</v>
      </c>
      <c r="M3682" s="9" t="n">
        <v>795.27</v>
      </c>
      <c r="N3682" s="9" t="n">
        <v>792.1</v>
      </c>
      <c r="O3682" s="9" t="n">
        <v>840.33</v>
      </c>
      <c r="P3682" s="9" t="n">
        <v>845.8099999999999</v>
      </c>
      <c r="Q3682" s="9" t="n">
        <v>773.4</v>
      </c>
      <c r="R3682" s="9" t="n">
        <v>976.8</v>
      </c>
      <c r="S3682" s="9" t="n">
        <v>843.42</v>
      </c>
      <c r="T3682" s="9" t="n">
        <v>842.91</v>
      </c>
      <c r="U3682" s="10">
        <f>SUM(I3682:T3682)</f>
        <v/>
      </c>
    </row>
    <row r="3683">
      <c r="A3683" s="2" t="inlineStr">
        <is>
          <t>SN-3000-3300-3320-3320TA0012</t>
        </is>
      </c>
      <c r="B3683" s="2" t="inlineStr">
        <is>
          <t>3320TA0012</t>
        </is>
      </c>
      <c r="C3683" s="2" t="inlineStr">
        <is>
          <t>Agitador mecánico AG0012</t>
        </is>
      </c>
      <c r="D3683" s="2" t="n">
        <v>1228</v>
      </c>
      <c r="E3683" s="2" t="inlineStr">
        <is>
          <t>CC-3000</t>
        </is>
      </c>
      <c r="F3683" s="2" t="inlineStr">
        <is>
          <t>P01</t>
        </is>
      </c>
      <c r="G3683" s="2" t="n">
        <v>610000</v>
      </c>
      <c r="H3683" s="2" t="inlineStr">
        <is>
          <t>Mano obra interna</t>
        </is>
      </c>
      <c r="I3683" s="9" t="n">
        <v>1699.18</v>
      </c>
      <c r="J3683" s="9" t="n">
        <v>1516.25</v>
      </c>
      <c r="K3683" s="9" t="n">
        <v>1833.5</v>
      </c>
      <c r="L3683" s="9" t="n">
        <v>1625.1</v>
      </c>
      <c r="M3683" s="9" t="n">
        <v>1698.54</v>
      </c>
      <c r="N3683" s="9" t="n">
        <v>1661.29</v>
      </c>
      <c r="O3683" s="9" t="n">
        <v>1751.64</v>
      </c>
      <c r="P3683" s="9" t="n">
        <v>1573.52</v>
      </c>
      <c r="Q3683" s="9" t="n">
        <v>1557.79</v>
      </c>
      <c r="R3683" s="9" t="n">
        <v>1674.66</v>
      </c>
      <c r="S3683" s="9" t="n">
        <v>1689.11</v>
      </c>
      <c r="T3683" s="9" t="n">
        <v>1684.74</v>
      </c>
      <c r="U3683" s="10">
        <f>SUM(I3683:T3683)</f>
        <v/>
      </c>
    </row>
    <row r="3684">
      <c r="A3684" s="2" t="inlineStr">
        <is>
          <t>SN-3000-3300-3320-3320TA0012</t>
        </is>
      </c>
      <c r="B3684" s="2" t="inlineStr">
        <is>
          <t>3320TA0012</t>
        </is>
      </c>
      <c r="C3684" s="2" t="inlineStr">
        <is>
          <t>Agitador mecánico AG0012</t>
        </is>
      </c>
      <c r="D3684" s="2" t="n">
        <v>1228</v>
      </c>
      <c r="E3684" s="2" t="inlineStr">
        <is>
          <t>CC-3000</t>
        </is>
      </c>
      <c r="F3684" s="2" t="inlineStr">
        <is>
          <t>P01</t>
        </is>
      </c>
      <c r="G3684" s="2" t="n">
        <v>620000</v>
      </c>
      <c r="H3684" s="2" t="inlineStr">
        <is>
          <t>Materiales</t>
        </is>
      </c>
      <c r="I3684" s="9" t="n">
        <v>1609.84</v>
      </c>
      <c r="J3684" s="9" t="n">
        <v>1460.05</v>
      </c>
      <c r="K3684" s="9" t="n">
        <v>1474.91</v>
      </c>
      <c r="L3684" s="9" t="n">
        <v>1547.54</v>
      </c>
      <c r="M3684" s="9" t="n">
        <v>1444.02</v>
      </c>
      <c r="N3684" s="9" t="n">
        <v>1561.65</v>
      </c>
      <c r="O3684" s="9" t="n">
        <v>1490.53</v>
      </c>
      <c r="P3684" s="9" t="n">
        <v>1540.17</v>
      </c>
      <c r="Q3684" s="9" t="n">
        <v>1520.08</v>
      </c>
      <c r="R3684" s="9" t="n">
        <v>1615.21</v>
      </c>
      <c r="S3684" s="9" t="n">
        <v>1441.51</v>
      </c>
      <c r="T3684" s="9" t="n">
        <v>1462.75</v>
      </c>
      <c r="U3684" s="10">
        <f>SUM(I3684:T3684)</f>
        <v/>
      </c>
    </row>
    <row r="3685">
      <c r="A3685" s="2" t="inlineStr">
        <is>
          <t>SN-3000-3300-3320-3320TA0012</t>
        </is>
      </c>
      <c r="B3685" s="2" t="inlineStr">
        <is>
          <t>3320TA0012</t>
        </is>
      </c>
      <c r="C3685" s="2" t="inlineStr">
        <is>
          <t>Agitador mecánico AG0012</t>
        </is>
      </c>
      <c r="D3685" s="2" t="n">
        <v>1228</v>
      </c>
      <c r="E3685" s="2" t="inlineStr">
        <is>
          <t>CC-3000</t>
        </is>
      </c>
      <c r="F3685" s="2" t="inlineStr">
        <is>
          <t>P01</t>
        </is>
      </c>
      <c r="G3685" s="2" t="n">
        <v>630000</v>
      </c>
      <c r="H3685" s="2" t="inlineStr">
        <is>
          <t>Servicios externos</t>
        </is>
      </c>
      <c r="I3685" s="9" t="n">
        <v>1982.79</v>
      </c>
      <c r="J3685" s="9" t="n">
        <v>1743.6</v>
      </c>
      <c r="K3685" s="9" t="n">
        <v>1860.59</v>
      </c>
      <c r="L3685" s="9" t="n">
        <v>2019.72</v>
      </c>
      <c r="M3685" s="9" t="n">
        <v>1844.9</v>
      </c>
      <c r="N3685" s="9" t="n">
        <v>1787.69</v>
      </c>
      <c r="O3685" s="9" t="n">
        <v>1897.91</v>
      </c>
      <c r="P3685" s="9" t="n">
        <v>1929.42</v>
      </c>
      <c r="Q3685" s="9" t="n">
        <v>1846.28</v>
      </c>
      <c r="R3685" s="9" t="n">
        <v>2095.1</v>
      </c>
      <c r="S3685" s="9" t="n">
        <v>1918.68</v>
      </c>
      <c r="T3685" s="9" t="n">
        <v>1977.12</v>
      </c>
      <c r="U3685" s="10">
        <f>SUM(I3685:T3685)</f>
        <v/>
      </c>
    </row>
    <row r="3686">
      <c r="A3686" s="2" t="inlineStr">
        <is>
          <t>SN-3000-3300-3320-3320TA0013</t>
        </is>
      </c>
      <c r="B3686" s="2" t="inlineStr">
        <is>
          <t>3320TA0013</t>
        </is>
      </c>
      <c r="C3686" s="2" t="inlineStr">
        <is>
          <t>Agitador mecánico AG0013</t>
        </is>
      </c>
      <c r="D3686" s="2" t="n">
        <v>1229</v>
      </c>
      <c r="E3686" s="2" t="inlineStr">
        <is>
          <t>CC-3000</t>
        </is>
      </c>
      <c r="F3686" s="2" t="inlineStr">
        <is>
          <t>P01</t>
        </is>
      </c>
      <c r="G3686" s="2" t="n">
        <v>610000</v>
      </c>
      <c r="H3686" s="2" t="inlineStr">
        <is>
          <t>Mano obra interna</t>
        </is>
      </c>
      <c r="I3686" s="9" t="n">
        <v>363.25</v>
      </c>
      <c r="J3686" s="9" t="n">
        <v>396.28</v>
      </c>
      <c r="K3686" s="9" t="n">
        <v>361.47</v>
      </c>
      <c r="L3686" s="9" t="n">
        <v>405.62</v>
      </c>
      <c r="M3686" s="9" t="n">
        <v>396.11</v>
      </c>
      <c r="N3686" s="9" t="n">
        <v>357.48</v>
      </c>
      <c r="O3686" s="9" t="n">
        <v>370.39</v>
      </c>
      <c r="P3686" s="9" t="n">
        <v>360.23</v>
      </c>
      <c r="Q3686" s="9" t="n">
        <v>327.37</v>
      </c>
      <c r="R3686" s="9" t="n">
        <v>424.8</v>
      </c>
      <c r="S3686" s="9" t="n">
        <v>341.9</v>
      </c>
      <c r="T3686" s="9" t="n">
        <v>412.02</v>
      </c>
      <c r="U3686" s="10">
        <f>SUM(I3686:T3686)</f>
        <v/>
      </c>
    </row>
    <row r="3687">
      <c r="A3687" s="2" t="inlineStr">
        <is>
          <t>SN-3000-3300-3320-3320TA0013</t>
        </is>
      </c>
      <c r="B3687" s="2" t="inlineStr">
        <is>
          <t>3320TA0013</t>
        </is>
      </c>
      <c r="C3687" s="2" t="inlineStr">
        <is>
          <t>Agitador mecánico AG0013</t>
        </is>
      </c>
      <c r="D3687" s="2" t="n">
        <v>1229</v>
      </c>
      <c r="E3687" s="2" t="inlineStr">
        <is>
          <t>CC-3000</t>
        </is>
      </c>
      <c r="F3687" s="2" t="inlineStr">
        <is>
          <t>P01</t>
        </is>
      </c>
      <c r="G3687" s="2" t="n">
        <v>620000</v>
      </c>
      <c r="H3687" s="2" t="inlineStr">
        <is>
          <t>Materiales</t>
        </is>
      </c>
      <c r="I3687" s="9" t="n">
        <v>427.76</v>
      </c>
      <c r="J3687" s="9" t="n">
        <v>366.36</v>
      </c>
      <c r="K3687" s="9" t="n">
        <v>415.24</v>
      </c>
      <c r="L3687" s="9" t="n">
        <v>399.13</v>
      </c>
      <c r="M3687" s="9" t="n">
        <v>366.26</v>
      </c>
      <c r="N3687" s="9" t="n">
        <v>392.14</v>
      </c>
      <c r="O3687" s="9" t="n">
        <v>428.75</v>
      </c>
      <c r="P3687" s="9" t="n">
        <v>368.58</v>
      </c>
      <c r="Q3687" s="9" t="n">
        <v>358.84</v>
      </c>
      <c r="R3687" s="9" t="n">
        <v>445.63</v>
      </c>
      <c r="S3687" s="9" t="n">
        <v>410.41</v>
      </c>
      <c r="T3687" s="9" t="n">
        <v>386.03</v>
      </c>
      <c r="U3687" s="10">
        <f>SUM(I3687:T3687)</f>
        <v/>
      </c>
    </row>
    <row r="3688">
      <c r="A3688" s="2" t="inlineStr">
        <is>
          <t>SN-3000-3300-3320-3320TA0013</t>
        </is>
      </c>
      <c r="B3688" s="2" t="inlineStr">
        <is>
          <t>3320TA0013</t>
        </is>
      </c>
      <c r="C3688" s="2" t="inlineStr">
        <is>
          <t>Agitador mecánico AG0013</t>
        </is>
      </c>
      <c r="D3688" s="2" t="n">
        <v>1229</v>
      </c>
      <c r="E3688" s="2" t="inlineStr">
        <is>
          <t>CC-3000</t>
        </is>
      </c>
      <c r="F3688" s="2" t="inlineStr">
        <is>
          <t>P01</t>
        </is>
      </c>
      <c r="G3688" s="2" t="n">
        <v>630000</v>
      </c>
      <c r="H3688" s="2" t="inlineStr">
        <is>
          <t>Servicios externos</t>
        </is>
      </c>
      <c r="I3688" s="9" t="n">
        <v>361.53</v>
      </c>
      <c r="J3688" s="9" t="n">
        <v>361.29</v>
      </c>
      <c r="K3688" s="9" t="n">
        <v>369.33</v>
      </c>
      <c r="L3688" s="9" t="n">
        <v>384</v>
      </c>
      <c r="M3688" s="9" t="n">
        <v>376.74</v>
      </c>
      <c r="N3688" s="9" t="n">
        <v>366.3</v>
      </c>
      <c r="O3688" s="9" t="n">
        <v>362.53</v>
      </c>
      <c r="P3688" s="9" t="n">
        <v>381.86</v>
      </c>
      <c r="Q3688" s="9" t="n">
        <v>329.69</v>
      </c>
      <c r="R3688" s="9" t="n">
        <v>397.22</v>
      </c>
      <c r="S3688" s="9" t="n">
        <v>364.29</v>
      </c>
      <c r="T3688" s="9" t="n">
        <v>366.25</v>
      </c>
      <c r="U3688" s="10">
        <f>SUM(I3688:T3688)</f>
        <v/>
      </c>
    </row>
    <row r="3689">
      <c r="A3689" s="2" t="inlineStr">
        <is>
          <t>SN-3000-3300-3320-3320TA0014</t>
        </is>
      </c>
      <c r="B3689" s="2" t="inlineStr">
        <is>
          <t>3320TA0014</t>
        </is>
      </c>
      <c r="C3689" s="2" t="inlineStr">
        <is>
          <t>Agitador mecánico AG0014</t>
        </is>
      </c>
      <c r="D3689" s="2" t="n">
        <v>1230</v>
      </c>
      <c r="E3689" s="2" t="inlineStr">
        <is>
          <t>CC-3000</t>
        </is>
      </c>
      <c r="F3689" s="2" t="inlineStr">
        <is>
          <t>P01</t>
        </is>
      </c>
      <c r="G3689" s="2" t="n">
        <v>610000</v>
      </c>
      <c r="H3689" s="2" t="inlineStr">
        <is>
          <t>Mano obra interna</t>
        </is>
      </c>
      <c r="I3689" s="9" t="n">
        <v>1514.43</v>
      </c>
      <c r="J3689" s="9" t="n">
        <v>1596.97</v>
      </c>
      <c r="K3689" s="9" t="n">
        <v>1600.57</v>
      </c>
      <c r="L3689" s="9" t="n">
        <v>1587.17</v>
      </c>
      <c r="M3689" s="9" t="n">
        <v>1577.69</v>
      </c>
      <c r="N3689" s="9" t="n">
        <v>1380.93</v>
      </c>
      <c r="O3689" s="9" t="n">
        <v>1453.64</v>
      </c>
      <c r="P3689" s="9" t="n">
        <v>1513.69</v>
      </c>
      <c r="Q3689" s="9" t="n">
        <v>1430.99</v>
      </c>
      <c r="R3689" s="9" t="n">
        <v>1661.34</v>
      </c>
      <c r="S3689" s="9" t="n">
        <v>1550.91</v>
      </c>
      <c r="T3689" s="9" t="n">
        <v>1454.81</v>
      </c>
      <c r="U3689" s="10">
        <f>SUM(I3689:T3689)</f>
        <v/>
      </c>
    </row>
    <row r="3690">
      <c r="A3690" s="2" t="inlineStr">
        <is>
          <t>SN-3000-3300-3320-3320TA0014</t>
        </is>
      </c>
      <c r="B3690" s="2" t="inlineStr">
        <is>
          <t>3320TA0014</t>
        </is>
      </c>
      <c r="C3690" s="2" t="inlineStr">
        <is>
          <t>Agitador mecánico AG0014</t>
        </is>
      </c>
      <c r="D3690" s="2" t="n">
        <v>1230</v>
      </c>
      <c r="E3690" s="2" t="inlineStr">
        <is>
          <t>CC-3000</t>
        </is>
      </c>
      <c r="F3690" s="2" t="inlineStr">
        <is>
          <t>P01</t>
        </is>
      </c>
      <c r="G3690" s="2" t="n">
        <v>620000</v>
      </c>
      <c r="H3690" s="2" t="inlineStr">
        <is>
          <t>Materiales</t>
        </is>
      </c>
      <c r="I3690" s="9" t="n">
        <v>1534.85</v>
      </c>
      <c r="J3690" s="9" t="n">
        <v>1499.28</v>
      </c>
      <c r="K3690" s="9" t="n">
        <v>1742.5</v>
      </c>
      <c r="L3690" s="9" t="n">
        <v>1492.82</v>
      </c>
      <c r="M3690" s="9" t="n">
        <v>1693.11</v>
      </c>
      <c r="N3690" s="9" t="n">
        <v>1403.85</v>
      </c>
      <c r="O3690" s="9" t="n">
        <v>1490.5</v>
      </c>
      <c r="P3690" s="9" t="n">
        <v>1519.03</v>
      </c>
      <c r="Q3690" s="9" t="n">
        <v>1462</v>
      </c>
      <c r="R3690" s="9" t="n">
        <v>1715.56</v>
      </c>
      <c r="S3690" s="9" t="n">
        <v>1438.35</v>
      </c>
      <c r="T3690" s="9" t="n">
        <v>1499.87</v>
      </c>
      <c r="U3690" s="10">
        <f>SUM(I3690:T3690)</f>
        <v/>
      </c>
    </row>
    <row r="3691">
      <c r="A3691" s="2" t="inlineStr">
        <is>
          <t>SN-3000-3300-3320-3320TA0014</t>
        </is>
      </c>
      <c r="B3691" s="2" t="inlineStr">
        <is>
          <t>3320TA0014</t>
        </is>
      </c>
      <c r="C3691" s="2" t="inlineStr">
        <is>
          <t>Agitador mecánico AG0014</t>
        </is>
      </c>
      <c r="D3691" s="2" t="n">
        <v>1230</v>
      </c>
      <c r="E3691" s="2" t="inlineStr">
        <is>
          <t>CC-3000</t>
        </is>
      </c>
      <c r="F3691" s="2" t="inlineStr">
        <is>
          <t>P01</t>
        </is>
      </c>
      <c r="G3691" s="2" t="n">
        <v>630000</v>
      </c>
      <c r="H3691" s="2" t="inlineStr">
        <is>
          <t>Servicios externos</t>
        </is>
      </c>
      <c r="I3691" s="9" t="n">
        <v>1145.54</v>
      </c>
      <c r="J3691" s="9" t="n">
        <v>1227.47</v>
      </c>
      <c r="K3691" s="9" t="n">
        <v>1183.3</v>
      </c>
      <c r="L3691" s="9" t="n">
        <v>1243.74</v>
      </c>
      <c r="M3691" s="9" t="n">
        <v>1098.23</v>
      </c>
      <c r="N3691" s="9" t="n">
        <v>1038.54</v>
      </c>
      <c r="O3691" s="9" t="n">
        <v>1178.26</v>
      </c>
      <c r="P3691" s="9" t="n">
        <v>1226.84</v>
      </c>
      <c r="Q3691" s="9" t="n">
        <v>1156.17</v>
      </c>
      <c r="R3691" s="9" t="n">
        <v>1268.47</v>
      </c>
      <c r="S3691" s="9" t="n">
        <v>1093.05</v>
      </c>
      <c r="T3691" s="9" t="n">
        <v>1110.89</v>
      </c>
      <c r="U3691" s="10">
        <f>SUM(I3691:T3691)</f>
        <v/>
      </c>
    </row>
    <row r="3692">
      <c r="A3692" s="2" t="inlineStr">
        <is>
          <t>SN-3000-3300-3330-3330AL0002</t>
        </is>
      </c>
      <c r="B3692" s="2" t="inlineStr">
        <is>
          <t>3330AL0002</t>
        </is>
      </c>
      <c r="C3692" s="2" t="inlineStr">
        <is>
          <t>Sensor flujo solución rica FE2858</t>
        </is>
      </c>
      <c r="D3692" s="2" t="n">
        <v>1231</v>
      </c>
      <c r="E3692" s="2" t="inlineStr">
        <is>
          <t>CC-3000</t>
        </is>
      </c>
      <c r="F3692" s="2" t="inlineStr">
        <is>
          <t>P01</t>
        </is>
      </c>
      <c r="G3692" s="2" t="n">
        <v>610000</v>
      </c>
      <c r="H3692" s="2" t="inlineStr">
        <is>
          <t>Mano obra interna</t>
        </is>
      </c>
      <c r="I3692" s="9" t="n">
        <v>2433.19</v>
      </c>
      <c r="J3692" s="9" t="n">
        <v>2566.77</v>
      </c>
      <c r="K3692" s="9" t="n">
        <v>2591.32</v>
      </c>
      <c r="L3692" s="9" t="n">
        <v>2669.72</v>
      </c>
      <c r="M3692" s="9" t="n">
        <v>2470.81</v>
      </c>
      <c r="N3692" s="9" t="n">
        <v>2464.45</v>
      </c>
      <c r="O3692" s="9" t="n">
        <v>2390.07</v>
      </c>
      <c r="P3692" s="9" t="n">
        <v>2469.65</v>
      </c>
      <c r="Q3692" s="9" t="n">
        <v>2122.71</v>
      </c>
      <c r="R3692" s="9" t="n">
        <v>2709.98</v>
      </c>
      <c r="S3692" s="9" t="n">
        <v>2404.31</v>
      </c>
      <c r="T3692" s="9" t="n">
        <v>2609.36</v>
      </c>
      <c r="U3692" s="10">
        <f>SUM(I3692:T3692)</f>
        <v/>
      </c>
    </row>
    <row r="3693">
      <c r="A3693" s="2" t="inlineStr">
        <is>
          <t>SN-3000-3300-3330-3330AL0002</t>
        </is>
      </c>
      <c r="B3693" s="2" t="inlineStr">
        <is>
          <t>3330AL0002</t>
        </is>
      </c>
      <c r="C3693" s="2" t="inlineStr">
        <is>
          <t>Sensor flujo solución rica FE2858</t>
        </is>
      </c>
      <c r="D3693" s="2" t="n">
        <v>1231</v>
      </c>
      <c r="E3693" s="2" t="inlineStr">
        <is>
          <t>CC-3000</t>
        </is>
      </c>
      <c r="F3693" s="2" t="inlineStr">
        <is>
          <t>P01</t>
        </is>
      </c>
      <c r="G3693" s="2" t="n">
        <v>620000</v>
      </c>
      <c r="H3693" s="2" t="inlineStr">
        <is>
          <t>Materiales</t>
        </is>
      </c>
      <c r="I3693" s="9" t="n">
        <v>2558.7</v>
      </c>
      <c r="J3693" s="9" t="n">
        <v>2247.51</v>
      </c>
      <c r="K3693" s="9" t="n">
        <v>2697.41</v>
      </c>
      <c r="L3693" s="9" t="n">
        <v>2316.85</v>
      </c>
      <c r="M3693" s="9" t="n">
        <v>2548.84</v>
      </c>
      <c r="N3693" s="9" t="n">
        <v>2340.62</v>
      </c>
      <c r="O3693" s="9" t="n">
        <v>2582.44</v>
      </c>
      <c r="P3693" s="9" t="n">
        <v>2440.74</v>
      </c>
      <c r="Q3693" s="9" t="n">
        <v>2340.26</v>
      </c>
      <c r="R3693" s="9" t="n">
        <v>2590.98</v>
      </c>
      <c r="S3693" s="9" t="n">
        <v>2470.56</v>
      </c>
      <c r="T3693" s="9" t="n">
        <v>2394.72</v>
      </c>
      <c r="U3693" s="10">
        <f>SUM(I3693:T3693)</f>
        <v/>
      </c>
    </row>
    <row r="3694">
      <c r="A3694" s="2" t="inlineStr">
        <is>
          <t>SN-3000-3300-3330-3330AL0002</t>
        </is>
      </c>
      <c r="B3694" s="2" t="inlineStr">
        <is>
          <t>3330AL0002</t>
        </is>
      </c>
      <c r="C3694" s="2" t="inlineStr">
        <is>
          <t>Sensor flujo solución rica FE2858</t>
        </is>
      </c>
      <c r="D3694" s="2" t="n">
        <v>1231</v>
      </c>
      <c r="E3694" s="2" t="inlineStr">
        <is>
          <t>CC-3000</t>
        </is>
      </c>
      <c r="F3694" s="2" t="inlineStr">
        <is>
          <t>P01</t>
        </is>
      </c>
      <c r="G3694" s="2" t="n">
        <v>630000</v>
      </c>
      <c r="H3694" s="2" t="inlineStr">
        <is>
          <t>Servicios externos</t>
        </is>
      </c>
      <c r="I3694" s="9" t="n">
        <v>2391.81</v>
      </c>
      <c r="J3694" s="9" t="n">
        <v>2512.79</v>
      </c>
      <c r="K3694" s="9" t="n">
        <v>2457.89</v>
      </c>
      <c r="L3694" s="9" t="n">
        <v>2428.97</v>
      </c>
      <c r="M3694" s="9" t="n">
        <v>2559.88</v>
      </c>
      <c r="N3694" s="9" t="n">
        <v>2473.83</v>
      </c>
      <c r="O3694" s="9" t="n">
        <v>2540.45</v>
      </c>
      <c r="P3694" s="9" t="n">
        <v>2628.99</v>
      </c>
      <c r="Q3694" s="9" t="n">
        <v>2167.37</v>
      </c>
      <c r="R3694" s="9" t="n">
        <v>2559</v>
      </c>
      <c r="S3694" s="9" t="n">
        <v>2306.55</v>
      </c>
      <c r="T3694" s="9" t="n">
        <v>2422.53</v>
      </c>
      <c r="U3694" s="10">
        <f>SUM(I3694:T3694)</f>
        <v/>
      </c>
    </row>
    <row r="3695">
      <c r="A3695" s="2" t="inlineStr">
        <is>
          <t>SN-3000-3300-3330-3330BN0020</t>
        </is>
      </c>
      <c r="B3695" s="2" t="inlineStr">
        <is>
          <t>3330BN0020</t>
        </is>
      </c>
      <c r="C3695" s="2" t="inlineStr">
        <is>
          <t>Tolva ayuda filtrante BN0020</t>
        </is>
      </c>
      <c r="D3695" s="2" t="n">
        <v>1232</v>
      </c>
      <c r="E3695" s="2" t="inlineStr">
        <is>
          <t>CC-3000</t>
        </is>
      </c>
      <c r="F3695" s="2" t="inlineStr">
        <is>
          <t>P01</t>
        </is>
      </c>
      <c r="G3695" s="2" t="n">
        <v>610000</v>
      </c>
      <c r="H3695" s="2" t="inlineStr">
        <is>
          <t>Mano obra interna</t>
        </is>
      </c>
      <c r="I3695" s="9" t="n">
        <v>1307.34</v>
      </c>
      <c r="J3695" s="9" t="n">
        <v>1177.86</v>
      </c>
      <c r="K3695" s="9" t="n">
        <v>1236.92</v>
      </c>
      <c r="L3695" s="9" t="n">
        <v>1283.17</v>
      </c>
      <c r="M3695" s="9" t="n">
        <v>1168.38</v>
      </c>
      <c r="N3695" s="9" t="n">
        <v>1161.3</v>
      </c>
      <c r="O3695" s="9" t="n">
        <v>1154.22</v>
      </c>
      <c r="P3695" s="9" t="n">
        <v>1330.41</v>
      </c>
      <c r="Q3695" s="9" t="n">
        <v>1121.91</v>
      </c>
      <c r="R3695" s="9" t="n">
        <v>1413.86</v>
      </c>
      <c r="S3695" s="9" t="n">
        <v>1207.62</v>
      </c>
      <c r="T3695" s="9" t="n">
        <v>1205.15</v>
      </c>
      <c r="U3695" s="10">
        <f>SUM(I3695:T3695)</f>
        <v/>
      </c>
    </row>
    <row r="3696">
      <c r="A3696" s="2" t="inlineStr">
        <is>
          <t>SN-3000-3300-3330-3330BN0020</t>
        </is>
      </c>
      <c r="B3696" s="2" t="inlineStr">
        <is>
          <t>3330BN0020</t>
        </is>
      </c>
      <c r="C3696" s="2" t="inlineStr">
        <is>
          <t>Tolva ayuda filtrante BN0020</t>
        </is>
      </c>
      <c r="D3696" s="2" t="n">
        <v>1232</v>
      </c>
      <c r="E3696" s="2" t="inlineStr">
        <is>
          <t>CC-3000</t>
        </is>
      </c>
      <c r="F3696" s="2" t="inlineStr">
        <is>
          <t>P01</t>
        </is>
      </c>
      <c r="G3696" s="2" t="n">
        <v>620000</v>
      </c>
      <c r="H3696" s="2" t="inlineStr">
        <is>
          <t>Materiales</t>
        </is>
      </c>
      <c r="I3696" s="9" t="n">
        <v>1202.68</v>
      </c>
      <c r="J3696" s="9" t="n">
        <v>1208.87</v>
      </c>
      <c r="K3696" s="9" t="n">
        <v>1118.86</v>
      </c>
      <c r="L3696" s="9" t="n">
        <v>1095.82</v>
      </c>
      <c r="M3696" s="9" t="n">
        <v>1110.24</v>
      </c>
      <c r="N3696" s="9" t="n">
        <v>1073.73</v>
      </c>
      <c r="O3696" s="9" t="n">
        <v>1199</v>
      </c>
      <c r="P3696" s="9" t="n">
        <v>1135.94</v>
      </c>
      <c r="Q3696" s="9" t="n">
        <v>989.0599999999999</v>
      </c>
      <c r="R3696" s="9" t="n">
        <v>1315.01</v>
      </c>
      <c r="S3696" s="9" t="n">
        <v>1083.55</v>
      </c>
      <c r="T3696" s="9" t="n">
        <v>1190.71</v>
      </c>
      <c r="U3696" s="10">
        <f>SUM(I3696:T3696)</f>
        <v/>
      </c>
    </row>
    <row r="3697">
      <c r="A3697" s="2" t="inlineStr">
        <is>
          <t>SN-3000-3300-3330-3330BN0020</t>
        </is>
      </c>
      <c r="B3697" s="2" t="inlineStr">
        <is>
          <t>3330BN0020</t>
        </is>
      </c>
      <c r="C3697" s="2" t="inlineStr">
        <is>
          <t>Tolva ayuda filtrante BN0020</t>
        </is>
      </c>
      <c r="D3697" s="2" t="n">
        <v>1232</v>
      </c>
      <c r="E3697" s="2" t="inlineStr">
        <is>
          <t>CC-3000</t>
        </is>
      </c>
      <c r="F3697" s="2" t="inlineStr">
        <is>
          <t>P01</t>
        </is>
      </c>
      <c r="G3697" s="2" t="n">
        <v>630000</v>
      </c>
      <c r="H3697" s="2" t="inlineStr">
        <is>
          <t>Servicios externos</t>
        </is>
      </c>
      <c r="I3697" s="9" t="n">
        <v>1278.45</v>
      </c>
      <c r="J3697" s="9" t="n">
        <v>1222.17</v>
      </c>
      <c r="K3697" s="9" t="n">
        <v>1299.02</v>
      </c>
      <c r="L3697" s="9" t="n">
        <v>1478.38</v>
      </c>
      <c r="M3697" s="9" t="n">
        <v>1396.84</v>
      </c>
      <c r="N3697" s="9" t="n">
        <v>1212.93</v>
      </c>
      <c r="O3697" s="9" t="n">
        <v>1373.43</v>
      </c>
      <c r="P3697" s="9" t="n">
        <v>1371.16</v>
      </c>
      <c r="Q3697" s="9" t="n">
        <v>1154.57</v>
      </c>
      <c r="R3697" s="9" t="n">
        <v>1437.25</v>
      </c>
      <c r="S3697" s="9" t="n">
        <v>1349.2</v>
      </c>
      <c r="T3697" s="9" t="n">
        <v>1299.49</v>
      </c>
      <c r="U3697" s="10">
        <f>SUM(I3697:T3697)</f>
        <v/>
      </c>
    </row>
    <row r="3698">
      <c r="A3698" s="2" t="inlineStr">
        <is>
          <t>SN-3000-3300-3330-3330BN0021</t>
        </is>
      </c>
      <c r="B3698" s="2" t="inlineStr">
        <is>
          <t>3330BN0021</t>
        </is>
      </c>
      <c r="C3698" s="2" t="inlineStr">
        <is>
          <t>Tolva precapa BN0021</t>
        </is>
      </c>
      <c r="D3698" s="2" t="n">
        <v>1233</v>
      </c>
      <c r="E3698" s="2" t="inlineStr">
        <is>
          <t>CC-3000</t>
        </is>
      </c>
      <c r="F3698" s="2" t="inlineStr">
        <is>
          <t>P01</t>
        </is>
      </c>
      <c r="G3698" s="2" t="n">
        <v>610000</v>
      </c>
      <c r="H3698" s="2" t="inlineStr">
        <is>
          <t>Mano obra interna</t>
        </is>
      </c>
      <c r="I3698" s="9" t="n">
        <v>1739.2</v>
      </c>
      <c r="J3698" s="9" t="n">
        <v>1506.87</v>
      </c>
      <c r="K3698" s="9" t="n">
        <v>1810.96</v>
      </c>
      <c r="L3698" s="9" t="n">
        <v>1567.16</v>
      </c>
      <c r="M3698" s="9" t="n">
        <v>1745.94</v>
      </c>
      <c r="N3698" s="9" t="n">
        <v>1545.86</v>
      </c>
      <c r="O3698" s="9" t="n">
        <v>1714.66</v>
      </c>
      <c r="P3698" s="9" t="n">
        <v>1736.18</v>
      </c>
      <c r="Q3698" s="9" t="n">
        <v>1492.15</v>
      </c>
      <c r="R3698" s="9" t="n">
        <v>1750.21</v>
      </c>
      <c r="S3698" s="9" t="n">
        <v>1610.49</v>
      </c>
      <c r="T3698" s="9" t="n">
        <v>1708.05</v>
      </c>
      <c r="U3698" s="10">
        <f>SUM(I3698:T3698)</f>
        <v/>
      </c>
    </row>
    <row r="3699">
      <c r="A3699" s="2" t="inlineStr">
        <is>
          <t>SN-3000-3300-3330-3330BN0021</t>
        </is>
      </c>
      <c r="B3699" s="2" t="inlineStr">
        <is>
          <t>3330BN0021</t>
        </is>
      </c>
      <c r="C3699" s="2" t="inlineStr">
        <is>
          <t>Tolva precapa BN0021</t>
        </is>
      </c>
      <c r="D3699" s="2" t="n">
        <v>1233</v>
      </c>
      <c r="E3699" s="2" t="inlineStr">
        <is>
          <t>CC-3000</t>
        </is>
      </c>
      <c r="F3699" s="2" t="inlineStr">
        <is>
          <t>P01</t>
        </is>
      </c>
      <c r="G3699" s="2" t="n">
        <v>620000</v>
      </c>
      <c r="H3699" s="2" t="inlineStr">
        <is>
          <t>Materiales</t>
        </is>
      </c>
      <c r="I3699" s="9" t="n">
        <v>1503.66</v>
      </c>
      <c r="J3699" s="9" t="n">
        <v>1395.71</v>
      </c>
      <c r="K3699" s="9" t="n">
        <v>1357.69</v>
      </c>
      <c r="L3699" s="9" t="n">
        <v>1426.84</v>
      </c>
      <c r="M3699" s="9" t="n">
        <v>1337.29</v>
      </c>
      <c r="N3699" s="9" t="n">
        <v>1380.66</v>
      </c>
      <c r="O3699" s="9" t="n">
        <v>1328.62</v>
      </c>
      <c r="P3699" s="9" t="n">
        <v>1296.23</v>
      </c>
      <c r="Q3699" s="9" t="n">
        <v>1178.71</v>
      </c>
      <c r="R3699" s="9" t="n">
        <v>1586.57</v>
      </c>
      <c r="S3699" s="9" t="n">
        <v>1292.01</v>
      </c>
      <c r="T3699" s="9" t="n">
        <v>1323.7</v>
      </c>
      <c r="U3699" s="10">
        <f>SUM(I3699:T3699)</f>
        <v/>
      </c>
    </row>
    <row r="3700">
      <c r="A3700" s="2" t="inlineStr">
        <is>
          <t>SN-3000-3300-3330-3330BN0021</t>
        </is>
      </c>
      <c r="B3700" s="2" t="inlineStr">
        <is>
          <t>3330BN0021</t>
        </is>
      </c>
      <c r="C3700" s="2" t="inlineStr">
        <is>
          <t>Tolva precapa BN0021</t>
        </is>
      </c>
      <c r="D3700" s="2" t="n">
        <v>1233</v>
      </c>
      <c r="E3700" s="2" t="inlineStr">
        <is>
          <t>CC-3000</t>
        </is>
      </c>
      <c r="F3700" s="2" t="inlineStr">
        <is>
          <t>P01</t>
        </is>
      </c>
      <c r="G3700" s="2" t="n">
        <v>630000</v>
      </c>
      <c r="H3700" s="2" t="inlineStr">
        <is>
          <t>Servicios externos</t>
        </is>
      </c>
      <c r="I3700" s="9" t="n">
        <v>1471.33</v>
      </c>
      <c r="J3700" s="9" t="n">
        <v>1405.66</v>
      </c>
      <c r="K3700" s="9" t="n">
        <v>1566.81</v>
      </c>
      <c r="L3700" s="9" t="n">
        <v>1420.2</v>
      </c>
      <c r="M3700" s="9" t="n">
        <v>1477.69</v>
      </c>
      <c r="N3700" s="9" t="n">
        <v>1399.81</v>
      </c>
      <c r="O3700" s="9" t="n">
        <v>1499.43</v>
      </c>
      <c r="P3700" s="9" t="n">
        <v>1447.07</v>
      </c>
      <c r="Q3700" s="9" t="n">
        <v>1403.54</v>
      </c>
      <c r="R3700" s="9" t="n">
        <v>1500.34</v>
      </c>
      <c r="S3700" s="9" t="n">
        <v>1414.77</v>
      </c>
      <c r="T3700" s="9" t="n">
        <v>1449.57</v>
      </c>
      <c r="U3700" s="10">
        <f>SUM(I3700:T3700)</f>
        <v/>
      </c>
    </row>
    <row r="3701">
      <c r="A3701" s="2" t="inlineStr">
        <is>
          <t>SN-3000-3300-3330-3330DC0008</t>
        </is>
      </c>
      <c r="B3701" s="2" t="inlineStr">
        <is>
          <t>3330DC0008</t>
        </is>
      </c>
      <c r="C3701" s="2" t="inlineStr">
        <is>
          <t>Colector polvo DC0008</t>
        </is>
      </c>
      <c r="D3701" s="2" t="n">
        <v>1234</v>
      </c>
      <c r="E3701" s="2" t="inlineStr">
        <is>
          <t>CC-3000</t>
        </is>
      </c>
      <c r="F3701" s="2" t="inlineStr">
        <is>
          <t>P01</t>
        </is>
      </c>
      <c r="G3701" s="2" t="n">
        <v>610000</v>
      </c>
      <c r="H3701" s="2" t="inlineStr">
        <is>
          <t>Mano obra interna</t>
        </is>
      </c>
      <c r="I3701" s="9" t="n">
        <v>2123.69</v>
      </c>
      <c r="J3701" s="9" t="n">
        <v>2126.42</v>
      </c>
      <c r="K3701" s="9" t="n">
        <v>2226.59</v>
      </c>
      <c r="L3701" s="9" t="n">
        <v>2131.39</v>
      </c>
      <c r="M3701" s="9" t="n">
        <v>1986.24</v>
      </c>
      <c r="N3701" s="9" t="n">
        <v>2048.32</v>
      </c>
      <c r="O3701" s="9" t="n">
        <v>2273.6</v>
      </c>
      <c r="P3701" s="9" t="n">
        <v>2006.8</v>
      </c>
      <c r="Q3701" s="9" t="n">
        <v>1832.82</v>
      </c>
      <c r="R3701" s="9" t="n">
        <v>2194.67</v>
      </c>
      <c r="S3701" s="9" t="n">
        <v>2018.67</v>
      </c>
      <c r="T3701" s="9" t="n">
        <v>2079.58</v>
      </c>
      <c r="U3701" s="10">
        <f>SUM(I3701:T3701)</f>
        <v/>
      </c>
    </row>
    <row r="3702">
      <c r="A3702" s="2" t="inlineStr">
        <is>
          <t>SN-3000-3300-3330-3330DC0008</t>
        </is>
      </c>
      <c r="B3702" s="2" t="inlineStr">
        <is>
          <t>3330DC0008</t>
        </is>
      </c>
      <c r="C3702" s="2" t="inlineStr">
        <is>
          <t>Colector polvo DC0008</t>
        </is>
      </c>
      <c r="D3702" s="2" t="n">
        <v>1234</v>
      </c>
      <c r="E3702" s="2" t="inlineStr">
        <is>
          <t>CC-3000</t>
        </is>
      </c>
      <c r="F3702" s="2" t="inlineStr">
        <is>
          <t>P01</t>
        </is>
      </c>
      <c r="G3702" s="2" t="n">
        <v>620000</v>
      </c>
      <c r="H3702" s="2" t="inlineStr">
        <is>
          <t>Materiales</t>
        </is>
      </c>
      <c r="I3702" s="9" t="n">
        <v>2345.21</v>
      </c>
      <c r="J3702" s="9" t="n">
        <v>2173.06</v>
      </c>
      <c r="K3702" s="9" t="n">
        <v>2543.57</v>
      </c>
      <c r="L3702" s="9" t="n">
        <v>2209.58</v>
      </c>
      <c r="M3702" s="9" t="n">
        <v>2138.78</v>
      </c>
      <c r="N3702" s="9" t="n">
        <v>2109.24</v>
      </c>
      <c r="O3702" s="9" t="n">
        <v>2145.12</v>
      </c>
      <c r="P3702" s="9" t="n">
        <v>2390.71</v>
      </c>
      <c r="Q3702" s="9" t="n">
        <v>2076.79</v>
      </c>
      <c r="R3702" s="9" t="n">
        <v>2571.47</v>
      </c>
      <c r="S3702" s="9" t="n">
        <v>2320.04</v>
      </c>
      <c r="T3702" s="9" t="n">
        <v>2236.02</v>
      </c>
      <c r="U3702" s="10">
        <f>SUM(I3702:T3702)</f>
        <v/>
      </c>
    </row>
    <row r="3703">
      <c r="A3703" s="2" t="inlineStr">
        <is>
          <t>SN-3000-3300-3330-3330DC0008</t>
        </is>
      </c>
      <c r="B3703" s="2" t="inlineStr">
        <is>
          <t>3330DC0008</t>
        </is>
      </c>
      <c r="C3703" s="2" t="inlineStr">
        <is>
          <t>Colector polvo DC0008</t>
        </is>
      </c>
      <c r="D3703" s="2" t="n">
        <v>1234</v>
      </c>
      <c r="E3703" s="2" t="inlineStr">
        <is>
          <t>CC-3000</t>
        </is>
      </c>
      <c r="F3703" s="2" t="inlineStr">
        <is>
          <t>P01</t>
        </is>
      </c>
      <c r="G3703" s="2" t="n">
        <v>630000</v>
      </c>
      <c r="H3703" s="2" t="inlineStr">
        <is>
          <t>Servicios externos</t>
        </is>
      </c>
      <c r="I3703" s="9" t="n">
        <v>2135.74</v>
      </c>
      <c r="J3703" s="9" t="n">
        <v>2176.05</v>
      </c>
      <c r="K3703" s="9" t="n">
        <v>1988.28</v>
      </c>
      <c r="L3703" s="9" t="n">
        <v>2069.08</v>
      </c>
      <c r="M3703" s="9" t="n">
        <v>2190.33</v>
      </c>
      <c r="N3703" s="9" t="n">
        <v>1909.99</v>
      </c>
      <c r="O3703" s="9" t="n">
        <v>1965.31</v>
      </c>
      <c r="P3703" s="9" t="n">
        <v>2109.42</v>
      </c>
      <c r="Q3703" s="9" t="n">
        <v>1881.12</v>
      </c>
      <c r="R3703" s="9" t="n">
        <v>2237.38</v>
      </c>
      <c r="S3703" s="9" t="n">
        <v>2122.36</v>
      </c>
      <c r="T3703" s="9" t="n">
        <v>2123.56</v>
      </c>
      <c r="U3703" s="10">
        <f>SUM(I3703:T3703)</f>
        <v/>
      </c>
    </row>
    <row r="3704">
      <c r="A3704" s="2" t="inlineStr">
        <is>
          <t>SN-3000-3300-3330-3330FA0050</t>
        </is>
      </c>
      <c r="B3704" s="2" t="inlineStr">
        <is>
          <t>3330FA0050</t>
        </is>
      </c>
      <c r="C3704" s="2" t="inlineStr">
        <is>
          <t>Ventilador centrífugo FA0050</t>
        </is>
      </c>
      <c r="D3704" s="2" t="n">
        <v>1235</v>
      </c>
      <c r="E3704" s="2" t="inlineStr">
        <is>
          <t>CC-3000</t>
        </is>
      </c>
      <c r="F3704" s="2" t="inlineStr">
        <is>
          <t>P01</t>
        </is>
      </c>
      <c r="G3704" s="2" t="n">
        <v>610000</v>
      </c>
      <c r="H3704" s="2" t="inlineStr">
        <is>
          <t>Mano obra interna</t>
        </is>
      </c>
      <c r="I3704" s="9" t="n">
        <v>549.95</v>
      </c>
      <c r="J3704" s="9" t="n">
        <v>575.86</v>
      </c>
      <c r="K3704" s="9" t="n">
        <v>598.3200000000001</v>
      </c>
      <c r="L3704" s="9" t="n">
        <v>546.5700000000001</v>
      </c>
      <c r="M3704" s="9" t="n">
        <v>536.85</v>
      </c>
      <c r="N3704" s="9" t="n">
        <v>558.66</v>
      </c>
      <c r="O3704" s="9" t="n">
        <v>546.0700000000001</v>
      </c>
      <c r="P3704" s="9" t="n">
        <v>549.51</v>
      </c>
      <c r="Q3704" s="9" t="n">
        <v>508.65</v>
      </c>
      <c r="R3704" s="9" t="n">
        <v>569.74</v>
      </c>
      <c r="S3704" s="9" t="n">
        <v>526.9400000000001</v>
      </c>
      <c r="T3704" s="9" t="n">
        <v>594.3099999999999</v>
      </c>
      <c r="U3704" s="10">
        <f>SUM(I3704:T3704)</f>
        <v/>
      </c>
    </row>
    <row r="3705">
      <c r="A3705" s="2" t="inlineStr">
        <is>
          <t>SN-3000-3300-3330-3330FA0050</t>
        </is>
      </c>
      <c r="B3705" s="2" t="inlineStr">
        <is>
          <t>3330FA0050</t>
        </is>
      </c>
      <c r="C3705" s="2" t="inlineStr">
        <is>
          <t>Ventilador centrífugo FA0050</t>
        </is>
      </c>
      <c r="D3705" s="2" t="n">
        <v>1235</v>
      </c>
      <c r="E3705" s="2" t="inlineStr">
        <is>
          <t>CC-3000</t>
        </is>
      </c>
      <c r="F3705" s="2" t="inlineStr">
        <is>
          <t>P01</t>
        </is>
      </c>
      <c r="G3705" s="2" t="n">
        <v>620000</v>
      </c>
      <c r="H3705" s="2" t="inlineStr">
        <is>
          <t>Materiales</t>
        </is>
      </c>
      <c r="I3705" s="9" t="n">
        <v>554.6900000000001</v>
      </c>
      <c r="J3705" s="9" t="n">
        <v>509.11</v>
      </c>
      <c r="K3705" s="9" t="n">
        <v>535.21</v>
      </c>
      <c r="L3705" s="9" t="n">
        <v>518.1900000000001</v>
      </c>
      <c r="M3705" s="9" t="n">
        <v>499.26</v>
      </c>
      <c r="N3705" s="9" t="n">
        <v>521.98</v>
      </c>
      <c r="O3705" s="9" t="n">
        <v>539.3200000000001</v>
      </c>
      <c r="P3705" s="9" t="n">
        <v>526.96</v>
      </c>
      <c r="Q3705" s="9" t="n">
        <v>549.13</v>
      </c>
      <c r="R3705" s="9" t="n">
        <v>580.29</v>
      </c>
      <c r="S3705" s="9" t="n">
        <v>554.02</v>
      </c>
      <c r="T3705" s="9" t="n">
        <v>529.4299999999999</v>
      </c>
      <c r="U3705" s="10">
        <f>SUM(I3705:T3705)</f>
        <v/>
      </c>
    </row>
    <row r="3706">
      <c r="A3706" s="2" t="inlineStr">
        <is>
          <t>SN-3000-3300-3330-3330FA0050</t>
        </is>
      </c>
      <c r="B3706" s="2" t="inlineStr">
        <is>
          <t>3330FA0050</t>
        </is>
      </c>
      <c r="C3706" s="2" t="inlineStr">
        <is>
          <t>Ventilador centrífugo FA0050</t>
        </is>
      </c>
      <c r="D3706" s="2" t="n">
        <v>1235</v>
      </c>
      <c r="E3706" s="2" t="inlineStr">
        <is>
          <t>CC-3000</t>
        </is>
      </c>
      <c r="F3706" s="2" t="inlineStr">
        <is>
          <t>P01</t>
        </is>
      </c>
      <c r="G3706" s="2" t="n">
        <v>630000</v>
      </c>
      <c r="H3706" s="2" t="inlineStr">
        <is>
          <t>Servicios externos</t>
        </is>
      </c>
      <c r="I3706" s="9" t="n">
        <v>522.48</v>
      </c>
      <c r="J3706" s="9" t="n">
        <v>459.04</v>
      </c>
      <c r="K3706" s="9" t="n">
        <v>481.97</v>
      </c>
      <c r="L3706" s="9" t="n">
        <v>487.82</v>
      </c>
      <c r="M3706" s="9" t="n">
        <v>478.84</v>
      </c>
      <c r="N3706" s="9" t="n">
        <v>486.19</v>
      </c>
      <c r="O3706" s="9" t="n">
        <v>521.6</v>
      </c>
      <c r="P3706" s="9" t="n">
        <v>490.67</v>
      </c>
      <c r="Q3706" s="9" t="n">
        <v>451.61</v>
      </c>
      <c r="R3706" s="9" t="n">
        <v>574.1799999999999</v>
      </c>
      <c r="S3706" s="9" t="n">
        <v>463.66</v>
      </c>
      <c r="T3706" s="9" t="n">
        <v>528.45</v>
      </c>
      <c r="U3706" s="10">
        <f>SUM(I3706:T3706)</f>
        <v/>
      </c>
    </row>
    <row r="3707">
      <c r="A3707" s="2" t="inlineStr">
        <is>
          <t>SN-3000-3300-3330-3330FA0051</t>
        </is>
      </c>
      <c r="B3707" s="2" t="inlineStr">
        <is>
          <t>3330FA0051</t>
        </is>
      </c>
      <c r="C3707" s="2" t="inlineStr">
        <is>
          <t>Ventilador centrífugo FA0051</t>
        </is>
      </c>
      <c r="D3707" s="2" t="n">
        <v>1236</v>
      </c>
      <c r="E3707" s="2" t="inlineStr">
        <is>
          <t>CC-3000</t>
        </is>
      </c>
      <c r="F3707" s="2" t="inlineStr">
        <is>
          <t>P01</t>
        </is>
      </c>
      <c r="G3707" s="2" t="n">
        <v>610000</v>
      </c>
      <c r="H3707" s="2" t="inlineStr">
        <is>
          <t>Mano obra interna</t>
        </is>
      </c>
      <c r="I3707" s="9" t="n">
        <v>2125.27</v>
      </c>
      <c r="J3707" s="9" t="n">
        <v>2000.57</v>
      </c>
      <c r="K3707" s="9" t="n">
        <v>2416.14</v>
      </c>
      <c r="L3707" s="9" t="n">
        <v>2141.49</v>
      </c>
      <c r="M3707" s="9" t="n">
        <v>2075.31</v>
      </c>
      <c r="N3707" s="9" t="n">
        <v>2074.12</v>
      </c>
      <c r="O3707" s="9" t="n">
        <v>2082.42</v>
      </c>
      <c r="P3707" s="9" t="n">
        <v>2344.84</v>
      </c>
      <c r="Q3707" s="9" t="n">
        <v>1876.66</v>
      </c>
      <c r="R3707" s="9" t="n">
        <v>2327.44</v>
      </c>
      <c r="S3707" s="9" t="n">
        <v>2121.89</v>
      </c>
      <c r="T3707" s="9" t="n">
        <v>2195.69</v>
      </c>
      <c r="U3707" s="10">
        <f>SUM(I3707:T3707)</f>
        <v/>
      </c>
    </row>
    <row r="3708">
      <c r="A3708" s="2" t="inlineStr">
        <is>
          <t>SN-3000-3300-3330-3330FA0051</t>
        </is>
      </c>
      <c r="B3708" s="2" t="inlineStr">
        <is>
          <t>3330FA0051</t>
        </is>
      </c>
      <c r="C3708" s="2" t="inlineStr">
        <is>
          <t>Ventilador centrífugo FA0051</t>
        </is>
      </c>
      <c r="D3708" s="2" t="n">
        <v>1236</v>
      </c>
      <c r="E3708" s="2" t="inlineStr">
        <is>
          <t>CC-3000</t>
        </is>
      </c>
      <c r="F3708" s="2" t="inlineStr">
        <is>
          <t>P01</t>
        </is>
      </c>
      <c r="G3708" s="2" t="n">
        <v>620000</v>
      </c>
      <c r="H3708" s="2" t="inlineStr">
        <is>
          <t>Materiales</t>
        </is>
      </c>
      <c r="I3708" s="9" t="n">
        <v>2037.37</v>
      </c>
      <c r="J3708" s="9" t="n">
        <v>1933.26</v>
      </c>
      <c r="K3708" s="9" t="n">
        <v>1851.38</v>
      </c>
      <c r="L3708" s="9" t="n">
        <v>1907.74</v>
      </c>
      <c r="M3708" s="9" t="n">
        <v>1685.71</v>
      </c>
      <c r="N3708" s="9" t="n">
        <v>1744.4</v>
      </c>
      <c r="O3708" s="9" t="n">
        <v>1752.57</v>
      </c>
      <c r="P3708" s="9" t="n">
        <v>1912.52</v>
      </c>
      <c r="Q3708" s="9" t="n">
        <v>1646.46</v>
      </c>
      <c r="R3708" s="9" t="n">
        <v>2076.04</v>
      </c>
      <c r="S3708" s="9" t="n">
        <v>1738.64</v>
      </c>
      <c r="T3708" s="9" t="n">
        <v>2006.84</v>
      </c>
      <c r="U3708" s="10">
        <f>SUM(I3708:T3708)</f>
        <v/>
      </c>
    </row>
    <row r="3709">
      <c r="A3709" s="2" t="inlineStr">
        <is>
          <t>SN-3000-3300-3330-3330FA0051</t>
        </is>
      </c>
      <c r="B3709" s="2" t="inlineStr">
        <is>
          <t>3330FA0051</t>
        </is>
      </c>
      <c r="C3709" s="2" t="inlineStr">
        <is>
          <t>Ventilador centrífugo FA0051</t>
        </is>
      </c>
      <c r="D3709" s="2" t="n">
        <v>1236</v>
      </c>
      <c r="E3709" s="2" t="inlineStr">
        <is>
          <t>CC-3000</t>
        </is>
      </c>
      <c r="F3709" s="2" t="inlineStr">
        <is>
          <t>P01</t>
        </is>
      </c>
      <c r="G3709" s="2" t="n">
        <v>630000</v>
      </c>
      <c r="H3709" s="2" t="inlineStr">
        <is>
          <t>Servicios externos</t>
        </is>
      </c>
      <c r="I3709" s="9" t="n">
        <v>1944.08</v>
      </c>
      <c r="J3709" s="9" t="n">
        <v>1815.39</v>
      </c>
      <c r="K3709" s="9" t="n">
        <v>2005.75</v>
      </c>
      <c r="L3709" s="9" t="n">
        <v>1917.78</v>
      </c>
      <c r="M3709" s="9" t="n">
        <v>1852.7</v>
      </c>
      <c r="N3709" s="9" t="n">
        <v>1661.94</v>
      </c>
      <c r="O3709" s="9" t="n">
        <v>1808.48</v>
      </c>
      <c r="P3709" s="9" t="n">
        <v>1744.3</v>
      </c>
      <c r="Q3709" s="9" t="n">
        <v>1552.09</v>
      </c>
      <c r="R3709" s="9" t="n">
        <v>2013.55</v>
      </c>
      <c r="S3709" s="9" t="n">
        <v>1674.67</v>
      </c>
      <c r="T3709" s="9" t="n">
        <v>1802.97</v>
      </c>
      <c r="U3709" s="10">
        <f>SUM(I3709:T3709)</f>
        <v/>
      </c>
    </row>
    <row r="3710">
      <c r="A3710" s="2" t="inlineStr">
        <is>
          <t>SN-3000-3300-3330-3330FE0005</t>
        </is>
      </c>
      <c r="B3710" s="2" t="inlineStr">
        <is>
          <t>3330FE0005</t>
        </is>
      </c>
      <c r="C3710" s="2" t="inlineStr">
        <is>
          <t>Tornillo alimentador precipitado FE0005</t>
        </is>
      </c>
      <c r="D3710" s="2" t="n">
        <v>1237</v>
      </c>
      <c r="E3710" s="2" t="inlineStr">
        <is>
          <t>CC-3000</t>
        </is>
      </c>
      <c r="F3710" s="2" t="inlineStr">
        <is>
          <t>P01</t>
        </is>
      </c>
      <c r="G3710" s="2" t="n">
        <v>610000</v>
      </c>
      <c r="H3710" s="2" t="inlineStr">
        <is>
          <t>Mano obra interna</t>
        </is>
      </c>
      <c r="I3710" s="9" t="n">
        <v>2242.26</v>
      </c>
      <c r="J3710" s="9" t="n">
        <v>2115.03</v>
      </c>
      <c r="K3710" s="9" t="n">
        <v>2318.62</v>
      </c>
      <c r="L3710" s="9" t="n">
        <v>2200.41</v>
      </c>
      <c r="M3710" s="9" t="n">
        <v>2298.22</v>
      </c>
      <c r="N3710" s="9" t="n">
        <v>2036.44</v>
      </c>
      <c r="O3710" s="9" t="n">
        <v>2470.92</v>
      </c>
      <c r="P3710" s="9" t="n">
        <v>2477.72</v>
      </c>
      <c r="Q3710" s="9" t="n">
        <v>2080.73</v>
      </c>
      <c r="R3710" s="9" t="n">
        <v>2392.84</v>
      </c>
      <c r="S3710" s="9" t="n">
        <v>2092.29</v>
      </c>
      <c r="T3710" s="9" t="n">
        <v>2493.32</v>
      </c>
      <c r="U3710" s="10">
        <f>SUM(I3710:T3710)</f>
        <v/>
      </c>
    </row>
    <row r="3711">
      <c r="A3711" s="2" t="inlineStr">
        <is>
          <t>SN-3000-3300-3330-3330FE0005</t>
        </is>
      </c>
      <c r="B3711" s="2" t="inlineStr">
        <is>
          <t>3330FE0005</t>
        </is>
      </c>
      <c r="C3711" s="2" t="inlineStr">
        <is>
          <t>Tornillo alimentador precipitado FE0005</t>
        </is>
      </c>
      <c r="D3711" s="2" t="n">
        <v>1237</v>
      </c>
      <c r="E3711" s="2" t="inlineStr">
        <is>
          <t>CC-3000</t>
        </is>
      </c>
      <c r="F3711" s="2" t="inlineStr">
        <is>
          <t>P01</t>
        </is>
      </c>
      <c r="G3711" s="2" t="n">
        <v>620000</v>
      </c>
      <c r="H3711" s="2" t="inlineStr">
        <is>
          <t>Materiales</t>
        </is>
      </c>
      <c r="I3711" s="9" t="n">
        <v>2424.61</v>
      </c>
      <c r="J3711" s="9" t="n">
        <v>2444.22</v>
      </c>
      <c r="K3711" s="9" t="n">
        <v>2566.08</v>
      </c>
      <c r="L3711" s="9" t="n">
        <v>2510.74</v>
      </c>
      <c r="M3711" s="9" t="n">
        <v>2410.89</v>
      </c>
      <c r="N3711" s="9" t="n">
        <v>2366.12</v>
      </c>
      <c r="O3711" s="9" t="n">
        <v>2475.49</v>
      </c>
      <c r="P3711" s="9" t="n">
        <v>2283.21</v>
      </c>
      <c r="Q3711" s="9" t="n">
        <v>2337.2</v>
      </c>
      <c r="R3711" s="9" t="n">
        <v>2601.24</v>
      </c>
      <c r="S3711" s="9" t="n">
        <v>2212.51</v>
      </c>
      <c r="T3711" s="9" t="n">
        <v>2346.66</v>
      </c>
      <c r="U3711" s="10">
        <f>SUM(I3711:T3711)</f>
        <v/>
      </c>
    </row>
    <row r="3712">
      <c r="A3712" s="2" t="inlineStr">
        <is>
          <t>SN-3000-3300-3330-3330FE0005</t>
        </is>
      </c>
      <c r="B3712" s="2" t="inlineStr">
        <is>
          <t>3330FE0005</t>
        </is>
      </c>
      <c r="C3712" s="2" t="inlineStr">
        <is>
          <t>Tornillo alimentador precipitado FE0005</t>
        </is>
      </c>
      <c r="D3712" s="2" t="n">
        <v>1237</v>
      </c>
      <c r="E3712" s="2" t="inlineStr">
        <is>
          <t>CC-3000</t>
        </is>
      </c>
      <c r="F3712" s="2" t="inlineStr">
        <is>
          <t>P01</t>
        </is>
      </c>
      <c r="G3712" s="2" t="n">
        <v>630000</v>
      </c>
      <c r="H3712" s="2" t="inlineStr">
        <is>
          <t>Servicios externos</t>
        </is>
      </c>
      <c r="I3712" s="9" t="n">
        <v>2480.51</v>
      </c>
      <c r="J3712" s="9" t="n">
        <v>2575.34</v>
      </c>
      <c r="K3712" s="9" t="n">
        <v>2419.36</v>
      </c>
      <c r="L3712" s="9" t="n">
        <v>2705.51</v>
      </c>
      <c r="M3712" s="9" t="n">
        <v>2381.16</v>
      </c>
      <c r="N3712" s="9" t="n">
        <v>2243.89</v>
      </c>
      <c r="O3712" s="9" t="n">
        <v>2628.63</v>
      </c>
      <c r="P3712" s="9" t="n">
        <v>2379.72</v>
      </c>
      <c r="Q3712" s="9" t="n">
        <v>2440.41</v>
      </c>
      <c r="R3712" s="9" t="n">
        <v>2592.62</v>
      </c>
      <c r="S3712" s="9" t="n">
        <v>2572.73</v>
      </c>
      <c r="T3712" s="9" t="n">
        <v>2408.63</v>
      </c>
      <c r="U3712" s="10">
        <f>SUM(I3712:T3712)</f>
        <v/>
      </c>
    </row>
    <row r="3713">
      <c r="A3713" s="2" t="inlineStr">
        <is>
          <t>SN-3000-3300-3330-3330FE0006</t>
        </is>
      </c>
      <c r="B3713" s="2" t="inlineStr">
        <is>
          <t>3330FE0006</t>
        </is>
      </c>
      <c r="C3713" s="2" t="inlineStr">
        <is>
          <t>Tornillo alimentador precipitado FE0006</t>
        </is>
      </c>
      <c r="D3713" s="2" t="n">
        <v>1238</v>
      </c>
      <c r="E3713" s="2" t="inlineStr">
        <is>
          <t>CC-3000</t>
        </is>
      </c>
      <c r="F3713" s="2" t="inlineStr">
        <is>
          <t>P01</t>
        </is>
      </c>
      <c r="G3713" s="2" t="n">
        <v>610000</v>
      </c>
      <c r="H3713" s="2" t="inlineStr">
        <is>
          <t>Mano obra interna</t>
        </is>
      </c>
      <c r="I3713" s="9" t="n">
        <v>1801.74</v>
      </c>
      <c r="J3713" s="9" t="n">
        <v>1537.82</v>
      </c>
      <c r="K3713" s="9" t="n">
        <v>1822.86</v>
      </c>
      <c r="L3713" s="9" t="n">
        <v>1773.49</v>
      </c>
      <c r="M3713" s="9" t="n">
        <v>1523.45</v>
      </c>
      <c r="N3713" s="9" t="n">
        <v>1563.4</v>
      </c>
      <c r="O3713" s="9" t="n">
        <v>1537.81</v>
      </c>
      <c r="P3713" s="9" t="n">
        <v>1603.59</v>
      </c>
      <c r="Q3713" s="9" t="n">
        <v>1499.2</v>
      </c>
      <c r="R3713" s="9" t="n">
        <v>1807.46</v>
      </c>
      <c r="S3713" s="9" t="n">
        <v>1718.64</v>
      </c>
      <c r="T3713" s="9" t="n">
        <v>1585.75</v>
      </c>
      <c r="U3713" s="10">
        <f>SUM(I3713:T3713)</f>
        <v/>
      </c>
    </row>
    <row r="3714">
      <c r="A3714" s="2" t="inlineStr">
        <is>
          <t>SN-3000-3300-3330-3330FE0006</t>
        </is>
      </c>
      <c r="B3714" s="2" t="inlineStr">
        <is>
          <t>3330FE0006</t>
        </is>
      </c>
      <c r="C3714" s="2" t="inlineStr">
        <is>
          <t>Tornillo alimentador precipitado FE0006</t>
        </is>
      </c>
      <c r="D3714" s="2" t="n">
        <v>1238</v>
      </c>
      <c r="E3714" s="2" t="inlineStr">
        <is>
          <t>CC-3000</t>
        </is>
      </c>
      <c r="F3714" s="2" t="inlineStr">
        <is>
          <t>P01</t>
        </is>
      </c>
      <c r="G3714" s="2" t="n">
        <v>620000</v>
      </c>
      <c r="H3714" s="2" t="inlineStr">
        <is>
          <t>Materiales</t>
        </is>
      </c>
      <c r="I3714" s="9" t="n">
        <v>1783.52</v>
      </c>
      <c r="J3714" s="9" t="n">
        <v>1607.78</v>
      </c>
      <c r="K3714" s="9" t="n">
        <v>1837.54</v>
      </c>
      <c r="L3714" s="9" t="n">
        <v>1733.93</v>
      </c>
      <c r="M3714" s="9" t="n">
        <v>1827.93</v>
      </c>
      <c r="N3714" s="9" t="n">
        <v>1681.62</v>
      </c>
      <c r="O3714" s="9" t="n">
        <v>1686.1</v>
      </c>
      <c r="P3714" s="9" t="n">
        <v>1782.26</v>
      </c>
      <c r="Q3714" s="9" t="n">
        <v>1690.92</v>
      </c>
      <c r="R3714" s="9" t="n">
        <v>1947.56</v>
      </c>
      <c r="S3714" s="9" t="n">
        <v>1604.74</v>
      </c>
      <c r="T3714" s="9" t="n">
        <v>1725.44</v>
      </c>
      <c r="U3714" s="10">
        <f>SUM(I3714:T3714)</f>
        <v/>
      </c>
    </row>
    <row r="3715">
      <c r="A3715" s="2" t="inlineStr">
        <is>
          <t>SN-3000-3300-3330-3330FE0006</t>
        </is>
      </c>
      <c r="B3715" s="2" t="inlineStr">
        <is>
          <t>3330FE0006</t>
        </is>
      </c>
      <c r="C3715" s="2" t="inlineStr">
        <is>
          <t>Tornillo alimentador precipitado FE0006</t>
        </is>
      </c>
      <c r="D3715" s="2" t="n">
        <v>1238</v>
      </c>
      <c r="E3715" s="2" t="inlineStr">
        <is>
          <t>CC-3000</t>
        </is>
      </c>
      <c r="F3715" s="2" t="inlineStr">
        <is>
          <t>P01</t>
        </is>
      </c>
      <c r="G3715" s="2" t="n">
        <v>630000</v>
      </c>
      <c r="H3715" s="2" t="inlineStr">
        <is>
          <t>Servicios externos</t>
        </is>
      </c>
      <c r="I3715" s="9" t="n">
        <v>1841.9</v>
      </c>
      <c r="J3715" s="9" t="n">
        <v>1754.52</v>
      </c>
      <c r="K3715" s="9" t="n">
        <v>1971.86</v>
      </c>
      <c r="L3715" s="9" t="n">
        <v>1731.06</v>
      </c>
      <c r="M3715" s="9" t="n">
        <v>1758.03</v>
      </c>
      <c r="N3715" s="9" t="n">
        <v>1655.67</v>
      </c>
      <c r="O3715" s="9" t="n">
        <v>1728.76</v>
      </c>
      <c r="P3715" s="9" t="n">
        <v>1770.21</v>
      </c>
      <c r="Q3715" s="9" t="n">
        <v>1781.84</v>
      </c>
      <c r="R3715" s="9" t="n">
        <v>2129.97</v>
      </c>
      <c r="S3715" s="9" t="n">
        <v>1782.58</v>
      </c>
      <c r="T3715" s="9" t="n">
        <v>1816.33</v>
      </c>
      <c r="U3715" s="10">
        <f>SUM(I3715:T3715)</f>
        <v/>
      </c>
    </row>
    <row r="3716">
      <c r="A3716" s="2" t="inlineStr">
        <is>
          <t>SN-3000-3300-3330-3330FE0007</t>
        </is>
      </c>
      <c r="B3716" s="2" t="inlineStr">
        <is>
          <t>3330FE0007</t>
        </is>
      </c>
      <c r="C3716" s="2" t="inlineStr">
        <is>
          <t>Tornillo alimentador precipitado FE0007</t>
        </is>
      </c>
      <c r="D3716" s="2" t="n">
        <v>1239</v>
      </c>
      <c r="E3716" s="2" t="inlineStr">
        <is>
          <t>CC-3000</t>
        </is>
      </c>
      <c r="F3716" s="2" t="inlineStr">
        <is>
          <t>P01</t>
        </is>
      </c>
      <c r="G3716" s="2" t="n">
        <v>610000</v>
      </c>
      <c r="H3716" s="2" t="inlineStr">
        <is>
          <t>Mano obra interna</t>
        </is>
      </c>
      <c r="I3716" s="9" t="n">
        <v>1575.03</v>
      </c>
      <c r="J3716" s="9" t="n">
        <v>1526.32</v>
      </c>
      <c r="K3716" s="9" t="n">
        <v>1667.83</v>
      </c>
      <c r="L3716" s="9" t="n">
        <v>1680.24</v>
      </c>
      <c r="M3716" s="9" t="n">
        <v>1718.72</v>
      </c>
      <c r="N3716" s="9" t="n">
        <v>1692.7</v>
      </c>
      <c r="O3716" s="9" t="n">
        <v>1666.74</v>
      </c>
      <c r="P3716" s="9" t="n">
        <v>1655.29</v>
      </c>
      <c r="Q3716" s="9" t="n">
        <v>1472.24</v>
      </c>
      <c r="R3716" s="9" t="n">
        <v>1773.73</v>
      </c>
      <c r="S3716" s="9" t="n">
        <v>1713.52</v>
      </c>
      <c r="T3716" s="9" t="n">
        <v>1653.47</v>
      </c>
      <c r="U3716" s="10">
        <f>SUM(I3716:T3716)</f>
        <v/>
      </c>
    </row>
    <row r="3717">
      <c r="A3717" s="2" t="inlineStr">
        <is>
          <t>SN-3000-3300-3330-3330FE0007</t>
        </is>
      </c>
      <c r="B3717" s="2" t="inlineStr">
        <is>
          <t>3330FE0007</t>
        </is>
      </c>
      <c r="C3717" s="2" t="inlineStr">
        <is>
          <t>Tornillo alimentador precipitado FE0007</t>
        </is>
      </c>
      <c r="D3717" s="2" t="n">
        <v>1239</v>
      </c>
      <c r="E3717" s="2" t="inlineStr">
        <is>
          <t>CC-3000</t>
        </is>
      </c>
      <c r="F3717" s="2" t="inlineStr">
        <is>
          <t>P01</t>
        </is>
      </c>
      <c r="G3717" s="2" t="n">
        <v>620000</v>
      </c>
      <c r="H3717" s="2" t="inlineStr">
        <is>
          <t>Materiales</t>
        </is>
      </c>
      <c r="I3717" s="9" t="n">
        <v>1304.23</v>
      </c>
      <c r="J3717" s="9" t="n">
        <v>1294.9</v>
      </c>
      <c r="K3717" s="9" t="n">
        <v>1374.59</v>
      </c>
      <c r="L3717" s="9" t="n">
        <v>1326.17</v>
      </c>
      <c r="M3717" s="9" t="n">
        <v>1351.87</v>
      </c>
      <c r="N3717" s="9" t="n">
        <v>1271.06</v>
      </c>
      <c r="O3717" s="9" t="n">
        <v>1346.99</v>
      </c>
      <c r="P3717" s="9" t="n">
        <v>1386.88</v>
      </c>
      <c r="Q3717" s="9" t="n">
        <v>1292.52</v>
      </c>
      <c r="R3717" s="9" t="n">
        <v>1347.51</v>
      </c>
      <c r="S3717" s="9" t="n">
        <v>1294.91</v>
      </c>
      <c r="T3717" s="9" t="n">
        <v>1377.36</v>
      </c>
      <c r="U3717" s="10">
        <f>SUM(I3717:T3717)</f>
        <v/>
      </c>
    </row>
    <row r="3718">
      <c r="A3718" s="2" t="inlineStr">
        <is>
          <t>SN-3000-3300-3330-3330FE0007</t>
        </is>
      </c>
      <c r="B3718" s="2" t="inlineStr">
        <is>
          <t>3330FE0007</t>
        </is>
      </c>
      <c r="C3718" s="2" t="inlineStr">
        <is>
          <t>Tornillo alimentador precipitado FE0007</t>
        </is>
      </c>
      <c r="D3718" s="2" t="n">
        <v>1239</v>
      </c>
      <c r="E3718" s="2" t="inlineStr">
        <is>
          <t>CC-3000</t>
        </is>
      </c>
      <c r="F3718" s="2" t="inlineStr">
        <is>
          <t>P01</t>
        </is>
      </c>
      <c r="G3718" s="2" t="n">
        <v>630000</v>
      </c>
      <c r="H3718" s="2" t="inlineStr">
        <is>
          <t>Servicios externos</t>
        </is>
      </c>
      <c r="I3718" s="9" t="n">
        <v>1416.85</v>
      </c>
      <c r="J3718" s="9" t="n">
        <v>1229.58</v>
      </c>
      <c r="K3718" s="9" t="n">
        <v>1422.38</v>
      </c>
      <c r="L3718" s="9" t="n">
        <v>1271.92</v>
      </c>
      <c r="M3718" s="9" t="n">
        <v>1352.52</v>
      </c>
      <c r="N3718" s="9" t="n">
        <v>1187.13</v>
      </c>
      <c r="O3718" s="9" t="n">
        <v>1290.83</v>
      </c>
      <c r="P3718" s="9" t="n">
        <v>1239.78</v>
      </c>
      <c r="Q3718" s="9" t="n">
        <v>1179.87</v>
      </c>
      <c r="R3718" s="9" t="n">
        <v>1528.94</v>
      </c>
      <c r="S3718" s="9" t="n">
        <v>1193.78</v>
      </c>
      <c r="T3718" s="9" t="n">
        <v>1315.31</v>
      </c>
      <c r="U3718" s="10">
        <f>SUM(I3718:T3718)</f>
        <v/>
      </c>
    </row>
    <row r="3719">
      <c r="A3719" s="2" t="inlineStr">
        <is>
          <t>SN-3000-3300-3330-3330HO0011</t>
        </is>
      </c>
      <c r="B3719" s="2" t="inlineStr">
        <is>
          <t>3330HO0011</t>
        </is>
      </c>
      <c r="C3719" s="2" t="inlineStr">
        <is>
          <t>Tolva precapa HO0011</t>
        </is>
      </c>
      <c r="D3719" s="2" t="n">
        <v>1240</v>
      </c>
      <c r="E3719" s="2" t="inlineStr">
        <is>
          <t>CC-3000</t>
        </is>
      </c>
      <c r="F3719" s="2" t="inlineStr">
        <is>
          <t>P01</t>
        </is>
      </c>
      <c r="G3719" s="2" t="n">
        <v>610000</v>
      </c>
      <c r="H3719" s="2" t="inlineStr">
        <is>
          <t>Mano obra interna</t>
        </is>
      </c>
      <c r="I3719" s="9" t="n">
        <v>1286.69</v>
      </c>
      <c r="J3719" s="9" t="n">
        <v>1244.4</v>
      </c>
      <c r="K3719" s="9" t="n">
        <v>1311.13</v>
      </c>
      <c r="L3719" s="9" t="n">
        <v>1409.51</v>
      </c>
      <c r="M3719" s="9" t="n">
        <v>1421.27</v>
      </c>
      <c r="N3719" s="9" t="n">
        <v>1355.84</v>
      </c>
      <c r="O3719" s="9" t="n">
        <v>1452.67</v>
      </c>
      <c r="P3719" s="9" t="n">
        <v>1363.68</v>
      </c>
      <c r="Q3719" s="9" t="n">
        <v>1347.32</v>
      </c>
      <c r="R3719" s="9" t="n">
        <v>1408.18</v>
      </c>
      <c r="S3719" s="9" t="n">
        <v>1288.41</v>
      </c>
      <c r="T3719" s="9" t="n">
        <v>1345.1</v>
      </c>
      <c r="U3719" s="10">
        <f>SUM(I3719:T3719)</f>
        <v/>
      </c>
    </row>
    <row r="3720">
      <c r="A3720" s="2" t="inlineStr">
        <is>
          <t>SN-3000-3300-3330-3330HO0011</t>
        </is>
      </c>
      <c r="B3720" s="2" t="inlineStr">
        <is>
          <t>3330HO0011</t>
        </is>
      </c>
      <c r="C3720" s="2" t="inlineStr">
        <is>
          <t>Tolva precapa HO0011</t>
        </is>
      </c>
      <c r="D3720" s="2" t="n">
        <v>1240</v>
      </c>
      <c r="E3720" s="2" t="inlineStr">
        <is>
          <t>CC-3000</t>
        </is>
      </c>
      <c r="F3720" s="2" t="inlineStr">
        <is>
          <t>P01</t>
        </is>
      </c>
      <c r="G3720" s="2" t="n">
        <v>620000</v>
      </c>
      <c r="H3720" s="2" t="inlineStr">
        <is>
          <t>Materiales</t>
        </is>
      </c>
      <c r="I3720" s="9" t="n">
        <v>1168.36</v>
      </c>
      <c r="J3720" s="9" t="n">
        <v>989.27</v>
      </c>
      <c r="K3720" s="9" t="n">
        <v>1162.8</v>
      </c>
      <c r="L3720" s="9" t="n">
        <v>1094.6</v>
      </c>
      <c r="M3720" s="9" t="n">
        <v>990.91</v>
      </c>
      <c r="N3720" s="9" t="n">
        <v>1004.46</v>
      </c>
      <c r="O3720" s="9" t="n">
        <v>1060.87</v>
      </c>
      <c r="P3720" s="9" t="n">
        <v>1167.11</v>
      </c>
      <c r="Q3720" s="9" t="n">
        <v>1038.09</v>
      </c>
      <c r="R3720" s="9" t="n">
        <v>1180.59</v>
      </c>
      <c r="S3720" s="9" t="n">
        <v>989.63</v>
      </c>
      <c r="T3720" s="9" t="n">
        <v>1084.07</v>
      </c>
      <c r="U3720" s="10">
        <f>SUM(I3720:T3720)</f>
        <v/>
      </c>
    </row>
    <row r="3721">
      <c r="A3721" s="2" t="inlineStr">
        <is>
          <t>SN-3000-3300-3330-3330HO0011</t>
        </is>
      </c>
      <c r="B3721" s="2" t="inlineStr">
        <is>
          <t>3330HO0011</t>
        </is>
      </c>
      <c r="C3721" s="2" t="inlineStr">
        <is>
          <t>Tolva precapa HO0011</t>
        </is>
      </c>
      <c r="D3721" s="2" t="n">
        <v>1240</v>
      </c>
      <c r="E3721" s="2" t="inlineStr">
        <is>
          <t>CC-3000</t>
        </is>
      </c>
      <c r="F3721" s="2" t="inlineStr">
        <is>
          <t>P01</t>
        </is>
      </c>
      <c r="G3721" s="2" t="n">
        <v>630000</v>
      </c>
      <c r="H3721" s="2" t="inlineStr">
        <is>
          <t>Servicios externos</t>
        </is>
      </c>
      <c r="I3721" s="9" t="n">
        <v>1141.07</v>
      </c>
      <c r="J3721" s="9" t="n">
        <v>999.6</v>
      </c>
      <c r="K3721" s="9" t="n">
        <v>1123.52</v>
      </c>
      <c r="L3721" s="9" t="n">
        <v>1131.48</v>
      </c>
      <c r="M3721" s="9" t="n">
        <v>1039.08</v>
      </c>
      <c r="N3721" s="9" t="n">
        <v>1047.48</v>
      </c>
      <c r="O3721" s="9" t="n">
        <v>1118.72</v>
      </c>
      <c r="P3721" s="9" t="n">
        <v>1017.87</v>
      </c>
      <c r="Q3721" s="9" t="n">
        <v>1014.81</v>
      </c>
      <c r="R3721" s="9" t="n">
        <v>1200.29</v>
      </c>
      <c r="S3721" s="9" t="n">
        <v>1014.83</v>
      </c>
      <c r="T3721" s="9" t="n">
        <v>1029.99</v>
      </c>
      <c r="U3721" s="10">
        <f>SUM(I3721:T3721)</f>
        <v/>
      </c>
    </row>
    <row r="3722">
      <c r="A3722" s="2" t="inlineStr">
        <is>
          <t>SN-3000-3300-3330-3330IL0001</t>
        </is>
      </c>
      <c r="B3722" s="2" t="inlineStr">
        <is>
          <t>3330IL0001</t>
        </is>
      </c>
      <c r="C3722" s="2" t="inlineStr">
        <is>
          <t>Válvula control solución impregna FV3004</t>
        </is>
      </c>
      <c r="D3722" s="2" t="n">
        <v>1241</v>
      </c>
      <c r="E3722" s="2" t="inlineStr">
        <is>
          <t>CC-3000</t>
        </is>
      </c>
      <c r="F3722" s="2" t="inlineStr">
        <is>
          <t>P01</t>
        </is>
      </c>
      <c r="G3722" s="2" t="n">
        <v>610000</v>
      </c>
      <c r="H3722" s="2" t="inlineStr">
        <is>
          <t>Mano obra interna</t>
        </is>
      </c>
      <c r="I3722" s="9" t="n">
        <v>2323.32</v>
      </c>
      <c r="J3722" s="9" t="n">
        <v>2048.36</v>
      </c>
      <c r="K3722" s="9" t="n">
        <v>2057.92</v>
      </c>
      <c r="L3722" s="9" t="n">
        <v>2030.09</v>
      </c>
      <c r="M3722" s="9" t="n">
        <v>1998.7</v>
      </c>
      <c r="N3722" s="9" t="n">
        <v>1913.62</v>
      </c>
      <c r="O3722" s="9" t="n">
        <v>2127.67</v>
      </c>
      <c r="P3722" s="9" t="n">
        <v>2074.93</v>
      </c>
      <c r="Q3722" s="9" t="n">
        <v>2089.5</v>
      </c>
      <c r="R3722" s="9" t="n">
        <v>2435.27</v>
      </c>
      <c r="S3722" s="9" t="n">
        <v>2051.62</v>
      </c>
      <c r="T3722" s="9" t="n">
        <v>2294.28</v>
      </c>
      <c r="U3722" s="10">
        <f>SUM(I3722:T3722)</f>
        <v/>
      </c>
    </row>
    <row r="3723">
      <c r="A3723" s="2" t="inlineStr">
        <is>
          <t>SN-3000-3300-3330-3330IL0001</t>
        </is>
      </c>
      <c r="B3723" s="2" t="inlineStr">
        <is>
          <t>3330IL0001</t>
        </is>
      </c>
      <c r="C3723" s="2" t="inlineStr">
        <is>
          <t>Válvula control solución impregna FV3004</t>
        </is>
      </c>
      <c r="D3723" s="2" t="n">
        <v>1241</v>
      </c>
      <c r="E3723" s="2" t="inlineStr">
        <is>
          <t>CC-3000</t>
        </is>
      </c>
      <c r="F3723" s="2" t="inlineStr">
        <is>
          <t>P01</t>
        </is>
      </c>
      <c r="G3723" s="2" t="n">
        <v>620000</v>
      </c>
      <c r="H3723" s="2" t="inlineStr">
        <is>
          <t>Materiales</t>
        </is>
      </c>
      <c r="I3723" s="9" t="n">
        <v>2309.68</v>
      </c>
      <c r="J3723" s="9" t="n">
        <v>2061.13</v>
      </c>
      <c r="K3723" s="9" t="n">
        <v>2118.89</v>
      </c>
      <c r="L3723" s="9" t="n">
        <v>2138.07</v>
      </c>
      <c r="M3723" s="9" t="n">
        <v>2102.46</v>
      </c>
      <c r="N3723" s="9" t="n">
        <v>2200.01</v>
      </c>
      <c r="O3723" s="9" t="n">
        <v>2097.65</v>
      </c>
      <c r="P3723" s="9" t="n">
        <v>2079.98</v>
      </c>
      <c r="Q3723" s="9" t="n">
        <v>2200.24</v>
      </c>
      <c r="R3723" s="9" t="n">
        <v>2457.84</v>
      </c>
      <c r="S3723" s="9" t="n">
        <v>2132.47</v>
      </c>
      <c r="T3723" s="9" t="n">
        <v>2099.62</v>
      </c>
      <c r="U3723" s="10">
        <f>SUM(I3723:T3723)</f>
        <v/>
      </c>
    </row>
    <row r="3724">
      <c r="A3724" s="2" t="inlineStr">
        <is>
          <t>SN-3000-3300-3330-3330IL0001</t>
        </is>
      </c>
      <c r="B3724" s="2" t="inlineStr">
        <is>
          <t>3330IL0001</t>
        </is>
      </c>
      <c r="C3724" s="2" t="inlineStr">
        <is>
          <t>Válvula control solución impregna FV3004</t>
        </is>
      </c>
      <c r="D3724" s="2" t="n">
        <v>1241</v>
      </c>
      <c r="E3724" s="2" t="inlineStr">
        <is>
          <t>CC-3000</t>
        </is>
      </c>
      <c r="F3724" s="2" t="inlineStr">
        <is>
          <t>P01</t>
        </is>
      </c>
      <c r="G3724" s="2" t="n">
        <v>630000</v>
      </c>
      <c r="H3724" s="2" t="inlineStr">
        <is>
          <t>Servicios externos</t>
        </is>
      </c>
      <c r="I3724" s="9" t="n">
        <v>2292.13</v>
      </c>
      <c r="J3724" s="9" t="n">
        <v>2401.12</v>
      </c>
      <c r="K3724" s="9" t="n">
        <v>2537.57</v>
      </c>
      <c r="L3724" s="9" t="n">
        <v>2409.16</v>
      </c>
      <c r="M3724" s="9" t="n">
        <v>2526.67</v>
      </c>
      <c r="N3724" s="9" t="n">
        <v>2125.59</v>
      </c>
      <c r="O3724" s="9" t="n">
        <v>2518.54</v>
      </c>
      <c r="P3724" s="9" t="n">
        <v>2414.28</v>
      </c>
      <c r="Q3724" s="9" t="n">
        <v>2269.56</v>
      </c>
      <c r="R3724" s="9" t="n">
        <v>2784.56</v>
      </c>
      <c r="S3724" s="9" t="n">
        <v>2349.63</v>
      </c>
      <c r="T3724" s="9" t="n">
        <v>2546.57</v>
      </c>
      <c r="U3724" s="10">
        <f>SUM(I3724:T3724)</f>
        <v/>
      </c>
    </row>
    <row r="3725">
      <c r="A3725" s="2" t="inlineStr">
        <is>
          <t>SN-3000-3300-3330-3330IL0002</t>
        </is>
      </c>
      <c r="B3725" s="2" t="inlineStr">
        <is>
          <t>3330IL0002</t>
        </is>
      </c>
      <c r="C3725" s="2" t="inlineStr">
        <is>
          <t>Válvula control solución impregna FV3005</t>
        </is>
      </c>
      <c r="D3725" s="2" t="n">
        <v>1242</v>
      </c>
      <c r="E3725" s="2" t="inlineStr">
        <is>
          <t>CC-3000</t>
        </is>
      </c>
      <c r="F3725" s="2" t="inlineStr">
        <is>
          <t>P01</t>
        </is>
      </c>
      <c r="G3725" s="2" t="n">
        <v>610000</v>
      </c>
      <c r="H3725" s="2" t="inlineStr">
        <is>
          <t>Mano obra interna</t>
        </is>
      </c>
      <c r="I3725" s="9" t="n">
        <v>1214.28</v>
      </c>
      <c r="J3725" s="9" t="n">
        <v>1162.87</v>
      </c>
      <c r="K3725" s="9" t="n">
        <v>1256.84</v>
      </c>
      <c r="L3725" s="9" t="n">
        <v>1239.14</v>
      </c>
      <c r="M3725" s="9" t="n">
        <v>1070.35</v>
      </c>
      <c r="N3725" s="9" t="n">
        <v>1077.53</v>
      </c>
      <c r="O3725" s="9" t="n">
        <v>1208.57</v>
      </c>
      <c r="P3725" s="9" t="n">
        <v>1158.06</v>
      </c>
      <c r="Q3725" s="9" t="n">
        <v>1048.93</v>
      </c>
      <c r="R3725" s="9" t="n">
        <v>1145.81</v>
      </c>
      <c r="S3725" s="9" t="n">
        <v>1071.18</v>
      </c>
      <c r="T3725" s="9" t="n">
        <v>1180.64</v>
      </c>
      <c r="U3725" s="10">
        <f>SUM(I3725:T3725)</f>
        <v/>
      </c>
    </row>
    <row r="3726">
      <c r="A3726" s="2" t="inlineStr">
        <is>
          <t>SN-3000-3300-3330-3330IL0002</t>
        </is>
      </c>
      <c r="B3726" s="2" t="inlineStr">
        <is>
          <t>3330IL0002</t>
        </is>
      </c>
      <c r="C3726" s="2" t="inlineStr">
        <is>
          <t>Válvula control solución impregna FV3005</t>
        </is>
      </c>
      <c r="D3726" s="2" t="n">
        <v>1242</v>
      </c>
      <c r="E3726" s="2" t="inlineStr">
        <is>
          <t>CC-3000</t>
        </is>
      </c>
      <c r="F3726" s="2" t="inlineStr">
        <is>
          <t>P01</t>
        </is>
      </c>
      <c r="G3726" s="2" t="n">
        <v>620000</v>
      </c>
      <c r="H3726" s="2" t="inlineStr">
        <is>
          <t>Materiales</t>
        </is>
      </c>
      <c r="I3726" s="9" t="n">
        <v>1340.93</v>
      </c>
      <c r="J3726" s="9" t="n">
        <v>1211.97</v>
      </c>
      <c r="K3726" s="9" t="n">
        <v>1395.79</v>
      </c>
      <c r="L3726" s="9" t="n">
        <v>1445.28</v>
      </c>
      <c r="M3726" s="9" t="n">
        <v>1310.3</v>
      </c>
      <c r="N3726" s="9" t="n">
        <v>1353.37</v>
      </c>
      <c r="O3726" s="9" t="n">
        <v>1294.41</v>
      </c>
      <c r="P3726" s="9" t="n">
        <v>1405.59</v>
      </c>
      <c r="Q3726" s="9" t="n">
        <v>1289.68</v>
      </c>
      <c r="R3726" s="9" t="n">
        <v>1534.19</v>
      </c>
      <c r="S3726" s="9" t="n">
        <v>1342.16</v>
      </c>
      <c r="T3726" s="9" t="n">
        <v>1306.02</v>
      </c>
      <c r="U3726" s="10">
        <f>SUM(I3726:T3726)</f>
        <v/>
      </c>
    </row>
    <row r="3727">
      <c r="A3727" s="2" t="inlineStr">
        <is>
          <t>SN-3000-3300-3330-3330IL0002</t>
        </is>
      </c>
      <c r="B3727" s="2" t="inlineStr">
        <is>
          <t>3330IL0002</t>
        </is>
      </c>
      <c r="C3727" s="2" t="inlineStr">
        <is>
          <t>Válvula control solución impregna FV3005</t>
        </is>
      </c>
      <c r="D3727" s="2" t="n">
        <v>1242</v>
      </c>
      <c r="E3727" s="2" t="inlineStr">
        <is>
          <t>CC-3000</t>
        </is>
      </c>
      <c r="F3727" s="2" t="inlineStr">
        <is>
          <t>P01</t>
        </is>
      </c>
      <c r="G3727" s="2" t="n">
        <v>630000</v>
      </c>
      <c r="H3727" s="2" t="inlineStr">
        <is>
          <t>Servicios externos</t>
        </is>
      </c>
      <c r="I3727" s="9" t="n">
        <v>1483.14</v>
      </c>
      <c r="J3727" s="9" t="n">
        <v>1317.71</v>
      </c>
      <c r="K3727" s="9" t="n">
        <v>1353.19</v>
      </c>
      <c r="L3727" s="9" t="n">
        <v>1414.59</v>
      </c>
      <c r="M3727" s="9" t="n">
        <v>1464.06</v>
      </c>
      <c r="N3727" s="9" t="n">
        <v>1377.88</v>
      </c>
      <c r="O3727" s="9" t="n">
        <v>1421.22</v>
      </c>
      <c r="P3727" s="9" t="n">
        <v>1301.16</v>
      </c>
      <c r="Q3727" s="9" t="n">
        <v>1303.08</v>
      </c>
      <c r="R3727" s="9" t="n">
        <v>1441.83</v>
      </c>
      <c r="S3727" s="9" t="n">
        <v>1359.32</v>
      </c>
      <c r="T3727" s="9" t="n">
        <v>1548.39</v>
      </c>
      <c r="U3727" s="10">
        <f>SUM(I3727:T3727)</f>
        <v/>
      </c>
    </row>
    <row r="3728">
      <c r="A3728" s="2" t="inlineStr">
        <is>
          <t>SN-3000-3300-3330-3330IL0003</t>
        </is>
      </c>
      <c r="B3728" s="2" t="inlineStr">
        <is>
          <t>3330IL0003</t>
        </is>
      </c>
      <c r="C3728" s="2" t="inlineStr">
        <is>
          <t>Válvula control solución impregna FV3006</t>
        </is>
      </c>
      <c r="D3728" s="2" t="n">
        <v>1243</v>
      </c>
      <c r="E3728" s="2" t="inlineStr">
        <is>
          <t>CC-3000</t>
        </is>
      </c>
      <c r="F3728" s="2" t="inlineStr">
        <is>
          <t>P01</t>
        </is>
      </c>
      <c r="G3728" s="2" t="n">
        <v>610000</v>
      </c>
      <c r="H3728" s="2" t="inlineStr">
        <is>
          <t>Mano obra interna</t>
        </is>
      </c>
      <c r="I3728" s="9" t="n">
        <v>2166.8</v>
      </c>
      <c r="J3728" s="9" t="n">
        <v>2187.98</v>
      </c>
      <c r="K3728" s="9" t="n">
        <v>2258.89</v>
      </c>
      <c r="L3728" s="9" t="n">
        <v>2104.71</v>
      </c>
      <c r="M3728" s="9" t="n">
        <v>2336</v>
      </c>
      <c r="N3728" s="9" t="n">
        <v>2067.66</v>
      </c>
      <c r="O3728" s="9" t="n">
        <v>2191.85</v>
      </c>
      <c r="P3728" s="9" t="n">
        <v>2238.89</v>
      </c>
      <c r="Q3728" s="9" t="n">
        <v>1937.01</v>
      </c>
      <c r="R3728" s="9" t="n">
        <v>2255.63</v>
      </c>
      <c r="S3728" s="9" t="n">
        <v>2014.74</v>
      </c>
      <c r="T3728" s="9" t="n">
        <v>2180.31</v>
      </c>
      <c r="U3728" s="10">
        <f>SUM(I3728:T3728)</f>
        <v/>
      </c>
    </row>
    <row r="3729">
      <c r="A3729" s="2" t="inlineStr">
        <is>
          <t>SN-3000-3300-3330-3330IL0003</t>
        </is>
      </c>
      <c r="B3729" s="2" t="inlineStr">
        <is>
          <t>3330IL0003</t>
        </is>
      </c>
      <c r="C3729" s="2" t="inlineStr">
        <is>
          <t>Válvula control solución impregna FV3006</t>
        </is>
      </c>
      <c r="D3729" s="2" t="n">
        <v>1243</v>
      </c>
      <c r="E3729" s="2" t="inlineStr">
        <is>
          <t>CC-3000</t>
        </is>
      </c>
      <c r="F3729" s="2" t="inlineStr">
        <is>
          <t>P01</t>
        </is>
      </c>
      <c r="G3729" s="2" t="n">
        <v>620000</v>
      </c>
      <c r="H3729" s="2" t="inlineStr">
        <is>
          <t>Materiales</t>
        </is>
      </c>
      <c r="I3729" s="9" t="n">
        <v>1851.16</v>
      </c>
      <c r="J3729" s="9" t="n">
        <v>1729.17</v>
      </c>
      <c r="K3729" s="9" t="n">
        <v>1862.73</v>
      </c>
      <c r="L3729" s="9" t="n">
        <v>1831.7</v>
      </c>
      <c r="M3729" s="9" t="n">
        <v>1734.59</v>
      </c>
      <c r="N3729" s="9" t="n">
        <v>1556.16</v>
      </c>
      <c r="O3729" s="9" t="n">
        <v>1729.65</v>
      </c>
      <c r="P3729" s="9" t="n">
        <v>1611.13</v>
      </c>
      <c r="Q3729" s="9" t="n">
        <v>1487.28</v>
      </c>
      <c r="R3729" s="9" t="n">
        <v>1869.51</v>
      </c>
      <c r="S3729" s="9" t="n">
        <v>1676.1</v>
      </c>
      <c r="T3729" s="9" t="n">
        <v>1628.1</v>
      </c>
      <c r="U3729" s="10">
        <f>SUM(I3729:T3729)</f>
        <v/>
      </c>
    </row>
    <row r="3730">
      <c r="A3730" s="2" t="inlineStr">
        <is>
          <t>SN-3000-3300-3330-3330IL0003</t>
        </is>
      </c>
      <c r="B3730" s="2" t="inlineStr">
        <is>
          <t>3330IL0003</t>
        </is>
      </c>
      <c r="C3730" s="2" t="inlineStr">
        <is>
          <t>Válvula control solución impregna FV3006</t>
        </is>
      </c>
      <c r="D3730" s="2" t="n">
        <v>1243</v>
      </c>
      <c r="E3730" s="2" t="inlineStr">
        <is>
          <t>CC-3000</t>
        </is>
      </c>
      <c r="F3730" s="2" t="inlineStr">
        <is>
          <t>P01</t>
        </is>
      </c>
      <c r="G3730" s="2" t="n">
        <v>630000</v>
      </c>
      <c r="H3730" s="2" t="inlineStr">
        <is>
          <t>Servicios externos</t>
        </is>
      </c>
      <c r="I3730" s="9" t="n">
        <v>1689.99</v>
      </c>
      <c r="J3730" s="9" t="n">
        <v>1812.46</v>
      </c>
      <c r="K3730" s="9" t="n">
        <v>1978.36</v>
      </c>
      <c r="L3730" s="9" t="n">
        <v>1887.93</v>
      </c>
      <c r="M3730" s="9" t="n">
        <v>1857.47</v>
      </c>
      <c r="N3730" s="9" t="n">
        <v>1694.34</v>
      </c>
      <c r="O3730" s="9" t="n">
        <v>1664.57</v>
      </c>
      <c r="P3730" s="9" t="n">
        <v>1842.05</v>
      </c>
      <c r="Q3730" s="9" t="n">
        <v>1591.45</v>
      </c>
      <c r="R3730" s="9" t="n">
        <v>1884.15</v>
      </c>
      <c r="S3730" s="9" t="n">
        <v>1778.07</v>
      </c>
      <c r="T3730" s="9" t="n">
        <v>1922.26</v>
      </c>
      <c r="U3730" s="10">
        <f>SUM(I3730:T3730)</f>
        <v/>
      </c>
    </row>
    <row r="3731">
      <c r="A3731" s="2" t="inlineStr">
        <is>
          <t>SN-3000-3300-3330-3330PU0134</t>
        </is>
      </c>
      <c r="B3731" s="2" t="inlineStr">
        <is>
          <t>3330PU0134</t>
        </is>
      </c>
      <c r="C3731" s="2" t="inlineStr">
        <is>
          <t>Bomba centrífuga solución barren PU0134</t>
        </is>
      </c>
      <c r="D3731" s="2" t="n">
        <v>1244</v>
      </c>
      <c r="E3731" s="2" t="inlineStr">
        <is>
          <t>CC-3000</t>
        </is>
      </c>
      <c r="F3731" s="2" t="inlineStr">
        <is>
          <t>P01</t>
        </is>
      </c>
      <c r="G3731" s="2" t="n">
        <v>610000</v>
      </c>
      <c r="H3731" s="2" t="inlineStr">
        <is>
          <t>Mano obra interna</t>
        </is>
      </c>
      <c r="I3731" s="9" t="n">
        <v>477.18</v>
      </c>
      <c r="J3731" s="9" t="n">
        <v>430.06</v>
      </c>
      <c r="K3731" s="9" t="n">
        <v>421.94</v>
      </c>
      <c r="L3731" s="9" t="n">
        <v>446.2</v>
      </c>
      <c r="M3731" s="9" t="n">
        <v>455.64</v>
      </c>
      <c r="N3731" s="9" t="n">
        <v>418.7</v>
      </c>
      <c r="O3731" s="9" t="n">
        <v>452.75</v>
      </c>
      <c r="P3731" s="9" t="n">
        <v>438.3</v>
      </c>
      <c r="Q3731" s="9" t="n">
        <v>408.18</v>
      </c>
      <c r="R3731" s="9" t="n">
        <v>453.26</v>
      </c>
      <c r="S3731" s="9" t="n">
        <v>401.24</v>
      </c>
      <c r="T3731" s="9" t="n">
        <v>426.12</v>
      </c>
      <c r="U3731" s="10">
        <f>SUM(I3731:T3731)</f>
        <v/>
      </c>
    </row>
    <row r="3732">
      <c r="A3732" s="2" t="inlineStr">
        <is>
          <t>SN-3000-3300-3330-3330PU0134</t>
        </is>
      </c>
      <c r="B3732" s="2" t="inlineStr">
        <is>
          <t>3330PU0134</t>
        </is>
      </c>
      <c r="C3732" s="2" t="inlineStr">
        <is>
          <t>Bomba centrífuga solución barren PU0134</t>
        </is>
      </c>
      <c r="D3732" s="2" t="n">
        <v>1244</v>
      </c>
      <c r="E3732" s="2" t="inlineStr">
        <is>
          <t>CC-3000</t>
        </is>
      </c>
      <c r="F3732" s="2" t="inlineStr">
        <is>
          <t>P01</t>
        </is>
      </c>
      <c r="G3732" s="2" t="n">
        <v>620000</v>
      </c>
      <c r="H3732" s="2" t="inlineStr">
        <is>
          <t>Materiales</t>
        </is>
      </c>
      <c r="I3732" s="9" t="n">
        <v>441.55</v>
      </c>
      <c r="J3732" s="9" t="n">
        <v>427.24</v>
      </c>
      <c r="K3732" s="9" t="n">
        <v>402.26</v>
      </c>
      <c r="L3732" s="9" t="n">
        <v>424.76</v>
      </c>
      <c r="M3732" s="9" t="n">
        <v>402.37</v>
      </c>
      <c r="N3732" s="9" t="n">
        <v>398.48</v>
      </c>
      <c r="O3732" s="9" t="n">
        <v>422.04</v>
      </c>
      <c r="P3732" s="9" t="n">
        <v>397.29</v>
      </c>
      <c r="Q3732" s="9" t="n">
        <v>409.36</v>
      </c>
      <c r="R3732" s="9" t="n">
        <v>475.4</v>
      </c>
      <c r="S3732" s="9" t="n">
        <v>373.76</v>
      </c>
      <c r="T3732" s="9" t="n">
        <v>431.82</v>
      </c>
      <c r="U3732" s="10">
        <f>SUM(I3732:T3732)</f>
        <v/>
      </c>
    </row>
    <row r="3733">
      <c r="A3733" s="2" t="inlineStr">
        <is>
          <t>SN-3000-3300-3330-3330PU0134</t>
        </is>
      </c>
      <c r="B3733" s="2" t="inlineStr">
        <is>
          <t>3330PU0134</t>
        </is>
      </c>
      <c r="C3733" s="2" t="inlineStr">
        <is>
          <t>Bomba centrífuga solución barren PU0134</t>
        </is>
      </c>
      <c r="D3733" s="2" t="n">
        <v>1244</v>
      </c>
      <c r="E3733" s="2" t="inlineStr">
        <is>
          <t>CC-3000</t>
        </is>
      </c>
      <c r="F3733" s="2" t="inlineStr">
        <is>
          <t>P01</t>
        </is>
      </c>
      <c r="G3733" s="2" t="n">
        <v>630000</v>
      </c>
      <c r="H3733" s="2" t="inlineStr">
        <is>
          <t>Servicios externos</t>
        </is>
      </c>
      <c r="I3733" s="9" t="n">
        <v>340.68</v>
      </c>
      <c r="J3733" s="9" t="n">
        <v>380.34</v>
      </c>
      <c r="K3733" s="9" t="n">
        <v>382.79</v>
      </c>
      <c r="L3733" s="9" t="n">
        <v>357.44</v>
      </c>
      <c r="M3733" s="9" t="n">
        <v>365.79</v>
      </c>
      <c r="N3733" s="9" t="n">
        <v>363.06</v>
      </c>
      <c r="O3733" s="9" t="n">
        <v>381.36</v>
      </c>
      <c r="P3733" s="9" t="n">
        <v>331.98</v>
      </c>
      <c r="Q3733" s="9" t="n">
        <v>352.01</v>
      </c>
      <c r="R3733" s="9" t="n">
        <v>409.98</v>
      </c>
      <c r="S3733" s="9" t="n">
        <v>353.67</v>
      </c>
      <c r="T3733" s="9" t="n">
        <v>364</v>
      </c>
      <c r="U3733" s="10">
        <f>SUM(I3733:T3733)</f>
        <v/>
      </c>
    </row>
    <row r="3734">
      <c r="A3734" s="2" t="inlineStr">
        <is>
          <t>SN-3000-3300-3330-3330PU0147</t>
        </is>
      </c>
      <c r="B3734" s="2" t="inlineStr">
        <is>
          <t>3330PU0147</t>
        </is>
      </c>
      <c r="C3734" s="2" t="inlineStr">
        <is>
          <t>Bomba centrífuga precipitado PU0147</t>
        </is>
      </c>
      <c r="D3734" s="2" t="n">
        <v>1245</v>
      </c>
      <c r="E3734" s="2" t="inlineStr">
        <is>
          <t>CC-3000</t>
        </is>
      </c>
      <c r="F3734" s="2" t="inlineStr">
        <is>
          <t>P01</t>
        </is>
      </c>
      <c r="G3734" s="2" t="n">
        <v>610000</v>
      </c>
      <c r="H3734" s="2" t="inlineStr">
        <is>
          <t>Mano obra interna</t>
        </is>
      </c>
      <c r="I3734" s="9" t="n">
        <v>1719.15</v>
      </c>
      <c r="J3734" s="9" t="n">
        <v>1728.01</v>
      </c>
      <c r="K3734" s="9" t="n">
        <v>1918.75</v>
      </c>
      <c r="L3734" s="9" t="n">
        <v>1883.1</v>
      </c>
      <c r="M3734" s="9" t="n">
        <v>1737.94</v>
      </c>
      <c r="N3734" s="9" t="n">
        <v>1756.83</v>
      </c>
      <c r="O3734" s="9" t="n">
        <v>1832.79</v>
      </c>
      <c r="P3734" s="9" t="n">
        <v>1778.14</v>
      </c>
      <c r="Q3734" s="9" t="n">
        <v>1562.59</v>
      </c>
      <c r="R3734" s="9" t="n">
        <v>1848.98</v>
      </c>
      <c r="S3734" s="9" t="n">
        <v>1609.7</v>
      </c>
      <c r="T3734" s="9" t="n">
        <v>1642.72</v>
      </c>
      <c r="U3734" s="10">
        <f>SUM(I3734:T3734)</f>
        <v/>
      </c>
    </row>
    <row r="3735">
      <c r="A3735" s="2" t="inlineStr">
        <is>
          <t>SN-3000-3300-3330-3330PU0147</t>
        </is>
      </c>
      <c r="B3735" s="2" t="inlineStr">
        <is>
          <t>3330PU0147</t>
        </is>
      </c>
      <c r="C3735" s="2" t="inlineStr">
        <is>
          <t>Bomba centrífuga precipitado PU0147</t>
        </is>
      </c>
      <c r="D3735" s="2" t="n">
        <v>1245</v>
      </c>
      <c r="E3735" s="2" t="inlineStr">
        <is>
          <t>CC-3000</t>
        </is>
      </c>
      <c r="F3735" s="2" t="inlineStr">
        <is>
          <t>P01</t>
        </is>
      </c>
      <c r="G3735" s="2" t="n">
        <v>620000</v>
      </c>
      <c r="H3735" s="2" t="inlineStr">
        <is>
          <t>Materiales</t>
        </is>
      </c>
      <c r="I3735" s="9" t="n">
        <v>1771.62</v>
      </c>
      <c r="J3735" s="9" t="n">
        <v>1518.51</v>
      </c>
      <c r="K3735" s="9" t="n">
        <v>1691.41</v>
      </c>
      <c r="L3735" s="9" t="n">
        <v>1835.32</v>
      </c>
      <c r="M3735" s="9" t="n">
        <v>1726.89</v>
      </c>
      <c r="N3735" s="9" t="n">
        <v>1656.91</v>
      </c>
      <c r="O3735" s="9" t="n">
        <v>1606.89</v>
      </c>
      <c r="P3735" s="9" t="n">
        <v>1702.74</v>
      </c>
      <c r="Q3735" s="9" t="n">
        <v>1550.73</v>
      </c>
      <c r="R3735" s="9" t="n">
        <v>1832.5</v>
      </c>
      <c r="S3735" s="9" t="n">
        <v>1596.45</v>
      </c>
      <c r="T3735" s="9" t="n">
        <v>1699.35</v>
      </c>
      <c r="U3735" s="10">
        <f>SUM(I3735:T3735)</f>
        <v/>
      </c>
    </row>
    <row r="3736">
      <c r="A3736" s="2" t="inlineStr">
        <is>
          <t>SN-3000-3300-3330-3330PU0147</t>
        </is>
      </c>
      <c r="B3736" s="2" t="inlineStr">
        <is>
          <t>3330PU0147</t>
        </is>
      </c>
      <c r="C3736" s="2" t="inlineStr">
        <is>
          <t>Bomba centrífuga precipitado PU0147</t>
        </is>
      </c>
      <c r="D3736" s="2" t="n">
        <v>1245</v>
      </c>
      <c r="E3736" s="2" t="inlineStr">
        <is>
          <t>CC-3000</t>
        </is>
      </c>
      <c r="F3736" s="2" t="inlineStr">
        <is>
          <t>P01</t>
        </is>
      </c>
      <c r="G3736" s="2" t="n">
        <v>630000</v>
      </c>
      <c r="H3736" s="2" t="inlineStr">
        <is>
          <t>Servicios externos</t>
        </is>
      </c>
      <c r="I3736" s="9" t="n">
        <v>2197.01</v>
      </c>
      <c r="J3736" s="9" t="n">
        <v>2080.21</v>
      </c>
      <c r="K3736" s="9" t="n">
        <v>2263.77</v>
      </c>
      <c r="L3736" s="9" t="n">
        <v>2270.15</v>
      </c>
      <c r="M3736" s="9" t="n">
        <v>2044.51</v>
      </c>
      <c r="N3736" s="9" t="n">
        <v>2218.93</v>
      </c>
      <c r="O3736" s="9" t="n">
        <v>2185.97</v>
      </c>
      <c r="P3736" s="9" t="n">
        <v>2180.21</v>
      </c>
      <c r="Q3736" s="9" t="n">
        <v>2111.98</v>
      </c>
      <c r="R3736" s="9" t="n">
        <v>2490.41</v>
      </c>
      <c r="S3736" s="9" t="n">
        <v>2308.45</v>
      </c>
      <c r="T3736" s="9" t="n">
        <v>2128.13</v>
      </c>
      <c r="U3736" s="10">
        <f>SUM(I3736:T3736)</f>
        <v/>
      </c>
    </row>
    <row r="3737">
      <c r="A3737" s="2" t="inlineStr">
        <is>
          <t>SN-3000-3300-3330-3330PU0504</t>
        </is>
      </c>
      <c r="B3737" s="2" t="inlineStr">
        <is>
          <t>3330PU0504</t>
        </is>
      </c>
      <c r="C3737" s="2" t="inlineStr">
        <is>
          <t>Bomba centrífuga solución rica PU0504</t>
        </is>
      </c>
      <c r="D3737" s="2" t="n">
        <v>1246</v>
      </c>
      <c r="E3737" s="2" t="inlineStr">
        <is>
          <t>CC-3000</t>
        </is>
      </c>
      <c r="F3737" s="2" t="inlineStr">
        <is>
          <t>P01</t>
        </is>
      </c>
      <c r="G3737" s="2" t="n">
        <v>610000</v>
      </c>
      <c r="H3737" s="2" t="inlineStr">
        <is>
          <t>Mano obra interna</t>
        </is>
      </c>
      <c r="I3737" s="9" t="n">
        <v>1447.71</v>
      </c>
      <c r="J3737" s="9" t="n">
        <v>1564.85</v>
      </c>
      <c r="K3737" s="9" t="n">
        <v>1557.02</v>
      </c>
      <c r="L3737" s="9" t="n">
        <v>1616.98</v>
      </c>
      <c r="M3737" s="9" t="n">
        <v>1597.22</v>
      </c>
      <c r="N3737" s="9" t="n">
        <v>1443.35</v>
      </c>
      <c r="O3737" s="9" t="n">
        <v>1406.78</v>
      </c>
      <c r="P3737" s="9" t="n">
        <v>1463.31</v>
      </c>
      <c r="Q3737" s="9" t="n">
        <v>1290.67</v>
      </c>
      <c r="R3737" s="9" t="n">
        <v>1705.36</v>
      </c>
      <c r="S3737" s="9" t="n">
        <v>1337.98</v>
      </c>
      <c r="T3737" s="9" t="n">
        <v>1542.3</v>
      </c>
      <c r="U3737" s="10">
        <f>SUM(I3737:T3737)</f>
        <v/>
      </c>
    </row>
    <row r="3738">
      <c r="A3738" s="2" t="inlineStr">
        <is>
          <t>SN-3000-3300-3330-3330PU0504</t>
        </is>
      </c>
      <c r="B3738" s="2" t="inlineStr">
        <is>
          <t>3330PU0504</t>
        </is>
      </c>
      <c r="C3738" s="2" t="inlineStr">
        <is>
          <t>Bomba centrífuga solución rica PU0504</t>
        </is>
      </c>
      <c r="D3738" s="2" t="n">
        <v>1246</v>
      </c>
      <c r="E3738" s="2" t="inlineStr">
        <is>
          <t>CC-3000</t>
        </is>
      </c>
      <c r="F3738" s="2" t="inlineStr">
        <is>
          <t>P01</t>
        </is>
      </c>
      <c r="G3738" s="2" t="n">
        <v>620000</v>
      </c>
      <c r="H3738" s="2" t="inlineStr">
        <is>
          <t>Materiales</t>
        </is>
      </c>
      <c r="I3738" s="9" t="n">
        <v>1258.47</v>
      </c>
      <c r="J3738" s="9" t="n">
        <v>1266.53</v>
      </c>
      <c r="K3738" s="9" t="n">
        <v>1392.01</v>
      </c>
      <c r="L3738" s="9" t="n">
        <v>1274.73</v>
      </c>
      <c r="M3738" s="9" t="n">
        <v>1348.71</v>
      </c>
      <c r="N3738" s="9" t="n">
        <v>1314.63</v>
      </c>
      <c r="O3738" s="9" t="n">
        <v>1439.43</v>
      </c>
      <c r="P3738" s="9" t="n">
        <v>1422.69</v>
      </c>
      <c r="Q3738" s="9" t="n">
        <v>1259.02</v>
      </c>
      <c r="R3738" s="9" t="n">
        <v>1510.9</v>
      </c>
      <c r="S3738" s="9" t="n">
        <v>1267.21</v>
      </c>
      <c r="T3738" s="9" t="n">
        <v>1376.7</v>
      </c>
      <c r="U3738" s="10">
        <f>SUM(I3738:T3738)</f>
        <v/>
      </c>
    </row>
    <row r="3739">
      <c r="A3739" s="2" t="inlineStr">
        <is>
          <t>SN-3000-3300-3330-3330PU0504</t>
        </is>
      </c>
      <c r="B3739" s="2" t="inlineStr">
        <is>
          <t>3330PU0504</t>
        </is>
      </c>
      <c r="C3739" s="2" t="inlineStr">
        <is>
          <t>Bomba centrífuga solución rica PU0504</t>
        </is>
      </c>
      <c r="D3739" s="2" t="n">
        <v>1246</v>
      </c>
      <c r="E3739" s="2" t="inlineStr">
        <is>
          <t>CC-3000</t>
        </is>
      </c>
      <c r="F3739" s="2" t="inlineStr">
        <is>
          <t>P01</t>
        </is>
      </c>
      <c r="G3739" s="2" t="n">
        <v>630000</v>
      </c>
      <c r="H3739" s="2" t="inlineStr">
        <is>
          <t>Servicios externos</t>
        </is>
      </c>
      <c r="I3739" s="9" t="n">
        <v>1468.52</v>
      </c>
      <c r="J3739" s="9" t="n">
        <v>1507.67</v>
      </c>
      <c r="K3739" s="9" t="n">
        <v>1474.21</v>
      </c>
      <c r="L3739" s="9" t="n">
        <v>1480.76</v>
      </c>
      <c r="M3739" s="9" t="n">
        <v>1430.7</v>
      </c>
      <c r="N3739" s="9" t="n">
        <v>1495.85</v>
      </c>
      <c r="O3739" s="9" t="n">
        <v>1399.79</v>
      </c>
      <c r="P3739" s="9" t="n">
        <v>1447.96</v>
      </c>
      <c r="Q3739" s="9" t="n">
        <v>1460.28</v>
      </c>
      <c r="R3739" s="9" t="n">
        <v>1469.36</v>
      </c>
      <c r="S3739" s="9" t="n">
        <v>1532.34</v>
      </c>
      <c r="T3739" s="9" t="n">
        <v>1594.65</v>
      </c>
      <c r="U3739" s="10">
        <f>SUM(I3739:T3739)</f>
        <v/>
      </c>
    </row>
    <row r="3740">
      <c r="A3740" s="2" t="inlineStr">
        <is>
          <t>SN-3000-3300-3330-3330SA0001</t>
        </is>
      </c>
      <c r="B3740" s="2" t="inlineStr">
        <is>
          <t>3330SA0001</t>
        </is>
      </c>
      <c r="C3740" s="2" t="inlineStr">
        <is>
          <t>Muestreador SA0001</t>
        </is>
      </c>
      <c r="D3740" s="2" t="n">
        <v>1247</v>
      </c>
      <c r="E3740" s="2" t="inlineStr">
        <is>
          <t>CC-3000</t>
        </is>
      </c>
      <c r="F3740" s="2" t="inlineStr">
        <is>
          <t>P01</t>
        </is>
      </c>
      <c r="G3740" s="2" t="n">
        <v>610000</v>
      </c>
      <c r="H3740" s="2" t="inlineStr">
        <is>
          <t>Mano obra interna</t>
        </is>
      </c>
      <c r="I3740" s="9" t="n">
        <v>2392.85</v>
      </c>
      <c r="J3740" s="9" t="n">
        <v>2430.37</v>
      </c>
      <c r="K3740" s="9" t="n">
        <v>2381.11</v>
      </c>
      <c r="L3740" s="9" t="n">
        <v>2187.59</v>
      </c>
      <c r="M3740" s="9" t="n">
        <v>2392.42</v>
      </c>
      <c r="N3740" s="9" t="n">
        <v>2059.41</v>
      </c>
      <c r="O3740" s="9" t="n">
        <v>2200.11</v>
      </c>
      <c r="P3740" s="9" t="n">
        <v>2422.89</v>
      </c>
      <c r="Q3740" s="9" t="n">
        <v>2046.68</v>
      </c>
      <c r="R3740" s="9" t="n">
        <v>2564.16</v>
      </c>
      <c r="S3740" s="9" t="n">
        <v>2196.36</v>
      </c>
      <c r="T3740" s="9" t="n">
        <v>2418.44</v>
      </c>
      <c r="U3740" s="10">
        <f>SUM(I3740:T3740)</f>
        <v/>
      </c>
    </row>
    <row r="3741">
      <c r="A3741" s="2" t="inlineStr">
        <is>
          <t>SN-3000-3300-3330-3330SA0001</t>
        </is>
      </c>
      <c r="B3741" s="2" t="inlineStr">
        <is>
          <t>3330SA0001</t>
        </is>
      </c>
      <c r="C3741" s="2" t="inlineStr">
        <is>
          <t>Muestreador SA0001</t>
        </is>
      </c>
      <c r="D3741" s="2" t="n">
        <v>1247</v>
      </c>
      <c r="E3741" s="2" t="inlineStr">
        <is>
          <t>CC-3000</t>
        </is>
      </c>
      <c r="F3741" s="2" t="inlineStr">
        <is>
          <t>P01</t>
        </is>
      </c>
      <c r="G3741" s="2" t="n">
        <v>620000</v>
      </c>
      <c r="H3741" s="2" t="inlineStr">
        <is>
          <t>Materiales</t>
        </is>
      </c>
      <c r="I3741" s="9" t="n">
        <v>2116.44</v>
      </c>
      <c r="J3741" s="9" t="n">
        <v>2008.27</v>
      </c>
      <c r="K3741" s="9" t="n">
        <v>2079.71</v>
      </c>
      <c r="L3741" s="9" t="n">
        <v>2082.82</v>
      </c>
      <c r="M3741" s="9" t="n">
        <v>2019.66</v>
      </c>
      <c r="N3741" s="9" t="n">
        <v>2154.29</v>
      </c>
      <c r="O3741" s="9" t="n">
        <v>2112.38</v>
      </c>
      <c r="P3741" s="9" t="n">
        <v>2085.94</v>
      </c>
      <c r="Q3741" s="9" t="n">
        <v>1956.12</v>
      </c>
      <c r="R3741" s="9" t="n">
        <v>2444.76</v>
      </c>
      <c r="S3741" s="9" t="n">
        <v>2083.14</v>
      </c>
      <c r="T3741" s="9" t="n">
        <v>2200.83</v>
      </c>
      <c r="U3741" s="10">
        <f>SUM(I3741:T3741)</f>
        <v/>
      </c>
    </row>
    <row r="3742">
      <c r="A3742" s="2" t="inlineStr">
        <is>
          <t>SN-3000-3300-3330-3330SA0001</t>
        </is>
      </c>
      <c r="B3742" s="2" t="inlineStr">
        <is>
          <t>3330SA0001</t>
        </is>
      </c>
      <c r="C3742" s="2" t="inlineStr">
        <is>
          <t>Muestreador SA0001</t>
        </is>
      </c>
      <c r="D3742" s="2" t="n">
        <v>1247</v>
      </c>
      <c r="E3742" s="2" t="inlineStr">
        <is>
          <t>CC-3000</t>
        </is>
      </c>
      <c r="F3742" s="2" t="inlineStr">
        <is>
          <t>P01</t>
        </is>
      </c>
      <c r="G3742" s="2" t="n">
        <v>630000</v>
      </c>
      <c r="H3742" s="2" t="inlineStr">
        <is>
          <t>Servicios externos</t>
        </is>
      </c>
      <c r="I3742" s="9" t="n">
        <v>2244.63</v>
      </c>
      <c r="J3742" s="9" t="n">
        <v>2065.45</v>
      </c>
      <c r="K3742" s="9" t="n">
        <v>2346.27</v>
      </c>
      <c r="L3742" s="9" t="n">
        <v>2201.38</v>
      </c>
      <c r="M3742" s="9" t="n">
        <v>2272.85</v>
      </c>
      <c r="N3742" s="9" t="n">
        <v>2014.9</v>
      </c>
      <c r="O3742" s="9" t="n">
        <v>2175.74</v>
      </c>
      <c r="P3742" s="9" t="n">
        <v>2197.03</v>
      </c>
      <c r="Q3742" s="9" t="n">
        <v>1946.47</v>
      </c>
      <c r="R3742" s="9" t="n">
        <v>2218.04</v>
      </c>
      <c r="S3742" s="9" t="n">
        <v>2075.73</v>
      </c>
      <c r="T3742" s="9" t="n">
        <v>2257.76</v>
      </c>
      <c r="U3742" s="10">
        <f>SUM(I3742:T3742)</f>
        <v/>
      </c>
    </row>
    <row r="3743">
      <c r="A3743" s="2" t="inlineStr">
        <is>
          <t>SN-3000-3300-3330-3330SA0002</t>
        </is>
      </c>
      <c r="B3743" s="2" t="inlineStr">
        <is>
          <t>3330SA0002</t>
        </is>
      </c>
      <c r="C3743" s="2" t="inlineStr">
        <is>
          <t>Muestreador SA0002</t>
        </is>
      </c>
      <c r="D3743" s="2" t="n">
        <v>1248</v>
      </c>
      <c r="E3743" s="2" t="inlineStr">
        <is>
          <t>CC-3000</t>
        </is>
      </c>
      <c r="F3743" s="2" t="inlineStr">
        <is>
          <t>P01</t>
        </is>
      </c>
      <c r="G3743" s="2" t="n">
        <v>610000</v>
      </c>
      <c r="H3743" s="2" t="inlineStr">
        <is>
          <t>Mano obra interna</t>
        </is>
      </c>
      <c r="I3743" s="9" t="n">
        <v>1986.65</v>
      </c>
      <c r="J3743" s="9" t="n">
        <v>1939.89</v>
      </c>
      <c r="K3743" s="9" t="n">
        <v>2046</v>
      </c>
      <c r="L3743" s="9" t="n">
        <v>2016.89</v>
      </c>
      <c r="M3743" s="9" t="n">
        <v>1821.49</v>
      </c>
      <c r="N3743" s="9" t="n">
        <v>1854.48</v>
      </c>
      <c r="O3743" s="9" t="n">
        <v>1877.3</v>
      </c>
      <c r="P3743" s="9" t="n">
        <v>1978.78</v>
      </c>
      <c r="Q3743" s="9" t="n">
        <v>1909.19</v>
      </c>
      <c r="R3743" s="9" t="n">
        <v>2151.11</v>
      </c>
      <c r="S3743" s="9" t="n">
        <v>1821.86</v>
      </c>
      <c r="T3743" s="9" t="n">
        <v>1905.41</v>
      </c>
      <c r="U3743" s="10">
        <f>SUM(I3743:T3743)</f>
        <v/>
      </c>
    </row>
    <row r="3744">
      <c r="A3744" s="2" t="inlineStr">
        <is>
          <t>SN-3000-3300-3330-3330SA0002</t>
        </is>
      </c>
      <c r="B3744" s="2" t="inlineStr">
        <is>
          <t>3330SA0002</t>
        </is>
      </c>
      <c r="C3744" s="2" t="inlineStr">
        <is>
          <t>Muestreador SA0002</t>
        </is>
      </c>
      <c r="D3744" s="2" t="n">
        <v>1248</v>
      </c>
      <c r="E3744" s="2" t="inlineStr">
        <is>
          <t>CC-3000</t>
        </is>
      </c>
      <c r="F3744" s="2" t="inlineStr">
        <is>
          <t>P01</t>
        </is>
      </c>
      <c r="G3744" s="2" t="n">
        <v>620000</v>
      </c>
      <c r="H3744" s="2" t="inlineStr">
        <is>
          <t>Materiales</t>
        </is>
      </c>
      <c r="I3744" s="9" t="n">
        <v>1570.25</v>
      </c>
      <c r="J3744" s="9" t="n">
        <v>1516.48</v>
      </c>
      <c r="K3744" s="9" t="n">
        <v>1538.05</v>
      </c>
      <c r="L3744" s="9" t="n">
        <v>1658.09</v>
      </c>
      <c r="M3744" s="9" t="n">
        <v>1512.44</v>
      </c>
      <c r="N3744" s="9" t="n">
        <v>1528.47</v>
      </c>
      <c r="O3744" s="9" t="n">
        <v>1592.12</v>
      </c>
      <c r="P3744" s="9" t="n">
        <v>1581.42</v>
      </c>
      <c r="Q3744" s="9" t="n">
        <v>1543.53</v>
      </c>
      <c r="R3744" s="9" t="n">
        <v>1548.57</v>
      </c>
      <c r="S3744" s="9" t="n">
        <v>1402.67</v>
      </c>
      <c r="T3744" s="9" t="n">
        <v>1635.77</v>
      </c>
      <c r="U3744" s="10">
        <f>SUM(I3744:T3744)</f>
        <v/>
      </c>
    </row>
    <row r="3745">
      <c r="A3745" s="2" t="inlineStr">
        <is>
          <t>SN-3000-3300-3330-3330SA0002</t>
        </is>
      </c>
      <c r="B3745" s="2" t="inlineStr">
        <is>
          <t>3330SA0002</t>
        </is>
      </c>
      <c r="C3745" s="2" t="inlineStr">
        <is>
          <t>Muestreador SA0002</t>
        </is>
      </c>
      <c r="D3745" s="2" t="n">
        <v>1248</v>
      </c>
      <c r="E3745" s="2" t="inlineStr">
        <is>
          <t>CC-3000</t>
        </is>
      </c>
      <c r="F3745" s="2" t="inlineStr">
        <is>
          <t>P01</t>
        </is>
      </c>
      <c r="G3745" s="2" t="n">
        <v>630000</v>
      </c>
      <c r="H3745" s="2" t="inlineStr">
        <is>
          <t>Servicios externos</t>
        </is>
      </c>
      <c r="I3745" s="9" t="n">
        <v>1922.4</v>
      </c>
      <c r="J3745" s="9" t="n">
        <v>1642.61</v>
      </c>
      <c r="K3745" s="9" t="n">
        <v>1711.12</v>
      </c>
      <c r="L3745" s="9" t="n">
        <v>1810.86</v>
      </c>
      <c r="M3745" s="9" t="n">
        <v>1668.04</v>
      </c>
      <c r="N3745" s="9" t="n">
        <v>1627.75</v>
      </c>
      <c r="O3745" s="9" t="n">
        <v>1865.68</v>
      </c>
      <c r="P3745" s="9" t="n">
        <v>1613.5</v>
      </c>
      <c r="Q3745" s="9" t="n">
        <v>1634.5</v>
      </c>
      <c r="R3745" s="9" t="n">
        <v>1834.39</v>
      </c>
      <c r="S3745" s="9" t="n">
        <v>1649.66</v>
      </c>
      <c r="T3745" s="9" t="n">
        <v>1701.53</v>
      </c>
      <c r="U3745" s="10">
        <f>SUM(I3745:T3745)</f>
        <v/>
      </c>
    </row>
    <row r="3746">
      <c r="A3746" s="2" t="inlineStr">
        <is>
          <t>SN-3000-3300-3330-3330TA0012</t>
        </is>
      </c>
      <c r="B3746" s="2" t="inlineStr">
        <is>
          <t>3330TA0012</t>
        </is>
      </c>
      <c r="C3746" s="2" t="inlineStr">
        <is>
          <t>Separadores aire líquido TA0012</t>
        </is>
      </c>
      <c r="D3746" s="2" t="n">
        <v>1249</v>
      </c>
      <c r="E3746" s="2" t="inlineStr">
        <is>
          <t>CC-3000</t>
        </is>
      </c>
      <c r="F3746" s="2" t="inlineStr">
        <is>
          <t>P01</t>
        </is>
      </c>
      <c r="G3746" s="2" t="n">
        <v>610000</v>
      </c>
      <c r="H3746" s="2" t="inlineStr">
        <is>
          <t>Mano obra interna</t>
        </is>
      </c>
      <c r="I3746" s="9" t="n">
        <v>1595.1</v>
      </c>
      <c r="J3746" s="9" t="n">
        <v>1792.45</v>
      </c>
      <c r="K3746" s="9" t="n">
        <v>1786.38</v>
      </c>
      <c r="L3746" s="9" t="n">
        <v>1802.02</v>
      </c>
      <c r="M3746" s="9" t="n">
        <v>1554.52</v>
      </c>
      <c r="N3746" s="9" t="n">
        <v>1488.81</v>
      </c>
      <c r="O3746" s="9" t="n">
        <v>1716.14</v>
      </c>
      <c r="P3746" s="9" t="n">
        <v>1747.43</v>
      </c>
      <c r="Q3746" s="9" t="n">
        <v>1545.14</v>
      </c>
      <c r="R3746" s="9" t="n">
        <v>1787.98</v>
      </c>
      <c r="S3746" s="9" t="n">
        <v>1604.15</v>
      </c>
      <c r="T3746" s="9" t="n">
        <v>1618.15</v>
      </c>
      <c r="U3746" s="10">
        <f>SUM(I3746:T3746)</f>
        <v/>
      </c>
    </row>
    <row r="3747">
      <c r="A3747" s="2" t="inlineStr">
        <is>
          <t>SN-3000-3300-3330-3330TA0012</t>
        </is>
      </c>
      <c r="B3747" s="2" t="inlineStr">
        <is>
          <t>3330TA0012</t>
        </is>
      </c>
      <c r="C3747" s="2" t="inlineStr">
        <is>
          <t>Separadores aire líquido TA0012</t>
        </is>
      </c>
      <c r="D3747" s="2" t="n">
        <v>1249</v>
      </c>
      <c r="E3747" s="2" t="inlineStr">
        <is>
          <t>CC-3000</t>
        </is>
      </c>
      <c r="F3747" s="2" t="inlineStr">
        <is>
          <t>P01</t>
        </is>
      </c>
      <c r="G3747" s="2" t="n">
        <v>620000</v>
      </c>
      <c r="H3747" s="2" t="inlineStr">
        <is>
          <t>Materiales</t>
        </is>
      </c>
      <c r="I3747" s="9" t="n">
        <v>1928.48</v>
      </c>
      <c r="J3747" s="9" t="n">
        <v>1894.56</v>
      </c>
      <c r="K3747" s="9" t="n">
        <v>2097.88</v>
      </c>
      <c r="L3747" s="9" t="n">
        <v>1861.13</v>
      </c>
      <c r="M3747" s="9" t="n">
        <v>2042.27</v>
      </c>
      <c r="N3747" s="9" t="n">
        <v>2013.18</v>
      </c>
      <c r="O3747" s="9" t="n">
        <v>1838.13</v>
      </c>
      <c r="P3747" s="9" t="n">
        <v>2006.82</v>
      </c>
      <c r="Q3747" s="9" t="n">
        <v>1815.5</v>
      </c>
      <c r="R3747" s="9" t="n">
        <v>1990.56</v>
      </c>
      <c r="S3747" s="9" t="n">
        <v>1971.96</v>
      </c>
      <c r="T3747" s="9" t="n">
        <v>2044.79</v>
      </c>
      <c r="U3747" s="10">
        <f>SUM(I3747:T3747)</f>
        <v/>
      </c>
    </row>
    <row r="3748">
      <c r="A3748" s="2" t="inlineStr">
        <is>
          <t>SN-3000-3300-3330-3330TA0012</t>
        </is>
      </c>
      <c r="B3748" s="2" t="inlineStr">
        <is>
          <t>3330TA0012</t>
        </is>
      </c>
      <c r="C3748" s="2" t="inlineStr">
        <is>
          <t>Separadores aire líquido TA0012</t>
        </is>
      </c>
      <c r="D3748" s="2" t="n">
        <v>1249</v>
      </c>
      <c r="E3748" s="2" t="inlineStr">
        <is>
          <t>CC-3000</t>
        </is>
      </c>
      <c r="F3748" s="2" t="inlineStr">
        <is>
          <t>P01</t>
        </is>
      </c>
      <c r="G3748" s="2" t="n">
        <v>630000</v>
      </c>
      <c r="H3748" s="2" t="inlineStr">
        <is>
          <t>Servicios externos</t>
        </is>
      </c>
      <c r="I3748" s="9" t="n">
        <v>2025.61</v>
      </c>
      <c r="J3748" s="9" t="n">
        <v>1797.42</v>
      </c>
      <c r="K3748" s="9" t="n">
        <v>2004.48</v>
      </c>
      <c r="L3748" s="9" t="n">
        <v>2006.31</v>
      </c>
      <c r="M3748" s="9" t="n">
        <v>1770.84</v>
      </c>
      <c r="N3748" s="9" t="n">
        <v>1938.57</v>
      </c>
      <c r="O3748" s="9" t="n">
        <v>1841.93</v>
      </c>
      <c r="P3748" s="9" t="n">
        <v>1952.62</v>
      </c>
      <c r="Q3748" s="9" t="n">
        <v>1830.35</v>
      </c>
      <c r="R3748" s="9" t="n">
        <v>2038.97</v>
      </c>
      <c r="S3748" s="9" t="n">
        <v>1720.47</v>
      </c>
      <c r="T3748" s="9" t="n">
        <v>1848.7</v>
      </c>
      <c r="U3748" s="10">
        <f>SUM(I3748:T3748)</f>
        <v/>
      </c>
    </row>
    <row r="3749">
      <c r="A3749" s="2" t="inlineStr">
        <is>
          <t>SN-3000-3300-3330-3330TA0054</t>
        </is>
      </c>
      <c r="B3749" s="2" t="inlineStr">
        <is>
          <t>3330TA0054</t>
        </is>
      </c>
      <c r="C3749" s="2" t="inlineStr">
        <is>
          <t>Separadores aire líquido TA0054</t>
        </is>
      </c>
      <c r="D3749" s="2" t="n">
        <v>1250</v>
      </c>
      <c r="E3749" s="2" t="inlineStr">
        <is>
          <t>CC-3000</t>
        </is>
      </c>
      <c r="F3749" s="2" t="inlineStr">
        <is>
          <t>P01</t>
        </is>
      </c>
      <c r="G3749" s="2" t="n">
        <v>610000</v>
      </c>
      <c r="H3749" s="2" t="inlineStr">
        <is>
          <t>Mano obra interna</t>
        </is>
      </c>
      <c r="I3749" s="9" t="n">
        <v>1930.02</v>
      </c>
      <c r="J3749" s="9" t="n">
        <v>1785.53</v>
      </c>
      <c r="K3749" s="9" t="n">
        <v>1959.18</v>
      </c>
      <c r="L3749" s="9" t="n">
        <v>1861.25</v>
      </c>
      <c r="M3749" s="9" t="n">
        <v>1716.54</v>
      </c>
      <c r="N3749" s="9" t="n">
        <v>1762.74</v>
      </c>
      <c r="O3749" s="9" t="n">
        <v>1918.08</v>
      </c>
      <c r="P3749" s="9" t="n">
        <v>1966.06</v>
      </c>
      <c r="Q3749" s="9" t="n">
        <v>1622.27</v>
      </c>
      <c r="R3749" s="9" t="n">
        <v>1954.2</v>
      </c>
      <c r="S3749" s="9" t="n">
        <v>1966.52</v>
      </c>
      <c r="T3749" s="9" t="n">
        <v>1840.07</v>
      </c>
      <c r="U3749" s="10">
        <f>SUM(I3749:T3749)</f>
        <v/>
      </c>
    </row>
    <row r="3750">
      <c r="A3750" s="2" t="inlineStr">
        <is>
          <t>SN-3000-3300-3330-3330TA0054</t>
        </is>
      </c>
      <c r="B3750" s="2" t="inlineStr">
        <is>
          <t>3330TA0054</t>
        </is>
      </c>
      <c r="C3750" s="2" t="inlineStr">
        <is>
          <t>Separadores aire líquido TA0054</t>
        </is>
      </c>
      <c r="D3750" s="2" t="n">
        <v>1250</v>
      </c>
      <c r="E3750" s="2" t="inlineStr">
        <is>
          <t>CC-3000</t>
        </is>
      </c>
      <c r="F3750" s="2" t="inlineStr">
        <is>
          <t>P01</t>
        </is>
      </c>
      <c r="G3750" s="2" t="n">
        <v>620000</v>
      </c>
      <c r="H3750" s="2" t="inlineStr">
        <is>
          <t>Materiales</t>
        </is>
      </c>
      <c r="I3750" s="9" t="n">
        <v>2155.6</v>
      </c>
      <c r="J3750" s="9" t="n">
        <v>1950.96</v>
      </c>
      <c r="K3750" s="9" t="n">
        <v>2225.04</v>
      </c>
      <c r="L3750" s="9" t="n">
        <v>2315.68</v>
      </c>
      <c r="M3750" s="9" t="n">
        <v>2215.75</v>
      </c>
      <c r="N3750" s="9" t="n">
        <v>2077.17</v>
      </c>
      <c r="O3750" s="9" t="n">
        <v>2113.47</v>
      </c>
      <c r="P3750" s="9" t="n">
        <v>2045.94</v>
      </c>
      <c r="Q3750" s="9" t="n">
        <v>1917.76</v>
      </c>
      <c r="R3750" s="9" t="n">
        <v>2217.82</v>
      </c>
      <c r="S3750" s="9" t="n">
        <v>2178.92</v>
      </c>
      <c r="T3750" s="9" t="n">
        <v>2040.89</v>
      </c>
      <c r="U3750" s="10">
        <f>SUM(I3750:T3750)</f>
        <v/>
      </c>
    </row>
    <row r="3751">
      <c r="A3751" s="2" t="inlineStr">
        <is>
          <t>SN-3000-3300-3330-3330TA0054</t>
        </is>
      </c>
      <c r="B3751" s="2" t="inlineStr">
        <is>
          <t>3330TA0054</t>
        </is>
      </c>
      <c r="C3751" s="2" t="inlineStr">
        <is>
          <t>Separadores aire líquido TA0054</t>
        </is>
      </c>
      <c r="D3751" s="2" t="n">
        <v>1250</v>
      </c>
      <c r="E3751" s="2" t="inlineStr">
        <is>
          <t>CC-3000</t>
        </is>
      </c>
      <c r="F3751" s="2" t="inlineStr">
        <is>
          <t>P01</t>
        </is>
      </c>
      <c r="G3751" s="2" t="n">
        <v>630000</v>
      </c>
      <c r="H3751" s="2" t="inlineStr">
        <is>
          <t>Servicios externos</t>
        </is>
      </c>
      <c r="I3751" s="9" t="n">
        <v>1931.75</v>
      </c>
      <c r="J3751" s="9" t="n">
        <v>1856.69</v>
      </c>
      <c r="K3751" s="9" t="n">
        <v>1817.09</v>
      </c>
      <c r="L3751" s="9" t="n">
        <v>1883.65</v>
      </c>
      <c r="M3751" s="9" t="n">
        <v>1892.9</v>
      </c>
      <c r="N3751" s="9" t="n">
        <v>1905.31</v>
      </c>
      <c r="O3751" s="9" t="n">
        <v>1935.27</v>
      </c>
      <c r="P3751" s="9" t="n">
        <v>1876.48</v>
      </c>
      <c r="Q3751" s="9" t="n">
        <v>1827.94</v>
      </c>
      <c r="R3751" s="9" t="n">
        <v>2117.93</v>
      </c>
      <c r="S3751" s="9" t="n">
        <v>1777.33</v>
      </c>
      <c r="T3751" s="9" t="n">
        <v>1818.45</v>
      </c>
      <c r="U3751" s="10">
        <f>SUM(I3751:T3751)</f>
        <v/>
      </c>
    </row>
    <row r="3752">
      <c r="A3752" s="2" t="inlineStr">
        <is>
          <t>SN-3000-3300-3330-3330TK0012</t>
        </is>
      </c>
      <c r="B3752" s="2" t="inlineStr">
        <is>
          <t>3330TK0012</t>
        </is>
      </c>
      <c r="C3752" s="2" t="inlineStr">
        <is>
          <t>Estanque almacenamiento TK0012</t>
        </is>
      </c>
      <c r="D3752" s="2" t="n">
        <v>1251</v>
      </c>
      <c r="E3752" s="2" t="inlineStr">
        <is>
          <t>CC-3000</t>
        </is>
      </c>
      <c r="F3752" s="2" t="inlineStr">
        <is>
          <t>P01</t>
        </is>
      </c>
      <c r="G3752" s="2" t="n">
        <v>610000</v>
      </c>
      <c r="H3752" s="2" t="inlineStr">
        <is>
          <t>Mano obra interna</t>
        </is>
      </c>
      <c r="I3752" s="9" t="n">
        <v>2409.41</v>
      </c>
      <c r="J3752" s="9" t="n">
        <v>2193.72</v>
      </c>
      <c r="K3752" s="9" t="n">
        <v>2331.09</v>
      </c>
      <c r="L3752" s="9" t="n">
        <v>2503.14</v>
      </c>
      <c r="M3752" s="9" t="n">
        <v>2381.73</v>
      </c>
      <c r="N3752" s="9" t="n">
        <v>2405.78</v>
      </c>
      <c r="O3752" s="9" t="n">
        <v>2336.9</v>
      </c>
      <c r="P3752" s="9" t="n">
        <v>2179.08</v>
      </c>
      <c r="Q3752" s="9" t="n">
        <v>2256.77</v>
      </c>
      <c r="R3752" s="9" t="n">
        <v>2433.9</v>
      </c>
      <c r="S3752" s="9" t="n">
        <v>2209.91</v>
      </c>
      <c r="T3752" s="9" t="n">
        <v>2268.19</v>
      </c>
      <c r="U3752" s="10">
        <f>SUM(I3752:T3752)</f>
        <v/>
      </c>
    </row>
    <row r="3753">
      <c r="A3753" s="2" t="inlineStr">
        <is>
          <t>SN-3000-3300-3330-3330TK0012</t>
        </is>
      </c>
      <c r="B3753" s="2" t="inlineStr">
        <is>
          <t>3330TK0012</t>
        </is>
      </c>
      <c r="C3753" s="2" t="inlineStr">
        <is>
          <t>Estanque almacenamiento TK0012</t>
        </is>
      </c>
      <c r="D3753" s="2" t="n">
        <v>1251</v>
      </c>
      <c r="E3753" s="2" t="inlineStr">
        <is>
          <t>CC-3000</t>
        </is>
      </c>
      <c r="F3753" s="2" t="inlineStr">
        <is>
          <t>P01</t>
        </is>
      </c>
      <c r="G3753" s="2" t="n">
        <v>620000</v>
      </c>
      <c r="H3753" s="2" t="inlineStr">
        <is>
          <t>Materiales</t>
        </is>
      </c>
      <c r="I3753" s="9" t="n">
        <v>2106.62</v>
      </c>
      <c r="J3753" s="9" t="n">
        <v>1954.28</v>
      </c>
      <c r="K3753" s="9" t="n">
        <v>1895.83</v>
      </c>
      <c r="L3753" s="9" t="n">
        <v>2031.24</v>
      </c>
      <c r="M3753" s="9" t="n">
        <v>1981.45</v>
      </c>
      <c r="N3753" s="9" t="n">
        <v>1989.54</v>
      </c>
      <c r="O3753" s="9" t="n">
        <v>2074</v>
      </c>
      <c r="P3753" s="9" t="n">
        <v>1821.8</v>
      </c>
      <c r="Q3753" s="9" t="n">
        <v>1931.83</v>
      </c>
      <c r="R3753" s="9" t="n">
        <v>1962.09</v>
      </c>
      <c r="S3753" s="9" t="n">
        <v>1792.65</v>
      </c>
      <c r="T3753" s="9" t="n">
        <v>1865.73</v>
      </c>
      <c r="U3753" s="10">
        <f>SUM(I3753:T3753)</f>
        <v/>
      </c>
    </row>
    <row r="3754">
      <c r="A3754" s="2" t="inlineStr">
        <is>
          <t>SN-3000-3300-3330-3330TK0012</t>
        </is>
      </c>
      <c r="B3754" s="2" t="inlineStr">
        <is>
          <t>3330TK0012</t>
        </is>
      </c>
      <c r="C3754" s="2" t="inlineStr">
        <is>
          <t>Estanque almacenamiento TK0012</t>
        </is>
      </c>
      <c r="D3754" s="2" t="n">
        <v>1251</v>
      </c>
      <c r="E3754" s="2" t="inlineStr">
        <is>
          <t>CC-3000</t>
        </is>
      </c>
      <c r="F3754" s="2" t="inlineStr">
        <is>
          <t>P01</t>
        </is>
      </c>
      <c r="G3754" s="2" t="n">
        <v>630000</v>
      </c>
      <c r="H3754" s="2" t="inlineStr">
        <is>
          <t>Servicios externos</t>
        </is>
      </c>
      <c r="I3754" s="9" t="n">
        <v>1951.62</v>
      </c>
      <c r="J3754" s="9" t="n">
        <v>1849.16</v>
      </c>
      <c r="K3754" s="9" t="n">
        <v>1937.25</v>
      </c>
      <c r="L3754" s="9" t="n">
        <v>1989.35</v>
      </c>
      <c r="M3754" s="9" t="n">
        <v>1773.21</v>
      </c>
      <c r="N3754" s="9" t="n">
        <v>1604.65</v>
      </c>
      <c r="O3754" s="9" t="n">
        <v>1864.91</v>
      </c>
      <c r="P3754" s="9" t="n">
        <v>1929.23</v>
      </c>
      <c r="Q3754" s="9" t="n">
        <v>1826.6</v>
      </c>
      <c r="R3754" s="9" t="n">
        <v>1923.47</v>
      </c>
      <c r="S3754" s="9" t="n">
        <v>1856.04</v>
      </c>
      <c r="T3754" s="9" t="n">
        <v>1953.76</v>
      </c>
      <c r="U3754" s="10">
        <f>SUM(I3754:T3754)</f>
        <v/>
      </c>
    </row>
    <row r="3755">
      <c r="A3755" s="2" t="inlineStr">
        <is>
          <t>SN-3000-3300-3330-3330TK0054</t>
        </is>
      </c>
      <c r="B3755" s="2" t="inlineStr">
        <is>
          <t>3330TK0054</t>
        </is>
      </c>
      <c r="C3755" s="2" t="inlineStr">
        <is>
          <t>Estanque separador TK0054</t>
        </is>
      </c>
      <c r="D3755" s="2" t="n">
        <v>1252</v>
      </c>
      <c r="E3755" s="2" t="inlineStr">
        <is>
          <t>CC-3000</t>
        </is>
      </c>
      <c r="F3755" s="2" t="inlineStr">
        <is>
          <t>P01</t>
        </is>
      </c>
      <c r="G3755" s="2" t="n">
        <v>610000</v>
      </c>
      <c r="H3755" s="2" t="inlineStr">
        <is>
          <t>Mano obra interna</t>
        </is>
      </c>
      <c r="I3755" s="9" t="n">
        <v>668.17</v>
      </c>
      <c r="J3755" s="9" t="n">
        <v>598.3200000000001</v>
      </c>
      <c r="K3755" s="9" t="n">
        <v>655.6799999999999</v>
      </c>
      <c r="L3755" s="9" t="n">
        <v>694.9299999999999</v>
      </c>
      <c r="M3755" s="9" t="n">
        <v>663.79</v>
      </c>
      <c r="N3755" s="9" t="n">
        <v>619.78</v>
      </c>
      <c r="O3755" s="9" t="n">
        <v>673.01</v>
      </c>
      <c r="P3755" s="9" t="n">
        <v>604.98</v>
      </c>
      <c r="Q3755" s="9" t="n">
        <v>567.6</v>
      </c>
      <c r="R3755" s="9" t="n">
        <v>659.11</v>
      </c>
      <c r="S3755" s="9" t="n">
        <v>647.97</v>
      </c>
      <c r="T3755" s="9" t="n">
        <v>691.25</v>
      </c>
      <c r="U3755" s="10">
        <f>SUM(I3755:T3755)</f>
        <v/>
      </c>
    </row>
    <row r="3756">
      <c r="A3756" s="2" t="inlineStr">
        <is>
          <t>SN-3000-3300-3330-3330TK0054</t>
        </is>
      </c>
      <c r="B3756" s="2" t="inlineStr">
        <is>
          <t>3330TK0054</t>
        </is>
      </c>
      <c r="C3756" s="2" t="inlineStr">
        <is>
          <t>Estanque separador TK0054</t>
        </is>
      </c>
      <c r="D3756" s="2" t="n">
        <v>1252</v>
      </c>
      <c r="E3756" s="2" t="inlineStr">
        <is>
          <t>CC-3000</t>
        </is>
      </c>
      <c r="F3756" s="2" t="inlineStr">
        <is>
          <t>P01</t>
        </is>
      </c>
      <c r="G3756" s="2" t="n">
        <v>620000</v>
      </c>
      <c r="H3756" s="2" t="inlineStr">
        <is>
          <t>Materiales</t>
        </is>
      </c>
      <c r="I3756" s="9" t="n">
        <v>768.6</v>
      </c>
      <c r="J3756" s="9" t="n">
        <v>716.09</v>
      </c>
      <c r="K3756" s="9" t="n">
        <v>731.08</v>
      </c>
      <c r="L3756" s="9" t="n">
        <v>729.77</v>
      </c>
      <c r="M3756" s="9" t="n">
        <v>733.08</v>
      </c>
      <c r="N3756" s="9" t="n">
        <v>626.71</v>
      </c>
      <c r="O3756" s="9" t="n">
        <v>664.55</v>
      </c>
      <c r="P3756" s="9" t="n">
        <v>674.77</v>
      </c>
      <c r="Q3756" s="9" t="n">
        <v>694.26</v>
      </c>
      <c r="R3756" s="9" t="n">
        <v>810.38</v>
      </c>
      <c r="S3756" s="9" t="n">
        <v>663.48</v>
      </c>
      <c r="T3756" s="9" t="n">
        <v>760.2</v>
      </c>
      <c r="U3756" s="10">
        <f>SUM(I3756:T3756)</f>
        <v/>
      </c>
    </row>
    <row r="3757">
      <c r="A3757" s="2" t="inlineStr">
        <is>
          <t>SN-3000-3300-3330-3330TK0054</t>
        </is>
      </c>
      <c r="B3757" s="2" t="inlineStr">
        <is>
          <t>3330TK0054</t>
        </is>
      </c>
      <c r="C3757" s="2" t="inlineStr">
        <is>
          <t>Estanque separador TK0054</t>
        </is>
      </c>
      <c r="D3757" s="2" t="n">
        <v>1252</v>
      </c>
      <c r="E3757" s="2" t="inlineStr">
        <is>
          <t>CC-3000</t>
        </is>
      </c>
      <c r="F3757" s="2" t="inlineStr">
        <is>
          <t>P01</t>
        </is>
      </c>
      <c r="G3757" s="2" t="n">
        <v>630000</v>
      </c>
      <c r="H3757" s="2" t="inlineStr">
        <is>
          <t>Servicios externos</t>
        </is>
      </c>
      <c r="I3757" s="9" t="n">
        <v>726.99</v>
      </c>
      <c r="J3757" s="9" t="n">
        <v>741.88</v>
      </c>
      <c r="K3757" s="9" t="n">
        <v>743.28</v>
      </c>
      <c r="L3757" s="9" t="n">
        <v>725.65</v>
      </c>
      <c r="M3757" s="9" t="n">
        <v>652.99</v>
      </c>
      <c r="N3757" s="9" t="n">
        <v>630.5</v>
      </c>
      <c r="O3757" s="9" t="n">
        <v>730.14</v>
      </c>
      <c r="P3757" s="9" t="n">
        <v>665.9</v>
      </c>
      <c r="Q3757" s="9" t="n">
        <v>691.01</v>
      </c>
      <c r="R3757" s="9" t="n">
        <v>786.4</v>
      </c>
      <c r="S3757" s="9" t="n">
        <v>687.6799999999999</v>
      </c>
      <c r="T3757" s="9" t="n">
        <v>750.1900000000001</v>
      </c>
      <c r="U3757" s="10">
        <f>SUM(I3757:T3757)</f>
        <v/>
      </c>
    </row>
    <row r="3758">
      <c r="A3758" s="2" t="inlineStr">
        <is>
          <t>SN-3000-3300-3330-3330TK0100</t>
        </is>
      </c>
      <c r="B3758" s="2" t="inlineStr">
        <is>
          <t>3330TK0100</t>
        </is>
      </c>
      <c r="C3758" s="2" t="inlineStr">
        <is>
          <t>Estanque almacenamiento TK0100</t>
        </is>
      </c>
      <c r="D3758" s="2" t="n">
        <v>1253</v>
      </c>
      <c r="E3758" s="2" t="inlineStr">
        <is>
          <t>CC-3000</t>
        </is>
      </c>
      <c r="F3758" s="2" t="inlineStr">
        <is>
          <t>P01</t>
        </is>
      </c>
      <c r="G3758" s="2" t="n">
        <v>610000</v>
      </c>
      <c r="H3758" s="2" t="inlineStr">
        <is>
          <t>Mano obra interna</t>
        </is>
      </c>
      <c r="I3758" s="9" t="n">
        <v>590.5700000000001</v>
      </c>
      <c r="J3758" s="9" t="n">
        <v>599.27</v>
      </c>
      <c r="K3758" s="9" t="n">
        <v>656.1799999999999</v>
      </c>
      <c r="L3758" s="9" t="n">
        <v>568.63</v>
      </c>
      <c r="M3758" s="9" t="n">
        <v>568.4299999999999</v>
      </c>
      <c r="N3758" s="9" t="n">
        <v>578.42</v>
      </c>
      <c r="O3758" s="9" t="n">
        <v>608.29</v>
      </c>
      <c r="P3758" s="9" t="n">
        <v>562.65</v>
      </c>
      <c r="Q3758" s="9" t="n">
        <v>552.98</v>
      </c>
      <c r="R3758" s="9" t="n">
        <v>652.3200000000001</v>
      </c>
      <c r="S3758" s="9" t="n">
        <v>576.53</v>
      </c>
      <c r="T3758" s="9" t="n">
        <v>631.5700000000001</v>
      </c>
      <c r="U3758" s="10">
        <f>SUM(I3758:T3758)</f>
        <v/>
      </c>
    </row>
    <row r="3759">
      <c r="A3759" s="2" t="inlineStr">
        <is>
          <t>SN-3000-3300-3330-3330TK0100</t>
        </is>
      </c>
      <c r="B3759" s="2" t="inlineStr">
        <is>
          <t>3330TK0100</t>
        </is>
      </c>
      <c r="C3759" s="2" t="inlineStr">
        <is>
          <t>Estanque almacenamiento TK0100</t>
        </is>
      </c>
      <c r="D3759" s="2" t="n">
        <v>1253</v>
      </c>
      <c r="E3759" s="2" t="inlineStr">
        <is>
          <t>CC-3000</t>
        </is>
      </c>
      <c r="F3759" s="2" t="inlineStr">
        <is>
          <t>P01</t>
        </is>
      </c>
      <c r="G3759" s="2" t="n">
        <v>620000</v>
      </c>
      <c r="H3759" s="2" t="inlineStr">
        <is>
          <t>Materiales</t>
        </is>
      </c>
      <c r="I3759" s="9" t="n">
        <v>548.22</v>
      </c>
      <c r="J3759" s="9" t="n">
        <v>525.95</v>
      </c>
      <c r="K3759" s="9" t="n">
        <v>575.89</v>
      </c>
      <c r="L3759" s="9" t="n">
        <v>557.27</v>
      </c>
      <c r="M3759" s="9" t="n">
        <v>566.58</v>
      </c>
      <c r="N3759" s="9" t="n">
        <v>515.16</v>
      </c>
      <c r="O3759" s="9" t="n">
        <v>547.14</v>
      </c>
      <c r="P3759" s="9" t="n">
        <v>507.99</v>
      </c>
      <c r="Q3759" s="9" t="n">
        <v>530.15</v>
      </c>
      <c r="R3759" s="9" t="n">
        <v>575.61</v>
      </c>
      <c r="S3759" s="9" t="n">
        <v>541.54</v>
      </c>
      <c r="T3759" s="9" t="n">
        <v>542.3</v>
      </c>
      <c r="U3759" s="10">
        <f>SUM(I3759:T3759)</f>
        <v/>
      </c>
    </row>
    <row r="3760">
      <c r="A3760" s="2" t="inlineStr">
        <is>
          <t>SN-3000-3300-3330-3330TK0100</t>
        </is>
      </c>
      <c r="B3760" s="2" t="inlineStr">
        <is>
          <t>3330TK0100</t>
        </is>
      </c>
      <c r="C3760" s="2" t="inlineStr">
        <is>
          <t>Estanque almacenamiento TK0100</t>
        </is>
      </c>
      <c r="D3760" s="2" t="n">
        <v>1253</v>
      </c>
      <c r="E3760" s="2" t="inlineStr">
        <is>
          <t>CC-3000</t>
        </is>
      </c>
      <c r="F3760" s="2" t="inlineStr">
        <is>
          <t>P01</t>
        </is>
      </c>
      <c r="G3760" s="2" t="n">
        <v>630000</v>
      </c>
      <c r="H3760" s="2" t="inlineStr">
        <is>
          <t>Servicios externos</t>
        </is>
      </c>
      <c r="I3760" s="9" t="n">
        <v>437.85</v>
      </c>
      <c r="J3760" s="9" t="n">
        <v>405.05</v>
      </c>
      <c r="K3760" s="9" t="n">
        <v>442.36</v>
      </c>
      <c r="L3760" s="9" t="n">
        <v>432.73</v>
      </c>
      <c r="M3760" s="9" t="n">
        <v>410.82</v>
      </c>
      <c r="N3760" s="9" t="n">
        <v>391.63</v>
      </c>
      <c r="O3760" s="9" t="n">
        <v>452</v>
      </c>
      <c r="P3760" s="9" t="n">
        <v>453.29</v>
      </c>
      <c r="Q3760" s="9" t="n">
        <v>390.47</v>
      </c>
      <c r="R3760" s="9" t="n">
        <v>469.68</v>
      </c>
      <c r="S3760" s="9" t="n">
        <v>419.51</v>
      </c>
      <c r="T3760" s="9" t="n">
        <v>432.08</v>
      </c>
      <c r="U3760" s="10">
        <f>SUM(I3760:T3760)</f>
        <v/>
      </c>
    </row>
    <row r="3761">
      <c r="A3761" s="2" t="inlineStr">
        <is>
          <t>SN-3000-3300-3330-3330VN0006</t>
        </is>
      </c>
      <c r="B3761" s="2" t="inlineStr">
        <is>
          <t>3330VN0006</t>
        </is>
      </c>
      <c r="C3761" s="2" t="inlineStr">
        <is>
          <t>Colector polvo VN0006</t>
        </is>
      </c>
      <c r="D3761" s="2" t="n">
        <v>1254</v>
      </c>
      <c r="E3761" s="2" t="inlineStr">
        <is>
          <t>CC-3000</t>
        </is>
      </c>
      <c r="F3761" s="2" t="inlineStr">
        <is>
          <t>P01</t>
        </is>
      </c>
      <c r="G3761" s="2" t="n">
        <v>610000</v>
      </c>
      <c r="H3761" s="2" t="inlineStr">
        <is>
          <t>Mano obra interna</t>
        </is>
      </c>
      <c r="I3761" s="9" t="n">
        <v>335.37</v>
      </c>
      <c r="J3761" s="9" t="n">
        <v>360.98</v>
      </c>
      <c r="K3761" s="9" t="n">
        <v>375.87</v>
      </c>
      <c r="L3761" s="9" t="n">
        <v>348.84</v>
      </c>
      <c r="M3761" s="9" t="n">
        <v>354.43</v>
      </c>
      <c r="N3761" s="9" t="n">
        <v>330.61</v>
      </c>
      <c r="O3761" s="9" t="n">
        <v>323.1</v>
      </c>
      <c r="P3761" s="9" t="n">
        <v>363.47</v>
      </c>
      <c r="Q3761" s="9" t="n">
        <v>307.52</v>
      </c>
      <c r="R3761" s="9" t="n">
        <v>385.37</v>
      </c>
      <c r="S3761" s="9" t="n">
        <v>336.32</v>
      </c>
      <c r="T3761" s="9" t="n">
        <v>361.73</v>
      </c>
      <c r="U3761" s="10">
        <f>SUM(I3761:T3761)</f>
        <v/>
      </c>
    </row>
    <row r="3762">
      <c r="A3762" s="2" t="inlineStr">
        <is>
          <t>SN-3000-3300-3330-3330VN0006</t>
        </is>
      </c>
      <c r="B3762" s="2" t="inlineStr">
        <is>
          <t>3330VN0006</t>
        </is>
      </c>
      <c r="C3762" s="2" t="inlineStr">
        <is>
          <t>Colector polvo VN0006</t>
        </is>
      </c>
      <c r="D3762" s="2" t="n">
        <v>1254</v>
      </c>
      <c r="E3762" s="2" t="inlineStr">
        <is>
          <t>CC-3000</t>
        </is>
      </c>
      <c r="F3762" s="2" t="inlineStr">
        <is>
          <t>P01</t>
        </is>
      </c>
      <c r="G3762" s="2" t="n">
        <v>620000</v>
      </c>
      <c r="H3762" s="2" t="inlineStr">
        <is>
          <t>Materiales</t>
        </is>
      </c>
      <c r="I3762" s="9" t="n">
        <v>376.55</v>
      </c>
      <c r="J3762" s="9" t="n">
        <v>325.57</v>
      </c>
      <c r="K3762" s="9" t="n">
        <v>341.51</v>
      </c>
      <c r="L3762" s="9" t="n">
        <v>388.31</v>
      </c>
      <c r="M3762" s="9" t="n">
        <v>367.71</v>
      </c>
      <c r="N3762" s="9" t="n">
        <v>359.53</v>
      </c>
      <c r="O3762" s="9" t="n">
        <v>354.96</v>
      </c>
      <c r="P3762" s="9" t="n">
        <v>354.71</v>
      </c>
      <c r="Q3762" s="9" t="n">
        <v>334.39</v>
      </c>
      <c r="R3762" s="9" t="n">
        <v>369.49</v>
      </c>
      <c r="S3762" s="9" t="n">
        <v>358.79</v>
      </c>
      <c r="T3762" s="9" t="n">
        <v>381.7</v>
      </c>
      <c r="U3762" s="10">
        <f>SUM(I3762:T3762)</f>
        <v/>
      </c>
    </row>
    <row r="3763">
      <c r="A3763" s="2" t="inlineStr">
        <is>
          <t>SN-3000-3300-3330-3330VN0006</t>
        </is>
      </c>
      <c r="B3763" s="2" t="inlineStr">
        <is>
          <t>3330VN0006</t>
        </is>
      </c>
      <c r="C3763" s="2" t="inlineStr">
        <is>
          <t>Colector polvo VN0006</t>
        </is>
      </c>
      <c r="D3763" s="2" t="n">
        <v>1254</v>
      </c>
      <c r="E3763" s="2" t="inlineStr">
        <is>
          <t>CC-3000</t>
        </is>
      </c>
      <c r="F3763" s="2" t="inlineStr">
        <is>
          <t>P01</t>
        </is>
      </c>
      <c r="G3763" s="2" t="n">
        <v>630000</v>
      </c>
      <c r="H3763" s="2" t="inlineStr">
        <is>
          <t>Servicios externos</t>
        </is>
      </c>
      <c r="I3763" s="9" t="n">
        <v>410.48</v>
      </c>
      <c r="J3763" s="9" t="n">
        <v>389.54</v>
      </c>
      <c r="K3763" s="9" t="n">
        <v>435.6</v>
      </c>
      <c r="L3763" s="9" t="n">
        <v>426.42</v>
      </c>
      <c r="M3763" s="9" t="n">
        <v>420.18</v>
      </c>
      <c r="N3763" s="9" t="n">
        <v>392.94</v>
      </c>
      <c r="O3763" s="9" t="n">
        <v>425.79</v>
      </c>
      <c r="P3763" s="9" t="n">
        <v>374.36</v>
      </c>
      <c r="Q3763" s="9" t="n">
        <v>384.01</v>
      </c>
      <c r="R3763" s="9" t="n">
        <v>404</v>
      </c>
      <c r="S3763" s="9" t="n">
        <v>403.66</v>
      </c>
      <c r="T3763" s="9" t="n">
        <v>415.32</v>
      </c>
      <c r="U3763" s="10">
        <f>SUM(I3763:T3763)</f>
        <v/>
      </c>
    </row>
    <row r="3764">
      <c r="A3764" s="2" t="inlineStr">
        <is>
          <t>SN-3000-3300-3330-3330XM0029</t>
        </is>
      </c>
      <c r="B3764" s="2" t="inlineStr">
        <is>
          <t>3330XM0029</t>
        </is>
      </c>
      <c r="C3764" s="2" t="inlineStr">
        <is>
          <t>Celosía XM0029</t>
        </is>
      </c>
      <c r="D3764" s="2" t="n">
        <v>1255</v>
      </c>
      <c r="E3764" s="2" t="inlineStr">
        <is>
          <t>CC-3000</t>
        </is>
      </c>
      <c r="F3764" s="2" t="inlineStr">
        <is>
          <t>P01</t>
        </is>
      </c>
      <c r="G3764" s="2" t="n">
        <v>610000</v>
      </c>
      <c r="H3764" s="2" t="inlineStr">
        <is>
          <t>Mano obra interna</t>
        </is>
      </c>
      <c r="I3764" s="9" t="n">
        <v>2566.51</v>
      </c>
      <c r="J3764" s="9" t="n">
        <v>2299.39</v>
      </c>
      <c r="K3764" s="9" t="n">
        <v>2407.04</v>
      </c>
      <c r="L3764" s="9" t="n">
        <v>2387.9</v>
      </c>
      <c r="M3764" s="9" t="n">
        <v>2442.86</v>
      </c>
      <c r="N3764" s="9" t="n">
        <v>2220.53</v>
      </c>
      <c r="O3764" s="9" t="n">
        <v>2327.63</v>
      </c>
      <c r="P3764" s="9" t="n">
        <v>2376.48</v>
      </c>
      <c r="Q3764" s="9" t="n">
        <v>2119.75</v>
      </c>
      <c r="R3764" s="9" t="n">
        <v>2573.15</v>
      </c>
      <c r="S3764" s="9" t="n">
        <v>2441.15</v>
      </c>
      <c r="T3764" s="9" t="n">
        <v>2552.36</v>
      </c>
      <c r="U3764" s="10">
        <f>SUM(I3764:T3764)</f>
        <v/>
      </c>
    </row>
    <row r="3765">
      <c r="A3765" s="2" t="inlineStr">
        <is>
          <t>SN-3000-3300-3330-3330XM0029</t>
        </is>
      </c>
      <c r="B3765" s="2" t="inlineStr">
        <is>
          <t>3330XM0029</t>
        </is>
      </c>
      <c r="C3765" s="2" t="inlineStr">
        <is>
          <t>Celosía XM0029</t>
        </is>
      </c>
      <c r="D3765" s="2" t="n">
        <v>1255</v>
      </c>
      <c r="E3765" s="2" t="inlineStr">
        <is>
          <t>CC-3000</t>
        </is>
      </c>
      <c r="F3765" s="2" t="inlineStr">
        <is>
          <t>P01</t>
        </is>
      </c>
      <c r="G3765" s="2" t="n">
        <v>620000</v>
      </c>
      <c r="H3765" s="2" t="inlineStr">
        <is>
          <t>Materiales</t>
        </is>
      </c>
      <c r="I3765" s="9" t="n">
        <v>2943.05</v>
      </c>
      <c r="J3765" s="9" t="n">
        <v>3200.13</v>
      </c>
      <c r="K3765" s="9" t="n">
        <v>3111.78</v>
      </c>
      <c r="L3765" s="9" t="n">
        <v>3080.74</v>
      </c>
      <c r="M3765" s="9" t="n">
        <v>2964.53</v>
      </c>
      <c r="N3765" s="9" t="n">
        <v>2758.7</v>
      </c>
      <c r="O3765" s="9" t="n">
        <v>3060.6</v>
      </c>
      <c r="P3765" s="9" t="n">
        <v>3208.53</v>
      </c>
      <c r="Q3765" s="9" t="n">
        <v>3029.24</v>
      </c>
      <c r="R3765" s="9" t="n">
        <v>3555.7</v>
      </c>
      <c r="S3765" s="9" t="n">
        <v>3107.39</v>
      </c>
      <c r="T3765" s="9" t="n">
        <v>3176.71</v>
      </c>
      <c r="U3765" s="10">
        <f>SUM(I3765:T3765)</f>
        <v/>
      </c>
    </row>
    <row r="3766">
      <c r="A3766" s="2" t="inlineStr">
        <is>
          <t>SN-3000-3300-3330-3330XM0029</t>
        </is>
      </c>
      <c r="B3766" s="2" t="inlineStr">
        <is>
          <t>3330XM0029</t>
        </is>
      </c>
      <c r="C3766" s="2" t="inlineStr">
        <is>
          <t>Celosía XM0029</t>
        </is>
      </c>
      <c r="D3766" s="2" t="n">
        <v>1255</v>
      </c>
      <c r="E3766" s="2" t="inlineStr">
        <is>
          <t>CC-3000</t>
        </is>
      </c>
      <c r="F3766" s="2" t="inlineStr">
        <is>
          <t>P01</t>
        </is>
      </c>
      <c r="G3766" s="2" t="n">
        <v>630000</v>
      </c>
      <c r="H3766" s="2" t="inlineStr">
        <is>
          <t>Servicios externos</t>
        </is>
      </c>
      <c r="I3766" s="9" t="n">
        <v>2900.74</v>
      </c>
      <c r="J3766" s="9" t="n">
        <v>2741.29</v>
      </c>
      <c r="K3766" s="9" t="n">
        <v>2615.64</v>
      </c>
      <c r="L3766" s="9" t="n">
        <v>2819.83</v>
      </c>
      <c r="M3766" s="9" t="n">
        <v>2623.71</v>
      </c>
      <c r="N3766" s="9" t="n">
        <v>2602.22</v>
      </c>
      <c r="O3766" s="9" t="n">
        <v>2852.86</v>
      </c>
      <c r="P3766" s="9" t="n">
        <v>2744.1</v>
      </c>
      <c r="Q3766" s="9" t="n">
        <v>2670.58</v>
      </c>
      <c r="R3766" s="9" t="n">
        <v>3060.41</v>
      </c>
      <c r="S3766" s="9" t="n">
        <v>2441.01</v>
      </c>
      <c r="T3766" s="9" t="n">
        <v>2507.94</v>
      </c>
      <c r="U3766" s="10">
        <f>SUM(I3766:T3766)</f>
        <v/>
      </c>
    </row>
    <row r="3767">
      <c r="A3767" s="2" t="inlineStr">
        <is>
          <t>SN-3000-3300-3330-3330XM0030</t>
        </is>
      </c>
      <c r="B3767" s="2" t="inlineStr">
        <is>
          <t>3330XM0030</t>
        </is>
      </c>
      <c r="C3767" s="2" t="inlineStr">
        <is>
          <t>Celosía XM0030</t>
        </is>
      </c>
      <c r="D3767" s="2" t="n">
        <v>1256</v>
      </c>
      <c r="E3767" s="2" t="inlineStr">
        <is>
          <t>CC-3000</t>
        </is>
      </c>
      <c r="F3767" s="2" t="inlineStr">
        <is>
          <t>P01</t>
        </is>
      </c>
      <c r="G3767" s="2" t="n">
        <v>610000</v>
      </c>
      <c r="H3767" s="2" t="inlineStr">
        <is>
          <t>Mano obra interna</t>
        </is>
      </c>
      <c r="I3767" s="9" t="n">
        <v>859.46</v>
      </c>
      <c r="J3767" s="9" t="n">
        <v>749.55</v>
      </c>
      <c r="K3767" s="9" t="n">
        <v>845.72</v>
      </c>
      <c r="L3767" s="9" t="n">
        <v>809.83</v>
      </c>
      <c r="M3767" s="9" t="n">
        <v>818.1900000000001</v>
      </c>
      <c r="N3767" s="9" t="n">
        <v>719.71</v>
      </c>
      <c r="O3767" s="9" t="n">
        <v>762.5599999999999</v>
      </c>
      <c r="P3767" s="9" t="n">
        <v>762.08</v>
      </c>
      <c r="Q3767" s="9" t="n">
        <v>746.1799999999999</v>
      </c>
      <c r="R3767" s="9" t="n">
        <v>828.9299999999999</v>
      </c>
      <c r="S3767" s="9" t="n">
        <v>808.42</v>
      </c>
      <c r="T3767" s="9" t="n">
        <v>787.4400000000001</v>
      </c>
      <c r="U3767" s="10">
        <f>SUM(I3767:T3767)</f>
        <v/>
      </c>
    </row>
    <row r="3768">
      <c r="A3768" s="2" t="inlineStr">
        <is>
          <t>SN-3000-3300-3330-3330XM0030</t>
        </is>
      </c>
      <c r="B3768" s="2" t="inlineStr">
        <is>
          <t>3330XM0030</t>
        </is>
      </c>
      <c r="C3768" s="2" t="inlineStr">
        <is>
          <t>Celosía XM0030</t>
        </is>
      </c>
      <c r="D3768" s="2" t="n">
        <v>1256</v>
      </c>
      <c r="E3768" s="2" t="inlineStr">
        <is>
          <t>CC-3000</t>
        </is>
      </c>
      <c r="F3768" s="2" t="inlineStr">
        <is>
          <t>P01</t>
        </is>
      </c>
      <c r="G3768" s="2" t="n">
        <v>620000</v>
      </c>
      <c r="H3768" s="2" t="inlineStr">
        <is>
          <t>Materiales</t>
        </is>
      </c>
      <c r="I3768" s="9" t="n">
        <v>920.77</v>
      </c>
      <c r="J3768" s="9" t="n">
        <v>843.01</v>
      </c>
      <c r="K3768" s="9" t="n">
        <v>832.39</v>
      </c>
      <c r="L3768" s="9" t="n">
        <v>905.61</v>
      </c>
      <c r="M3768" s="9" t="n">
        <v>767.91</v>
      </c>
      <c r="N3768" s="9" t="n">
        <v>773.26</v>
      </c>
      <c r="O3768" s="9" t="n">
        <v>826.8</v>
      </c>
      <c r="P3768" s="9" t="n">
        <v>800.04</v>
      </c>
      <c r="Q3768" s="9" t="n">
        <v>796.4400000000001</v>
      </c>
      <c r="R3768" s="9" t="n">
        <v>916</v>
      </c>
      <c r="S3768" s="9" t="n">
        <v>802.51</v>
      </c>
      <c r="T3768" s="9" t="n">
        <v>825.97</v>
      </c>
      <c r="U3768" s="10">
        <f>SUM(I3768:T3768)</f>
        <v/>
      </c>
    </row>
    <row r="3769">
      <c r="A3769" s="2" t="inlineStr">
        <is>
          <t>SN-3000-3300-3330-3330XM0030</t>
        </is>
      </c>
      <c r="B3769" s="2" t="inlineStr">
        <is>
          <t>3330XM0030</t>
        </is>
      </c>
      <c r="C3769" s="2" t="inlineStr">
        <is>
          <t>Celosía XM0030</t>
        </is>
      </c>
      <c r="D3769" s="2" t="n">
        <v>1256</v>
      </c>
      <c r="E3769" s="2" t="inlineStr">
        <is>
          <t>CC-3000</t>
        </is>
      </c>
      <c r="F3769" s="2" t="inlineStr">
        <is>
          <t>P01</t>
        </is>
      </c>
      <c r="G3769" s="2" t="n">
        <v>630000</v>
      </c>
      <c r="H3769" s="2" t="inlineStr">
        <is>
          <t>Servicios externos</t>
        </is>
      </c>
      <c r="I3769" s="9" t="n">
        <v>775.15</v>
      </c>
      <c r="J3769" s="9" t="n">
        <v>739.17</v>
      </c>
      <c r="K3769" s="9" t="n">
        <v>791.14</v>
      </c>
      <c r="L3769" s="9" t="n">
        <v>816.03</v>
      </c>
      <c r="M3769" s="9" t="n">
        <v>795.9</v>
      </c>
      <c r="N3769" s="9" t="n">
        <v>726.7</v>
      </c>
      <c r="O3769" s="9" t="n">
        <v>842.1799999999999</v>
      </c>
      <c r="P3769" s="9" t="n">
        <v>755.08</v>
      </c>
      <c r="Q3769" s="9" t="n">
        <v>756.08</v>
      </c>
      <c r="R3769" s="9" t="n">
        <v>790.4400000000001</v>
      </c>
      <c r="S3769" s="9" t="n">
        <v>780.53</v>
      </c>
      <c r="T3769" s="9" t="n">
        <v>792.12</v>
      </c>
      <c r="U3769" s="10">
        <f>SUM(I3769:T3769)</f>
        <v/>
      </c>
    </row>
    <row r="3770">
      <c r="A3770" s="2" t="inlineStr">
        <is>
          <t>SN-3000-3300-3330-3330XM0042</t>
        </is>
      </c>
      <c r="B3770" s="2" t="inlineStr">
        <is>
          <t>3330XM0042</t>
        </is>
      </c>
      <c r="C3770" s="2" t="inlineStr">
        <is>
          <t>Celosía XM0042</t>
        </is>
      </c>
      <c r="D3770" s="2" t="n">
        <v>1257</v>
      </c>
      <c r="E3770" s="2" t="inlineStr">
        <is>
          <t>CC-3000</t>
        </is>
      </c>
      <c r="F3770" s="2" t="inlineStr">
        <is>
          <t>P01</t>
        </is>
      </c>
      <c r="G3770" s="2" t="n">
        <v>610000</v>
      </c>
      <c r="H3770" s="2" t="inlineStr">
        <is>
          <t>Mano obra interna</t>
        </is>
      </c>
      <c r="I3770" s="9" t="n">
        <v>911.73</v>
      </c>
      <c r="J3770" s="9" t="n">
        <v>916.5700000000001</v>
      </c>
      <c r="K3770" s="9" t="n">
        <v>1011.77</v>
      </c>
      <c r="L3770" s="9" t="n">
        <v>1002.48</v>
      </c>
      <c r="M3770" s="9" t="n">
        <v>891.84</v>
      </c>
      <c r="N3770" s="9" t="n">
        <v>878.12</v>
      </c>
      <c r="O3770" s="9" t="n">
        <v>866.37</v>
      </c>
      <c r="P3770" s="9" t="n">
        <v>878.29</v>
      </c>
      <c r="Q3770" s="9" t="n">
        <v>823.34</v>
      </c>
      <c r="R3770" s="9" t="n">
        <v>980.9400000000001</v>
      </c>
      <c r="S3770" s="9" t="n">
        <v>948.36</v>
      </c>
      <c r="T3770" s="9" t="n">
        <v>956.1900000000001</v>
      </c>
      <c r="U3770" s="10">
        <f>SUM(I3770:T3770)</f>
        <v/>
      </c>
    </row>
    <row r="3771">
      <c r="A3771" s="2" t="inlineStr">
        <is>
          <t>SN-3000-3300-3330-3330XM0042</t>
        </is>
      </c>
      <c r="B3771" s="2" t="inlineStr">
        <is>
          <t>3330XM0042</t>
        </is>
      </c>
      <c r="C3771" s="2" t="inlineStr">
        <is>
          <t>Celosía XM0042</t>
        </is>
      </c>
      <c r="D3771" s="2" t="n">
        <v>1257</v>
      </c>
      <c r="E3771" s="2" t="inlineStr">
        <is>
          <t>CC-3000</t>
        </is>
      </c>
      <c r="F3771" s="2" t="inlineStr">
        <is>
          <t>P01</t>
        </is>
      </c>
      <c r="G3771" s="2" t="n">
        <v>620000</v>
      </c>
      <c r="H3771" s="2" t="inlineStr">
        <is>
          <t>Materiales</t>
        </is>
      </c>
      <c r="I3771" s="9" t="n">
        <v>998.84</v>
      </c>
      <c r="J3771" s="9" t="n">
        <v>938.77</v>
      </c>
      <c r="K3771" s="9" t="n">
        <v>969.8200000000001</v>
      </c>
      <c r="L3771" s="9" t="n">
        <v>1027.13</v>
      </c>
      <c r="M3771" s="9" t="n">
        <v>940.6900000000001</v>
      </c>
      <c r="N3771" s="9" t="n">
        <v>896.33</v>
      </c>
      <c r="O3771" s="9" t="n">
        <v>996.0700000000001</v>
      </c>
      <c r="P3771" s="9" t="n">
        <v>874.98</v>
      </c>
      <c r="Q3771" s="9" t="n">
        <v>896.96</v>
      </c>
      <c r="R3771" s="9" t="n">
        <v>951.0599999999999</v>
      </c>
      <c r="S3771" s="9" t="n">
        <v>956.65</v>
      </c>
      <c r="T3771" s="9" t="n">
        <v>998.73</v>
      </c>
      <c r="U3771" s="10">
        <f>SUM(I3771:T3771)</f>
        <v/>
      </c>
    </row>
    <row r="3772">
      <c r="A3772" s="2" t="inlineStr">
        <is>
          <t>SN-3000-3300-3330-3330XM0042</t>
        </is>
      </c>
      <c r="B3772" s="2" t="inlineStr">
        <is>
          <t>3330XM0042</t>
        </is>
      </c>
      <c r="C3772" s="2" t="inlineStr">
        <is>
          <t>Celosía XM0042</t>
        </is>
      </c>
      <c r="D3772" s="2" t="n">
        <v>1257</v>
      </c>
      <c r="E3772" s="2" t="inlineStr">
        <is>
          <t>CC-3000</t>
        </is>
      </c>
      <c r="F3772" s="2" t="inlineStr">
        <is>
          <t>P01</t>
        </is>
      </c>
      <c r="G3772" s="2" t="n">
        <v>630000</v>
      </c>
      <c r="H3772" s="2" t="inlineStr">
        <is>
          <t>Servicios externos</t>
        </is>
      </c>
      <c r="I3772" s="9" t="n">
        <v>910.27</v>
      </c>
      <c r="J3772" s="9" t="n">
        <v>893.47</v>
      </c>
      <c r="K3772" s="9" t="n">
        <v>894.4</v>
      </c>
      <c r="L3772" s="9" t="n">
        <v>946.16</v>
      </c>
      <c r="M3772" s="9" t="n">
        <v>851.63</v>
      </c>
      <c r="N3772" s="9" t="n">
        <v>883.23</v>
      </c>
      <c r="O3772" s="9" t="n">
        <v>881.2</v>
      </c>
      <c r="P3772" s="9" t="n">
        <v>858.39</v>
      </c>
      <c r="Q3772" s="9" t="n">
        <v>744.99</v>
      </c>
      <c r="R3772" s="9" t="n">
        <v>906.8</v>
      </c>
      <c r="S3772" s="9" t="n">
        <v>891.0599999999999</v>
      </c>
      <c r="T3772" s="9" t="n">
        <v>872.13</v>
      </c>
      <c r="U3772" s="10">
        <f>SUM(I3772:T3772)</f>
        <v/>
      </c>
    </row>
    <row r="3773">
      <c r="A3773" s="2" t="inlineStr">
        <is>
          <t>SN-3000-3300-3330-3330XM0043</t>
        </is>
      </c>
      <c r="B3773" s="2" t="inlineStr">
        <is>
          <t>3330XM0043</t>
        </is>
      </c>
      <c r="C3773" s="2" t="inlineStr">
        <is>
          <t>Celosía XM0043</t>
        </is>
      </c>
      <c r="D3773" s="2" t="n">
        <v>1258</v>
      </c>
      <c r="E3773" s="2" t="inlineStr">
        <is>
          <t>CC-3000</t>
        </is>
      </c>
      <c r="F3773" s="2" t="inlineStr">
        <is>
          <t>P01</t>
        </is>
      </c>
      <c r="G3773" s="2" t="n">
        <v>610000</v>
      </c>
      <c r="H3773" s="2" t="inlineStr">
        <is>
          <t>Mano obra interna</t>
        </is>
      </c>
      <c r="I3773" s="9" t="n">
        <v>277.13</v>
      </c>
      <c r="J3773" s="9" t="n">
        <v>258.66</v>
      </c>
      <c r="K3773" s="9" t="n">
        <v>280.16</v>
      </c>
      <c r="L3773" s="9" t="n">
        <v>272.41</v>
      </c>
      <c r="M3773" s="9" t="n">
        <v>286.75</v>
      </c>
      <c r="N3773" s="9" t="n">
        <v>262.65</v>
      </c>
      <c r="O3773" s="9" t="n">
        <v>286.61</v>
      </c>
      <c r="P3773" s="9" t="n">
        <v>279.86</v>
      </c>
      <c r="Q3773" s="9" t="n">
        <v>241.5</v>
      </c>
      <c r="R3773" s="9" t="n">
        <v>310.52</v>
      </c>
      <c r="S3773" s="9" t="n">
        <v>245.87</v>
      </c>
      <c r="T3773" s="9" t="n">
        <v>273.71</v>
      </c>
      <c r="U3773" s="10">
        <f>SUM(I3773:T3773)</f>
        <v/>
      </c>
    </row>
    <row r="3774">
      <c r="A3774" s="2" t="inlineStr">
        <is>
          <t>SN-3000-3300-3330-3330XM0043</t>
        </is>
      </c>
      <c r="B3774" s="2" t="inlineStr">
        <is>
          <t>3330XM0043</t>
        </is>
      </c>
      <c r="C3774" s="2" t="inlineStr">
        <is>
          <t>Celosía XM0043</t>
        </is>
      </c>
      <c r="D3774" s="2" t="n">
        <v>1258</v>
      </c>
      <c r="E3774" s="2" t="inlineStr">
        <is>
          <t>CC-3000</t>
        </is>
      </c>
      <c r="F3774" s="2" t="inlineStr">
        <is>
          <t>P01</t>
        </is>
      </c>
      <c r="G3774" s="2" t="n">
        <v>620000</v>
      </c>
      <c r="H3774" s="2" t="inlineStr">
        <is>
          <t>Materiales</t>
        </is>
      </c>
      <c r="I3774" s="9" t="n">
        <v>256.63</v>
      </c>
      <c r="J3774" s="9" t="n">
        <v>238.23</v>
      </c>
      <c r="K3774" s="9" t="n">
        <v>266.99</v>
      </c>
      <c r="L3774" s="9" t="n">
        <v>273.25</v>
      </c>
      <c r="M3774" s="9" t="n">
        <v>255.58</v>
      </c>
      <c r="N3774" s="9" t="n">
        <v>233.38</v>
      </c>
      <c r="O3774" s="9" t="n">
        <v>254.01</v>
      </c>
      <c r="P3774" s="9" t="n">
        <v>265.23</v>
      </c>
      <c r="Q3774" s="9" t="n">
        <v>224.06</v>
      </c>
      <c r="R3774" s="9" t="n">
        <v>253.02</v>
      </c>
      <c r="S3774" s="9" t="n">
        <v>227.62</v>
      </c>
      <c r="T3774" s="9" t="n">
        <v>253.39</v>
      </c>
      <c r="U3774" s="10">
        <f>SUM(I3774:T3774)</f>
        <v/>
      </c>
    </row>
    <row r="3775">
      <c r="A3775" s="2" t="inlineStr">
        <is>
          <t>SN-3000-3300-3330-3330XM0043</t>
        </is>
      </c>
      <c r="B3775" s="2" t="inlineStr">
        <is>
          <t>3330XM0043</t>
        </is>
      </c>
      <c r="C3775" s="2" t="inlineStr">
        <is>
          <t>Celosía XM0043</t>
        </is>
      </c>
      <c r="D3775" s="2" t="n">
        <v>1258</v>
      </c>
      <c r="E3775" s="2" t="inlineStr">
        <is>
          <t>CC-3000</t>
        </is>
      </c>
      <c r="F3775" s="2" t="inlineStr">
        <is>
          <t>P01</t>
        </is>
      </c>
      <c r="G3775" s="2" t="n">
        <v>630000</v>
      </c>
      <c r="H3775" s="2" t="inlineStr">
        <is>
          <t>Servicios externos</t>
        </is>
      </c>
      <c r="I3775" s="9" t="n">
        <v>304.31</v>
      </c>
      <c r="J3775" s="9" t="n">
        <v>284.26</v>
      </c>
      <c r="K3775" s="9" t="n">
        <v>310.99</v>
      </c>
      <c r="L3775" s="9" t="n">
        <v>303.56</v>
      </c>
      <c r="M3775" s="9" t="n">
        <v>293.68</v>
      </c>
      <c r="N3775" s="9" t="n">
        <v>264.77</v>
      </c>
      <c r="O3775" s="9" t="n">
        <v>282.19</v>
      </c>
      <c r="P3775" s="9" t="n">
        <v>283.33</v>
      </c>
      <c r="Q3775" s="9" t="n">
        <v>284.03</v>
      </c>
      <c r="R3775" s="9" t="n">
        <v>327.39</v>
      </c>
      <c r="S3775" s="9" t="n">
        <v>270.35</v>
      </c>
      <c r="T3775" s="9" t="n">
        <v>274.09</v>
      </c>
      <c r="U3775" s="10">
        <f>SUM(I3775:T3775)</f>
        <v/>
      </c>
    </row>
    <row r="3776">
      <c r="A3776" s="2" t="inlineStr">
        <is>
          <t>SN-3000-3300-3330-3330XM0107</t>
        </is>
      </c>
      <c r="B3776" s="2" t="inlineStr">
        <is>
          <t>3330XM0107</t>
        </is>
      </c>
      <c r="C3776" s="2" t="inlineStr">
        <is>
          <t>Celosía XM0107</t>
        </is>
      </c>
      <c r="D3776" s="2" t="n">
        <v>1259</v>
      </c>
      <c r="E3776" s="2" t="inlineStr">
        <is>
          <t>CC-3000</t>
        </is>
      </c>
      <c r="F3776" s="2" t="inlineStr">
        <is>
          <t>P01</t>
        </is>
      </c>
      <c r="G3776" s="2" t="n">
        <v>610000</v>
      </c>
      <c r="H3776" s="2" t="inlineStr">
        <is>
          <t>Mano obra interna</t>
        </is>
      </c>
      <c r="I3776" s="9" t="n">
        <v>1591.96</v>
      </c>
      <c r="J3776" s="9" t="n">
        <v>1488.45</v>
      </c>
      <c r="K3776" s="9" t="n">
        <v>1532.31</v>
      </c>
      <c r="L3776" s="9" t="n">
        <v>1491.09</v>
      </c>
      <c r="M3776" s="9" t="n">
        <v>1547.79</v>
      </c>
      <c r="N3776" s="9" t="n">
        <v>1473.97</v>
      </c>
      <c r="O3776" s="9" t="n">
        <v>1632.75</v>
      </c>
      <c r="P3776" s="9" t="n">
        <v>1701.67</v>
      </c>
      <c r="Q3776" s="9" t="n">
        <v>1403.8</v>
      </c>
      <c r="R3776" s="9" t="n">
        <v>1636.2</v>
      </c>
      <c r="S3776" s="9" t="n">
        <v>1491.86</v>
      </c>
      <c r="T3776" s="9" t="n">
        <v>1597.01</v>
      </c>
      <c r="U3776" s="10">
        <f>SUM(I3776:T3776)</f>
        <v/>
      </c>
    </row>
    <row r="3777">
      <c r="A3777" s="2" t="inlineStr">
        <is>
          <t>SN-3000-3300-3330-3330XM0107</t>
        </is>
      </c>
      <c r="B3777" s="2" t="inlineStr">
        <is>
          <t>3330XM0107</t>
        </is>
      </c>
      <c r="C3777" s="2" t="inlineStr">
        <is>
          <t>Celosía XM0107</t>
        </is>
      </c>
      <c r="D3777" s="2" t="n">
        <v>1259</v>
      </c>
      <c r="E3777" s="2" t="inlineStr">
        <is>
          <t>CC-3000</t>
        </is>
      </c>
      <c r="F3777" s="2" t="inlineStr">
        <is>
          <t>P01</t>
        </is>
      </c>
      <c r="G3777" s="2" t="n">
        <v>620000</v>
      </c>
      <c r="H3777" s="2" t="inlineStr">
        <is>
          <t>Materiales</t>
        </is>
      </c>
      <c r="I3777" s="9" t="n">
        <v>1482.39</v>
      </c>
      <c r="J3777" s="9" t="n">
        <v>1372.05</v>
      </c>
      <c r="K3777" s="9" t="n">
        <v>1590.95</v>
      </c>
      <c r="L3777" s="9" t="n">
        <v>1591.79</v>
      </c>
      <c r="M3777" s="9" t="n">
        <v>1412.52</v>
      </c>
      <c r="N3777" s="9" t="n">
        <v>1339.35</v>
      </c>
      <c r="O3777" s="9" t="n">
        <v>1494.63</v>
      </c>
      <c r="P3777" s="9" t="n">
        <v>1416.86</v>
      </c>
      <c r="Q3777" s="9" t="n">
        <v>1356.65</v>
      </c>
      <c r="R3777" s="9" t="n">
        <v>1675.16</v>
      </c>
      <c r="S3777" s="9" t="n">
        <v>1375.24</v>
      </c>
      <c r="T3777" s="9" t="n">
        <v>1583.38</v>
      </c>
      <c r="U3777" s="10">
        <f>SUM(I3777:T3777)</f>
        <v/>
      </c>
    </row>
    <row r="3778">
      <c r="A3778" s="2" t="inlineStr">
        <is>
          <t>SN-3000-3300-3330-3330XM0107</t>
        </is>
      </c>
      <c r="B3778" s="2" t="inlineStr">
        <is>
          <t>3330XM0107</t>
        </is>
      </c>
      <c r="C3778" s="2" t="inlineStr">
        <is>
          <t>Celosía XM0107</t>
        </is>
      </c>
      <c r="D3778" s="2" t="n">
        <v>1259</v>
      </c>
      <c r="E3778" s="2" t="inlineStr">
        <is>
          <t>CC-3000</t>
        </is>
      </c>
      <c r="F3778" s="2" t="inlineStr">
        <is>
          <t>P01</t>
        </is>
      </c>
      <c r="G3778" s="2" t="n">
        <v>630000</v>
      </c>
      <c r="H3778" s="2" t="inlineStr">
        <is>
          <t>Servicios externos</t>
        </is>
      </c>
      <c r="I3778" s="9" t="n">
        <v>1432.82</v>
      </c>
      <c r="J3778" s="9" t="n">
        <v>1453.32</v>
      </c>
      <c r="K3778" s="9" t="n">
        <v>1543.62</v>
      </c>
      <c r="L3778" s="9" t="n">
        <v>1429.83</v>
      </c>
      <c r="M3778" s="9" t="n">
        <v>1371.64</v>
      </c>
      <c r="N3778" s="9" t="n">
        <v>1411.9</v>
      </c>
      <c r="O3778" s="9" t="n">
        <v>1515.71</v>
      </c>
      <c r="P3778" s="9" t="n">
        <v>1460.15</v>
      </c>
      <c r="Q3778" s="9" t="n">
        <v>1273.78</v>
      </c>
      <c r="R3778" s="9" t="n">
        <v>1692.51</v>
      </c>
      <c r="S3778" s="9" t="n">
        <v>1466.9</v>
      </c>
      <c r="T3778" s="9" t="n">
        <v>1520.19</v>
      </c>
      <c r="U3778" s="10">
        <f>SUM(I3778:T3778)</f>
        <v/>
      </c>
    </row>
    <row r="3779">
      <c r="A3779" s="2" t="inlineStr">
        <is>
          <t>SN-3000-3300-3330-3330XM0108</t>
        </is>
      </c>
      <c r="B3779" s="2" t="inlineStr">
        <is>
          <t>3330XM0108</t>
        </is>
      </c>
      <c r="C3779" s="2" t="inlineStr">
        <is>
          <t>Celosía XM0108</t>
        </is>
      </c>
      <c r="D3779" s="2" t="n">
        <v>1260</v>
      </c>
      <c r="E3779" s="2" t="inlineStr">
        <is>
          <t>CC-3000</t>
        </is>
      </c>
      <c r="F3779" s="2" t="inlineStr">
        <is>
          <t>P01</t>
        </is>
      </c>
      <c r="G3779" s="2" t="n">
        <v>610000</v>
      </c>
      <c r="H3779" s="2" t="inlineStr">
        <is>
          <t>Mano obra interna</t>
        </is>
      </c>
      <c r="I3779" s="9" t="n">
        <v>731.79</v>
      </c>
      <c r="J3779" s="9" t="n">
        <v>773.26</v>
      </c>
      <c r="K3779" s="9" t="n">
        <v>707.55</v>
      </c>
      <c r="L3779" s="9" t="n">
        <v>773.23</v>
      </c>
      <c r="M3779" s="9" t="n">
        <v>712</v>
      </c>
      <c r="N3779" s="9" t="n">
        <v>739.14</v>
      </c>
      <c r="O3779" s="9" t="n">
        <v>754.34</v>
      </c>
      <c r="P3779" s="9" t="n">
        <v>735.38</v>
      </c>
      <c r="Q3779" s="9" t="n">
        <v>725.8</v>
      </c>
      <c r="R3779" s="9" t="n">
        <v>837.67</v>
      </c>
      <c r="S3779" s="9" t="n">
        <v>654.87</v>
      </c>
      <c r="T3779" s="9" t="n">
        <v>703.12</v>
      </c>
      <c r="U3779" s="10">
        <f>SUM(I3779:T3779)</f>
        <v/>
      </c>
    </row>
    <row r="3780">
      <c r="A3780" s="2" t="inlineStr">
        <is>
          <t>SN-3000-3300-3330-3330XM0108</t>
        </is>
      </c>
      <c r="B3780" s="2" t="inlineStr">
        <is>
          <t>3330XM0108</t>
        </is>
      </c>
      <c r="C3780" s="2" t="inlineStr">
        <is>
          <t>Celosía XM0108</t>
        </is>
      </c>
      <c r="D3780" s="2" t="n">
        <v>1260</v>
      </c>
      <c r="E3780" s="2" t="inlineStr">
        <is>
          <t>CC-3000</t>
        </is>
      </c>
      <c r="F3780" s="2" t="inlineStr">
        <is>
          <t>P01</t>
        </is>
      </c>
      <c r="G3780" s="2" t="n">
        <v>620000</v>
      </c>
      <c r="H3780" s="2" t="inlineStr">
        <is>
          <t>Materiales</t>
        </is>
      </c>
      <c r="I3780" s="9" t="n">
        <v>790.08</v>
      </c>
      <c r="J3780" s="9" t="n">
        <v>706.0700000000001</v>
      </c>
      <c r="K3780" s="9" t="n">
        <v>692.7</v>
      </c>
      <c r="L3780" s="9" t="n">
        <v>757.98</v>
      </c>
      <c r="M3780" s="9" t="n">
        <v>682.46</v>
      </c>
      <c r="N3780" s="9" t="n">
        <v>698.96</v>
      </c>
      <c r="O3780" s="9" t="n">
        <v>711.96</v>
      </c>
      <c r="P3780" s="9" t="n">
        <v>731.2</v>
      </c>
      <c r="Q3780" s="9" t="n">
        <v>721.59</v>
      </c>
      <c r="R3780" s="9" t="n">
        <v>780.09</v>
      </c>
      <c r="S3780" s="9" t="n">
        <v>649.59</v>
      </c>
      <c r="T3780" s="9" t="n">
        <v>745.3</v>
      </c>
      <c r="U3780" s="10">
        <f>SUM(I3780:T3780)</f>
        <v/>
      </c>
    </row>
    <row r="3781">
      <c r="A3781" s="2" t="inlineStr">
        <is>
          <t>SN-3000-3300-3330-3330XM0108</t>
        </is>
      </c>
      <c r="B3781" s="2" t="inlineStr">
        <is>
          <t>3330XM0108</t>
        </is>
      </c>
      <c r="C3781" s="2" t="inlineStr">
        <is>
          <t>Celosía XM0108</t>
        </is>
      </c>
      <c r="D3781" s="2" t="n">
        <v>1260</v>
      </c>
      <c r="E3781" s="2" t="inlineStr">
        <is>
          <t>CC-3000</t>
        </is>
      </c>
      <c r="F3781" s="2" t="inlineStr">
        <is>
          <t>P01</t>
        </is>
      </c>
      <c r="G3781" s="2" t="n">
        <v>630000</v>
      </c>
      <c r="H3781" s="2" t="inlineStr">
        <is>
          <t>Servicios externos</t>
        </is>
      </c>
      <c r="I3781" s="9" t="n">
        <v>693.75</v>
      </c>
      <c r="J3781" s="9" t="n">
        <v>637.6900000000001</v>
      </c>
      <c r="K3781" s="9" t="n">
        <v>697.14</v>
      </c>
      <c r="L3781" s="9" t="n">
        <v>708.47</v>
      </c>
      <c r="M3781" s="9" t="n">
        <v>629.71</v>
      </c>
      <c r="N3781" s="9" t="n">
        <v>670.75</v>
      </c>
      <c r="O3781" s="9" t="n">
        <v>614.45</v>
      </c>
      <c r="P3781" s="9" t="n">
        <v>665.11</v>
      </c>
      <c r="Q3781" s="9" t="n">
        <v>560.5700000000001</v>
      </c>
      <c r="R3781" s="9" t="n">
        <v>669.4400000000001</v>
      </c>
      <c r="S3781" s="9" t="n">
        <v>643.33</v>
      </c>
      <c r="T3781" s="9" t="n">
        <v>612.35</v>
      </c>
      <c r="U3781" s="10">
        <f>SUM(I3781:T3781)</f>
        <v/>
      </c>
    </row>
    <row r="3782">
      <c r="A3782" s="2" t="inlineStr">
        <is>
          <t>SN-3000-3300-3330-3330XM0109</t>
        </is>
      </c>
      <c r="B3782" s="2" t="inlineStr">
        <is>
          <t>3330XM0109</t>
        </is>
      </c>
      <c r="C3782" s="2" t="inlineStr">
        <is>
          <t>Celosía XM0109</t>
        </is>
      </c>
      <c r="D3782" s="2" t="n">
        <v>1261</v>
      </c>
      <c r="E3782" s="2" t="inlineStr">
        <is>
          <t>CC-3000</t>
        </is>
      </c>
      <c r="F3782" s="2" t="inlineStr">
        <is>
          <t>P01</t>
        </is>
      </c>
      <c r="G3782" s="2" t="n">
        <v>610000</v>
      </c>
      <c r="H3782" s="2" t="inlineStr">
        <is>
          <t>Mano obra interna</t>
        </is>
      </c>
      <c r="I3782" s="9" t="n">
        <v>1163.7</v>
      </c>
      <c r="J3782" s="9" t="n">
        <v>1175.57</v>
      </c>
      <c r="K3782" s="9" t="n">
        <v>1122.47</v>
      </c>
      <c r="L3782" s="9" t="n">
        <v>1201.97</v>
      </c>
      <c r="M3782" s="9" t="n">
        <v>1190.66</v>
      </c>
      <c r="N3782" s="9" t="n">
        <v>1109.97</v>
      </c>
      <c r="O3782" s="9" t="n">
        <v>1098.28</v>
      </c>
      <c r="P3782" s="9" t="n">
        <v>1199.4</v>
      </c>
      <c r="Q3782" s="9" t="n">
        <v>1116.44</v>
      </c>
      <c r="R3782" s="9" t="n">
        <v>1273.1</v>
      </c>
      <c r="S3782" s="9" t="n">
        <v>1176.99</v>
      </c>
      <c r="T3782" s="9" t="n">
        <v>1140.93</v>
      </c>
      <c r="U3782" s="10">
        <f>SUM(I3782:T3782)</f>
        <v/>
      </c>
    </row>
    <row r="3783">
      <c r="A3783" s="2" t="inlineStr">
        <is>
          <t>SN-3000-3300-3330-3330XM0109</t>
        </is>
      </c>
      <c r="B3783" s="2" t="inlineStr">
        <is>
          <t>3330XM0109</t>
        </is>
      </c>
      <c r="C3783" s="2" t="inlineStr">
        <is>
          <t>Celosía XM0109</t>
        </is>
      </c>
      <c r="D3783" s="2" t="n">
        <v>1261</v>
      </c>
      <c r="E3783" s="2" t="inlineStr">
        <is>
          <t>CC-3000</t>
        </is>
      </c>
      <c r="F3783" s="2" t="inlineStr">
        <is>
          <t>P01</t>
        </is>
      </c>
      <c r="G3783" s="2" t="n">
        <v>620000</v>
      </c>
      <c r="H3783" s="2" t="inlineStr">
        <is>
          <t>Materiales</t>
        </is>
      </c>
      <c r="I3783" s="9" t="n">
        <v>1296.23</v>
      </c>
      <c r="J3783" s="9" t="n">
        <v>1299.45</v>
      </c>
      <c r="K3783" s="9" t="n">
        <v>1289.14</v>
      </c>
      <c r="L3783" s="9" t="n">
        <v>1442.14</v>
      </c>
      <c r="M3783" s="9" t="n">
        <v>1336.72</v>
      </c>
      <c r="N3783" s="9" t="n">
        <v>1380.24</v>
      </c>
      <c r="O3783" s="9" t="n">
        <v>1438.14</v>
      </c>
      <c r="P3783" s="9" t="n">
        <v>1448.49</v>
      </c>
      <c r="Q3783" s="9" t="n">
        <v>1169.96</v>
      </c>
      <c r="R3783" s="9" t="n">
        <v>1472.45</v>
      </c>
      <c r="S3783" s="9" t="n">
        <v>1280.39</v>
      </c>
      <c r="T3783" s="9" t="n">
        <v>1369.53</v>
      </c>
      <c r="U3783" s="10">
        <f>SUM(I3783:T3783)</f>
        <v/>
      </c>
    </row>
    <row r="3784">
      <c r="A3784" s="2" t="inlineStr">
        <is>
          <t>SN-3000-3300-3330-3330XM0109</t>
        </is>
      </c>
      <c r="B3784" s="2" t="inlineStr">
        <is>
          <t>3330XM0109</t>
        </is>
      </c>
      <c r="C3784" s="2" t="inlineStr">
        <is>
          <t>Celosía XM0109</t>
        </is>
      </c>
      <c r="D3784" s="2" t="n">
        <v>1261</v>
      </c>
      <c r="E3784" s="2" t="inlineStr">
        <is>
          <t>CC-3000</t>
        </is>
      </c>
      <c r="F3784" s="2" t="inlineStr">
        <is>
          <t>P01</t>
        </is>
      </c>
      <c r="G3784" s="2" t="n">
        <v>630000</v>
      </c>
      <c r="H3784" s="2" t="inlineStr">
        <is>
          <t>Servicios externos</t>
        </is>
      </c>
      <c r="I3784" s="9" t="n">
        <v>1122.97</v>
      </c>
      <c r="J3784" s="9" t="n">
        <v>1206.64</v>
      </c>
      <c r="K3784" s="9" t="n">
        <v>1314.47</v>
      </c>
      <c r="L3784" s="9" t="n">
        <v>1218.2</v>
      </c>
      <c r="M3784" s="9" t="n">
        <v>1141.52</v>
      </c>
      <c r="N3784" s="9" t="n">
        <v>1213.19</v>
      </c>
      <c r="O3784" s="9" t="n">
        <v>1160.63</v>
      </c>
      <c r="P3784" s="9" t="n">
        <v>1263.48</v>
      </c>
      <c r="Q3784" s="9" t="n">
        <v>1166.63</v>
      </c>
      <c r="R3784" s="9" t="n">
        <v>1284.65</v>
      </c>
      <c r="S3784" s="9" t="n">
        <v>1180.4</v>
      </c>
      <c r="T3784" s="9" t="n">
        <v>1241.96</v>
      </c>
      <c r="U3784" s="10">
        <f>SUM(I3784:T3784)</f>
        <v/>
      </c>
    </row>
    <row r="3785">
      <c r="A3785" s="2" t="inlineStr">
        <is>
          <t>SN-3000-3300-3330-3330XM0112</t>
        </is>
      </c>
      <c r="B3785" s="2" t="inlineStr">
        <is>
          <t>3330XM0112</t>
        </is>
      </c>
      <c r="C3785" s="2" t="inlineStr">
        <is>
          <t>Celosía XM0112</t>
        </is>
      </c>
      <c r="D3785" s="2" t="n">
        <v>1262</v>
      </c>
      <c r="E3785" s="2" t="inlineStr">
        <is>
          <t>CC-3000</t>
        </is>
      </c>
      <c r="F3785" s="2" t="inlineStr">
        <is>
          <t>P01</t>
        </is>
      </c>
      <c r="G3785" s="2" t="n">
        <v>610000</v>
      </c>
      <c r="H3785" s="2" t="inlineStr">
        <is>
          <t>Mano obra interna</t>
        </is>
      </c>
      <c r="I3785" s="9" t="n">
        <v>1864.36</v>
      </c>
      <c r="J3785" s="9" t="n">
        <v>1960.53</v>
      </c>
      <c r="K3785" s="9" t="n">
        <v>1833.86</v>
      </c>
      <c r="L3785" s="9" t="n">
        <v>2040.01</v>
      </c>
      <c r="M3785" s="9" t="n">
        <v>1927.9</v>
      </c>
      <c r="N3785" s="9" t="n">
        <v>1775.3</v>
      </c>
      <c r="O3785" s="9" t="n">
        <v>2025.88</v>
      </c>
      <c r="P3785" s="9" t="n">
        <v>1900.42</v>
      </c>
      <c r="Q3785" s="9" t="n">
        <v>1793.53</v>
      </c>
      <c r="R3785" s="9" t="n">
        <v>1925.17</v>
      </c>
      <c r="S3785" s="9" t="n">
        <v>1839.92</v>
      </c>
      <c r="T3785" s="9" t="n">
        <v>1855.48</v>
      </c>
      <c r="U3785" s="10">
        <f>SUM(I3785:T3785)</f>
        <v/>
      </c>
    </row>
    <row r="3786">
      <c r="A3786" s="2" t="inlineStr">
        <is>
          <t>SN-3000-3300-3330-3330XM0112</t>
        </is>
      </c>
      <c r="B3786" s="2" t="inlineStr">
        <is>
          <t>3330XM0112</t>
        </is>
      </c>
      <c r="C3786" s="2" t="inlineStr">
        <is>
          <t>Celosía XM0112</t>
        </is>
      </c>
      <c r="D3786" s="2" t="n">
        <v>1262</v>
      </c>
      <c r="E3786" s="2" t="inlineStr">
        <is>
          <t>CC-3000</t>
        </is>
      </c>
      <c r="F3786" s="2" t="inlineStr">
        <is>
          <t>P01</t>
        </is>
      </c>
      <c r="G3786" s="2" t="n">
        <v>620000</v>
      </c>
      <c r="H3786" s="2" t="inlineStr">
        <is>
          <t>Materiales</t>
        </is>
      </c>
      <c r="I3786" s="9" t="n">
        <v>1630.03</v>
      </c>
      <c r="J3786" s="9" t="n">
        <v>1518.57</v>
      </c>
      <c r="K3786" s="9" t="n">
        <v>1704.45</v>
      </c>
      <c r="L3786" s="9" t="n">
        <v>1705.48</v>
      </c>
      <c r="M3786" s="9" t="n">
        <v>1664.2</v>
      </c>
      <c r="N3786" s="9" t="n">
        <v>1580.03</v>
      </c>
      <c r="O3786" s="9" t="n">
        <v>1761.79</v>
      </c>
      <c r="P3786" s="9" t="n">
        <v>1538.54</v>
      </c>
      <c r="Q3786" s="9" t="n">
        <v>1575.94</v>
      </c>
      <c r="R3786" s="9" t="n">
        <v>1898.12</v>
      </c>
      <c r="S3786" s="9" t="n">
        <v>1491.39</v>
      </c>
      <c r="T3786" s="9" t="n">
        <v>1686.38</v>
      </c>
      <c r="U3786" s="10">
        <f>SUM(I3786:T3786)</f>
        <v/>
      </c>
    </row>
    <row r="3787">
      <c r="A3787" s="2" t="inlineStr">
        <is>
          <t>SN-3000-3300-3330-3330XM0112</t>
        </is>
      </c>
      <c r="B3787" s="2" t="inlineStr">
        <is>
          <t>3330XM0112</t>
        </is>
      </c>
      <c r="C3787" s="2" t="inlineStr">
        <is>
          <t>Celosía XM0112</t>
        </is>
      </c>
      <c r="D3787" s="2" t="n">
        <v>1262</v>
      </c>
      <c r="E3787" s="2" t="inlineStr">
        <is>
          <t>CC-3000</t>
        </is>
      </c>
      <c r="F3787" s="2" t="inlineStr">
        <is>
          <t>P01</t>
        </is>
      </c>
      <c r="G3787" s="2" t="n">
        <v>630000</v>
      </c>
      <c r="H3787" s="2" t="inlineStr">
        <is>
          <t>Servicios externos</t>
        </is>
      </c>
      <c r="I3787" s="9" t="n">
        <v>1755.97</v>
      </c>
      <c r="J3787" s="9" t="n">
        <v>1711.63</v>
      </c>
      <c r="K3787" s="9" t="n">
        <v>1952.17</v>
      </c>
      <c r="L3787" s="9" t="n">
        <v>1869.44</v>
      </c>
      <c r="M3787" s="9" t="n">
        <v>1738.1</v>
      </c>
      <c r="N3787" s="9" t="n">
        <v>1803.39</v>
      </c>
      <c r="O3787" s="9" t="n">
        <v>1881.89</v>
      </c>
      <c r="P3787" s="9" t="n">
        <v>1763.52</v>
      </c>
      <c r="Q3787" s="9" t="n">
        <v>1681.46</v>
      </c>
      <c r="R3787" s="9" t="n">
        <v>2002.89</v>
      </c>
      <c r="S3787" s="9" t="n">
        <v>1707.88</v>
      </c>
      <c r="T3787" s="9" t="n">
        <v>1874.38</v>
      </c>
      <c r="U3787" s="10">
        <f>SUM(I3787:T3787)</f>
        <v/>
      </c>
    </row>
    <row r="3788">
      <c r="A3788" s="2" t="inlineStr">
        <is>
          <t>SN-3000-3300-3330-3330XM0113</t>
        </is>
      </c>
      <c r="B3788" s="2" t="inlineStr">
        <is>
          <t>3330XM0113</t>
        </is>
      </c>
      <c r="C3788" s="2" t="inlineStr">
        <is>
          <t>Celosía XM0113</t>
        </is>
      </c>
      <c r="D3788" s="2" t="n">
        <v>1263</v>
      </c>
      <c r="E3788" s="2" t="inlineStr">
        <is>
          <t>CC-3000</t>
        </is>
      </c>
      <c r="F3788" s="2" t="inlineStr">
        <is>
          <t>P01</t>
        </is>
      </c>
      <c r="G3788" s="2" t="n">
        <v>610000</v>
      </c>
      <c r="H3788" s="2" t="inlineStr">
        <is>
          <t>Mano obra interna</t>
        </is>
      </c>
      <c r="I3788" s="9" t="n">
        <v>2500.96</v>
      </c>
      <c r="J3788" s="9" t="n">
        <v>2420.24</v>
      </c>
      <c r="K3788" s="9" t="n">
        <v>2796.81</v>
      </c>
      <c r="L3788" s="9" t="n">
        <v>2728.37</v>
      </c>
      <c r="M3788" s="9" t="n">
        <v>2534.16</v>
      </c>
      <c r="N3788" s="9" t="n">
        <v>2447.65</v>
      </c>
      <c r="O3788" s="9" t="n">
        <v>2355.32</v>
      </c>
      <c r="P3788" s="9" t="n">
        <v>2592.91</v>
      </c>
      <c r="Q3788" s="9" t="n">
        <v>2294.17</v>
      </c>
      <c r="R3788" s="9" t="n">
        <v>2782.08</v>
      </c>
      <c r="S3788" s="9" t="n">
        <v>2586.84</v>
      </c>
      <c r="T3788" s="9" t="n">
        <v>2384.82</v>
      </c>
      <c r="U3788" s="10">
        <f>SUM(I3788:T3788)</f>
        <v/>
      </c>
    </row>
    <row r="3789">
      <c r="A3789" s="2" t="inlineStr">
        <is>
          <t>SN-3000-3300-3330-3330XM0113</t>
        </is>
      </c>
      <c r="B3789" s="2" t="inlineStr">
        <is>
          <t>3330XM0113</t>
        </is>
      </c>
      <c r="C3789" s="2" t="inlineStr">
        <is>
          <t>Celosía XM0113</t>
        </is>
      </c>
      <c r="D3789" s="2" t="n">
        <v>1263</v>
      </c>
      <c r="E3789" s="2" t="inlineStr">
        <is>
          <t>CC-3000</t>
        </is>
      </c>
      <c r="F3789" s="2" t="inlineStr">
        <is>
          <t>P01</t>
        </is>
      </c>
      <c r="G3789" s="2" t="n">
        <v>620000</v>
      </c>
      <c r="H3789" s="2" t="inlineStr">
        <is>
          <t>Materiales</t>
        </is>
      </c>
      <c r="I3789" s="9" t="n">
        <v>2827.59</v>
      </c>
      <c r="J3789" s="9" t="n">
        <v>2573.49</v>
      </c>
      <c r="K3789" s="9" t="n">
        <v>2894.71</v>
      </c>
      <c r="L3789" s="9" t="n">
        <v>2826.72</v>
      </c>
      <c r="M3789" s="9" t="n">
        <v>2829.38</v>
      </c>
      <c r="N3789" s="9" t="n">
        <v>2457.94</v>
      </c>
      <c r="O3789" s="9" t="n">
        <v>2718.18</v>
      </c>
      <c r="P3789" s="9" t="n">
        <v>2957.91</v>
      </c>
      <c r="Q3789" s="9" t="n">
        <v>2629.47</v>
      </c>
      <c r="R3789" s="9" t="n">
        <v>3043.89</v>
      </c>
      <c r="S3789" s="9" t="n">
        <v>2576.79</v>
      </c>
      <c r="T3789" s="9" t="n">
        <v>2601.6</v>
      </c>
      <c r="U3789" s="10">
        <f>SUM(I3789:T3789)</f>
        <v/>
      </c>
    </row>
    <row r="3790">
      <c r="A3790" s="2" t="inlineStr">
        <is>
          <t>SN-3000-3300-3330-3330XM0113</t>
        </is>
      </c>
      <c r="B3790" s="2" t="inlineStr">
        <is>
          <t>3330XM0113</t>
        </is>
      </c>
      <c r="C3790" s="2" t="inlineStr">
        <is>
          <t>Celosía XM0113</t>
        </is>
      </c>
      <c r="D3790" s="2" t="n">
        <v>1263</v>
      </c>
      <c r="E3790" s="2" t="inlineStr">
        <is>
          <t>CC-3000</t>
        </is>
      </c>
      <c r="F3790" s="2" t="inlineStr">
        <is>
          <t>P01</t>
        </is>
      </c>
      <c r="G3790" s="2" t="n">
        <v>630000</v>
      </c>
      <c r="H3790" s="2" t="inlineStr">
        <is>
          <t>Servicios externos</t>
        </is>
      </c>
      <c r="I3790" s="9" t="n">
        <v>2901.79</v>
      </c>
      <c r="J3790" s="9" t="n">
        <v>3223.68</v>
      </c>
      <c r="K3790" s="9" t="n">
        <v>2942.65</v>
      </c>
      <c r="L3790" s="9" t="n">
        <v>2937.66</v>
      </c>
      <c r="M3790" s="9" t="n">
        <v>2910.61</v>
      </c>
      <c r="N3790" s="9" t="n">
        <v>2906.51</v>
      </c>
      <c r="O3790" s="9" t="n">
        <v>3176.47</v>
      </c>
      <c r="P3790" s="9" t="n">
        <v>3260.27</v>
      </c>
      <c r="Q3790" s="9" t="n">
        <v>2760.54</v>
      </c>
      <c r="R3790" s="9" t="n">
        <v>3020.93</v>
      </c>
      <c r="S3790" s="9" t="n">
        <v>2991.99</v>
      </c>
      <c r="T3790" s="9" t="n">
        <v>3182.95</v>
      </c>
      <c r="U3790" s="10">
        <f>SUM(I3790:T3790)</f>
        <v/>
      </c>
    </row>
    <row r="3791">
      <c r="A3791" s="2" t="inlineStr">
        <is>
          <t>SN-3000-3300-3330-3330XM0114</t>
        </is>
      </c>
      <c r="B3791" s="2" t="inlineStr">
        <is>
          <t>3330XM0114</t>
        </is>
      </c>
      <c r="C3791" s="2" t="inlineStr">
        <is>
          <t>Celosía XM0114</t>
        </is>
      </c>
      <c r="D3791" s="2" t="n">
        <v>1264</v>
      </c>
      <c r="E3791" s="2" t="inlineStr">
        <is>
          <t>CC-3000</t>
        </is>
      </c>
      <c r="F3791" s="2" t="inlineStr">
        <is>
          <t>P01</t>
        </is>
      </c>
      <c r="G3791" s="2" t="n">
        <v>610000</v>
      </c>
      <c r="H3791" s="2" t="inlineStr">
        <is>
          <t>Mano obra interna</t>
        </is>
      </c>
      <c r="I3791" s="9" t="n">
        <v>907.75</v>
      </c>
      <c r="J3791" s="9" t="n">
        <v>893.83</v>
      </c>
      <c r="K3791" s="9" t="n">
        <v>990.37</v>
      </c>
      <c r="L3791" s="9" t="n">
        <v>956.4</v>
      </c>
      <c r="M3791" s="9" t="n">
        <v>963.0599999999999</v>
      </c>
      <c r="N3791" s="9" t="n">
        <v>855.12</v>
      </c>
      <c r="O3791" s="9" t="n">
        <v>988.34</v>
      </c>
      <c r="P3791" s="9" t="n">
        <v>884.41</v>
      </c>
      <c r="Q3791" s="9" t="n">
        <v>848.17</v>
      </c>
      <c r="R3791" s="9" t="n">
        <v>1024.84</v>
      </c>
      <c r="S3791" s="9" t="n">
        <v>941.1</v>
      </c>
      <c r="T3791" s="9" t="n">
        <v>914.99</v>
      </c>
      <c r="U3791" s="10">
        <f>SUM(I3791:T3791)</f>
        <v/>
      </c>
    </row>
    <row r="3792">
      <c r="A3792" s="2" t="inlineStr">
        <is>
          <t>SN-3000-3300-3330-3330XM0114</t>
        </is>
      </c>
      <c r="B3792" s="2" t="inlineStr">
        <is>
          <t>3330XM0114</t>
        </is>
      </c>
      <c r="C3792" s="2" t="inlineStr">
        <is>
          <t>Celosía XM0114</t>
        </is>
      </c>
      <c r="D3792" s="2" t="n">
        <v>1264</v>
      </c>
      <c r="E3792" s="2" t="inlineStr">
        <is>
          <t>CC-3000</t>
        </is>
      </c>
      <c r="F3792" s="2" t="inlineStr">
        <is>
          <t>P01</t>
        </is>
      </c>
      <c r="G3792" s="2" t="n">
        <v>620000</v>
      </c>
      <c r="H3792" s="2" t="inlineStr">
        <is>
          <t>Materiales</t>
        </is>
      </c>
      <c r="I3792" s="9" t="n">
        <v>1093.58</v>
      </c>
      <c r="J3792" s="9" t="n">
        <v>975.21</v>
      </c>
      <c r="K3792" s="9" t="n">
        <v>1108.51</v>
      </c>
      <c r="L3792" s="9" t="n">
        <v>1093.21</v>
      </c>
      <c r="M3792" s="9" t="n">
        <v>1067.82</v>
      </c>
      <c r="N3792" s="9" t="n">
        <v>1057.46</v>
      </c>
      <c r="O3792" s="9" t="n">
        <v>1072.66</v>
      </c>
      <c r="P3792" s="9" t="n">
        <v>1011.72</v>
      </c>
      <c r="Q3792" s="9" t="n">
        <v>1010.24</v>
      </c>
      <c r="R3792" s="9" t="n">
        <v>1153.43</v>
      </c>
      <c r="S3792" s="9" t="n">
        <v>1015.86</v>
      </c>
      <c r="T3792" s="9" t="n">
        <v>1027.83</v>
      </c>
      <c r="U3792" s="10">
        <f>SUM(I3792:T3792)</f>
        <v/>
      </c>
    </row>
    <row r="3793">
      <c r="A3793" s="2" t="inlineStr">
        <is>
          <t>SN-3000-3300-3330-3330XM0114</t>
        </is>
      </c>
      <c r="B3793" s="2" t="inlineStr">
        <is>
          <t>3330XM0114</t>
        </is>
      </c>
      <c r="C3793" s="2" t="inlineStr">
        <is>
          <t>Celosía XM0114</t>
        </is>
      </c>
      <c r="D3793" s="2" t="n">
        <v>1264</v>
      </c>
      <c r="E3793" s="2" t="inlineStr">
        <is>
          <t>CC-3000</t>
        </is>
      </c>
      <c r="F3793" s="2" t="inlineStr">
        <is>
          <t>P01</t>
        </is>
      </c>
      <c r="G3793" s="2" t="n">
        <v>630000</v>
      </c>
      <c r="H3793" s="2" t="inlineStr">
        <is>
          <t>Servicios externos</t>
        </is>
      </c>
      <c r="I3793" s="9" t="n">
        <v>1071.95</v>
      </c>
      <c r="J3793" s="9" t="n">
        <v>1053.21</v>
      </c>
      <c r="K3793" s="9" t="n">
        <v>1066.45</v>
      </c>
      <c r="L3793" s="9" t="n">
        <v>1119.15</v>
      </c>
      <c r="M3793" s="9" t="n">
        <v>1010.71</v>
      </c>
      <c r="N3793" s="9" t="n">
        <v>1051.69</v>
      </c>
      <c r="O3793" s="9" t="n">
        <v>982.64</v>
      </c>
      <c r="P3793" s="9" t="n">
        <v>1082.15</v>
      </c>
      <c r="Q3793" s="9" t="n">
        <v>971.88</v>
      </c>
      <c r="R3793" s="9" t="n">
        <v>1166.05</v>
      </c>
      <c r="S3793" s="9" t="n">
        <v>1019.56</v>
      </c>
      <c r="T3793" s="9" t="n">
        <v>1001.26</v>
      </c>
      <c r="U3793" s="10">
        <f>SUM(I3793:T3793)</f>
        <v/>
      </c>
    </row>
    <row r="3794">
      <c r="A3794" s="2" t="inlineStr">
        <is>
          <t>SN-3000-3300-3330-3330ZL0001</t>
        </is>
      </c>
      <c r="B3794" s="2" t="inlineStr">
        <is>
          <t>3330ZL0001</t>
        </is>
      </c>
      <c r="C3794" s="2" t="inlineStr">
        <is>
          <t>Transmisor flujo emulsión zinc FIT3050</t>
        </is>
      </c>
      <c r="D3794" s="2" t="n">
        <v>1265</v>
      </c>
      <c r="E3794" s="2" t="inlineStr">
        <is>
          <t>CC-3000</t>
        </is>
      </c>
      <c r="F3794" s="2" t="inlineStr">
        <is>
          <t>P01</t>
        </is>
      </c>
      <c r="G3794" s="2" t="n">
        <v>610000</v>
      </c>
      <c r="H3794" s="2" t="inlineStr">
        <is>
          <t>Mano obra interna</t>
        </is>
      </c>
      <c r="I3794" s="9" t="n">
        <v>877.16</v>
      </c>
      <c r="J3794" s="9" t="n">
        <v>819.8</v>
      </c>
      <c r="K3794" s="9" t="n">
        <v>798.72</v>
      </c>
      <c r="L3794" s="9" t="n">
        <v>875.51</v>
      </c>
      <c r="M3794" s="9" t="n">
        <v>826.85</v>
      </c>
      <c r="N3794" s="9" t="n">
        <v>748.0700000000001</v>
      </c>
      <c r="O3794" s="9" t="n">
        <v>813.42</v>
      </c>
      <c r="P3794" s="9" t="n">
        <v>789.8200000000001</v>
      </c>
      <c r="Q3794" s="9" t="n">
        <v>696.47</v>
      </c>
      <c r="R3794" s="9" t="n">
        <v>904.75</v>
      </c>
      <c r="S3794" s="9" t="n">
        <v>735.98</v>
      </c>
      <c r="T3794" s="9" t="n">
        <v>806.22</v>
      </c>
      <c r="U3794" s="10">
        <f>SUM(I3794:T3794)</f>
        <v/>
      </c>
    </row>
    <row r="3795">
      <c r="A3795" s="2" t="inlineStr">
        <is>
          <t>SN-3000-3300-3330-3330ZL0001</t>
        </is>
      </c>
      <c r="B3795" s="2" t="inlineStr">
        <is>
          <t>3330ZL0001</t>
        </is>
      </c>
      <c r="C3795" s="2" t="inlineStr">
        <is>
          <t>Transmisor flujo emulsión zinc FIT3050</t>
        </is>
      </c>
      <c r="D3795" s="2" t="n">
        <v>1265</v>
      </c>
      <c r="E3795" s="2" t="inlineStr">
        <is>
          <t>CC-3000</t>
        </is>
      </c>
      <c r="F3795" s="2" t="inlineStr">
        <is>
          <t>P01</t>
        </is>
      </c>
      <c r="G3795" s="2" t="n">
        <v>620000</v>
      </c>
      <c r="H3795" s="2" t="inlineStr">
        <is>
          <t>Materiales</t>
        </is>
      </c>
      <c r="I3795" s="9" t="n">
        <v>911.34</v>
      </c>
      <c r="J3795" s="9" t="n">
        <v>764.8099999999999</v>
      </c>
      <c r="K3795" s="9" t="n">
        <v>846.6900000000001</v>
      </c>
      <c r="L3795" s="9" t="n">
        <v>869.05</v>
      </c>
      <c r="M3795" s="9" t="n">
        <v>863.28</v>
      </c>
      <c r="N3795" s="9" t="n">
        <v>852.0700000000001</v>
      </c>
      <c r="O3795" s="9" t="n">
        <v>768.6</v>
      </c>
      <c r="P3795" s="9" t="n">
        <v>851.42</v>
      </c>
      <c r="Q3795" s="9" t="n">
        <v>715.95</v>
      </c>
      <c r="R3795" s="9" t="n">
        <v>941.86</v>
      </c>
      <c r="S3795" s="9" t="n">
        <v>763.01</v>
      </c>
      <c r="T3795" s="9" t="n">
        <v>900.89</v>
      </c>
      <c r="U3795" s="10">
        <f>SUM(I3795:T3795)</f>
        <v/>
      </c>
    </row>
    <row r="3796">
      <c r="A3796" s="2" t="inlineStr">
        <is>
          <t>SN-3000-3300-3330-3330ZL0001</t>
        </is>
      </c>
      <c r="B3796" s="2" t="inlineStr">
        <is>
          <t>3330ZL0001</t>
        </is>
      </c>
      <c r="C3796" s="2" t="inlineStr">
        <is>
          <t>Transmisor flujo emulsión zinc FIT3050</t>
        </is>
      </c>
      <c r="D3796" s="2" t="n">
        <v>1265</v>
      </c>
      <c r="E3796" s="2" t="inlineStr">
        <is>
          <t>CC-3000</t>
        </is>
      </c>
      <c r="F3796" s="2" t="inlineStr">
        <is>
          <t>P01</t>
        </is>
      </c>
      <c r="G3796" s="2" t="n">
        <v>630000</v>
      </c>
      <c r="H3796" s="2" t="inlineStr">
        <is>
          <t>Servicios externos</t>
        </is>
      </c>
      <c r="I3796" s="9" t="n">
        <v>761.96</v>
      </c>
      <c r="J3796" s="9" t="n">
        <v>681.5</v>
      </c>
      <c r="K3796" s="9" t="n">
        <v>745.55</v>
      </c>
      <c r="L3796" s="9" t="n">
        <v>744.6</v>
      </c>
      <c r="M3796" s="9" t="n">
        <v>675.46</v>
      </c>
      <c r="N3796" s="9" t="n">
        <v>662.61</v>
      </c>
      <c r="O3796" s="9" t="n">
        <v>671.45</v>
      </c>
      <c r="P3796" s="9" t="n">
        <v>658.9400000000001</v>
      </c>
      <c r="Q3796" s="9" t="n">
        <v>638.83</v>
      </c>
      <c r="R3796" s="9" t="n">
        <v>774.26</v>
      </c>
      <c r="S3796" s="9" t="n">
        <v>716.9400000000001</v>
      </c>
      <c r="T3796" s="9" t="n">
        <v>760.89</v>
      </c>
      <c r="U3796" s="10">
        <f>SUM(I3796:T3796)</f>
        <v/>
      </c>
    </row>
    <row r="3797">
      <c r="A3797" s="2" t="inlineStr">
        <is>
          <t>SN-3000-3300-33ER-3300FP0001</t>
        </is>
      </c>
      <c r="B3797" s="2" t="inlineStr">
        <is>
          <t>3300FP0001</t>
        </is>
      </c>
      <c r="C3797" s="2" t="inlineStr">
        <is>
          <t>Tablero control SCI FP0001</t>
        </is>
      </c>
      <c r="D3797" s="2" t="n">
        <v>1266</v>
      </c>
      <c r="E3797" s="2" t="inlineStr">
        <is>
          <t>CC-3000</t>
        </is>
      </c>
      <c r="F3797" s="2" t="inlineStr">
        <is>
          <t>P01</t>
        </is>
      </c>
      <c r="G3797" s="2" t="n">
        <v>610000</v>
      </c>
      <c r="H3797" s="2" t="inlineStr">
        <is>
          <t>Mano obra interna</t>
        </is>
      </c>
      <c r="I3797" s="9" t="n">
        <v>573.27</v>
      </c>
      <c r="J3797" s="9" t="n">
        <v>598.77</v>
      </c>
      <c r="K3797" s="9" t="n">
        <v>599.38</v>
      </c>
      <c r="L3797" s="9" t="n">
        <v>565.34</v>
      </c>
      <c r="M3797" s="9" t="n">
        <v>566.8099999999999</v>
      </c>
      <c r="N3797" s="9" t="n">
        <v>536.6799999999999</v>
      </c>
      <c r="O3797" s="9" t="n">
        <v>541.13</v>
      </c>
      <c r="P3797" s="9" t="n">
        <v>606.91</v>
      </c>
      <c r="Q3797" s="9" t="n">
        <v>524.42</v>
      </c>
      <c r="R3797" s="9" t="n">
        <v>673.25</v>
      </c>
      <c r="S3797" s="9" t="n">
        <v>599.2</v>
      </c>
      <c r="T3797" s="9" t="n">
        <v>611.9</v>
      </c>
      <c r="U3797" s="10">
        <f>SUM(I3797:T3797)</f>
        <v/>
      </c>
    </row>
    <row r="3798">
      <c r="A3798" s="2" t="inlineStr">
        <is>
          <t>SN-3000-3300-33ER-3300FP0001</t>
        </is>
      </c>
      <c r="B3798" s="2" t="inlineStr">
        <is>
          <t>3300FP0001</t>
        </is>
      </c>
      <c r="C3798" s="2" t="inlineStr">
        <is>
          <t>Tablero control SCI FP0001</t>
        </is>
      </c>
      <c r="D3798" s="2" t="n">
        <v>1266</v>
      </c>
      <c r="E3798" s="2" t="inlineStr">
        <is>
          <t>CC-3000</t>
        </is>
      </c>
      <c r="F3798" s="2" t="inlineStr">
        <is>
          <t>P01</t>
        </is>
      </c>
      <c r="G3798" s="2" t="n">
        <v>620000</v>
      </c>
      <c r="H3798" s="2" t="inlineStr">
        <is>
          <t>Materiales</t>
        </is>
      </c>
      <c r="I3798" s="9" t="n">
        <v>602.98</v>
      </c>
      <c r="J3798" s="9" t="n">
        <v>600.5599999999999</v>
      </c>
      <c r="K3798" s="9" t="n">
        <v>616.9</v>
      </c>
      <c r="L3798" s="9" t="n">
        <v>665.88</v>
      </c>
      <c r="M3798" s="9" t="n">
        <v>569.39</v>
      </c>
      <c r="N3798" s="9" t="n">
        <v>606.35</v>
      </c>
      <c r="O3798" s="9" t="n">
        <v>623.37</v>
      </c>
      <c r="P3798" s="9" t="n">
        <v>641.74</v>
      </c>
      <c r="Q3798" s="9" t="n">
        <v>573.78</v>
      </c>
      <c r="R3798" s="9" t="n">
        <v>673.92</v>
      </c>
      <c r="S3798" s="9" t="n">
        <v>636.55</v>
      </c>
      <c r="T3798" s="9" t="n">
        <v>580.75</v>
      </c>
      <c r="U3798" s="10">
        <f>SUM(I3798:T3798)</f>
        <v/>
      </c>
    </row>
    <row r="3799">
      <c r="A3799" s="2" t="inlineStr">
        <is>
          <t>SN-3000-3300-33ER-3300FP0001</t>
        </is>
      </c>
      <c r="B3799" s="2" t="inlineStr">
        <is>
          <t>3300FP0001</t>
        </is>
      </c>
      <c r="C3799" s="2" t="inlineStr">
        <is>
          <t>Tablero control SCI FP0001</t>
        </is>
      </c>
      <c r="D3799" s="2" t="n">
        <v>1266</v>
      </c>
      <c r="E3799" s="2" t="inlineStr">
        <is>
          <t>CC-3000</t>
        </is>
      </c>
      <c r="F3799" s="2" t="inlineStr">
        <is>
          <t>P01</t>
        </is>
      </c>
      <c r="G3799" s="2" t="n">
        <v>630000</v>
      </c>
      <c r="H3799" s="2" t="inlineStr">
        <is>
          <t>Servicios externos</t>
        </is>
      </c>
      <c r="I3799" s="9" t="n">
        <v>579.3200000000001</v>
      </c>
      <c r="J3799" s="9" t="n">
        <v>566.1</v>
      </c>
      <c r="K3799" s="9" t="n">
        <v>566.98</v>
      </c>
      <c r="L3799" s="9" t="n">
        <v>550.65</v>
      </c>
      <c r="M3799" s="9" t="n">
        <v>527.67</v>
      </c>
      <c r="N3799" s="9" t="n">
        <v>575.3200000000001</v>
      </c>
      <c r="O3799" s="9" t="n">
        <v>576.2</v>
      </c>
      <c r="P3799" s="9" t="n">
        <v>608.58</v>
      </c>
      <c r="Q3799" s="9" t="n">
        <v>525.45</v>
      </c>
      <c r="R3799" s="9" t="n">
        <v>642.86</v>
      </c>
      <c r="S3799" s="9" t="n">
        <v>557.85</v>
      </c>
      <c r="T3799" s="9" t="n">
        <v>596.39</v>
      </c>
      <c r="U3799" s="10">
        <f>SUM(I3799:T3799)</f>
        <v/>
      </c>
    </row>
    <row r="3800">
      <c r="A3800" s="2" t="inlineStr">
        <is>
          <t>SN-3000-3300-33ER-3300TU0002</t>
        </is>
      </c>
      <c r="B3800" s="2" t="inlineStr">
        <is>
          <t>3300TU0002</t>
        </is>
      </c>
      <c r="C3800" s="2" t="inlineStr">
        <is>
          <t>Tablero distribución TU0002</t>
        </is>
      </c>
      <c r="D3800" s="2" t="n">
        <v>1267</v>
      </c>
      <c r="E3800" s="2" t="inlineStr">
        <is>
          <t>CC-3000</t>
        </is>
      </c>
      <c r="F3800" s="2" t="inlineStr">
        <is>
          <t>P01</t>
        </is>
      </c>
      <c r="G3800" s="2" t="n">
        <v>610000</v>
      </c>
      <c r="H3800" s="2" t="inlineStr">
        <is>
          <t>Mano obra interna</t>
        </is>
      </c>
      <c r="I3800" s="9" t="n">
        <v>1212.86</v>
      </c>
      <c r="J3800" s="9" t="n">
        <v>1343.92</v>
      </c>
      <c r="K3800" s="9" t="n">
        <v>1384.36</v>
      </c>
      <c r="L3800" s="9" t="n">
        <v>1262.33</v>
      </c>
      <c r="M3800" s="9" t="n">
        <v>1352.75</v>
      </c>
      <c r="N3800" s="9" t="n">
        <v>1178.62</v>
      </c>
      <c r="O3800" s="9" t="n">
        <v>1262.38</v>
      </c>
      <c r="P3800" s="9" t="n">
        <v>1324.42</v>
      </c>
      <c r="Q3800" s="9" t="n">
        <v>1149.18</v>
      </c>
      <c r="R3800" s="9" t="n">
        <v>1334.74</v>
      </c>
      <c r="S3800" s="9" t="n">
        <v>1215.02</v>
      </c>
      <c r="T3800" s="9" t="n">
        <v>1285.8</v>
      </c>
      <c r="U3800" s="10">
        <f>SUM(I3800:T3800)</f>
        <v/>
      </c>
    </row>
    <row r="3801">
      <c r="A3801" s="2" t="inlineStr">
        <is>
          <t>SN-3000-3300-33ER-3300TU0002</t>
        </is>
      </c>
      <c r="B3801" s="2" t="inlineStr">
        <is>
          <t>3300TU0002</t>
        </is>
      </c>
      <c r="C3801" s="2" t="inlineStr">
        <is>
          <t>Tablero distribución TU0002</t>
        </is>
      </c>
      <c r="D3801" s="2" t="n">
        <v>1267</v>
      </c>
      <c r="E3801" s="2" t="inlineStr">
        <is>
          <t>CC-3000</t>
        </is>
      </c>
      <c r="F3801" s="2" t="inlineStr">
        <is>
          <t>P01</t>
        </is>
      </c>
      <c r="G3801" s="2" t="n">
        <v>620000</v>
      </c>
      <c r="H3801" s="2" t="inlineStr">
        <is>
          <t>Materiales</t>
        </is>
      </c>
      <c r="I3801" s="9" t="n">
        <v>1072.24</v>
      </c>
      <c r="J3801" s="9" t="n">
        <v>1196.16</v>
      </c>
      <c r="K3801" s="9" t="n">
        <v>1146.65</v>
      </c>
      <c r="L3801" s="9" t="n">
        <v>1089.17</v>
      </c>
      <c r="M3801" s="9" t="n">
        <v>1173.15</v>
      </c>
      <c r="N3801" s="9" t="n">
        <v>1052.53</v>
      </c>
      <c r="O3801" s="9" t="n">
        <v>1080.73</v>
      </c>
      <c r="P3801" s="9" t="n">
        <v>1221.55</v>
      </c>
      <c r="Q3801" s="9" t="n">
        <v>1130.83</v>
      </c>
      <c r="R3801" s="9" t="n">
        <v>1150.05</v>
      </c>
      <c r="S3801" s="9" t="n">
        <v>1172.26</v>
      </c>
      <c r="T3801" s="9" t="n">
        <v>1227.35</v>
      </c>
      <c r="U3801" s="10">
        <f>SUM(I3801:T3801)</f>
        <v/>
      </c>
    </row>
    <row r="3802">
      <c r="A3802" s="2" t="inlineStr">
        <is>
          <t>SN-3000-3300-33ER-3300TU0002</t>
        </is>
      </c>
      <c r="B3802" s="2" t="inlineStr">
        <is>
          <t>3300TU0002</t>
        </is>
      </c>
      <c r="C3802" s="2" t="inlineStr">
        <is>
          <t>Tablero distribución TU0002</t>
        </is>
      </c>
      <c r="D3802" s="2" t="n">
        <v>1267</v>
      </c>
      <c r="E3802" s="2" t="inlineStr">
        <is>
          <t>CC-3000</t>
        </is>
      </c>
      <c r="F3802" s="2" t="inlineStr">
        <is>
          <t>P01</t>
        </is>
      </c>
      <c r="G3802" s="2" t="n">
        <v>630000</v>
      </c>
      <c r="H3802" s="2" t="inlineStr">
        <is>
          <t>Servicios externos</t>
        </is>
      </c>
      <c r="I3802" s="9" t="n">
        <v>1387.48</v>
      </c>
      <c r="J3802" s="9" t="n">
        <v>1272</v>
      </c>
      <c r="K3802" s="9" t="n">
        <v>1310.98</v>
      </c>
      <c r="L3802" s="9" t="n">
        <v>1406.06</v>
      </c>
      <c r="M3802" s="9" t="n">
        <v>1407.68</v>
      </c>
      <c r="N3802" s="9" t="n">
        <v>1332.32</v>
      </c>
      <c r="O3802" s="9" t="n">
        <v>1284.21</v>
      </c>
      <c r="P3802" s="9" t="n">
        <v>1306.29</v>
      </c>
      <c r="Q3802" s="9" t="n">
        <v>1268.56</v>
      </c>
      <c r="R3802" s="9" t="n">
        <v>1487.97</v>
      </c>
      <c r="S3802" s="9" t="n">
        <v>1219.89</v>
      </c>
      <c r="T3802" s="9" t="n">
        <v>1397.85</v>
      </c>
      <c r="U3802" s="10">
        <f>SUM(I3802:T3802)</f>
        <v/>
      </c>
    </row>
    <row r="3803">
      <c r="A3803" s="2" t="inlineStr">
        <is>
          <t>SN-3000-3300-33ER-3850VF0013</t>
        </is>
      </c>
      <c r="B3803" s="2" t="inlineStr">
        <is>
          <t>3850VF0013</t>
        </is>
      </c>
      <c r="C3803" s="2" t="inlineStr">
        <is>
          <t>Variador frecuencia CP0013M1VF</t>
        </is>
      </c>
      <c r="D3803" s="2" t="n">
        <v>1268</v>
      </c>
      <c r="E3803" s="2" t="inlineStr">
        <is>
          <t>CC-3000</t>
        </is>
      </c>
      <c r="F3803" s="2" t="inlineStr">
        <is>
          <t>P01</t>
        </is>
      </c>
      <c r="G3803" s="2" t="n">
        <v>610000</v>
      </c>
      <c r="H3803" s="2" t="inlineStr">
        <is>
          <t>Mano obra interna</t>
        </is>
      </c>
      <c r="I3803" s="9" t="n">
        <v>2730.84</v>
      </c>
      <c r="J3803" s="9" t="n">
        <v>2663.38</v>
      </c>
      <c r="K3803" s="9" t="n">
        <v>2795.79</v>
      </c>
      <c r="L3803" s="9" t="n">
        <v>3083.65</v>
      </c>
      <c r="M3803" s="9" t="n">
        <v>2748.12</v>
      </c>
      <c r="N3803" s="9" t="n">
        <v>2708.13</v>
      </c>
      <c r="O3803" s="9" t="n">
        <v>2921.27</v>
      </c>
      <c r="P3803" s="9" t="n">
        <v>2758.75</v>
      </c>
      <c r="Q3803" s="9" t="n">
        <v>2458.34</v>
      </c>
      <c r="R3803" s="9" t="n">
        <v>3114.9</v>
      </c>
      <c r="S3803" s="9" t="n">
        <v>2801.79</v>
      </c>
      <c r="T3803" s="9" t="n">
        <v>2751.04</v>
      </c>
      <c r="U3803" s="10">
        <f>SUM(I3803:T3803)</f>
        <v/>
      </c>
    </row>
    <row r="3804">
      <c r="A3804" s="2" t="inlineStr">
        <is>
          <t>SN-3000-3300-33ER-3850VF0013</t>
        </is>
      </c>
      <c r="B3804" s="2" t="inlineStr">
        <is>
          <t>3850VF0013</t>
        </is>
      </c>
      <c r="C3804" s="2" t="inlineStr">
        <is>
          <t>Variador frecuencia CP0013M1VF</t>
        </is>
      </c>
      <c r="D3804" s="2" t="n">
        <v>1268</v>
      </c>
      <c r="E3804" s="2" t="inlineStr">
        <is>
          <t>CC-3000</t>
        </is>
      </c>
      <c r="F3804" s="2" t="inlineStr">
        <is>
          <t>P01</t>
        </is>
      </c>
      <c r="G3804" s="2" t="n">
        <v>620000</v>
      </c>
      <c r="H3804" s="2" t="inlineStr">
        <is>
          <t>Materiales</t>
        </is>
      </c>
      <c r="I3804" s="9" t="n">
        <v>2251.03</v>
      </c>
      <c r="J3804" s="9" t="n">
        <v>2184.56</v>
      </c>
      <c r="K3804" s="9" t="n">
        <v>2048.15</v>
      </c>
      <c r="L3804" s="9" t="n">
        <v>2263.45</v>
      </c>
      <c r="M3804" s="9" t="n">
        <v>2275.31</v>
      </c>
      <c r="N3804" s="9" t="n">
        <v>1948.29</v>
      </c>
      <c r="O3804" s="9" t="n">
        <v>2156.53</v>
      </c>
      <c r="P3804" s="9" t="n">
        <v>2214.21</v>
      </c>
      <c r="Q3804" s="9" t="n">
        <v>1913.37</v>
      </c>
      <c r="R3804" s="9" t="n">
        <v>2409.95</v>
      </c>
      <c r="S3804" s="9" t="n">
        <v>2202.1</v>
      </c>
      <c r="T3804" s="9" t="n">
        <v>2289.84</v>
      </c>
      <c r="U3804" s="10">
        <f>SUM(I3804:T3804)</f>
        <v/>
      </c>
    </row>
    <row r="3805">
      <c r="A3805" s="2" t="inlineStr">
        <is>
          <t>SN-3000-3300-33ER-3850VF0013</t>
        </is>
      </c>
      <c r="B3805" s="2" t="inlineStr">
        <is>
          <t>3850VF0013</t>
        </is>
      </c>
      <c r="C3805" s="2" t="inlineStr">
        <is>
          <t>Variador frecuencia CP0013M1VF</t>
        </is>
      </c>
      <c r="D3805" s="2" t="n">
        <v>1268</v>
      </c>
      <c r="E3805" s="2" t="inlineStr">
        <is>
          <t>CC-3000</t>
        </is>
      </c>
      <c r="F3805" s="2" t="inlineStr">
        <is>
          <t>P01</t>
        </is>
      </c>
      <c r="G3805" s="2" t="n">
        <v>630000</v>
      </c>
      <c r="H3805" s="2" t="inlineStr">
        <is>
          <t>Servicios externos</t>
        </is>
      </c>
      <c r="I3805" s="9" t="n">
        <v>2520.46</v>
      </c>
      <c r="J3805" s="9" t="n">
        <v>2286.59</v>
      </c>
      <c r="K3805" s="9" t="n">
        <v>2338.13</v>
      </c>
      <c r="L3805" s="9" t="n">
        <v>2278.46</v>
      </c>
      <c r="M3805" s="9" t="n">
        <v>2482.51</v>
      </c>
      <c r="N3805" s="9" t="n">
        <v>2224.63</v>
      </c>
      <c r="O3805" s="9" t="n">
        <v>2493.29</v>
      </c>
      <c r="P3805" s="9" t="n">
        <v>2224.48</v>
      </c>
      <c r="Q3805" s="9" t="n">
        <v>2285.27</v>
      </c>
      <c r="R3805" s="9" t="n">
        <v>2380.61</v>
      </c>
      <c r="S3805" s="9" t="n">
        <v>2103.27</v>
      </c>
      <c r="T3805" s="9" t="n">
        <v>2578.6</v>
      </c>
      <c r="U3805" s="10">
        <f>SUM(I3805:T3805)</f>
        <v/>
      </c>
    </row>
    <row r="3806">
      <c r="A3806" s="2" t="inlineStr">
        <is>
          <t>SN-3000-3400-3410-3410PU0500</t>
        </is>
      </c>
      <c r="B3806" s="2" t="inlineStr">
        <is>
          <t>3410PU0500</t>
        </is>
      </c>
      <c r="C3806" s="2" t="inlineStr">
        <is>
          <t>Bomba centrífuga neutralización PU0500</t>
        </is>
      </c>
      <c r="D3806" s="2" t="n">
        <v>1269</v>
      </c>
      <c r="E3806" s="2" t="inlineStr">
        <is>
          <t>CC-3000</t>
        </is>
      </c>
      <c r="F3806" s="2" t="inlineStr">
        <is>
          <t>P01</t>
        </is>
      </c>
      <c r="G3806" s="2" t="n">
        <v>610000</v>
      </c>
      <c r="H3806" s="2" t="inlineStr">
        <is>
          <t>Mano obra interna</t>
        </is>
      </c>
      <c r="I3806" s="9" t="n">
        <v>2283.2</v>
      </c>
      <c r="J3806" s="9" t="n">
        <v>2350.53</v>
      </c>
      <c r="K3806" s="9" t="n">
        <v>2440.27</v>
      </c>
      <c r="L3806" s="9" t="n">
        <v>2289.43</v>
      </c>
      <c r="M3806" s="9" t="n">
        <v>2266.65</v>
      </c>
      <c r="N3806" s="9" t="n">
        <v>2196.21</v>
      </c>
      <c r="O3806" s="9" t="n">
        <v>2110.89</v>
      </c>
      <c r="P3806" s="9" t="n">
        <v>2171.36</v>
      </c>
      <c r="Q3806" s="9" t="n">
        <v>2028.17</v>
      </c>
      <c r="R3806" s="9" t="n">
        <v>2379.6</v>
      </c>
      <c r="S3806" s="9" t="n">
        <v>2099.75</v>
      </c>
      <c r="T3806" s="9" t="n">
        <v>2193.04</v>
      </c>
      <c r="U3806" s="10">
        <f>SUM(I3806:T3806)</f>
        <v/>
      </c>
    </row>
    <row r="3807">
      <c r="A3807" s="2" t="inlineStr">
        <is>
          <t>SN-3000-3400-3410-3410PU0500</t>
        </is>
      </c>
      <c r="B3807" s="2" t="inlineStr">
        <is>
          <t>3410PU0500</t>
        </is>
      </c>
      <c r="C3807" s="2" t="inlineStr">
        <is>
          <t>Bomba centrífuga neutralización PU0500</t>
        </is>
      </c>
      <c r="D3807" s="2" t="n">
        <v>1269</v>
      </c>
      <c r="E3807" s="2" t="inlineStr">
        <is>
          <t>CC-3000</t>
        </is>
      </c>
      <c r="F3807" s="2" t="inlineStr">
        <is>
          <t>P01</t>
        </is>
      </c>
      <c r="G3807" s="2" t="n">
        <v>620000</v>
      </c>
      <c r="H3807" s="2" t="inlineStr">
        <is>
          <t>Materiales</t>
        </is>
      </c>
      <c r="I3807" s="9" t="n">
        <v>2417.35</v>
      </c>
      <c r="J3807" s="9" t="n">
        <v>2373.23</v>
      </c>
      <c r="K3807" s="9" t="n">
        <v>2360.94</v>
      </c>
      <c r="L3807" s="9" t="n">
        <v>2581.74</v>
      </c>
      <c r="M3807" s="9" t="n">
        <v>2527.58</v>
      </c>
      <c r="N3807" s="9" t="n">
        <v>2215.55</v>
      </c>
      <c r="O3807" s="9" t="n">
        <v>2270.14</v>
      </c>
      <c r="P3807" s="9" t="n">
        <v>2498.67</v>
      </c>
      <c r="Q3807" s="9" t="n">
        <v>2400.32</v>
      </c>
      <c r="R3807" s="9" t="n">
        <v>2410.35</v>
      </c>
      <c r="S3807" s="9" t="n">
        <v>2155.93</v>
      </c>
      <c r="T3807" s="9" t="n">
        <v>2326.38</v>
      </c>
      <c r="U3807" s="10">
        <f>SUM(I3807:T3807)</f>
        <v/>
      </c>
    </row>
    <row r="3808">
      <c r="A3808" s="2" t="inlineStr">
        <is>
          <t>SN-3000-3400-3410-3410PU0500</t>
        </is>
      </c>
      <c r="B3808" s="2" t="inlineStr">
        <is>
          <t>3410PU0500</t>
        </is>
      </c>
      <c r="C3808" s="2" t="inlineStr">
        <is>
          <t>Bomba centrífuga neutralización PU0500</t>
        </is>
      </c>
      <c r="D3808" s="2" t="n">
        <v>1269</v>
      </c>
      <c r="E3808" s="2" t="inlineStr">
        <is>
          <t>CC-3000</t>
        </is>
      </c>
      <c r="F3808" s="2" t="inlineStr">
        <is>
          <t>P01</t>
        </is>
      </c>
      <c r="G3808" s="2" t="n">
        <v>630000</v>
      </c>
      <c r="H3808" s="2" t="inlineStr">
        <is>
          <t>Servicios externos</t>
        </is>
      </c>
      <c r="I3808" s="9" t="n">
        <v>2850.99</v>
      </c>
      <c r="J3808" s="9" t="n">
        <v>2662.66</v>
      </c>
      <c r="K3808" s="9" t="n">
        <v>2713.05</v>
      </c>
      <c r="L3808" s="9" t="n">
        <v>2742.02</v>
      </c>
      <c r="M3808" s="9" t="n">
        <v>2461.73</v>
      </c>
      <c r="N3808" s="9" t="n">
        <v>2560.24</v>
      </c>
      <c r="O3808" s="9" t="n">
        <v>2526.34</v>
      </c>
      <c r="P3808" s="9" t="n">
        <v>2482.16</v>
      </c>
      <c r="Q3808" s="9" t="n">
        <v>2317.79</v>
      </c>
      <c r="R3808" s="9" t="n">
        <v>2878.59</v>
      </c>
      <c r="S3808" s="9" t="n">
        <v>2624.04</v>
      </c>
      <c r="T3808" s="9" t="n">
        <v>2672.59</v>
      </c>
      <c r="U3808" s="10">
        <f>SUM(I3808:T3808)</f>
        <v/>
      </c>
    </row>
    <row r="3809">
      <c r="A3809" s="2" t="inlineStr">
        <is>
          <t>SN-3000-3400-3420-3420EL0001</t>
        </is>
      </c>
      <c r="B3809" s="2" t="inlineStr">
        <is>
          <t>3420EL0001</t>
        </is>
      </c>
      <c r="C3809" s="2" t="inlineStr">
        <is>
          <t>Válvula temperatura eluato /impre TV3567</t>
        </is>
      </c>
      <c r="D3809" s="2" t="n">
        <v>1270</v>
      </c>
      <c r="E3809" s="2" t="inlineStr">
        <is>
          <t>CC-3000</t>
        </is>
      </c>
      <c r="F3809" s="2" t="inlineStr">
        <is>
          <t>P01</t>
        </is>
      </c>
      <c r="G3809" s="2" t="n">
        <v>610000</v>
      </c>
      <c r="H3809" s="2" t="inlineStr">
        <is>
          <t>Mano obra interna</t>
        </is>
      </c>
      <c r="I3809" s="9" t="n">
        <v>751.36</v>
      </c>
      <c r="J3809" s="9" t="n">
        <v>747.3099999999999</v>
      </c>
      <c r="K3809" s="9" t="n">
        <v>791.9</v>
      </c>
      <c r="L3809" s="9" t="n">
        <v>799.91</v>
      </c>
      <c r="M3809" s="9" t="n">
        <v>733.1900000000001</v>
      </c>
      <c r="N3809" s="9" t="n">
        <v>787.22</v>
      </c>
      <c r="O3809" s="9" t="n">
        <v>822.03</v>
      </c>
      <c r="P3809" s="9" t="n">
        <v>774.6900000000001</v>
      </c>
      <c r="Q3809" s="9" t="n">
        <v>747.28</v>
      </c>
      <c r="R3809" s="9" t="n">
        <v>802.36</v>
      </c>
      <c r="S3809" s="9" t="n">
        <v>758.9400000000001</v>
      </c>
      <c r="T3809" s="9" t="n">
        <v>852.71</v>
      </c>
      <c r="U3809" s="10">
        <f>SUM(I3809:T3809)</f>
        <v/>
      </c>
    </row>
    <row r="3810">
      <c r="A3810" s="2" t="inlineStr">
        <is>
          <t>SN-3000-3400-3420-3420EL0001</t>
        </is>
      </c>
      <c r="B3810" s="2" t="inlineStr">
        <is>
          <t>3420EL0001</t>
        </is>
      </c>
      <c r="C3810" s="2" t="inlineStr">
        <is>
          <t>Válvula temperatura eluato /impre TV3567</t>
        </is>
      </c>
      <c r="D3810" s="2" t="n">
        <v>1270</v>
      </c>
      <c r="E3810" s="2" t="inlineStr">
        <is>
          <t>CC-3000</t>
        </is>
      </c>
      <c r="F3810" s="2" t="inlineStr">
        <is>
          <t>P01</t>
        </is>
      </c>
      <c r="G3810" s="2" t="n">
        <v>620000</v>
      </c>
      <c r="H3810" s="2" t="inlineStr">
        <is>
          <t>Materiales</t>
        </is>
      </c>
      <c r="I3810" s="9" t="n">
        <v>869.66</v>
      </c>
      <c r="J3810" s="9" t="n">
        <v>945.58</v>
      </c>
      <c r="K3810" s="9" t="n">
        <v>965.45</v>
      </c>
      <c r="L3810" s="9" t="n">
        <v>922.61</v>
      </c>
      <c r="M3810" s="9" t="n">
        <v>927.8</v>
      </c>
      <c r="N3810" s="9" t="n">
        <v>824.0599999999999</v>
      </c>
      <c r="O3810" s="9" t="n">
        <v>917.3</v>
      </c>
      <c r="P3810" s="9" t="n">
        <v>926.01</v>
      </c>
      <c r="Q3810" s="9" t="n">
        <v>904.61</v>
      </c>
      <c r="R3810" s="9" t="n">
        <v>912.9</v>
      </c>
      <c r="S3810" s="9" t="n">
        <v>862.85</v>
      </c>
      <c r="T3810" s="9" t="n">
        <v>987.5599999999999</v>
      </c>
      <c r="U3810" s="10">
        <f>SUM(I3810:T3810)</f>
        <v/>
      </c>
    </row>
    <row r="3811">
      <c r="A3811" s="2" t="inlineStr">
        <is>
          <t>SN-3000-3400-3420-3420EL0001</t>
        </is>
      </c>
      <c r="B3811" s="2" t="inlineStr">
        <is>
          <t>3420EL0001</t>
        </is>
      </c>
      <c r="C3811" s="2" t="inlineStr">
        <is>
          <t>Válvula temperatura eluato /impre TV3567</t>
        </is>
      </c>
      <c r="D3811" s="2" t="n">
        <v>1270</v>
      </c>
      <c r="E3811" s="2" t="inlineStr">
        <is>
          <t>CC-3000</t>
        </is>
      </c>
      <c r="F3811" s="2" t="inlineStr">
        <is>
          <t>P01</t>
        </is>
      </c>
      <c r="G3811" s="2" t="n">
        <v>630000</v>
      </c>
      <c r="H3811" s="2" t="inlineStr">
        <is>
          <t>Servicios externos</t>
        </is>
      </c>
      <c r="I3811" s="9" t="n">
        <v>880.88</v>
      </c>
      <c r="J3811" s="9" t="n">
        <v>744.74</v>
      </c>
      <c r="K3811" s="9" t="n">
        <v>783.41</v>
      </c>
      <c r="L3811" s="9" t="n">
        <v>816.67</v>
      </c>
      <c r="M3811" s="9" t="n">
        <v>848.15</v>
      </c>
      <c r="N3811" s="9" t="n">
        <v>735.86</v>
      </c>
      <c r="O3811" s="9" t="n">
        <v>806.6799999999999</v>
      </c>
      <c r="P3811" s="9" t="n">
        <v>772.6900000000001</v>
      </c>
      <c r="Q3811" s="9" t="n">
        <v>731.09</v>
      </c>
      <c r="R3811" s="9" t="n">
        <v>886.59</v>
      </c>
      <c r="S3811" s="9" t="n">
        <v>772.46</v>
      </c>
      <c r="T3811" s="9" t="n">
        <v>795.48</v>
      </c>
      <c r="U3811" s="10">
        <f>SUM(I3811:T3811)</f>
        <v/>
      </c>
    </row>
    <row r="3812">
      <c r="A3812" s="2" t="inlineStr">
        <is>
          <t>SN-3000-3400-3420-3420EL0002</t>
        </is>
      </c>
      <c r="B3812" s="2" t="inlineStr">
        <is>
          <t>3420EL0002</t>
        </is>
      </c>
      <c r="C3812" s="2" t="inlineStr">
        <is>
          <t>Transmisor temperatur eluat/limp TIT3567</t>
        </is>
      </c>
      <c r="D3812" s="2" t="n">
        <v>1271</v>
      </c>
      <c r="E3812" s="2" t="inlineStr">
        <is>
          <t>CC-3000</t>
        </is>
      </c>
      <c r="F3812" s="2" t="inlineStr">
        <is>
          <t>P01</t>
        </is>
      </c>
      <c r="G3812" s="2" t="n">
        <v>610000</v>
      </c>
      <c r="H3812" s="2" t="inlineStr">
        <is>
          <t>Mano obra interna</t>
        </is>
      </c>
      <c r="I3812" s="9" t="n">
        <v>1017.91</v>
      </c>
      <c r="J3812" s="9" t="n">
        <v>893.48</v>
      </c>
      <c r="K3812" s="9" t="n">
        <v>993.36</v>
      </c>
      <c r="L3812" s="9" t="n">
        <v>951.75</v>
      </c>
      <c r="M3812" s="9" t="n">
        <v>937.49</v>
      </c>
      <c r="N3812" s="9" t="n">
        <v>971.12</v>
      </c>
      <c r="O3812" s="9" t="n">
        <v>1032.94</v>
      </c>
      <c r="P3812" s="9" t="n">
        <v>925.63</v>
      </c>
      <c r="Q3812" s="9" t="n">
        <v>917.97</v>
      </c>
      <c r="R3812" s="9" t="n">
        <v>1071.26</v>
      </c>
      <c r="S3812" s="9" t="n">
        <v>986.4400000000001</v>
      </c>
      <c r="T3812" s="9" t="n">
        <v>1042.98</v>
      </c>
      <c r="U3812" s="10">
        <f>SUM(I3812:T3812)</f>
        <v/>
      </c>
    </row>
    <row r="3813">
      <c r="A3813" s="2" t="inlineStr">
        <is>
          <t>SN-3000-3400-3420-3420EL0002</t>
        </is>
      </c>
      <c r="B3813" s="2" t="inlineStr">
        <is>
          <t>3420EL0002</t>
        </is>
      </c>
      <c r="C3813" s="2" t="inlineStr">
        <is>
          <t>Transmisor temperatur eluat/limp TIT3567</t>
        </is>
      </c>
      <c r="D3813" s="2" t="n">
        <v>1271</v>
      </c>
      <c r="E3813" s="2" t="inlineStr">
        <is>
          <t>CC-3000</t>
        </is>
      </c>
      <c r="F3813" s="2" t="inlineStr">
        <is>
          <t>P01</t>
        </is>
      </c>
      <c r="G3813" s="2" t="n">
        <v>620000</v>
      </c>
      <c r="H3813" s="2" t="inlineStr">
        <is>
          <t>Materiales</t>
        </is>
      </c>
      <c r="I3813" s="9" t="n">
        <v>1053.03</v>
      </c>
      <c r="J3813" s="9" t="n">
        <v>1014.14</v>
      </c>
      <c r="K3813" s="9" t="n">
        <v>988.92</v>
      </c>
      <c r="L3813" s="9" t="n">
        <v>985.29</v>
      </c>
      <c r="M3813" s="9" t="n">
        <v>973.13</v>
      </c>
      <c r="N3813" s="9" t="n">
        <v>897.04</v>
      </c>
      <c r="O3813" s="9" t="n">
        <v>982.87</v>
      </c>
      <c r="P3813" s="9" t="n">
        <v>959.0700000000001</v>
      </c>
      <c r="Q3813" s="9" t="n">
        <v>825.14</v>
      </c>
      <c r="R3813" s="9" t="n">
        <v>1090.98</v>
      </c>
      <c r="S3813" s="9" t="n">
        <v>992.34</v>
      </c>
      <c r="T3813" s="9" t="n">
        <v>898.15</v>
      </c>
      <c r="U3813" s="10">
        <f>SUM(I3813:T3813)</f>
        <v/>
      </c>
    </row>
    <row r="3814">
      <c r="A3814" s="2" t="inlineStr">
        <is>
          <t>SN-3000-3400-3420-3420EL0002</t>
        </is>
      </c>
      <c r="B3814" s="2" t="inlineStr">
        <is>
          <t>3420EL0002</t>
        </is>
      </c>
      <c r="C3814" s="2" t="inlineStr">
        <is>
          <t>Transmisor temperatur eluat/limp TIT3567</t>
        </is>
      </c>
      <c r="D3814" s="2" t="n">
        <v>1271</v>
      </c>
      <c r="E3814" s="2" t="inlineStr">
        <is>
          <t>CC-3000</t>
        </is>
      </c>
      <c r="F3814" s="2" t="inlineStr">
        <is>
          <t>P01</t>
        </is>
      </c>
      <c r="G3814" s="2" t="n">
        <v>630000</v>
      </c>
      <c r="H3814" s="2" t="inlineStr">
        <is>
          <t>Servicios externos</t>
        </is>
      </c>
      <c r="I3814" s="9" t="n">
        <v>1060.26</v>
      </c>
      <c r="J3814" s="9" t="n">
        <v>1056.19</v>
      </c>
      <c r="K3814" s="9" t="n">
        <v>1091.41</v>
      </c>
      <c r="L3814" s="9" t="n">
        <v>1090.13</v>
      </c>
      <c r="M3814" s="9" t="n">
        <v>1046.19</v>
      </c>
      <c r="N3814" s="9" t="n">
        <v>1068.65</v>
      </c>
      <c r="O3814" s="9" t="n">
        <v>1089.49</v>
      </c>
      <c r="P3814" s="9" t="n">
        <v>1042.37</v>
      </c>
      <c r="Q3814" s="9" t="n">
        <v>1014.52</v>
      </c>
      <c r="R3814" s="9" t="n">
        <v>1225.8</v>
      </c>
      <c r="S3814" s="9" t="n">
        <v>955.38</v>
      </c>
      <c r="T3814" s="9" t="n">
        <v>1054.42</v>
      </c>
      <c r="U3814" s="10">
        <f>SUM(I3814:T3814)</f>
        <v/>
      </c>
    </row>
    <row r="3815">
      <c r="A3815" s="2" t="inlineStr">
        <is>
          <t>SN-3000-3400-3420-3420TK0106</t>
        </is>
      </c>
      <c r="B3815" s="2" t="inlineStr">
        <is>
          <t>3420TK0106</t>
        </is>
      </c>
      <c r="C3815" s="2" t="inlineStr">
        <is>
          <t>Columna de soplado TK0106</t>
        </is>
      </c>
      <c r="D3815" s="2" t="n">
        <v>1272</v>
      </c>
      <c r="E3815" s="2" t="inlineStr">
        <is>
          <t>CC-3000</t>
        </is>
      </c>
      <c r="F3815" s="2" t="inlineStr">
        <is>
          <t>P01</t>
        </is>
      </c>
      <c r="G3815" s="2" t="n">
        <v>610000</v>
      </c>
      <c r="H3815" s="2" t="inlineStr">
        <is>
          <t>Mano obra interna</t>
        </is>
      </c>
      <c r="I3815" s="9" t="n">
        <v>2949.19</v>
      </c>
      <c r="J3815" s="9" t="n">
        <v>2931.1</v>
      </c>
      <c r="K3815" s="9" t="n">
        <v>2659.22</v>
      </c>
      <c r="L3815" s="9" t="n">
        <v>3008.95</v>
      </c>
      <c r="M3815" s="9" t="n">
        <v>2882.32</v>
      </c>
      <c r="N3815" s="9" t="n">
        <v>2794.39</v>
      </c>
      <c r="O3815" s="9" t="n">
        <v>2827.12</v>
      </c>
      <c r="P3815" s="9" t="n">
        <v>2581.12</v>
      </c>
      <c r="Q3815" s="9" t="n">
        <v>2606.42</v>
      </c>
      <c r="R3815" s="9" t="n">
        <v>2956.47</v>
      </c>
      <c r="S3815" s="9" t="n">
        <v>2705.33</v>
      </c>
      <c r="T3815" s="9" t="n">
        <v>2932.42</v>
      </c>
      <c r="U3815" s="10">
        <f>SUM(I3815:T3815)</f>
        <v/>
      </c>
    </row>
    <row r="3816">
      <c r="A3816" s="2" t="inlineStr">
        <is>
          <t>SN-3000-3400-3420-3420TK0106</t>
        </is>
      </c>
      <c r="B3816" s="2" t="inlineStr">
        <is>
          <t>3420TK0106</t>
        </is>
      </c>
      <c r="C3816" s="2" t="inlineStr">
        <is>
          <t>Columna de soplado TK0106</t>
        </is>
      </c>
      <c r="D3816" s="2" t="n">
        <v>1272</v>
      </c>
      <c r="E3816" s="2" t="inlineStr">
        <is>
          <t>CC-3000</t>
        </is>
      </c>
      <c r="F3816" s="2" t="inlineStr">
        <is>
          <t>P01</t>
        </is>
      </c>
      <c r="G3816" s="2" t="n">
        <v>620000</v>
      </c>
      <c r="H3816" s="2" t="inlineStr">
        <is>
          <t>Materiales</t>
        </is>
      </c>
      <c r="I3816" s="9" t="n">
        <v>2491.78</v>
      </c>
      <c r="J3816" s="9" t="n">
        <v>2526.05</v>
      </c>
      <c r="K3816" s="9" t="n">
        <v>2430.86</v>
      </c>
      <c r="L3816" s="9" t="n">
        <v>2376.13</v>
      </c>
      <c r="M3816" s="9" t="n">
        <v>2459.21</v>
      </c>
      <c r="N3816" s="9" t="n">
        <v>2513.1</v>
      </c>
      <c r="O3816" s="9" t="n">
        <v>2656.22</v>
      </c>
      <c r="P3816" s="9" t="n">
        <v>2542.92</v>
      </c>
      <c r="Q3816" s="9" t="n">
        <v>2488.56</v>
      </c>
      <c r="R3816" s="9" t="n">
        <v>2559.73</v>
      </c>
      <c r="S3816" s="9" t="n">
        <v>2625.55</v>
      </c>
      <c r="T3816" s="9" t="n">
        <v>2735.08</v>
      </c>
      <c r="U3816" s="10">
        <f>SUM(I3816:T3816)</f>
        <v/>
      </c>
    </row>
    <row r="3817">
      <c r="A3817" s="2" t="inlineStr">
        <is>
          <t>SN-3000-3400-3420-3420TK0106</t>
        </is>
      </c>
      <c r="B3817" s="2" t="inlineStr">
        <is>
          <t>3420TK0106</t>
        </is>
      </c>
      <c r="C3817" s="2" t="inlineStr">
        <is>
          <t>Columna de soplado TK0106</t>
        </is>
      </c>
      <c r="D3817" s="2" t="n">
        <v>1272</v>
      </c>
      <c r="E3817" s="2" t="inlineStr">
        <is>
          <t>CC-3000</t>
        </is>
      </c>
      <c r="F3817" s="2" t="inlineStr">
        <is>
          <t>P01</t>
        </is>
      </c>
      <c r="G3817" s="2" t="n">
        <v>630000</v>
      </c>
      <c r="H3817" s="2" t="inlineStr">
        <is>
          <t>Servicios externos</t>
        </is>
      </c>
      <c r="I3817" s="9" t="n">
        <v>2485.11</v>
      </c>
      <c r="J3817" s="9" t="n">
        <v>2560.73</v>
      </c>
      <c r="K3817" s="9" t="n">
        <v>2563.51</v>
      </c>
      <c r="L3817" s="9" t="n">
        <v>2732.04</v>
      </c>
      <c r="M3817" s="9" t="n">
        <v>2463.61</v>
      </c>
      <c r="N3817" s="9" t="n">
        <v>2496.93</v>
      </c>
      <c r="O3817" s="9" t="n">
        <v>2497.06</v>
      </c>
      <c r="P3817" s="9" t="n">
        <v>2484.1</v>
      </c>
      <c r="Q3817" s="9" t="n">
        <v>2339.9</v>
      </c>
      <c r="R3817" s="9" t="n">
        <v>2611.93</v>
      </c>
      <c r="S3817" s="9" t="n">
        <v>2623.32</v>
      </c>
      <c r="T3817" s="9" t="n">
        <v>2575.98</v>
      </c>
      <c r="U3817" s="10">
        <f>SUM(I3817:T3817)</f>
        <v/>
      </c>
    </row>
    <row r="3818">
      <c r="A3818" s="2" t="inlineStr">
        <is>
          <t>SN-3000-3400-3420-3420TK0107</t>
        </is>
      </c>
      <c r="B3818" s="2" t="inlineStr">
        <is>
          <t>3420TK0107</t>
        </is>
      </c>
      <c r="C3818" s="2" t="inlineStr">
        <is>
          <t>Columna de soplado TK0107</t>
        </is>
      </c>
      <c r="D3818" s="2" t="n">
        <v>1273</v>
      </c>
      <c r="E3818" s="2" t="inlineStr">
        <is>
          <t>CC-3000</t>
        </is>
      </c>
      <c r="F3818" s="2" t="inlineStr">
        <is>
          <t>P01</t>
        </is>
      </c>
      <c r="G3818" s="2" t="n">
        <v>610000</v>
      </c>
      <c r="H3818" s="2" t="inlineStr">
        <is>
          <t>Mano obra interna</t>
        </is>
      </c>
      <c r="I3818" s="9" t="n">
        <v>2186.95</v>
      </c>
      <c r="J3818" s="9" t="n">
        <v>1916.33</v>
      </c>
      <c r="K3818" s="9" t="n">
        <v>2092.23</v>
      </c>
      <c r="L3818" s="9" t="n">
        <v>2159.9</v>
      </c>
      <c r="M3818" s="9" t="n">
        <v>2207.85</v>
      </c>
      <c r="N3818" s="9" t="n">
        <v>1967.52</v>
      </c>
      <c r="O3818" s="9" t="n">
        <v>2093.5</v>
      </c>
      <c r="P3818" s="9" t="n">
        <v>2173.01</v>
      </c>
      <c r="Q3818" s="9" t="n">
        <v>2040.87</v>
      </c>
      <c r="R3818" s="9" t="n">
        <v>2407.67</v>
      </c>
      <c r="S3818" s="9" t="n">
        <v>2023.26</v>
      </c>
      <c r="T3818" s="9" t="n">
        <v>2018.04</v>
      </c>
      <c r="U3818" s="10">
        <f>SUM(I3818:T3818)</f>
        <v/>
      </c>
    </row>
    <row r="3819">
      <c r="A3819" s="2" t="inlineStr">
        <is>
          <t>SN-3000-3400-3420-3420TK0107</t>
        </is>
      </c>
      <c r="B3819" s="2" t="inlineStr">
        <is>
          <t>3420TK0107</t>
        </is>
      </c>
      <c r="C3819" s="2" t="inlineStr">
        <is>
          <t>Columna de soplado TK0107</t>
        </is>
      </c>
      <c r="D3819" s="2" t="n">
        <v>1273</v>
      </c>
      <c r="E3819" s="2" t="inlineStr">
        <is>
          <t>CC-3000</t>
        </is>
      </c>
      <c r="F3819" s="2" t="inlineStr">
        <is>
          <t>P01</t>
        </is>
      </c>
      <c r="G3819" s="2" t="n">
        <v>620000</v>
      </c>
      <c r="H3819" s="2" t="inlineStr">
        <is>
          <t>Materiales</t>
        </is>
      </c>
      <c r="I3819" s="9" t="n">
        <v>1994.28</v>
      </c>
      <c r="J3819" s="9" t="n">
        <v>2019.85</v>
      </c>
      <c r="K3819" s="9" t="n">
        <v>2187.78</v>
      </c>
      <c r="L3819" s="9" t="n">
        <v>2189.06</v>
      </c>
      <c r="M3819" s="9" t="n">
        <v>2133.24</v>
      </c>
      <c r="N3819" s="9" t="n">
        <v>1889.34</v>
      </c>
      <c r="O3819" s="9" t="n">
        <v>2239.21</v>
      </c>
      <c r="P3819" s="9" t="n">
        <v>1969.66</v>
      </c>
      <c r="Q3819" s="9" t="n">
        <v>1809.39</v>
      </c>
      <c r="R3819" s="9" t="n">
        <v>2299.85</v>
      </c>
      <c r="S3819" s="9" t="n">
        <v>2143.65</v>
      </c>
      <c r="T3819" s="9" t="n">
        <v>2128.94</v>
      </c>
      <c r="U3819" s="10">
        <f>SUM(I3819:T3819)</f>
        <v/>
      </c>
    </row>
    <row r="3820">
      <c r="A3820" s="2" t="inlineStr">
        <is>
          <t>SN-3000-3400-3420-3420TK0107</t>
        </is>
      </c>
      <c r="B3820" s="2" t="inlineStr">
        <is>
          <t>3420TK0107</t>
        </is>
      </c>
      <c r="C3820" s="2" t="inlineStr">
        <is>
          <t>Columna de soplado TK0107</t>
        </is>
      </c>
      <c r="D3820" s="2" t="n">
        <v>1273</v>
      </c>
      <c r="E3820" s="2" t="inlineStr">
        <is>
          <t>CC-3000</t>
        </is>
      </c>
      <c r="F3820" s="2" t="inlineStr">
        <is>
          <t>P01</t>
        </is>
      </c>
      <c r="G3820" s="2" t="n">
        <v>630000</v>
      </c>
      <c r="H3820" s="2" t="inlineStr">
        <is>
          <t>Servicios externos</t>
        </is>
      </c>
      <c r="I3820" s="9" t="n">
        <v>2070.51</v>
      </c>
      <c r="J3820" s="9" t="n">
        <v>1840.05</v>
      </c>
      <c r="K3820" s="9" t="n">
        <v>2139.93</v>
      </c>
      <c r="L3820" s="9" t="n">
        <v>2013.51</v>
      </c>
      <c r="M3820" s="9" t="n">
        <v>2134.03</v>
      </c>
      <c r="N3820" s="9" t="n">
        <v>1830.68</v>
      </c>
      <c r="O3820" s="9" t="n">
        <v>1952.88</v>
      </c>
      <c r="P3820" s="9" t="n">
        <v>2015.88</v>
      </c>
      <c r="Q3820" s="9" t="n">
        <v>1869.68</v>
      </c>
      <c r="R3820" s="9" t="n">
        <v>2139.23</v>
      </c>
      <c r="S3820" s="9" t="n">
        <v>1893.49</v>
      </c>
      <c r="T3820" s="9" t="n">
        <v>1930.27</v>
      </c>
      <c r="U3820" s="10">
        <f>SUM(I3820:T3820)</f>
        <v/>
      </c>
    </row>
    <row r="3821">
      <c r="A3821" s="2" t="inlineStr">
        <is>
          <t>SN-3000-3400-3420-3420XM0131</t>
        </is>
      </c>
      <c r="B3821" s="2" t="inlineStr">
        <is>
          <t>3420XM0131</t>
        </is>
      </c>
      <c r="C3821" s="2" t="inlineStr">
        <is>
          <t>Estanque separador XM0131</t>
        </is>
      </c>
      <c r="D3821" s="2" t="n">
        <v>1274</v>
      </c>
      <c r="E3821" s="2" t="inlineStr">
        <is>
          <t>CC-3000</t>
        </is>
      </c>
      <c r="F3821" s="2" t="inlineStr">
        <is>
          <t>P01</t>
        </is>
      </c>
      <c r="G3821" s="2" t="n">
        <v>610000</v>
      </c>
      <c r="H3821" s="2" t="inlineStr">
        <is>
          <t>Mano obra interna</t>
        </is>
      </c>
      <c r="I3821" s="9" t="n">
        <v>1103.09</v>
      </c>
      <c r="J3821" s="9" t="n">
        <v>1085.53</v>
      </c>
      <c r="K3821" s="9" t="n">
        <v>1132.35</v>
      </c>
      <c r="L3821" s="9" t="n">
        <v>1126.97</v>
      </c>
      <c r="M3821" s="9" t="n">
        <v>1113.57</v>
      </c>
      <c r="N3821" s="9" t="n">
        <v>1063.2</v>
      </c>
      <c r="O3821" s="9" t="n">
        <v>1050.56</v>
      </c>
      <c r="P3821" s="9" t="n">
        <v>1098.04</v>
      </c>
      <c r="Q3821" s="9" t="n">
        <v>972.73</v>
      </c>
      <c r="R3821" s="9" t="n">
        <v>1191.64</v>
      </c>
      <c r="S3821" s="9" t="n">
        <v>1043.22</v>
      </c>
      <c r="T3821" s="9" t="n">
        <v>1024.2</v>
      </c>
      <c r="U3821" s="10">
        <f>SUM(I3821:T3821)</f>
        <v/>
      </c>
    </row>
    <row r="3822">
      <c r="A3822" s="2" t="inlineStr">
        <is>
          <t>SN-3000-3400-3420-3420XM0131</t>
        </is>
      </c>
      <c r="B3822" s="2" t="inlineStr">
        <is>
          <t>3420XM0131</t>
        </is>
      </c>
      <c r="C3822" s="2" t="inlineStr">
        <is>
          <t>Estanque separador XM0131</t>
        </is>
      </c>
      <c r="D3822" s="2" t="n">
        <v>1274</v>
      </c>
      <c r="E3822" s="2" t="inlineStr">
        <is>
          <t>CC-3000</t>
        </is>
      </c>
      <c r="F3822" s="2" t="inlineStr">
        <is>
          <t>P01</t>
        </is>
      </c>
      <c r="G3822" s="2" t="n">
        <v>620000</v>
      </c>
      <c r="H3822" s="2" t="inlineStr">
        <is>
          <t>Materiales</t>
        </is>
      </c>
      <c r="I3822" s="9" t="n">
        <v>1039.75</v>
      </c>
      <c r="J3822" s="9" t="n">
        <v>1110.58</v>
      </c>
      <c r="K3822" s="9" t="n">
        <v>1051.78</v>
      </c>
      <c r="L3822" s="9" t="n">
        <v>1165.72</v>
      </c>
      <c r="M3822" s="9" t="n">
        <v>1039.49</v>
      </c>
      <c r="N3822" s="9" t="n">
        <v>933.65</v>
      </c>
      <c r="O3822" s="9" t="n">
        <v>985.4299999999999</v>
      </c>
      <c r="P3822" s="9" t="n">
        <v>985.23</v>
      </c>
      <c r="Q3822" s="9" t="n">
        <v>913.74</v>
      </c>
      <c r="R3822" s="9" t="n">
        <v>1097.15</v>
      </c>
      <c r="S3822" s="9" t="n">
        <v>994.17</v>
      </c>
      <c r="T3822" s="9" t="n">
        <v>1005.61</v>
      </c>
      <c r="U3822" s="10">
        <f>SUM(I3822:T3822)</f>
        <v/>
      </c>
    </row>
    <row r="3823">
      <c r="A3823" s="2" t="inlineStr">
        <is>
          <t>SN-3000-3400-3420-3420XM0131</t>
        </is>
      </c>
      <c r="B3823" s="2" t="inlineStr">
        <is>
          <t>3420XM0131</t>
        </is>
      </c>
      <c r="C3823" s="2" t="inlineStr">
        <is>
          <t>Estanque separador XM0131</t>
        </is>
      </c>
      <c r="D3823" s="2" t="n">
        <v>1274</v>
      </c>
      <c r="E3823" s="2" t="inlineStr">
        <is>
          <t>CC-3000</t>
        </is>
      </c>
      <c r="F3823" s="2" t="inlineStr">
        <is>
          <t>P01</t>
        </is>
      </c>
      <c r="G3823" s="2" t="n">
        <v>630000</v>
      </c>
      <c r="H3823" s="2" t="inlineStr">
        <is>
          <t>Servicios externos</t>
        </is>
      </c>
      <c r="I3823" s="9" t="n">
        <v>932.3099999999999</v>
      </c>
      <c r="J3823" s="9" t="n">
        <v>939.3</v>
      </c>
      <c r="K3823" s="9" t="n">
        <v>916.0599999999999</v>
      </c>
      <c r="L3823" s="9" t="n">
        <v>1017.15</v>
      </c>
      <c r="M3823" s="9" t="n">
        <v>926.09</v>
      </c>
      <c r="N3823" s="9" t="n">
        <v>910.05</v>
      </c>
      <c r="O3823" s="9" t="n">
        <v>865.01</v>
      </c>
      <c r="P3823" s="9" t="n">
        <v>941.51</v>
      </c>
      <c r="Q3823" s="9" t="n">
        <v>850.53</v>
      </c>
      <c r="R3823" s="9" t="n">
        <v>1074.9</v>
      </c>
      <c r="S3823" s="9" t="n">
        <v>959.33</v>
      </c>
      <c r="T3823" s="9" t="n">
        <v>968.11</v>
      </c>
      <c r="U3823" s="10">
        <f>SUM(I3823:T3823)</f>
        <v/>
      </c>
    </row>
    <row r="3824">
      <c r="A3824" s="2" t="inlineStr">
        <is>
          <t>SN-3000-3400-3450-3450CN0011</t>
        </is>
      </c>
      <c r="B3824" s="2" t="inlineStr">
        <is>
          <t>3450CN0011</t>
        </is>
      </c>
      <c r="C3824" s="2" t="inlineStr">
        <is>
          <t>Puente grúa CN0011</t>
        </is>
      </c>
      <c r="D3824" s="2" t="n">
        <v>1275</v>
      </c>
      <c r="E3824" s="2" t="inlineStr">
        <is>
          <t>CC-3000</t>
        </is>
      </c>
      <c r="F3824" s="2" t="inlineStr">
        <is>
          <t>P01</t>
        </is>
      </c>
      <c r="G3824" s="2" t="n">
        <v>610000</v>
      </c>
      <c r="H3824" s="2" t="inlineStr">
        <is>
          <t>Mano obra interna</t>
        </is>
      </c>
      <c r="I3824" s="9" t="n">
        <v>775.23</v>
      </c>
      <c r="J3824" s="9" t="n">
        <v>674.5</v>
      </c>
      <c r="K3824" s="9" t="n">
        <v>790.6</v>
      </c>
      <c r="L3824" s="9" t="n">
        <v>719.4</v>
      </c>
      <c r="M3824" s="9" t="n">
        <v>756.01</v>
      </c>
      <c r="N3824" s="9" t="n">
        <v>654.05</v>
      </c>
      <c r="O3824" s="9" t="n">
        <v>720.1</v>
      </c>
      <c r="P3824" s="9" t="n">
        <v>743.6900000000001</v>
      </c>
      <c r="Q3824" s="9" t="n">
        <v>672.48</v>
      </c>
      <c r="R3824" s="9" t="n">
        <v>825.29</v>
      </c>
      <c r="S3824" s="9" t="n">
        <v>721.14</v>
      </c>
      <c r="T3824" s="9" t="n">
        <v>808.65</v>
      </c>
      <c r="U3824" s="10">
        <f>SUM(I3824:T3824)</f>
        <v/>
      </c>
    </row>
    <row r="3825">
      <c r="A3825" s="2" t="inlineStr">
        <is>
          <t>SN-3000-3400-3450-3450CN0011</t>
        </is>
      </c>
      <c r="B3825" s="2" t="inlineStr">
        <is>
          <t>3450CN0011</t>
        </is>
      </c>
      <c r="C3825" s="2" t="inlineStr">
        <is>
          <t>Puente grúa CN0011</t>
        </is>
      </c>
      <c r="D3825" s="2" t="n">
        <v>1275</v>
      </c>
      <c r="E3825" s="2" t="inlineStr">
        <is>
          <t>CC-3000</t>
        </is>
      </c>
      <c r="F3825" s="2" t="inlineStr">
        <is>
          <t>P01</t>
        </is>
      </c>
      <c r="G3825" s="2" t="n">
        <v>620000</v>
      </c>
      <c r="H3825" s="2" t="inlineStr">
        <is>
          <t>Materiales</t>
        </is>
      </c>
      <c r="I3825" s="9" t="n">
        <v>681.38</v>
      </c>
      <c r="J3825" s="9" t="n">
        <v>668.9400000000001</v>
      </c>
      <c r="K3825" s="9" t="n">
        <v>638.77</v>
      </c>
      <c r="L3825" s="9" t="n">
        <v>685.59</v>
      </c>
      <c r="M3825" s="9" t="n">
        <v>627.03</v>
      </c>
      <c r="N3825" s="9" t="n">
        <v>579.66</v>
      </c>
      <c r="O3825" s="9" t="n">
        <v>593.67</v>
      </c>
      <c r="P3825" s="9" t="n">
        <v>669.23</v>
      </c>
      <c r="Q3825" s="9" t="n">
        <v>569.91</v>
      </c>
      <c r="R3825" s="9" t="n">
        <v>645.22</v>
      </c>
      <c r="S3825" s="9" t="n">
        <v>623.73</v>
      </c>
      <c r="T3825" s="9" t="n">
        <v>638.11</v>
      </c>
      <c r="U3825" s="10">
        <f>SUM(I3825:T3825)</f>
        <v/>
      </c>
    </row>
    <row r="3826">
      <c r="A3826" s="2" t="inlineStr">
        <is>
          <t>SN-3000-3400-3450-3450CN0011</t>
        </is>
      </c>
      <c r="B3826" s="2" t="inlineStr">
        <is>
          <t>3450CN0011</t>
        </is>
      </c>
      <c r="C3826" s="2" t="inlineStr">
        <is>
          <t>Puente grúa CN0011</t>
        </is>
      </c>
      <c r="D3826" s="2" t="n">
        <v>1275</v>
      </c>
      <c r="E3826" s="2" t="inlineStr">
        <is>
          <t>CC-3000</t>
        </is>
      </c>
      <c r="F3826" s="2" t="inlineStr">
        <is>
          <t>P01</t>
        </is>
      </c>
      <c r="G3826" s="2" t="n">
        <v>630000</v>
      </c>
      <c r="H3826" s="2" t="inlineStr">
        <is>
          <t>Servicios externos</t>
        </is>
      </c>
      <c r="I3826" s="9" t="n">
        <v>665.5700000000001</v>
      </c>
      <c r="J3826" s="9" t="n">
        <v>644.88</v>
      </c>
      <c r="K3826" s="9" t="n">
        <v>706.6799999999999</v>
      </c>
      <c r="L3826" s="9" t="n">
        <v>713.34</v>
      </c>
      <c r="M3826" s="9" t="n">
        <v>724.2</v>
      </c>
      <c r="N3826" s="9" t="n">
        <v>674.23</v>
      </c>
      <c r="O3826" s="9" t="n">
        <v>740.83</v>
      </c>
      <c r="P3826" s="9" t="n">
        <v>663.77</v>
      </c>
      <c r="Q3826" s="9" t="n">
        <v>657.5599999999999</v>
      </c>
      <c r="R3826" s="9" t="n">
        <v>768.87</v>
      </c>
      <c r="S3826" s="9" t="n">
        <v>697.79</v>
      </c>
      <c r="T3826" s="9" t="n">
        <v>761.21</v>
      </c>
      <c r="U3826" s="10">
        <f>SUM(I3826:T3826)</f>
        <v/>
      </c>
    </row>
    <row r="3827">
      <c r="A3827" s="2" t="inlineStr">
        <is>
          <t>SN-3000-3400-3450-3450FA0012</t>
        </is>
      </c>
      <c r="B3827" s="2" t="inlineStr">
        <is>
          <t>3450FA0012</t>
        </is>
      </c>
      <c r="C3827" s="2" t="inlineStr">
        <is>
          <t>Ventilador centrífugo FA0012</t>
        </is>
      </c>
      <c r="D3827" s="2" t="n">
        <v>1276</v>
      </c>
      <c r="E3827" s="2" t="inlineStr">
        <is>
          <t>CC-3000</t>
        </is>
      </c>
      <c r="F3827" s="2" t="inlineStr">
        <is>
          <t>P01</t>
        </is>
      </c>
      <c r="G3827" s="2" t="n">
        <v>610000</v>
      </c>
      <c r="H3827" s="2" t="inlineStr">
        <is>
          <t>Mano obra interna</t>
        </is>
      </c>
      <c r="I3827" s="9" t="n">
        <v>665.22</v>
      </c>
      <c r="J3827" s="9" t="n">
        <v>692.41</v>
      </c>
      <c r="K3827" s="9" t="n">
        <v>651.1</v>
      </c>
      <c r="L3827" s="9" t="n">
        <v>629.83</v>
      </c>
      <c r="M3827" s="9" t="n">
        <v>652.72</v>
      </c>
      <c r="N3827" s="9" t="n">
        <v>610.5700000000001</v>
      </c>
      <c r="O3827" s="9" t="n">
        <v>654.83</v>
      </c>
      <c r="P3827" s="9" t="n">
        <v>716.78</v>
      </c>
      <c r="Q3827" s="9" t="n">
        <v>604.53</v>
      </c>
      <c r="R3827" s="9" t="n">
        <v>741.63</v>
      </c>
      <c r="S3827" s="9" t="n">
        <v>618.5599999999999</v>
      </c>
      <c r="T3827" s="9" t="n">
        <v>654.1900000000001</v>
      </c>
      <c r="U3827" s="10">
        <f>SUM(I3827:T3827)</f>
        <v/>
      </c>
    </row>
    <row r="3828">
      <c r="A3828" s="2" t="inlineStr">
        <is>
          <t>SN-3000-3400-3450-3450FA0012</t>
        </is>
      </c>
      <c r="B3828" s="2" t="inlineStr">
        <is>
          <t>3450FA0012</t>
        </is>
      </c>
      <c r="C3828" s="2" t="inlineStr">
        <is>
          <t>Ventilador centrífugo FA0012</t>
        </is>
      </c>
      <c r="D3828" s="2" t="n">
        <v>1276</v>
      </c>
      <c r="E3828" s="2" t="inlineStr">
        <is>
          <t>CC-3000</t>
        </is>
      </c>
      <c r="F3828" s="2" t="inlineStr">
        <is>
          <t>P01</t>
        </is>
      </c>
      <c r="G3828" s="2" t="n">
        <v>620000</v>
      </c>
      <c r="H3828" s="2" t="inlineStr">
        <is>
          <t>Materiales</t>
        </is>
      </c>
      <c r="I3828" s="9" t="n">
        <v>614.5599999999999</v>
      </c>
      <c r="J3828" s="9" t="n">
        <v>560.4400000000001</v>
      </c>
      <c r="K3828" s="9" t="n">
        <v>635.42</v>
      </c>
      <c r="L3828" s="9" t="n">
        <v>625.8</v>
      </c>
      <c r="M3828" s="9" t="n">
        <v>581.5599999999999</v>
      </c>
      <c r="N3828" s="9" t="n">
        <v>525.8</v>
      </c>
      <c r="O3828" s="9" t="n">
        <v>549.9299999999999</v>
      </c>
      <c r="P3828" s="9" t="n">
        <v>597.8099999999999</v>
      </c>
      <c r="Q3828" s="9" t="n">
        <v>584.0700000000001</v>
      </c>
      <c r="R3828" s="9" t="n">
        <v>651.96</v>
      </c>
      <c r="S3828" s="9" t="n">
        <v>570.2</v>
      </c>
      <c r="T3828" s="9" t="n">
        <v>640.9</v>
      </c>
      <c r="U3828" s="10">
        <f>SUM(I3828:T3828)</f>
        <v/>
      </c>
    </row>
    <row r="3829">
      <c r="A3829" s="2" t="inlineStr">
        <is>
          <t>SN-3000-3400-3450-3450FA0012</t>
        </is>
      </c>
      <c r="B3829" s="2" t="inlineStr">
        <is>
          <t>3450FA0012</t>
        </is>
      </c>
      <c r="C3829" s="2" t="inlineStr">
        <is>
          <t>Ventilador centrífugo FA0012</t>
        </is>
      </c>
      <c r="D3829" s="2" t="n">
        <v>1276</v>
      </c>
      <c r="E3829" s="2" t="inlineStr">
        <is>
          <t>CC-3000</t>
        </is>
      </c>
      <c r="F3829" s="2" t="inlineStr">
        <is>
          <t>P01</t>
        </is>
      </c>
      <c r="G3829" s="2" t="n">
        <v>630000</v>
      </c>
      <c r="H3829" s="2" t="inlineStr">
        <is>
          <t>Servicios externos</t>
        </is>
      </c>
      <c r="I3829" s="9" t="n">
        <v>582.66</v>
      </c>
      <c r="J3829" s="9" t="n">
        <v>581.0599999999999</v>
      </c>
      <c r="K3829" s="9" t="n">
        <v>582.29</v>
      </c>
      <c r="L3829" s="9" t="n">
        <v>644.29</v>
      </c>
      <c r="M3829" s="9" t="n">
        <v>573.45</v>
      </c>
      <c r="N3829" s="9" t="n">
        <v>518.2</v>
      </c>
      <c r="O3829" s="9" t="n">
        <v>553.88</v>
      </c>
      <c r="P3829" s="9" t="n">
        <v>586.49</v>
      </c>
      <c r="Q3829" s="9" t="n">
        <v>547.89</v>
      </c>
      <c r="R3829" s="9" t="n">
        <v>678.47</v>
      </c>
      <c r="S3829" s="9" t="n">
        <v>574.29</v>
      </c>
      <c r="T3829" s="9" t="n">
        <v>608.36</v>
      </c>
      <c r="U3829" s="10">
        <f>SUM(I3829:T3829)</f>
        <v/>
      </c>
    </row>
    <row r="3830">
      <c r="A3830" s="2" t="inlineStr">
        <is>
          <t>SN-3000-3400-3450-3450HE0007</t>
        </is>
      </c>
      <c r="B3830" s="2" t="inlineStr">
        <is>
          <t>3450HE0007</t>
        </is>
      </c>
      <c r="C3830" s="2" t="inlineStr">
        <is>
          <t>Intercambiador calor tubos HE0007</t>
        </is>
      </c>
      <c r="D3830" s="2" t="n">
        <v>1277</v>
      </c>
      <c r="E3830" s="2" t="inlineStr">
        <is>
          <t>CC-3000</t>
        </is>
      </c>
      <c r="F3830" s="2" t="inlineStr">
        <is>
          <t>P01</t>
        </is>
      </c>
      <c r="G3830" s="2" t="n">
        <v>610000</v>
      </c>
      <c r="H3830" s="2" t="inlineStr">
        <is>
          <t>Mano obra interna</t>
        </is>
      </c>
      <c r="I3830" s="9" t="n">
        <v>149.94</v>
      </c>
      <c r="J3830" s="9" t="n">
        <v>156.88</v>
      </c>
      <c r="K3830" s="9" t="n">
        <v>171.13</v>
      </c>
      <c r="L3830" s="9" t="n">
        <v>162.43</v>
      </c>
      <c r="M3830" s="9" t="n">
        <v>153.69</v>
      </c>
      <c r="N3830" s="9" t="n">
        <v>151.72</v>
      </c>
      <c r="O3830" s="9" t="n">
        <v>156.02</v>
      </c>
      <c r="P3830" s="9" t="n">
        <v>147.64</v>
      </c>
      <c r="Q3830" s="9" t="n">
        <v>151.53</v>
      </c>
      <c r="R3830" s="9" t="n">
        <v>169.92</v>
      </c>
      <c r="S3830" s="9" t="n">
        <v>149.28</v>
      </c>
      <c r="T3830" s="9" t="n">
        <v>160.58</v>
      </c>
      <c r="U3830" s="10">
        <f>SUM(I3830:T3830)</f>
        <v/>
      </c>
    </row>
    <row r="3831">
      <c r="A3831" s="2" t="inlineStr">
        <is>
          <t>SN-3000-3400-3450-3450HE0007</t>
        </is>
      </c>
      <c r="B3831" s="2" t="inlineStr">
        <is>
          <t>3450HE0007</t>
        </is>
      </c>
      <c r="C3831" s="2" t="inlineStr">
        <is>
          <t>Intercambiador calor tubos HE0007</t>
        </is>
      </c>
      <c r="D3831" s="2" t="n">
        <v>1277</v>
      </c>
      <c r="E3831" s="2" t="inlineStr">
        <is>
          <t>CC-3000</t>
        </is>
      </c>
      <c r="F3831" s="2" t="inlineStr">
        <is>
          <t>P01</t>
        </is>
      </c>
      <c r="G3831" s="2" t="n">
        <v>620000</v>
      </c>
      <c r="H3831" s="2" t="inlineStr">
        <is>
          <t>Materiales</t>
        </is>
      </c>
      <c r="I3831" s="9" t="n">
        <v>153.46</v>
      </c>
      <c r="J3831" s="9" t="n">
        <v>152.71</v>
      </c>
      <c r="K3831" s="9" t="n">
        <v>150.02</v>
      </c>
      <c r="L3831" s="9" t="n">
        <v>161.62</v>
      </c>
      <c r="M3831" s="9" t="n">
        <v>151.01</v>
      </c>
      <c r="N3831" s="9" t="n">
        <v>153.81</v>
      </c>
      <c r="O3831" s="9" t="n">
        <v>160.6</v>
      </c>
      <c r="P3831" s="9" t="n">
        <v>151.83</v>
      </c>
      <c r="Q3831" s="9" t="n">
        <v>134.67</v>
      </c>
      <c r="R3831" s="9" t="n">
        <v>170.21</v>
      </c>
      <c r="S3831" s="9" t="n">
        <v>145.31</v>
      </c>
      <c r="T3831" s="9" t="n">
        <v>156.67</v>
      </c>
      <c r="U3831" s="10">
        <f>SUM(I3831:T3831)</f>
        <v/>
      </c>
    </row>
    <row r="3832">
      <c r="A3832" s="2" t="inlineStr">
        <is>
          <t>SN-3000-3400-3450-3450HE0007</t>
        </is>
      </c>
      <c r="B3832" s="2" t="inlineStr">
        <is>
          <t>3450HE0007</t>
        </is>
      </c>
      <c r="C3832" s="2" t="inlineStr">
        <is>
          <t>Intercambiador calor tubos HE0007</t>
        </is>
      </c>
      <c r="D3832" s="2" t="n">
        <v>1277</v>
      </c>
      <c r="E3832" s="2" t="inlineStr">
        <is>
          <t>CC-3000</t>
        </is>
      </c>
      <c r="F3832" s="2" t="inlineStr">
        <is>
          <t>P01</t>
        </is>
      </c>
      <c r="G3832" s="2" t="n">
        <v>630000</v>
      </c>
      <c r="H3832" s="2" t="inlineStr">
        <is>
          <t>Servicios externos</t>
        </is>
      </c>
      <c r="I3832" s="9" t="n">
        <v>151.84</v>
      </c>
      <c r="J3832" s="9" t="n">
        <v>140.56</v>
      </c>
      <c r="K3832" s="9" t="n">
        <v>146.29</v>
      </c>
      <c r="L3832" s="9" t="n">
        <v>160.31</v>
      </c>
      <c r="M3832" s="9" t="n">
        <v>142.6</v>
      </c>
      <c r="N3832" s="9" t="n">
        <v>143.24</v>
      </c>
      <c r="O3832" s="9" t="n">
        <v>148.71</v>
      </c>
      <c r="P3832" s="9" t="n">
        <v>136.34</v>
      </c>
      <c r="Q3832" s="9" t="n">
        <v>140.98</v>
      </c>
      <c r="R3832" s="9" t="n">
        <v>152.65</v>
      </c>
      <c r="S3832" s="9" t="n">
        <v>147.76</v>
      </c>
      <c r="T3832" s="9" t="n">
        <v>150.38</v>
      </c>
      <c r="U3832" s="10">
        <f>SUM(I3832:T3832)</f>
        <v/>
      </c>
    </row>
    <row r="3833">
      <c r="A3833" s="2" t="inlineStr">
        <is>
          <t>SN-3000-3400-3450-3450HO0014</t>
        </is>
      </c>
      <c r="B3833" s="2" t="inlineStr">
        <is>
          <t>3450HO0014</t>
        </is>
      </c>
      <c r="C3833" s="2" t="inlineStr">
        <is>
          <t>Tolva carbón HO0014</t>
        </is>
      </c>
      <c r="D3833" s="2" t="n">
        <v>1278</v>
      </c>
      <c r="E3833" s="2" t="inlineStr">
        <is>
          <t>CC-3000</t>
        </is>
      </c>
      <c r="F3833" s="2" t="inlineStr">
        <is>
          <t>P01</t>
        </is>
      </c>
      <c r="G3833" s="2" t="n">
        <v>610000</v>
      </c>
      <c r="H3833" s="2" t="inlineStr">
        <is>
          <t>Mano obra interna</t>
        </is>
      </c>
      <c r="I3833" s="9" t="n">
        <v>2625.82</v>
      </c>
      <c r="J3833" s="9" t="n">
        <v>2688.91</v>
      </c>
      <c r="K3833" s="9" t="n">
        <v>2737.79</v>
      </c>
      <c r="L3833" s="9" t="n">
        <v>2763.25</v>
      </c>
      <c r="M3833" s="9" t="n">
        <v>2463.06</v>
      </c>
      <c r="N3833" s="9" t="n">
        <v>2632.65</v>
      </c>
      <c r="O3833" s="9" t="n">
        <v>2558.23</v>
      </c>
      <c r="P3833" s="9" t="n">
        <v>2681.22</v>
      </c>
      <c r="Q3833" s="9" t="n">
        <v>2299.66</v>
      </c>
      <c r="R3833" s="9" t="n">
        <v>2758.08</v>
      </c>
      <c r="S3833" s="9" t="n">
        <v>2609.36</v>
      </c>
      <c r="T3833" s="9" t="n">
        <v>2575.3</v>
      </c>
      <c r="U3833" s="10">
        <f>SUM(I3833:T3833)</f>
        <v/>
      </c>
    </row>
    <row r="3834">
      <c r="A3834" s="2" t="inlineStr">
        <is>
          <t>SN-3000-3400-3450-3450HO0014</t>
        </is>
      </c>
      <c r="B3834" s="2" t="inlineStr">
        <is>
          <t>3450HO0014</t>
        </is>
      </c>
      <c r="C3834" s="2" t="inlineStr">
        <is>
          <t>Tolva carbón HO0014</t>
        </is>
      </c>
      <c r="D3834" s="2" t="n">
        <v>1278</v>
      </c>
      <c r="E3834" s="2" t="inlineStr">
        <is>
          <t>CC-3000</t>
        </is>
      </c>
      <c r="F3834" s="2" t="inlineStr">
        <is>
          <t>P01</t>
        </is>
      </c>
      <c r="G3834" s="2" t="n">
        <v>620000</v>
      </c>
      <c r="H3834" s="2" t="inlineStr">
        <is>
          <t>Materiales</t>
        </is>
      </c>
      <c r="I3834" s="9" t="n">
        <v>3138.15</v>
      </c>
      <c r="J3834" s="9" t="n">
        <v>3126.24</v>
      </c>
      <c r="K3834" s="9" t="n">
        <v>3039.84</v>
      </c>
      <c r="L3834" s="9" t="n">
        <v>2834.45</v>
      </c>
      <c r="M3834" s="9" t="n">
        <v>3001.89</v>
      </c>
      <c r="N3834" s="9" t="n">
        <v>2791.39</v>
      </c>
      <c r="O3834" s="9" t="n">
        <v>2973.26</v>
      </c>
      <c r="P3834" s="9" t="n">
        <v>3081.29</v>
      </c>
      <c r="Q3834" s="9" t="n">
        <v>2879.18</v>
      </c>
      <c r="R3834" s="9" t="n">
        <v>2987.49</v>
      </c>
      <c r="S3834" s="9" t="n">
        <v>3026.06</v>
      </c>
      <c r="T3834" s="9" t="n">
        <v>3038.1</v>
      </c>
      <c r="U3834" s="10">
        <f>SUM(I3834:T3834)</f>
        <v/>
      </c>
    </row>
    <row r="3835">
      <c r="A3835" s="2" t="inlineStr">
        <is>
          <t>SN-3000-3400-3450-3450HO0014</t>
        </is>
      </c>
      <c r="B3835" s="2" t="inlineStr">
        <is>
          <t>3450HO0014</t>
        </is>
      </c>
      <c r="C3835" s="2" t="inlineStr">
        <is>
          <t>Tolva carbón HO0014</t>
        </is>
      </c>
      <c r="D3835" s="2" t="n">
        <v>1278</v>
      </c>
      <c r="E3835" s="2" t="inlineStr">
        <is>
          <t>CC-3000</t>
        </is>
      </c>
      <c r="F3835" s="2" t="inlineStr">
        <is>
          <t>P01</t>
        </is>
      </c>
      <c r="G3835" s="2" t="n">
        <v>630000</v>
      </c>
      <c r="H3835" s="2" t="inlineStr">
        <is>
          <t>Servicios externos</t>
        </is>
      </c>
      <c r="I3835" s="9" t="n">
        <v>2682.64</v>
      </c>
      <c r="J3835" s="9" t="n">
        <v>2640.64</v>
      </c>
      <c r="K3835" s="9" t="n">
        <v>2895.87</v>
      </c>
      <c r="L3835" s="9" t="n">
        <v>2898.39</v>
      </c>
      <c r="M3835" s="9" t="n">
        <v>2639</v>
      </c>
      <c r="N3835" s="9" t="n">
        <v>2675.73</v>
      </c>
      <c r="O3835" s="9" t="n">
        <v>2611.69</v>
      </c>
      <c r="P3835" s="9" t="n">
        <v>2857.77</v>
      </c>
      <c r="Q3835" s="9" t="n">
        <v>2572.34</v>
      </c>
      <c r="R3835" s="9" t="n">
        <v>3057.56</v>
      </c>
      <c r="S3835" s="9" t="n">
        <v>2619.3</v>
      </c>
      <c r="T3835" s="9" t="n">
        <v>2636.51</v>
      </c>
      <c r="U3835" s="10">
        <f>SUM(I3835:T3835)</f>
        <v/>
      </c>
    </row>
    <row r="3836">
      <c r="A3836" s="2" t="inlineStr">
        <is>
          <t>SN-3000-3400-3450-3450HO0068</t>
        </is>
      </c>
      <c r="B3836" s="2" t="inlineStr">
        <is>
          <t>3450HO0068</t>
        </is>
      </c>
      <c r="C3836" s="2" t="inlineStr">
        <is>
          <t>Chute carbónHO0068</t>
        </is>
      </c>
      <c r="D3836" s="2" t="n">
        <v>1279</v>
      </c>
      <c r="E3836" s="2" t="inlineStr">
        <is>
          <t>CC-3000</t>
        </is>
      </c>
      <c r="F3836" s="2" t="inlineStr">
        <is>
          <t>P01</t>
        </is>
      </c>
      <c r="G3836" s="2" t="n">
        <v>610000</v>
      </c>
      <c r="H3836" s="2" t="inlineStr">
        <is>
          <t>Mano obra interna</t>
        </is>
      </c>
      <c r="I3836" s="9" t="n">
        <v>2109.83</v>
      </c>
      <c r="J3836" s="9" t="n">
        <v>2019.26</v>
      </c>
      <c r="K3836" s="9" t="n">
        <v>2073.26</v>
      </c>
      <c r="L3836" s="9" t="n">
        <v>2242.42</v>
      </c>
      <c r="M3836" s="9" t="n">
        <v>1946.91</v>
      </c>
      <c r="N3836" s="9" t="n">
        <v>2139.04</v>
      </c>
      <c r="O3836" s="9" t="n">
        <v>1998.06</v>
      </c>
      <c r="P3836" s="9" t="n">
        <v>2266.75</v>
      </c>
      <c r="Q3836" s="9" t="n">
        <v>2114.34</v>
      </c>
      <c r="R3836" s="9" t="n">
        <v>2234.97</v>
      </c>
      <c r="S3836" s="9" t="n">
        <v>2198.59</v>
      </c>
      <c r="T3836" s="9" t="n">
        <v>2264.22</v>
      </c>
      <c r="U3836" s="10">
        <f>SUM(I3836:T3836)</f>
        <v/>
      </c>
    </row>
    <row r="3837">
      <c r="A3837" s="2" t="inlineStr">
        <is>
          <t>SN-3000-3400-3450-3450HO0068</t>
        </is>
      </c>
      <c r="B3837" s="2" t="inlineStr">
        <is>
          <t>3450HO0068</t>
        </is>
      </c>
      <c r="C3837" s="2" t="inlineStr">
        <is>
          <t>Chute carbónHO0068</t>
        </is>
      </c>
      <c r="D3837" s="2" t="n">
        <v>1279</v>
      </c>
      <c r="E3837" s="2" t="inlineStr">
        <is>
          <t>CC-3000</t>
        </is>
      </c>
      <c r="F3837" s="2" t="inlineStr">
        <is>
          <t>P01</t>
        </is>
      </c>
      <c r="G3837" s="2" t="n">
        <v>620000</v>
      </c>
      <c r="H3837" s="2" t="inlineStr">
        <is>
          <t>Materiales</t>
        </is>
      </c>
      <c r="I3837" s="9" t="n">
        <v>2018.33</v>
      </c>
      <c r="J3837" s="9" t="n">
        <v>1684.11</v>
      </c>
      <c r="K3837" s="9" t="n">
        <v>1806.57</v>
      </c>
      <c r="L3837" s="9" t="n">
        <v>1911.26</v>
      </c>
      <c r="M3837" s="9" t="n">
        <v>1703.49</v>
      </c>
      <c r="N3837" s="9" t="n">
        <v>1668.53</v>
      </c>
      <c r="O3837" s="9" t="n">
        <v>1979.83</v>
      </c>
      <c r="P3837" s="9" t="n">
        <v>1989.61</v>
      </c>
      <c r="Q3837" s="9" t="n">
        <v>1799.45</v>
      </c>
      <c r="R3837" s="9" t="n">
        <v>1994.6</v>
      </c>
      <c r="S3837" s="9" t="n">
        <v>1900.54</v>
      </c>
      <c r="T3837" s="9" t="n">
        <v>1756.18</v>
      </c>
      <c r="U3837" s="10">
        <f>SUM(I3837:T3837)</f>
        <v/>
      </c>
    </row>
    <row r="3838">
      <c r="A3838" s="2" t="inlineStr">
        <is>
          <t>SN-3000-3400-3450-3450HO0068</t>
        </is>
      </c>
      <c r="B3838" s="2" t="inlineStr">
        <is>
          <t>3450HO0068</t>
        </is>
      </c>
      <c r="C3838" s="2" t="inlineStr">
        <is>
          <t>Chute carbónHO0068</t>
        </is>
      </c>
      <c r="D3838" s="2" t="n">
        <v>1279</v>
      </c>
      <c r="E3838" s="2" t="inlineStr">
        <is>
          <t>CC-3000</t>
        </is>
      </c>
      <c r="F3838" s="2" t="inlineStr">
        <is>
          <t>P01</t>
        </is>
      </c>
      <c r="G3838" s="2" t="n">
        <v>630000</v>
      </c>
      <c r="H3838" s="2" t="inlineStr">
        <is>
          <t>Servicios externos</t>
        </is>
      </c>
      <c r="I3838" s="9" t="n">
        <v>2336.56</v>
      </c>
      <c r="J3838" s="9" t="n">
        <v>2442.59</v>
      </c>
      <c r="K3838" s="9" t="n">
        <v>2483.88</v>
      </c>
      <c r="L3838" s="9" t="n">
        <v>2572.69</v>
      </c>
      <c r="M3838" s="9" t="n">
        <v>2455.67</v>
      </c>
      <c r="N3838" s="9" t="n">
        <v>2380.66</v>
      </c>
      <c r="O3838" s="9" t="n">
        <v>2395.05</v>
      </c>
      <c r="P3838" s="9" t="n">
        <v>2467.67</v>
      </c>
      <c r="Q3838" s="9" t="n">
        <v>2272.26</v>
      </c>
      <c r="R3838" s="9" t="n">
        <v>2391.52</v>
      </c>
      <c r="S3838" s="9" t="n">
        <v>2323.62</v>
      </c>
      <c r="T3838" s="9" t="n">
        <v>2245.41</v>
      </c>
      <c r="U3838" s="10">
        <f>SUM(I3838:T3838)</f>
        <v/>
      </c>
    </row>
    <row r="3839">
      <c r="A3839" s="2" t="inlineStr">
        <is>
          <t>SN-3000-3400-3450-3450PU0500</t>
        </is>
      </c>
      <c r="B3839" s="2" t="inlineStr">
        <is>
          <t>3450PU0500</t>
        </is>
      </c>
      <c r="C3839" s="2" t="inlineStr">
        <is>
          <t>Bomba centrífuga agua PU0500</t>
        </is>
      </c>
      <c r="D3839" s="2" t="n">
        <v>1280</v>
      </c>
      <c r="E3839" s="2" t="inlineStr">
        <is>
          <t>CC-3000</t>
        </is>
      </c>
      <c r="F3839" s="2" t="inlineStr">
        <is>
          <t>P01</t>
        </is>
      </c>
      <c r="G3839" s="2" t="n">
        <v>610000</v>
      </c>
      <c r="H3839" s="2" t="inlineStr">
        <is>
          <t>Mano obra interna</t>
        </is>
      </c>
      <c r="I3839" s="9" t="n">
        <v>1520.83</v>
      </c>
      <c r="J3839" s="9" t="n">
        <v>1699.58</v>
      </c>
      <c r="K3839" s="9" t="n">
        <v>1625.35</v>
      </c>
      <c r="L3839" s="9" t="n">
        <v>1550.02</v>
      </c>
      <c r="M3839" s="9" t="n">
        <v>1694.84</v>
      </c>
      <c r="N3839" s="9" t="n">
        <v>1419.3</v>
      </c>
      <c r="O3839" s="9" t="n">
        <v>1594.02</v>
      </c>
      <c r="P3839" s="9" t="n">
        <v>1668.93</v>
      </c>
      <c r="Q3839" s="9" t="n">
        <v>1446.6</v>
      </c>
      <c r="R3839" s="9" t="n">
        <v>1734.48</v>
      </c>
      <c r="S3839" s="9" t="n">
        <v>1599.52</v>
      </c>
      <c r="T3839" s="9" t="n">
        <v>1742.22</v>
      </c>
      <c r="U3839" s="10">
        <f>SUM(I3839:T3839)</f>
        <v/>
      </c>
    </row>
    <row r="3840">
      <c r="A3840" s="2" t="inlineStr">
        <is>
          <t>SN-3000-3400-3450-3450PU0500</t>
        </is>
      </c>
      <c r="B3840" s="2" t="inlineStr">
        <is>
          <t>3450PU0500</t>
        </is>
      </c>
      <c r="C3840" s="2" t="inlineStr">
        <is>
          <t>Bomba centrífuga agua PU0500</t>
        </is>
      </c>
      <c r="D3840" s="2" t="n">
        <v>1280</v>
      </c>
      <c r="E3840" s="2" t="inlineStr">
        <is>
          <t>CC-3000</t>
        </is>
      </c>
      <c r="F3840" s="2" t="inlineStr">
        <is>
          <t>P01</t>
        </is>
      </c>
      <c r="G3840" s="2" t="n">
        <v>620000</v>
      </c>
      <c r="H3840" s="2" t="inlineStr">
        <is>
          <t>Materiales</t>
        </is>
      </c>
      <c r="I3840" s="9" t="n">
        <v>1209.62</v>
      </c>
      <c r="J3840" s="9" t="n">
        <v>1236.44</v>
      </c>
      <c r="K3840" s="9" t="n">
        <v>1276.47</v>
      </c>
      <c r="L3840" s="9" t="n">
        <v>1263.02</v>
      </c>
      <c r="M3840" s="9" t="n">
        <v>1200.4</v>
      </c>
      <c r="N3840" s="9" t="n">
        <v>1210.24</v>
      </c>
      <c r="O3840" s="9" t="n">
        <v>1331.16</v>
      </c>
      <c r="P3840" s="9" t="n">
        <v>1184.77</v>
      </c>
      <c r="Q3840" s="9" t="n">
        <v>1113.85</v>
      </c>
      <c r="R3840" s="9" t="n">
        <v>1388.95</v>
      </c>
      <c r="S3840" s="9" t="n">
        <v>1127.46</v>
      </c>
      <c r="T3840" s="9" t="n">
        <v>1307.66</v>
      </c>
      <c r="U3840" s="10">
        <f>SUM(I3840:T3840)</f>
        <v/>
      </c>
    </row>
    <row r="3841">
      <c r="A3841" s="2" t="inlineStr">
        <is>
          <t>SN-3000-3400-3450-3450PU0500</t>
        </is>
      </c>
      <c r="B3841" s="2" t="inlineStr">
        <is>
          <t>3450PU0500</t>
        </is>
      </c>
      <c r="C3841" s="2" t="inlineStr">
        <is>
          <t>Bomba centrífuga agua PU0500</t>
        </is>
      </c>
      <c r="D3841" s="2" t="n">
        <v>1280</v>
      </c>
      <c r="E3841" s="2" t="inlineStr">
        <is>
          <t>CC-3000</t>
        </is>
      </c>
      <c r="F3841" s="2" t="inlineStr">
        <is>
          <t>P01</t>
        </is>
      </c>
      <c r="G3841" s="2" t="n">
        <v>630000</v>
      </c>
      <c r="H3841" s="2" t="inlineStr">
        <is>
          <t>Servicios externos</t>
        </is>
      </c>
      <c r="I3841" s="9" t="n">
        <v>1330.26</v>
      </c>
      <c r="J3841" s="9" t="n">
        <v>1293.39</v>
      </c>
      <c r="K3841" s="9" t="n">
        <v>1342.51</v>
      </c>
      <c r="L3841" s="9" t="n">
        <v>1437.22</v>
      </c>
      <c r="M3841" s="9" t="n">
        <v>1413.82</v>
      </c>
      <c r="N3841" s="9" t="n">
        <v>1284.64</v>
      </c>
      <c r="O3841" s="9" t="n">
        <v>1351.51</v>
      </c>
      <c r="P3841" s="9" t="n">
        <v>1240.86</v>
      </c>
      <c r="Q3841" s="9" t="n">
        <v>1283.59</v>
      </c>
      <c r="R3841" s="9" t="n">
        <v>1457.35</v>
      </c>
      <c r="S3841" s="9" t="n">
        <v>1197.98</v>
      </c>
      <c r="T3841" s="9" t="n">
        <v>1287.93</v>
      </c>
      <c r="U3841" s="10">
        <f>SUM(I3841:T3841)</f>
        <v/>
      </c>
    </row>
    <row r="3842">
      <c r="A3842" s="2" t="inlineStr">
        <is>
          <t>SN-3000-3400-3450-3450ST0004</t>
        </is>
      </c>
      <c r="B3842" s="2" t="inlineStr">
        <is>
          <t>3450ST0004</t>
        </is>
      </c>
      <c r="C3842" s="2" t="inlineStr">
        <is>
          <t>Chimenea gases a atmósfera ST0004</t>
        </is>
      </c>
      <c r="D3842" s="2" t="n">
        <v>1281</v>
      </c>
      <c r="E3842" s="2" t="inlineStr">
        <is>
          <t>CC-3000</t>
        </is>
      </c>
      <c r="F3842" s="2" t="inlineStr">
        <is>
          <t>P01</t>
        </is>
      </c>
      <c r="G3842" s="2" t="n">
        <v>610000</v>
      </c>
      <c r="H3842" s="2" t="inlineStr">
        <is>
          <t>Mano obra interna</t>
        </is>
      </c>
      <c r="I3842" s="9" t="n">
        <v>2250.15</v>
      </c>
      <c r="J3842" s="9" t="n">
        <v>2349.62</v>
      </c>
      <c r="K3842" s="9" t="n">
        <v>2564.85</v>
      </c>
      <c r="L3842" s="9" t="n">
        <v>2478.04</v>
      </c>
      <c r="M3842" s="9" t="n">
        <v>2294.29</v>
      </c>
      <c r="N3842" s="9" t="n">
        <v>2190.32</v>
      </c>
      <c r="O3842" s="9" t="n">
        <v>2285.46</v>
      </c>
      <c r="P3842" s="9" t="n">
        <v>2362.62</v>
      </c>
      <c r="Q3842" s="9" t="n">
        <v>2117.08</v>
      </c>
      <c r="R3842" s="9" t="n">
        <v>2399.21</v>
      </c>
      <c r="S3842" s="9" t="n">
        <v>2289.45</v>
      </c>
      <c r="T3842" s="9" t="n">
        <v>2319.94</v>
      </c>
      <c r="U3842" s="10">
        <f>SUM(I3842:T3842)</f>
        <v/>
      </c>
    </row>
    <row r="3843">
      <c r="A3843" s="2" t="inlineStr">
        <is>
          <t>SN-3000-3400-3450-3450ST0004</t>
        </is>
      </c>
      <c r="B3843" s="2" t="inlineStr">
        <is>
          <t>3450ST0004</t>
        </is>
      </c>
      <c r="C3843" s="2" t="inlineStr">
        <is>
          <t>Chimenea gases a atmósfera ST0004</t>
        </is>
      </c>
      <c r="D3843" s="2" t="n">
        <v>1281</v>
      </c>
      <c r="E3843" s="2" t="inlineStr">
        <is>
          <t>CC-3000</t>
        </is>
      </c>
      <c r="F3843" s="2" t="inlineStr">
        <is>
          <t>P01</t>
        </is>
      </c>
      <c r="G3843" s="2" t="n">
        <v>620000</v>
      </c>
      <c r="H3843" s="2" t="inlineStr">
        <is>
          <t>Materiales</t>
        </is>
      </c>
      <c r="I3843" s="9" t="n">
        <v>2061.1</v>
      </c>
      <c r="J3843" s="9" t="n">
        <v>2075.22</v>
      </c>
      <c r="K3843" s="9" t="n">
        <v>2259.79</v>
      </c>
      <c r="L3843" s="9" t="n">
        <v>2182.22</v>
      </c>
      <c r="M3843" s="9" t="n">
        <v>1998.76</v>
      </c>
      <c r="N3843" s="9" t="n">
        <v>1997.51</v>
      </c>
      <c r="O3843" s="9" t="n">
        <v>2045.89</v>
      </c>
      <c r="P3843" s="9" t="n">
        <v>2341.3</v>
      </c>
      <c r="Q3843" s="9" t="n">
        <v>1974.08</v>
      </c>
      <c r="R3843" s="9" t="n">
        <v>2174.54</v>
      </c>
      <c r="S3843" s="9" t="n">
        <v>2170.68</v>
      </c>
      <c r="T3843" s="9" t="n">
        <v>2123.62</v>
      </c>
      <c r="U3843" s="10">
        <f>SUM(I3843:T3843)</f>
        <v/>
      </c>
    </row>
    <row r="3844">
      <c r="A3844" s="2" t="inlineStr">
        <is>
          <t>SN-3000-3400-3450-3450ST0004</t>
        </is>
      </c>
      <c r="B3844" s="2" t="inlineStr">
        <is>
          <t>3450ST0004</t>
        </is>
      </c>
      <c r="C3844" s="2" t="inlineStr">
        <is>
          <t>Chimenea gases a atmósfera ST0004</t>
        </is>
      </c>
      <c r="D3844" s="2" t="n">
        <v>1281</v>
      </c>
      <c r="E3844" s="2" t="inlineStr">
        <is>
          <t>CC-3000</t>
        </is>
      </c>
      <c r="F3844" s="2" t="inlineStr">
        <is>
          <t>P01</t>
        </is>
      </c>
      <c r="G3844" s="2" t="n">
        <v>630000</v>
      </c>
      <c r="H3844" s="2" t="inlineStr">
        <is>
          <t>Servicios externos</t>
        </is>
      </c>
      <c r="I3844" s="9" t="n">
        <v>2423.49</v>
      </c>
      <c r="J3844" s="9" t="n">
        <v>2668.22</v>
      </c>
      <c r="K3844" s="9" t="n">
        <v>2789.26</v>
      </c>
      <c r="L3844" s="9" t="n">
        <v>2634.08</v>
      </c>
      <c r="M3844" s="9" t="n">
        <v>2571</v>
      </c>
      <c r="N3844" s="9" t="n">
        <v>2375.53</v>
      </c>
      <c r="O3844" s="9" t="n">
        <v>2701.68</v>
      </c>
      <c r="P3844" s="9" t="n">
        <v>2481.97</v>
      </c>
      <c r="Q3844" s="9" t="n">
        <v>2243.13</v>
      </c>
      <c r="R3844" s="9" t="n">
        <v>2544.84</v>
      </c>
      <c r="S3844" s="9" t="n">
        <v>2320.53</v>
      </c>
      <c r="T3844" s="9" t="n">
        <v>2581.33</v>
      </c>
      <c r="U3844" s="10">
        <f>SUM(I3844:T3844)</f>
        <v/>
      </c>
    </row>
    <row r="3845">
      <c r="A3845" s="2" t="inlineStr">
        <is>
          <t>SN-3000-3400-3450-3450TK0121</t>
        </is>
      </c>
      <c r="B3845" s="2" t="inlineStr">
        <is>
          <t>3450TK0121</t>
        </is>
      </c>
      <c r="C3845" s="2" t="inlineStr">
        <is>
          <t>Estanque almacenamiento TK0121</t>
        </is>
      </c>
      <c r="D3845" s="2" t="n">
        <v>1282</v>
      </c>
      <c r="E3845" s="2" t="inlineStr">
        <is>
          <t>CC-3000</t>
        </is>
      </c>
      <c r="F3845" s="2" t="inlineStr">
        <is>
          <t>P01</t>
        </is>
      </c>
      <c r="G3845" s="2" t="n">
        <v>610000</v>
      </c>
      <c r="H3845" s="2" t="inlineStr">
        <is>
          <t>Mano obra interna</t>
        </is>
      </c>
      <c r="I3845" s="9" t="n">
        <v>2402.02</v>
      </c>
      <c r="J3845" s="9" t="n">
        <v>2218.9</v>
      </c>
      <c r="K3845" s="9" t="n">
        <v>2515.59</v>
      </c>
      <c r="L3845" s="9" t="n">
        <v>2368.88</v>
      </c>
      <c r="M3845" s="9" t="n">
        <v>2317.13</v>
      </c>
      <c r="N3845" s="9" t="n">
        <v>2215.28</v>
      </c>
      <c r="O3845" s="9" t="n">
        <v>2439.06</v>
      </c>
      <c r="P3845" s="9" t="n">
        <v>2134.3</v>
      </c>
      <c r="Q3845" s="9" t="n">
        <v>1989.6</v>
      </c>
      <c r="R3845" s="9" t="n">
        <v>2556.32</v>
      </c>
      <c r="S3845" s="9" t="n">
        <v>2318.27</v>
      </c>
      <c r="T3845" s="9" t="n">
        <v>2305.63</v>
      </c>
      <c r="U3845" s="10">
        <f>SUM(I3845:T3845)</f>
        <v/>
      </c>
    </row>
    <row r="3846">
      <c r="A3846" s="2" t="inlineStr">
        <is>
          <t>SN-3000-3400-3450-3450TK0121</t>
        </is>
      </c>
      <c r="B3846" s="2" t="inlineStr">
        <is>
          <t>3450TK0121</t>
        </is>
      </c>
      <c r="C3846" s="2" t="inlineStr">
        <is>
          <t>Estanque almacenamiento TK0121</t>
        </is>
      </c>
      <c r="D3846" s="2" t="n">
        <v>1282</v>
      </c>
      <c r="E3846" s="2" t="inlineStr">
        <is>
          <t>CC-3000</t>
        </is>
      </c>
      <c r="F3846" s="2" t="inlineStr">
        <is>
          <t>P01</t>
        </is>
      </c>
      <c r="G3846" s="2" t="n">
        <v>620000</v>
      </c>
      <c r="H3846" s="2" t="inlineStr">
        <is>
          <t>Materiales</t>
        </is>
      </c>
      <c r="I3846" s="9" t="n">
        <v>2335.97</v>
      </c>
      <c r="J3846" s="9" t="n">
        <v>2237.33</v>
      </c>
      <c r="K3846" s="9" t="n">
        <v>2608.96</v>
      </c>
      <c r="L3846" s="9" t="n">
        <v>2345.38</v>
      </c>
      <c r="M3846" s="9" t="n">
        <v>2403.65</v>
      </c>
      <c r="N3846" s="9" t="n">
        <v>2372.52</v>
      </c>
      <c r="O3846" s="9" t="n">
        <v>2192.09</v>
      </c>
      <c r="P3846" s="9" t="n">
        <v>2193.97</v>
      </c>
      <c r="Q3846" s="9" t="n">
        <v>2149.6</v>
      </c>
      <c r="R3846" s="9" t="n">
        <v>2638.87</v>
      </c>
      <c r="S3846" s="9" t="n">
        <v>2208.89</v>
      </c>
      <c r="T3846" s="9" t="n">
        <v>2215.74</v>
      </c>
      <c r="U3846" s="10">
        <f>SUM(I3846:T3846)</f>
        <v/>
      </c>
    </row>
    <row r="3847">
      <c r="A3847" s="2" t="inlineStr">
        <is>
          <t>SN-3000-3400-3450-3450TK0121</t>
        </is>
      </c>
      <c r="B3847" s="2" t="inlineStr">
        <is>
          <t>3450TK0121</t>
        </is>
      </c>
      <c r="C3847" s="2" t="inlineStr">
        <is>
          <t>Estanque almacenamiento TK0121</t>
        </is>
      </c>
      <c r="D3847" s="2" t="n">
        <v>1282</v>
      </c>
      <c r="E3847" s="2" t="inlineStr">
        <is>
          <t>CC-3000</t>
        </is>
      </c>
      <c r="F3847" s="2" t="inlineStr">
        <is>
          <t>P01</t>
        </is>
      </c>
      <c r="G3847" s="2" t="n">
        <v>630000</v>
      </c>
      <c r="H3847" s="2" t="inlineStr">
        <is>
          <t>Servicios externos</t>
        </is>
      </c>
      <c r="I3847" s="9" t="n">
        <v>2203.17</v>
      </c>
      <c r="J3847" s="9" t="n">
        <v>2172.55</v>
      </c>
      <c r="K3847" s="9" t="n">
        <v>2319.13</v>
      </c>
      <c r="L3847" s="9" t="n">
        <v>2220.08</v>
      </c>
      <c r="M3847" s="9" t="n">
        <v>2361.23</v>
      </c>
      <c r="N3847" s="9" t="n">
        <v>2121.94</v>
      </c>
      <c r="O3847" s="9" t="n">
        <v>2370.25</v>
      </c>
      <c r="P3847" s="9" t="n">
        <v>2344.49</v>
      </c>
      <c r="Q3847" s="9" t="n">
        <v>2286.92</v>
      </c>
      <c r="R3847" s="9" t="n">
        <v>2326.56</v>
      </c>
      <c r="S3847" s="9" t="n">
        <v>2133.79</v>
      </c>
      <c r="T3847" s="9" t="n">
        <v>2480.89</v>
      </c>
      <c r="U3847" s="10">
        <f>SUM(I3847:T3847)</f>
        <v/>
      </c>
    </row>
    <row r="3848">
      <c r="A3848" s="2" t="inlineStr">
        <is>
          <t>SN-3000-3500-3500-3500BN0039</t>
        </is>
      </c>
      <c r="B3848" s="2" t="inlineStr">
        <is>
          <t>3500BN0039</t>
        </is>
      </c>
      <c r="C3848" s="2" t="inlineStr">
        <is>
          <t>Tolva fundente BN0039</t>
        </is>
      </c>
      <c r="D3848" s="2" t="n">
        <v>1283</v>
      </c>
      <c r="E3848" s="2" t="inlineStr">
        <is>
          <t>CC-3000</t>
        </is>
      </c>
      <c r="F3848" s="2" t="inlineStr">
        <is>
          <t>P01</t>
        </is>
      </c>
      <c r="G3848" s="2" t="n">
        <v>610000</v>
      </c>
      <c r="H3848" s="2" t="inlineStr">
        <is>
          <t>Mano obra interna</t>
        </is>
      </c>
      <c r="I3848" s="9" t="n">
        <v>1286.61</v>
      </c>
      <c r="J3848" s="9" t="n">
        <v>1223.63</v>
      </c>
      <c r="K3848" s="9" t="n">
        <v>1445.54</v>
      </c>
      <c r="L3848" s="9" t="n">
        <v>1285.1</v>
      </c>
      <c r="M3848" s="9" t="n">
        <v>1389.83</v>
      </c>
      <c r="N3848" s="9" t="n">
        <v>1360.92</v>
      </c>
      <c r="O3848" s="9" t="n">
        <v>1267</v>
      </c>
      <c r="P3848" s="9" t="n">
        <v>1396.8</v>
      </c>
      <c r="Q3848" s="9" t="n">
        <v>1218.97</v>
      </c>
      <c r="R3848" s="9" t="n">
        <v>1495.67</v>
      </c>
      <c r="S3848" s="9" t="n">
        <v>1264.3</v>
      </c>
      <c r="T3848" s="9" t="n">
        <v>1252.86</v>
      </c>
      <c r="U3848" s="10">
        <f>SUM(I3848:T3848)</f>
        <v/>
      </c>
    </row>
    <row r="3849">
      <c r="A3849" s="2" t="inlineStr">
        <is>
          <t>SN-3000-3500-3500-3500BN0039</t>
        </is>
      </c>
      <c r="B3849" s="2" t="inlineStr">
        <is>
          <t>3500BN0039</t>
        </is>
      </c>
      <c r="C3849" s="2" t="inlineStr">
        <is>
          <t>Tolva fundente BN0039</t>
        </is>
      </c>
      <c r="D3849" s="2" t="n">
        <v>1283</v>
      </c>
      <c r="E3849" s="2" t="inlineStr">
        <is>
          <t>CC-3000</t>
        </is>
      </c>
      <c r="F3849" s="2" t="inlineStr">
        <is>
          <t>P01</t>
        </is>
      </c>
      <c r="G3849" s="2" t="n">
        <v>620000</v>
      </c>
      <c r="H3849" s="2" t="inlineStr">
        <is>
          <t>Materiales</t>
        </is>
      </c>
      <c r="I3849" s="9" t="n">
        <v>1211.78</v>
      </c>
      <c r="J3849" s="9" t="n">
        <v>1322.87</v>
      </c>
      <c r="K3849" s="9" t="n">
        <v>1280.02</v>
      </c>
      <c r="L3849" s="9" t="n">
        <v>1199.08</v>
      </c>
      <c r="M3849" s="9" t="n">
        <v>1190.25</v>
      </c>
      <c r="N3849" s="9" t="n">
        <v>1271.8</v>
      </c>
      <c r="O3849" s="9" t="n">
        <v>1221.87</v>
      </c>
      <c r="P3849" s="9" t="n">
        <v>1328</v>
      </c>
      <c r="Q3849" s="9" t="n">
        <v>1109.03</v>
      </c>
      <c r="R3849" s="9" t="n">
        <v>1349.02</v>
      </c>
      <c r="S3849" s="9" t="n">
        <v>1290.82</v>
      </c>
      <c r="T3849" s="9" t="n">
        <v>1183.78</v>
      </c>
      <c r="U3849" s="10">
        <f>SUM(I3849:T3849)</f>
        <v/>
      </c>
    </row>
    <row r="3850">
      <c r="A3850" s="2" t="inlineStr">
        <is>
          <t>SN-3000-3500-3500-3500BN0039</t>
        </is>
      </c>
      <c r="B3850" s="2" t="inlineStr">
        <is>
          <t>3500BN0039</t>
        </is>
      </c>
      <c r="C3850" s="2" t="inlineStr">
        <is>
          <t>Tolva fundente BN0039</t>
        </is>
      </c>
      <c r="D3850" s="2" t="n">
        <v>1283</v>
      </c>
      <c r="E3850" s="2" t="inlineStr">
        <is>
          <t>CC-3000</t>
        </is>
      </c>
      <c r="F3850" s="2" t="inlineStr">
        <is>
          <t>P01</t>
        </is>
      </c>
      <c r="G3850" s="2" t="n">
        <v>630000</v>
      </c>
      <c r="H3850" s="2" t="inlineStr">
        <is>
          <t>Servicios externos</t>
        </is>
      </c>
      <c r="I3850" s="9" t="n">
        <v>1169.64</v>
      </c>
      <c r="J3850" s="9" t="n">
        <v>1075.32</v>
      </c>
      <c r="K3850" s="9" t="n">
        <v>1147.64</v>
      </c>
      <c r="L3850" s="9" t="n">
        <v>1159.1</v>
      </c>
      <c r="M3850" s="9" t="n">
        <v>1068.14</v>
      </c>
      <c r="N3850" s="9" t="n">
        <v>1084.81</v>
      </c>
      <c r="O3850" s="9" t="n">
        <v>1099.61</v>
      </c>
      <c r="P3850" s="9" t="n">
        <v>1106.36</v>
      </c>
      <c r="Q3850" s="9" t="n">
        <v>945.33</v>
      </c>
      <c r="R3850" s="9" t="n">
        <v>1241.02</v>
      </c>
      <c r="S3850" s="9" t="n">
        <v>1090.22</v>
      </c>
      <c r="T3850" s="9" t="n">
        <v>1048.29</v>
      </c>
      <c r="U3850" s="10">
        <f>SUM(I3850:T3850)</f>
        <v/>
      </c>
    </row>
    <row r="3851">
      <c r="A3851" s="2" t="inlineStr">
        <is>
          <t>SN-3000-3500-3500-3500BN0040</t>
        </is>
      </c>
      <c r="B3851" s="2" t="inlineStr">
        <is>
          <t>3500BN0040</t>
        </is>
      </c>
      <c r="C3851" s="2" t="inlineStr">
        <is>
          <t>Tolva fundente BN0040</t>
        </is>
      </c>
      <c r="D3851" s="2" t="n">
        <v>1284</v>
      </c>
      <c r="E3851" s="2" t="inlineStr">
        <is>
          <t>CC-3000</t>
        </is>
      </c>
      <c r="F3851" s="2" t="inlineStr">
        <is>
          <t>P01</t>
        </is>
      </c>
      <c r="G3851" s="2" t="n">
        <v>610000</v>
      </c>
      <c r="H3851" s="2" t="inlineStr">
        <is>
          <t>Mano obra interna</t>
        </is>
      </c>
      <c r="I3851" s="9" t="n">
        <v>1733.88</v>
      </c>
      <c r="J3851" s="9" t="n">
        <v>1750.28</v>
      </c>
      <c r="K3851" s="9" t="n">
        <v>1928.76</v>
      </c>
      <c r="L3851" s="9" t="n">
        <v>1642.21</v>
      </c>
      <c r="M3851" s="9" t="n">
        <v>1838.96</v>
      </c>
      <c r="N3851" s="9" t="n">
        <v>1543.26</v>
      </c>
      <c r="O3851" s="9" t="n">
        <v>1722.62</v>
      </c>
      <c r="P3851" s="9" t="n">
        <v>1726.47</v>
      </c>
      <c r="Q3851" s="9" t="n">
        <v>1553.26</v>
      </c>
      <c r="R3851" s="9" t="n">
        <v>1888.55</v>
      </c>
      <c r="S3851" s="9" t="n">
        <v>1767.02</v>
      </c>
      <c r="T3851" s="9" t="n">
        <v>1700.48</v>
      </c>
      <c r="U3851" s="10">
        <f>SUM(I3851:T3851)</f>
        <v/>
      </c>
    </row>
    <row r="3852">
      <c r="A3852" s="2" t="inlineStr">
        <is>
          <t>SN-3000-3500-3500-3500BN0040</t>
        </is>
      </c>
      <c r="B3852" s="2" t="inlineStr">
        <is>
          <t>3500BN0040</t>
        </is>
      </c>
      <c r="C3852" s="2" t="inlineStr">
        <is>
          <t>Tolva fundente BN0040</t>
        </is>
      </c>
      <c r="D3852" s="2" t="n">
        <v>1284</v>
      </c>
      <c r="E3852" s="2" t="inlineStr">
        <is>
          <t>CC-3000</t>
        </is>
      </c>
      <c r="F3852" s="2" t="inlineStr">
        <is>
          <t>P01</t>
        </is>
      </c>
      <c r="G3852" s="2" t="n">
        <v>620000</v>
      </c>
      <c r="H3852" s="2" t="inlineStr">
        <is>
          <t>Materiales</t>
        </is>
      </c>
      <c r="I3852" s="9" t="n">
        <v>1466.67</v>
      </c>
      <c r="J3852" s="9" t="n">
        <v>1441.45</v>
      </c>
      <c r="K3852" s="9" t="n">
        <v>1557.01</v>
      </c>
      <c r="L3852" s="9" t="n">
        <v>1359.62</v>
      </c>
      <c r="M3852" s="9" t="n">
        <v>1481.8</v>
      </c>
      <c r="N3852" s="9" t="n">
        <v>1341.28</v>
      </c>
      <c r="O3852" s="9" t="n">
        <v>1348.07</v>
      </c>
      <c r="P3852" s="9" t="n">
        <v>1509.98</v>
      </c>
      <c r="Q3852" s="9" t="n">
        <v>1254.87</v>
      </c>
      <c r="R3852" s="9" t="n">
        <v>1573.95</v>
      </c>
      <c r="S3852" s="9" t="n">
        <v>1424.09</v>
      </c>
      <c r="T3852" s="9" t="n">
        <v>1411.96</v>
      </c>
      <c r="U3852" s="10">
        <f>SUM(I3852:T3852)</f>
        <v/>
      </c>
    </row>
    <row r="3853">
      <c r="A3853" s="2" t="inlineStr">
        <is>
          <t>SN-3000-3500-3500-3500BN0040</t>
        </is>
      </c>
      <c r="B3853" s="2" t="inlineStr">
        <is>
          <t>3500BN0040</t>
        </is>
      </c>
      <c r="C3853" s="2" t="inlineStr">
        <is>
          <t>Tolva fundente BN0040</t>
        </is>
      </c>
      <c r="D3853" s="2" t="n">
        <v>1284</v>
      </c>
      <c r="E3853" s="2" t="inlineStr">
        <is>
          <t>CC-3000</t>
        </is>
      </c>
      <c r="F3853" s="2" t="inlineStr">
        <is>
          <t>P01</t>
        </is>
      </c>
      <c r="G3853" s="2" t="n">
        <v>630000</v>
      </c>
      <c r="H3853" s="2" t="inlineStr">
        <is>
          <t>Servicios externos</t>
        </is>
      </c>
      <c r="I3853" s="9" t="n">
        <v>1761.38</v>
      </c>
      <c r="J3853" s="9" t="n">
        <v>1597.03</v>
      </c>
      <c r="K3853" s="9" t="n">
        <v>1832.77</v>
      </c>
      <c r="L3853" s="9" t="n">
        <v>1862.61</v>
      </c>
      <c r="M3853" s="9" t="n">
        <v>1684.92</v>
      </c>
      <c r="N3853" s="9" t="n">
        <v>1759.67</v>
      </c>
      <c r="O3853" s="9" t="n">
        <v>1686.74</v>
      </c>
      <c r="P3853" s="9" t="n">
        <v>1698.83</v>
      </c>
      <c r="Q3853" s="9" t="n">
        <v>1631.91</v>
      </c>
      <c r="R3853" s="9" t="n">
        <v>1746.92</v>
      </c>
      <c r="S3853" s="9" t="n">
        <v>1757.35</v>
      </c>
      <c r="T3853" s="9" t="n">
        <v>1814.39</v>
      </c>
      <c r="U3853" s="10">
        <f>SUM(I3853:T3853)</f>
        <v/>
      </c>
    </row>
    <row r="3854">
      <c r="A3854" s="2" t="inlineStr">
        <is>
          <t>SN-3000-3500-3500-3500BN0041</t>
        </is>
      </c>
      <c r="B3854" s="2" t="inlineStr">
        <is>
          <t>3500BN0041</t>
        </is>
      </c>
      <c r="C3854" s="2" t="inlineStr">
        <is>
          <t>Tolva fundente BN0041</t>
        </is>
      </c>
      <c r="D3854" s="2" t="n">
        <v>1285</v>
      </c>
      <c r="E3854" s="2" t="inlineStr">
        <is>
          <t>CC-3000</t>
        </is>
      </c>
      <c r="F3854" s="2" t="inlineStr">
        <is>
          <t>P01</t>
        </is>
      </c>
      <c r="G3854" s="2" t="n">
        <v>610000</v>
      </c>
      <c r="H3854" s="2" t="inlineStr">
        <is>
          <t>Mano obra interna</t>
        </is>
      </c>
      <c r="I3854" s="9" t="n">
        <v>1745.33</v>
      </c>
      <c r="J3854" s="9" t="n">
        <v>1756.4</v>
      </c>
      <c r="K3854" s="9" t="n">
        <v>1783.32</v>
      </c>
      <c r="L3854" s="9" t="n">
        <v>1720.45</v>
      </c>
      <c r="M3854" s="9" t="n">
        <v>1777.74</v>
      </c>
      <c r="N3854" s="9" t="n">
        <v>1590.93</v>
      </c>
      <c r="O3854" s="9" t="n">
        <v>1681.15</v>
      </c>
      <c r="P3854" s="9" t="n">
        <v>1590.21</v>
      </c>
      <c r="Q3854" s="9" t="n">
        <v>1676.12</v>
      </c>
      <c r="R3854" s="9" t="n">
        <v>1731.14</v>
      </c>
      <c r="S3854" s="9" t="n">
        <v>1548.87</v>
      </c>
      <c r="T3854" s="9" t="n">
        <v>1596.38</v>
      </c>
      <c r="U3854" s="10">
        <f>SUM(I3854:T3854)</f>
        <v/>
      </c>
    </row>
    <row r="3855">
      <c r="A3855" s="2" t="inlineStr">
        <is>
          <t>SN-3000-3500-3500-3500BN0041</t>
        </is>
      </c>
      <c r="B3855" s="2" t="inlineStr">
        <is>
          <t>3500BN0041</t>
        </is>
      </c>
      <c r="C3855" s="2" t="inlineStr">
        <is>
          <t>Tolva fundente BN0041</t>
        </is>
      </c>
      <c r="D3855" s="2" t="n">
        <v>1285</v>
      </c>
      <c r="E3855" s="2" t="inlineStr">
        <is>
          <t>CC-3000</t>
        </is>
      </c>
      <c r="F3855" s="2" t="inlineStr">
        <is>
          <t>P01</t>
        </is>
      </c>
      <c r="G3855" s="2" t="n">
        <v>620000</v>
      </c>
      <c r="H3855" s="2" t="inlineStr">
        <is>
          <t>Materiales</t>
        </is>
      </c>
      <c r="I3855" s="9" t="n">
        <v>1442.83</v>
      </c>
      <c r="J3855" s="9" t="n">
        <v>1499.92</v>
      </c>
      <c r="K3855" s="9" t="n">
        <v>1466.29</v>
      </c>
      <c r="L3855" s="9" t="n">
        <v>1551.76</v>
      </c>
      <c r="M3855" s="9" t="n">
        <v>1380.71</v>
      </c>
      <c r="N3855" s="9" t="n">
        <v>1341.48</v>
      </c>
      <c r="O3855" s="9" t="n">
        <v>1539.02</v>
      </c>
      <c r="P3855" s="9" t="n">
        <v>1435.17</v>
      </c>
      <c r="Q3855" s="9" t="n">
        <v>1280.32</v>
      </c>
      <c r="R3855" s="9" t="n">
        <v>1698.25</v>
      </c>
      <c r="S3855" s="9" t="n">
        <v>1346.37</v>
      </c>
      <c r="T3855" s="9" t="n">
        <v>1404.96</v>
      </c>
      <c r="U3855" s="10">
        <f>SUM(I3855:T3855)</f>
        <v/>
      </c>
    </row>
    <row r="3856">
      <c r="A3856" s="2" t="inlineStr">
        <is>
          <t>SN-3000-3500-3500-3500BN0041</t>
        </is>
      </c>
      <c r="B3856" s="2" t="inlineStr">
        <is>
          <t>3500BN0041</t>
        </is>
      </c>
      <c r="C3856" s="2" t="inlineStr">
        <is>
          <t>Tolva fundente BN0041</t>
        </is>
      </c>
      <c r="D3856" s="2" t="n">
        <v>1285</v>
      </c>
      <c r="E3856" s="2" t="inlineStr">
        <is>
          <t>CC-3000</t>
        </is>
      </c>
      <c r="F3856" s="2" t="inlineStr">
        <is>
          <t>P01</t>
        </is>
      </c>
      <c r="G3856" s="2" t="n">
        <v>630000</v>
      </c>
      <c r="H3856" s="2" t="inlineStr">
        <is>
          <t>Servicios externos</t>
        </is>
      </c>
      <c r="I3856" s="9" t="n">
        <v>1372.1</v>
      </c>
      <c r="J3856" s="9" t="n">
        <v>1337.32</v>
      </c>
      <c r="K3856" s="9" t="n">
        <v>1564.71</v>
      </c>
      <c r="L3856" s="9" t="n">
        <v>1391.55</v>
      </c>
      <c r="M3856" s="9" t="n">
        <v>1333.78</v>
      </c>
      <c r="N3856" s="9" t="n">
        <v>1457.45</v>
      </c>
      <c r="O3856" s="9" t="n">
        <v>1424.78</v>
      </c>
      <c r="P3856" s="9" t="n">
        <v>1357.22</v>
      </c>
      <c r="Q3856" s="9" t="n">
        <v>1355.18</v>
      </c>
      <c r="R3856" s="9" t="n">
        <v>1436.07</v>
      </c>
      <c r="S3856" s="9" t="n">
        <v>1375</v>
      </c>
      <c r="T3856" s="9" t="n">
        <v>1479.47</v>
      </c>
      <c r="U3856" s="10">
        <f>SUM(I3856:T3856)</f>
        <v/>
      </c>
    </row>
    <row r="3857">
      <c r="A3857" s="2" t="inlineStr">
        <is>
          <t>SN-3000-3500-3500-3500BN0042</t>
        </is>
      </c>
      <c r="B3857" s="2" t="inlineStr">
        <is>
          <t>3500BN0042</t>
        </is>
      </c>
      <c r="C3857" s="2" t="inlineStr">
        <is>
          <t>Tolva fundente BN0042</t>
        </is>
      </c>
      <c r="D3857" s="2" t="n">
        <v>1286</v>
      </c>
      <c r="E3857" s="2" t="inlineStr">
        <is>
          <t>CC-3000</t>
        </is>
      </c>
      <c r="F3857" s="2" t="inlineStr">
        <is>
          <t>P01</t>
        </is>
      </c>
      <c r="G3857" s="2" t="n">
        <v>610000</v>
      </c>
      <c r="H3857" s="2" t="inlineStr">
        <is>
          <t>Mano obra interna</t>
        </is>
      </c>
      <c r="I3857" s="9" t="n">
        <v>1252.58</v>
      </c>
      <c r="J3857" s="9" t="n">
        <v>1295.65</v>
      </c>
      <c r="K3857" s="9" t="n">
        <v>1225.46</v>
      </c>
      <c r="L3857" s="9" t="n">
        <v>1276.16</v>
      </c>
      <c r="M3857" s="9" t="n">
        <v>1193.66</v>
      </c>
      <c r="N3857" s="9" t="n">
        <v>1205.15</v>
      </c>
      <c r="O3857" s="9" t="n">
        <v>1245.9</v>
      </c>
      <c r="P3857" s="9" t="n">
        <v>1357.91</v>
      </c>
      <c r="Q3857" s="9" t="n">
        <v>1253.29</v>
      </c>
      <c r="R3857" s="9" t="n">
        <v>1378.92</v>
      </c>
      <c r="S3857" s="9" t="n">
        <v>1158.51</v>
      </c>
      <c r="T3857" s="9" t="n">
        <v>1292.46</v>
      </c>
      <c r="U3857" s="10">
        <f>SUM(I3857:T3857)</f>
        <v/>
      </c>
    </row>
    <row r="3858">
      <c r="A3858" s="2" t="inlineStr">
        <is>
          <t>SN-3000-3500-3500-3500BN0042</t>
        </is>
      </c>
      <c r="B3858" s="2" t="inlineStr">
        <is>
          <t>3500BN0042</t>
        </is>
      </c>
      <c r="C3858" s="2" t="inlineStr">
        <is>
          <t>Tolva fundente BN0042</t>
        </is>
      </c>
      <c r="D3858" s="2" t="n">
        <v>1286</v>
      </c>
      <c r="E3858" s="2" t="inlineStr">
        <is>
          <t>CC-3000</t>
        </is>
      </c>
      <c r="F3858" s="2" t="inlineStr">
        <is>
          <t>P01</t>
        </is>
      </c>
      <c r="G3858" s="2" t="n">
        <v>620000</v>
      </c>
      <c r="H3858" s="2" t="inlineStr">
        <is>
          <t>Materiales</t>
        </is>
      </c>
      <c r="I3858" s="9" t="n">
        <v>1128.04</v>
      </c>
      <c r="J3858" s="9" t="n">
        <v>1162.73</v>
      </c>
      <c r="K3858" s="9" t="n">
        <v>1140.88</v>
      </c>
      <c r="L3858" s="9" t="n">
        <v>1169.55</v>
      </c>
      <c r="M3858" s="9" t="n">
        <v>1103.8</v>
      </c>
      <c r="N3858" s="9" t="n">
        <v>1224.85</v>
      </c>
      <c r="O3858" s="9" t="n">
        <v>1130.49</v>
      </c>
      <c r="P3858" s="9" t="n">
        <v>1125.56</v>
      </c>
      <c r="Q3858" s="9" t="n">
        <v>1194.62</v>
      </c>
      <c r="R3858" s="9" t="n">
        <v>1290.07</v>
      </c>
      <c r="S3858" s="9" t="n">
        <v>1202.78</v>
      </c>
      <c r="T3858" s="9" t="n">
        <v>1177.46</v>
      </c>
      <c r="U3858" s="10">
        <f>SUM(I3858:T3858)</f>
        <v/>
      </c>
    </row>
    <row r="3859">
      <c r="A3859" s="2" t="inlineStr">
        <is>
          <t>SN-3000-3500-3500-3500BN0042</t>
        </is>
      </c>
      <c r="B3859" s="2" t="inlineStr">
        <is>
          <t>3500BN0042</t>
        </is>
      </c>
      <c r="C3859" s="2" t="inlineStr">
        <is>
          <t>Tolva fundente BN0042</t>
        </is>
      </c>
      <c r="D3859" s="2" t="n">
        <v>1286</v>
      </c>
      <c r="E3859" s="2" t="inlineStr">
        <is>
          <t>CC-3000</t>
        </is>
      </c>
      <c r="F3859" s="2" t="inlineStr">
        <is>
          <t>P01</t>
        </is>
      </c>
      <c r="G3859" s="2" t="n">
        <v>630000</v>
      </c>
      <c r="H3859" s="2" t="inlineStr">
        <is>
          <t>Servicios externos</t>
        </is>
      </c>
      <c r="I3859" s="9" t="n">
        <v>1026.04</v>
      </c>
      <c r="J3859" s="9" t="n">
        <v>1058.99</v>
      </c>
      <c r="K3859" s="9" t="n">
        <v>1135.64</v>
      </c>
      <c r="L3859" s="9" t="n">
        <v>1117.81</v>
      </c>
      <c r="M3859" s="9" t="n">
        <v>1063.63</v>
      </c>
      <c r="N3859" s="9" t="n">
        <v>1091.31</v>
      </c>
      <c r="O3859" s="9" t="n">
        <v>1091.97</v>
      </c>
      <c r="P3859" s="9" t="n">
        <v>1114.12</v>
      </c>
      <c r="Q3859" s="9" t="n">
        <v>964.5</v>
      </c>
      <c r="R3859" s="9" t="n">
        <v>1244.83</v>
      </c>
      <c r="S3859" s="9" t="n">
        <v>1033.16</v>
      </c>
      <c r="T3859" s="9" t="n">
        <v>1104.22</v>
      </c>
      <c r="U3859" s="10">
        <f>SUM(I3859:T3859)</f>
        <v/>
      </c>
    </row>
    <row r="3860">
      <c r="A3860" s="2" t="inlineStr">
        <is>
          <t>SN-3000-3500-3500-3500BN0043</t>
        </is>
      </c>
      <c r="B3860" s="2" t="inlineStr">
        <is>
          <t>3500BN0043</t>
        </is>
      </c>
      <c r="C3860" s="2" t="inlineStr">
        <is>
          <t>Tolva fundente BN0043</t>
        </is>
      </c>
      <c r="D3860" s="2" t="n">
        <v>1287</v>
      </c>
      <c r="E3860" s="2" t="inlineStr">
        <is>
          <t>CC-3000</t>
        </is>
      </c>
      <c r="F3860" s="2" t="inlineStr">
        <is>
          <t>P01</t>
        </is>
      </c>
      <c r="G3860" s="2" t="n">
        <v>610000</v>
      </c>
      <c r="H3860" s="2" t="inlineStr">
        <is>
          <t>Mano obra interna</t>
        </is>
      </c>
      <c r="I3860" s="9" t="n">
        <v>1314.4</v>
      </c>
      <c r="J3860" s="9" t="n">
        <v>1269.75</v>
      </c>
      <c r="K3860" s="9" t="n">
        <v>1194.79</v>
      </c>
      <c r="L3860" s="9" t="n">
        <v>1288.37</v>
      </c>
      <c r="M3860" s="9" t="n">
        <v>1122.87</v>
      </c>
      <c r="N3860" s="9" t="n">
        <v>1071.23</v>
      </c>
      <c r="O3860" s="9" t="n">
        <v>1277.42</v>
      </c>
      <c r="P3860" s="9" t="n">
        <v>1139.24</v>
      </c>
      <c r="Q3860" s="9" t="n">
        <v>1065.54</v>
      </c>
      <c r="R3860" s="9" t="n">
        <v>1328.89</v>
      </c>
      <c r="S3860" s="9" t="n">
        <v>1232.34</v>
      </c>
      <c r="T3860" s="9" t="n">
        <v>1168.51</v>
      </c>
      <c r="U3860" s="10">
        <f>SUM(I3860:T3860)</f>
        <v/>
      </c>
    </row>
    <row r="3861">
      <c r="A3861" s="2" t="inlineStr">
        <is>
          <t>SN-3000-3500-3500-3500BN0043</t>
        </is>
      </c>
      <c r="B3861" s="2" t="inlineStr">
        <is>
          <t>3500BN0043</t>
        </is>
      </c>
      <c r="C3861" s="2" t="inlineStr">
        <is>
          <t>Tolva fundente BN0043</t>
        </is>
      </c>
      <c r="D3861" s="2" t="n">
        <v>1287</v>
      </c>
      <c r="E3861" s="2" t="inlineStr">
        <is>
          <t>CC-3000</t>
        </is>
      </c>
      <c r="F3861" s="2" t="inlineStr">
        <is>
          <t>P01</t>
        </is>
      </c>
      <c r="G3861" s="2" t="n">
        <v>620000</v>
      </c>
      <c r="H3861" s="2" t="inlineStr">
        <is>
          <t>Materiales</t>
        </is>
      </c>
      <c r="I3861" s="9" t="n">
        <v>1041.25</v>
      </c>
      <c r="J3861" s="9" t="n">
        <v>995.5</v>
      </c>
      <c r="K3861" s="9" t="n">
        <v>1059.34</v>
      </c>
      <c r="L3861" s="9" t="n">
        <v>1197.29</v>
      </c>
      <c r="M3861" s="9" t="n">
        <v>1012.55</v>
      </c>
      <c r="N3861" s="9" t="n">
        <v>1062.24</v>
      </c>
      <c r="O3861" s="9" t="n">
        <v>1168.19</v>
      </c>
      <c r="P3861" s="9" t="n">
        <v>1115.52</v>
      </c>
      <c r="Q3861" s="9" t="n">
        <v>942.22</v>
      </c>
      <c r="R3861" s="9" t="n">
        <v>1197.97</v>
      </c>
      <c r="S3861" s="9" t="n">
        <v>1127.34</v>
      </c>
      <c r="T3861" s="9" t="n">
        <v>1078.7</v>
      </c>
      <c r="U3861" s="10">
        <f>SUM(I3861:T3861)</f>
        <v/>
      </c>
    </row>
    <row r="3862">
      <c r="A3862" s="2" t="inlineStr">
        <is>
          <t>SN-3000-3500-3500-3500BN0043</t>
        </is>
      </c>
      <c r="B3862" s="2" t="inlineStr">
        <is>
          <t>3500BN0043</t>
        </is>
      </c>
      <c r="C3862" s="2" t="inlineStr">
        <is>
          <t>Tolva fundente BN0043</t>
        </is>
      </c>
      <c r="D3862" s="2" t="n">
        <v>1287</v>
      </c>
      <c r="E3862" s="2" t="inlineStr">
        <is>
          <t>CC-3000</t>
        </is>
      </c>
      <c r="F3862" s="2" t="inlineStr">
        <is>
          <t>P01</t>
        </is>
      </c>
      <c r="G3862" s="2" t="n">
        <v>630000</v>
      </c>
      <c r="H3862" s="2" t="inlineStr">
        <is>
          <t>Servicios externos</t>
        </is>
      </c>
      <c r="I3862" s="9" t="n">
        <v>1139.42</v>
      </c>
      <c r="J3862" s="9" t="n">
        <v>1146.29</v>
      </c>
      <c r="K3862" s="9" t="n">
        <v>1149.38</v>
      </c>
      <c r="L3862" s="9" t="n">
        <v>1231.07</v>
      </c>
      <c r="M3862" s="9" t="n">
        <v>1177.53</v>
      </c>
      <c r="N3862" s="9" t="n">
        <v>1094.14</v>
      </c>
      <c r="O3862" s="9" t="n">
        <v>1204.83</v>
      </c>
      <c r="P3862" s="9" t="n">
        <v>1087.36</v>
      </c>
      <c r="Q3862" s="9" t="n">
        <v>1125.72</v>
      </c>
      <c r="R3862" s="9" t="n">
        <v>1274.73</v>
      </c>
      <c r="S3862" s="9" t="n">
        <v>1149.17</v>
      </c>
      <c r="T3862" s="9" t="n">
        <v>1097.95</v>
      </c>
      <c r="U3862" s="10">
        <f>SUM(I3862:T3862)</f>
        <v/>
      </c>
    </row>
    <row r="3863">
      <c r="A3863" s="2" t="inlineStr">
        <is>
          <t>SN-3000-3500-3500-3500BX0033</t>
        </is>
      </c>
      <c r="B3863" s="2" t="inlineStr">
        <is>
          <t>3500BX0033</t>
        </is>
      </c>
      <c r="C3863" s="2" t="inlineStr">
        <is>
          <t>Intercambiador calor tubos BX0033</t>
        </is>
      </c>
      <c r="D3863" s="2" t="n">
        <v>1288</v>
      </c>
      <c r="E3863" s="2" t="inlineStr">
        <is>
          <t>CC-3000</t>
        </is>
      </c>
      <c r="F3863" s="2" t="inlineStr">
        <is>
          <t>P01</t>
        </is>
      </c>
      <c r="G3863" s="2" t="n">
        <v>610000</v>
      </c>
      <c r="H3863" s="2" t="inlineStr">
        <is>
          <t>Mano obra interna</t>
        </is>
      </c>
      <c r="I3863" s="9" t="n">
        <v>2929.27</v>
      </c>
      <c r="J3863" s="9" t="n">
        <v>2822.26</v>
      </c>
      <c r="K3863" s="9" t="n">
        <v>2878.58</v>
      </c>
      <c r="L3863" s="9" t="n">
        <v>2704.21</v>
      </c>
      <c r="M3863" s="9" t="n">
        <v>2807.26</v>
      </c>
      <c r="N3863" s="9" t="n">
        <v>2702.44</v>
      </c>
      <c r="O3863" s="9" t="n">
        <v>2837.96</v>
      </c>
      <c r="P3863" s="9" t="n">
        <v>2921.43</v>
      </c>
      <c r="Q3863" s="9" t="n">
        <v>2588.02</v>
      </c>
      <c r="R3863" s="9" t="n">
        <v>2983.11</v>
      </c>
      <c r="S3863" s="9" t="n">
        <v>2779.44</v>
      </c>
      <c r="T3863" s="9" t="n">
        <v>2957.85</v>
      </c>
      <c r="U3863" s="10">
        <f>SUM(I3863:T3863)</f>
        <v/>
      </c>
    </row>
    <row r="3864">
      <c r="A3864" s="2" t="inlineStr">
        <is>
          <t>SN-3000-3500-3500-3500BX0033</t>
        </is>
      </c>
      <c r="B3864" s="2" t="inlineStr">
        <is>
          <t>3500BX0033</t>
        </is>
      </c>
      <c r="C3864" s="2" t="inlineStr">
        <is>
          <t>Intercambiador calor tubos BX0033</t>
        </is>
      </c>
      <c r="D3864" s="2" t="n">
        <v>1288</v>
      </c>
      <c r="E3864" s="2" t="inlineStr">
        <is>
          <t>CC-3000</t>
        </is>
      </c>
      <c r="F3864" s="2" t="inlineStr">
        <is>
          <t>P01</t>
        </is>
      </c>
      <c r="G3864" s="2" t="n">
        <v>620000</v>
      </c>
      <c r="H3864" s="2" t="inlineStr">
        <is>
          <t>Materiales</t>
        </is>
      </c>
      <c r="I3864" s="9" t="n">
        <v>2913.39</v>
      </c>
      <c r="J3864" s="9" t="n">
        <v>2763</v>
      </c>
      <c r="K3864" s="9" t="n">
        <v>2575.95</v>
      </c>
      <c r="L3864" s="9" t="n">
        <v>2776.87</v>
      </c>
      <c r="M3864" s="9" t="n">
        <v>2626.83</v>
      </c>
      <c r="N3864" s="9" t="n">
        <v>2514.33</v>
      </c>
      <c r="O3864" s="9" t="n">
        <v>2888.02</v>
      </c>
      <c r="P3864" s="9" t="n">
        <v>2669.07</v>
      </c>
      <c r="Q3864" s="9" t="n">
        <v>2591.65</v>
      </c>
      <c r="R3864" s="9" t="n">
        <v>3117.37</v>
      </c>
      <c r="S3864" s="9" t="n">
        <v>2458.37</v>
      </c>
      <c r="T3864" s="9" t="n">
        <v>2535.08</v>
      </c>
      <c r="U3864" s="10">
        <f>SUM(I3864:T3864)</f>
        <v/>
      </c>
    </row>
    <row r="3865">
      <c r="A3865" s="2" t="inlineStr">
        <is>
          <t>SN-3000-3500-3500-3500BX0033</t>
        </is>
      </c>
      <c r="B3865" s="2" t="inlineStr">
        <is>
          <t>3500BX0033</t>
        </is>
      </c>
      <c r="C3865" s="2" t="inlineStr">
        <is>
          <t>Intercambiador calor tubos BX0033</t>
        </is>
      </c>
      <c r="D3865" s="2" t="n">
        <v>1288</v>
      </c>
      <c r="E3865" s="2" t="inlineStr">
        <is>
          <t>CC-3000</t>
        </is>
      </c>
      <c r="F3865" s="2" t="inlineStr">
        <is>
          <t>P01</t>
        </is>
      </c>
      <c r="G3865" s="2" t="n">
        <v>630000</v>
      </c>
      <c r="H3865" s="2" t="inlineStr">
        <is>
          <t>Servicios externos</t>
        </is>
      </c>
      <c r="I3865" s="9" t="n">
        <v>2373.36</v>
      </c>
      <c r="J3865" s="9" t="n">
        <v>2318.27</v>
      </c>
      <c r="K3865" s="9" t="n">
        <v>2790.56</v>
      </c>
      <c r="L3865" s="9" t="n">
        <v>2751.67</v>
      </c>
      <c r="M3865" s="9" t="n">
        <v>2557.7</v>
      </c>
      <c r="N3865" s="9" t="n">
        <v>2494.56</v>
      </c>
      <c r="O3865" s="9" t="n">
        <v>2364.51</v>
      </c>
      <c r="P3865" s="9" t="n">
        <v>2543.99</v>
      </c>
      <c r="Q3865" s="9" t="n">
        <v>2205.27</v>
      </c>
      <c r="R3865" s="9" t="n">
        <v>2651.73</v>
      </c>
      <c r="S3865" s="9" t="n">
        <v>2367.53</v>
      </c>
      <c r="T3865" s="9" t="n">
        <v>2591.32</v>
      </c>
      <c r="U3865" s="10">
        <f>SUM(I3865:T3865)</f>
        <v/>
      </c>
    </row>
    <row r="3866">
      <c r="A3866" s="2" t="inlineStr">
        <is>
          <t>SN-3000-3500-3500-3500BX0034</t>
        </is>
      </c>
      <c r="B3866" s="2" t="inlineStr">
        <is>
          <t>3500BX0034</t>
        </is>
      </c>
      <c r="C3866" s="2" t="inlineStr">
        <is>
          <t>Intercambiador calor tubos BX0034</t>
        </is>
      </c>
      <c r="D3866" s="2" t="n">
        <v>1289</v>
      </c>
      <c r="E3866" s="2" t="inlineStr">
        <is>
          <t>CC-3000</t>
        </is>
      </c>
      <c r="F3866" s="2" t="inlineStr">
        <is>
          <t>P01</t>
        </is>
      </c>
      <c r="G3866" s="2" t="n">
        <v>610000</v>
      </c>
      <c r="H3866" s="2" t="inlineStr">
        <is>
          <t>Mano obra interna</t>
        </is>
      </c>
      <c r="I3866" s="9" t="n">
        <v>2061.13</v>
      </c>
      <c r="J3866" s="9" t="n">
        <v>2160.53</v>
      </c>
      <c r="K3866" s="9" t="n">
        <v>2272.48</v>
      </c>
      <c r="L3866" s="9" t="n">
        <v>2146.9</v>
      </c>
      <c r="M3866" s="9" t="n">
        <v>2012.98</v>
      </c>
      <c r="N3866" s="9" t="n">
        <v>2188.44</v>
      </c>
      <c r="O3866" s="9" t="n">
        <v>2002.53</v>
      </c>
      <c r="P3866" s="9" t="n">
        <v>2229.14</v>
      </c>
      <c r="Q3866" s="9" t="n">
        <v>1891.23</v>
      </c>
      <c r="R3866" s="9" t="n">
        <v>2376</v>
      </c>
      <c r="S3866" s="9" t="n">
        <v>2141.62</v>
      </c>
      <c r="T3866" s="9" t="n">
        <v>2294.34</v>
      </c>
      <c r="U3866" s="10">
        <f>SUM(I3866:T3866)</f>
        <v/>
      </c>
    </row>
    <row r="3867">
      <c r="A3867" s="2" t="inlineStr">
        <is>
          <t>SN-3000-3500-3500-3500BX0034</t>
        </is>
      </c>
      <c r="B3867" s="2" t="inlineStr">
        <is>
          <t>3500BX0034</t>
        </is>
      </c>
      <c r="C3867" s="2" t="inlineStr">
        <is>
          <t>Intercambiador calor tubos BX0034</t>
        </is>
      </c>
      <c r="D3867" s="2" t="n">
        <v>1289</v>
      </c>
      <c r="E3867" s="2" t="inlineStr">
        <is>
          <t>CC-3000</t>
        </is>
      </c>
      <c r="F3867" s="2" t="inlineStr">
        <is>
          <t>P01</t>
        </is>
      </c>
      <c r="G3867" s="2" t="n">
        <v>620000</v>
      </c>
      <c r="H3867" s="2" t="inlineStr">
        <is>
          <t>Materiales</t>
        </is>
      </c>
      <c r="I3867" s="9" t="n">
        <v>2141.19</v>
      </c>
      <c r="J3867" s="9" t="n">
        <v>2348.18</v>
      </c>
      <c r="K3867" s="9" t="n">
        <v>2322.15</v>
      </c>
      <c r="L3867" s="9" t="n">
        <v>2450.23</v>
      </c>
      <c r="M3867" s="9" t="n">
        <v>2347.01</v>
      </c>
      <c r="N3867" s="9" t="n">
        <v>2170.88</v>
      </c>
      <c r="O3867" s="9" t="n">
        <v>2453.84</v>
      </c>
      <c r="P3867" s="9" t="n">
        <v>2255.78</v>
      </c>
      <c r="Q3867" s="9" t="n">
        <v>2180.73</v>
      </c>
      <c r="R3867" s="9" t="n">
        <v>2515.92</v>
      </c>
      <c r="S3867" s="9" t="n">
        <v>2205.07</v>
      </c>
      <c r="T3867" s="9" t="n">
        <v>2336.45</v>
      </c>
      <c r="U3867" s="10">
        <f>SUM(I3867:T3867)</f>
        <v/>
      </c>
    </row>
    <row r="3868">
      <c r="A3868" s="2" t="inlineStr">
        <is>
          <t>SN-3000-3500-3500-3500BX0034</t>
        </is>
      </c>
      <c r="B3868" s="2" t="inlineStr">
        <is>
          <t>3500BX0034</t>
        </is>
      </c>
      <c r="C3868" s="2" t="inlineStr">
        <is>
          <t>Intercambiador calor tubos BX0034</t>
        </is>
      </c>
      <c r="D3868" s="2" t="n">
        <v>1289</v>
      </c>
      <c r="E3868" s="2" t="inlineStr">
        <is>
          <t>CC-3000</t>
        </is>
      </c>
      <c r="F3868" s="2" t="inlineStr">
        <is>
          <t>P01</t>
        </is>
      </c>
      <c r="G3868" s="2" t="n">
        <v>630000</v>
      </c>
      <c r="H3868" s="2" t="inlineStr">
        <is>
          <t>Servicios externos</t>
        </is>
      </c>
      <c r="I3868" s="9" t="n">
        <v>2695.81</v>
      </c>
      <c r="J3868" s="9" t="n">
        <v>2550.81</v>
      </c>
      <c r="K3868" s="9" t="n">
        <v>2763.31</v>
      </c>
      <c r="L3868" s="9" t="n">
        <v>2470.09</v>
      </c>
      <c r="M3868" s="9" t="n">
        <v>2422.28</v>
      </c>
      <c r="N3868" s="9" t="n">
        <v>2346.55</v>
      </c>
      <c r="O3868" s="9" t="n">
        <v>2581.01</v>
      </c>
      <c r="P3868" s="9" t="n">
        <v>2764.09</v>
      </c>
      <c r="Q3868" s="9" t="n">
        <v>2486.1</v>
      </c>
      <c r="R3868" s="9" t="n">
        <v>3028.52</v>
      </c>
      <c r="S3868" s="9" t="n">
        <v>2341.42</v>
      </c>
      <c r="T3868" s="9" t="n">
        <v>2743.73</v>
      </c>
      <c r="U3868" s="10">
        <f>SUM(I3868:T3868)</f>
        <v/>
      </c>
    </row>
    <row r="3869">
      <c r="A3869" s="2" t="inlineStr">
        <is>
          <t>SN-3000-3500-3500-3500BX0036</t>
        </is>
      </c>
      <c r="B3869" s="2" t="inlineStr">
        <is>
          <t>3500BX0036</t>
        </is>
      </c>
      <c r="C3869" s="2" t="inlineStr">
        <is>
          <t>Estanque separador BX0036</t>
        </is>
      </c>
      <c r="D3869" s="2" t="n">
        <v>1290</v>
      </c>
      <c r="E3869" s="2" t="inlineStr">
        <is>
          <t>CC-3000</t>
        </is>
      </c>
      <c r="F3869" s="2" t="inlineStr">
        <is>
          <t>P01</t>
        </is>
      </c>
      <c r="G3869" s="2" t="n">
        <v>610000</v>
      </c>
      <c r="H3869" s="2" t="inlineStr">
        <is>
          <t>Mano obra interna</t>
        </is>
      </c>
      <c r="I3869" s="9" t="n">
        <v>2021.94</v>
      </c>
      <c r="J3869" s="9" t="n">
        <v>2221.85</v>
      </c>
      <c r="K3869" s="9" t="n">
        <v>2092.66</v>
      </c>
      <c r="L3869" s="9" t="n">
        <v>2091.21</v>
      </c>
      <c r="M3869" s="9" t="n">
        <v>2067.85</v>
      </c>
      <c r="N3869" s="9" t="n">
        <v>2144.58</v>
      </c>
      <c r="O3869" s="9" t="n">
        <v>2187.93</v>
      </c>
      <c r="P3869" s="9" t="n">
        <v>2061.99</v>
      </c>
      <c r="Q3869" s="9" t="n">
        <v>1890.11</v>
      </c>
      <c r="R3869" s="9" t="n">
        <v>2167.9</v>
      </c>
      <c r="S3869" s="9" t="n">
        <v>1959.42</v>
      </c>
      <c r="T3869" s="9" t="n">
        <v>2304.21</v>
      </c>
      <c r="U3869" s="10">
        <f>SUM(I3869:T3869)</f>
        <v/>
      </c>
    </row>
    <row r="3870">
      <c r="A3870" s="2" t="inlineStr">
        <is>
          <t>SN-3000-3500-3500-3500BX0036</t>
        </is>
      </c>
      <c r="B3870" s="2" t="inlineStr">
        <is>
          <t>3500BX0036</t>
        </is>
      </c>
      <c r="C3870" s="2" t="inlineStr">
        <is>
          <t>Estanque separador BX0036</t>
        </is>
      </c>
      <c r="D3870" s="2" t="n">
        <v>1290</v>
      </c>
      <c r="E3870" s="2" t="inlineStr">
        <is>
          <t>CC-3000</t>
        </is>
      </c>
      <c r="F3870" s="2" t="inlineStr">
        <is>
          <t>P01</t>
        </is>
      </c>
      <c r="G3870" s="2" t="n">
        <v>620000</v>
      </c>
      <c r="H3870" s="2" t="inlineStr">
        <is>
          <t>Materiales</t>
        </is>
      </c>
      <c r="I3870" s="9" t="n">
        <v>2582.04</v>
      </c>
      <c r="J3870" s="9" t="n">
        <v>2441.62</v>
      </c>
      <c r="K3870" s="9" t="n">
        <v>2578.06</v>
      </c>
      <c r="L3870" s="9" t="n">
        <v>2526.64</v>
      </c>
      <c r="M3870" s="9" t="n">
        <v>2499.47</v>
      </c>
      <c r="N3870" s="9" t="n">
        <v>2374.18</v>
      </c>
      <c r="O3870" s="9" t="n">
        <v>2339.88</v>
      </c>
      <c r="P3870" s="9" t="n">
        <v>2284.88</v>
      </c>
      <c r="Q3870" s="9" t="n">
        <v>2219.99</v>
      </c>
      <c r="R3870" s="9" t="n">
        <v>2581.6</v>
      </c>
      <c r="S3870" s="9" t="n">
        <v>2305.29</v>
      </c>
      <c r="T3870" s="9" t="n">
        <v>2467.06</v>
      </c>
      <c r="U3870" s="10">
        <f>SUM(I3870:T3870)</f>
        <v/>
      </c>
    </row>
    <row r="3871">
      <c r="A3871" s="2" t="inlineStr">
        <is>
          <t>SN-3000-3500-3500-3500BX0036</t>
        </is>
      </c>
      <c r="B3871" s="2" t="inlineStr">
        <is>
          <t>3500BX0036</t>
        </is>
      </c>
      <c r="C3871" s="2" t="inlineStr">
        <is>
          <t>Estanque separador BX0036</t>
        </is>
      </c>
      <c r="D3871" s="2" t="n">
        <v>1290</v>
      </c>
      <c r="E3871" s="2" t="inlineStr">
        <is>
          <t>CC-3000</t>
        </is>
      </c>
      <c r="F3871" s="2" t="inlineStr">
        <is>
          <t>P01</t>
        </is>
      </c>
      <c r="G3871" s="2" t="n">
        <v>630000</v>
      </c>
      <c r="H3871" s="2" t="inlineStr">
        <is>
          <t>Servicios externos</t>
        </is>
      </c>
      <c r="I3871" s="9" t="n">
        <v>2180.72</v>
      </c>
      <c r="J3871" s="9" t="n">
        <v>2175.32</v>
      </c>
      <c r="K3871" s="9" t="n">
        <v>2506.82</v>
      </c>
      <c r="L3871" s="9" t="n">
        <v>2371.36</v>
      </c>
      <c r="M3871" s="9" t="n">
        <v>2201.5</v>
      </c>
      <c r="N3871" s="9" t="n">
        <v>2309.39</v>
      </c>
      <c r="O3871" s="9" t="n">
        <v>2196.41</v>
      </c>
      <c r="P3871" s="9" t="n">
        <v>2252.35</v>
      </c>
      <c r="Q3871" s="9" t="n">
        <v>2052.93</v>
      </c>
      <c r="R3871" s="9" t="n">
        <v>2613.2</v>
      </c>
      <c r="S3871" s="9" t="n">
        <v>2295.09</v>
      </c>
      <c r="T3871" s="9" t="n">
        <v>2306.45</v>
      </c>
      <c r="U3871" s="10">
        <f>SUM(I3871:T3871)</f>
        <v/>
      </c>
    </row>
    <row r="3872">
      <c r="A3872" s="2" t="inlineStr">
        <is>
          <t>SN-3000-3500-3500-3500BX0037</t>
        </is>
      </c>
      <c r="B3872" s="2" t="inlineStr">
        <is>
          <t>3500BX0037</t>
        </is>
      </c>
      <c r="C3872" s="2" t="inlineStr">
        <is>
          <t>Estanque separador BX0037</t>
        </is>
      </c>
      <c r="D3872" s="2" t="n">
        <v>1291</v>
      </c>
      <c r="E3872" s="2" t="inlineStr">
        <is>
          <t>CC-3000</t>
        </is>
      </c>
      <c r="F3872" s="2" t="inlineStr">
        <is>
          <t>P01</t>
        </is>
      </c>
      <c r="G3872" s="2" t="n">
        <v>610000</v>
      </c>
      <c r="H3872" s="2" t="inlineStr">
        <is>
          <t>Mano obra interna</t>
        </is>
      </c>
      <c r="I3872" s="9" t="n">
        <v>3142.77</v>
      </c>
      <c r="J3872" s="9" t="n">
        <v>2933.93</v>
      </c>
      <c r="K3872" s="9" t="n">
        <v>3159.14</v>
      </c>
      <c r="L3872" s="9" t="n">
        <v>3048.42</v>
      </c>
      <c r="M3872" s="9" t="n">
        <v>2910.21</v>
      </c>
      <c r="N3872" s="9" t="n">
        <v>2720.01</v>
      </c>
      <c r="O3872" s="9" t="n">
        <v>2778.34</v>
      </c>
      <c r="P3872" s="9" t="n">
        <v>2676.78</v>
      </c>
      <c r="Q3872" s="9" t="n">
        <v>2811.47</v>
      </c>
      <c r="R3872" s="9" t="n">
        <v>2919.64</v>
      </c>
      <c r="S3872" s="9" t="n">
        <v>2749.48</v>
      </c>
      <c r="T3872" s="9" t="n">
        <v>2800.14</v>
      </c>
      <c r="U3872" s="10">
        <f>SUM(I3872:T3872)</f>
        <v/>
      </c>
    </row>
    <row r="3873">
      <c r="A3873" s="2" t="inlineStr">
        <is>
          <t>SN-3000-3500-3500-3500BX0037</t>
        </is>
      </c>
      <c r="B3873" s="2" t="inlineStr">
        <is>
          <t>3500BX0037</t>
        </is>
      </c>
      <c r="C3873" s="2" t="inlineStr">
        <is>
          <t>Estanque separador BX0037</t>
        </is>
      </c>
      <c r="D3873" s="2" t="n">
        <v>1291</v>
      </c>
      <c r="E3873" s="2" t="inlineStr">
        <is>
          <t>CC-3000</t>
        </is>
      </c>
      <c r="F3873" s="2" t="inlineStr">
        <is>
          <t>P01</t>
        </is>
      </c>
      <c r="G3873" s="2" t="n">
        <v>620000</v>
      </c>
      <c r="H3873" s="2" t="inlineStr">
        <is>
          <t>Materiales</t>
        </is>
      </c>
      <c r="I3873" s="9" t="n">
        <v>2374.47</v>
      </c>
      <c r="J3873" s="9" t="n">
        <v>2485.17</v>
      </c>
      <c r="K3873" s="9" t="n">
        <v>2661.97</v>
      </c>
      <c r="L3873" s="9" t="n">
        <v>2622.85</v>
      </c>
      <c r="M3873" s="9" t="n">
        <v>2418.59</v>
      </c>
      <c r="N3873" s="9" t="n">
        <v>2467.37</v>
      </c>
      <c r="O3873" s="9" t="n">
        <v>2359.93</v>
      </c>
      <c r="P3873" s="9" t="n">
        <v>2403.76</v>
      </c>
      <c r="Q3873" s="9" t="n">
        <v>2144.45</v>
      </c>
      <c r="R3873" s="9" t="n">
        <v>2749.52</v>
      </c>
      <c r="S3873" s="9" t="n">
        <v>2201.47</v>
      </c>
      <c r="T3873" s="9" t="n">
        <v>2475.53</v>
      </c>
      <c r="U3873" s="10">
        <f>SUM(I3873:T3873)</f>
        <v/>
      </c>
    </row>
    <row r="3874">
      <c r="A3874" s="2" t="inlineStr">
        <is>
          <t>SN-3000-3500-3500-3500BX0037</t>
        </is>
      </c>
      <c r="B3874" s="2" t="inlineStr">
        <is>
          <t>3500BX0037</t>
        </is>
      </c>
      <c r="C3874" s="2" t="inlineStr">
        <is>
          <t>Estanque separador BX0037</t>
        </is>
      </c>
      <c r="D3874" s="2" t="n">
        <v>1291</v>
      </c>
      <c r="E3874" s="2" t="inlineStr">
        <is>
          <t>CC-3000</t>
        </is>
      </c>
      <c r="F3874" s="2" t="inlineStr">
        <is>
          <t>P01</t>
        </is>
      </c>
      <c r="G3874" s="2" t="n">
        <v>630000</v>
      </c>
      <c r="H3874" s="2" t="inlineStr">
        <is>
          <t>Servicios externos</t>
        </is>
      </c>
      <c r="I3874" s="9" t="n">
        <v>2790.21</v>
      </c>
      <c r="J3874" s="9" t="n">
        <v>2472.68</v>
      </c>
      <c r="K3874" s="9" t="n">
        <v>2826.85</v>
      </c>
      <c r="L3874" s="9" t="n">
        <v>2869.07</v>
      </c>
      <c r="M3874" s="9" t="n">
        <v>2531.22</v>
      </c>
      <c r="N3874" s="9" t="n">
        <v>2671.45</v>
      </c>
      <c r="O3874" s="9" t="n">
        <v>2856.5</v>
      </c>
      <c r="P3874" s="9" t="n">
        <v>2899.51</v>
      </c>
      <c r="Q3874" s="9" t="n">
        <v>2469.99</v>
      </c>
      <c r="R3874" s="9" t="n">
        <v>2682.7</v>
      </c>
      <c r="S3874" s="9" t="n">
        <v>2572.42</v>
      </c>
      <c r="T3874" s="9" t="n">
        <v>2802.15</v>
      </c>
      <c r="U3874" s="10">
        <f>SUM(I3874:T3874)</f>
        <v/>
      </c>
    </row>
    <row r="3875">
      <c r="A3875" s="2" t="inlineStr">
        <is>
          <t>SN-3000-3500-3500-3500CQ0001</t>
        </is>
      </c>
      <c r="B3875" s="2" t="inlineStr">
        <is>
          <t>3500CQ0001</t>
        </is>
      </c>
      <c r="C3875" s="2" t="inlineStr">
        <is>
          <t>Intercambiador calor por aire CQ0001</t>
        </is>
      </c>
      <c r="D3875" s="2" t="n">
        <v>1292</v>
      </c>
      <c r="E3875" s="2" t="inlineStr">
        <is>
          <t>CC-3000</t>
        </is>
      </c>
      <c r="F3875" s="2" t="inlineStr">
        <is>
          <t>P01</t>
        </is>
      </c>
      <c r="G3875" s="2" t="n">
        <v>610000</v>
      </c>
      <c r="H3875" s="2" t="inlineStr">
        <is>
          <t>Mano obra interna</t>
        </is>
      </c>
      <c r="I3875" s="9" t="n">
        <v>861.73</v>
      </c>
      <c r="J3875" s="9" t="n">
        <v>827.8099999999999</v>
      </c>
      <c r="K3875" s="9" t="n">
        <v>834.37</v>
      </c>
      <c r="L3875" s="9" t="n">
        <v>829.78</v>
      </c>
      <c r="M3875" s="9" t="n">
        <v>718.52</v>
      </c>
      <c r="N3875" s="9" t="n">
        <v>737.74</v>
      </c>
      <c r="O3875" s="9" t="n">
        <v>840.5700000000001</v>
      </c>
      <c r="P3875" s="9" t="n">
        <v>812.17</v>
      </c>
      <c r="Q3875" s="9" t="n">
        <v>730.54</v>
      </c>
      <c r="R3875" s="9" t="n">
        <v>796.84</v>
      </c>
      <c r="S3875" s="9" t="n">
        <v>732.65</v>
      </c>
      <c r="T3875" s="9" t="n">
        <v>807.59</v>
      </c>
      <c r="U3875" s="10">
        <f>SUM(I3875:T3875)</f>
        <v/>
      </c>
    </row>
    <row r="3876">
      <c r="A3876" s="2" t="inlineStr">
        <is>
          <t>SN-3000-3500-3500-3500CQ0001</t>
        </is>
      </c>
      <c r="B3876" s="2" t="inlineStr">
        <is>
          <t>3500CQ0001</t>
        </is>
      </c>
      <c r="C3876" s="2" t="inlineStr">
        <is>
          <t>Intercambiador calor por aire CQ0001</t>
        </is>
      </c>
      <c r="D3876" s="2" t="n">
        <v>1292</v>
      </c>
      <c r="E3876" s="2" t="inlineStr">
        <is>
          <t>CC-3000</t>
        </is>
      </c>
      <c r="F3876" s="2" t="inlineStr">
        <is>
          <t>P01</t>
        </is>
      </c>
      <c r="G3876" s="2" t="n">
        <v>620000</v>
      </c>
      <c r="H3876" s="2" t="inlineStr">
        <is>
          <t>Materiales</t>
        </is>
      </c>
      <c r="I3876" s="9" t="n">
        <v>748.3099999999999</v>
      </c>
      <c r="J3876" s="9" t="n">
        <v>729.09</v>
      </c>
      <c r="K3876" s="9" t="n">
        <v>828.5599999999999</v>
      </c>
      <c r="L3876" s="9" t="n">
        <v>774.61</v>
      </c>
      <c r="M3876" s="9" t="n">
        <v>734.62</v>
      </c>
      <c r="N3876" s="9" t="n">
        <v>710.73</v>
      </c>
      <c r="O3876" s="9" t="n">
        <v>783.14</v>
      </c>
      <c r="P3876" s="9" t="n">
        <v>793.62</v>
      </c>
      <c r="Q3876" s="9" t="n">
        <v>776.74</v>
      </c>
      <c r="R3876" s="9" t="n">
        <v>849.21</v>
      </c>
      <c r="S3876" s="9" t="n">
        <v>781.9</v>
      </c>
      <c r="T3876" s="9" t="n">
        <v>754.72</v>
      </c>
      <c r="U3876" s="10">
        <f>SUM(I3876:T3876)</f>
        <v/>
      </c>
    </row>
    <row r="3877">
      <c r="A3877" s="2" t="inlineStr">
        <is>
          <t>SN-3000-3500-3500-3500CQ0001</t>
        </is>
      </c>
      <c r="B3877" s="2" t="inlineStr">
        <is>
          <t>3500CQ0001</t>
        </is>
      </c>
      <c r="C3877" s="2" t="inlineStr">
        <is>
          <t>Intercambiador calor por aire CQ0001</t>
        </is>
      </c>
      <c r="D3877" s="2" t="n">
        <v>1292</v>
      </c>
      <c r="E3877" s="2" t="inlineStr">
        <is>
          <t>CC-3000</t>
        </is>
      </c>
      <c r="F3877" s="2" t="inlineStr">
        <is>
          <t>P01</t>
        </is>
      </c>
      <c r="G3877" s="2" t="n">
        <v>630000</v>
      </c>
      <c r="H3877" s="2" t="inlineStr">
        <is>
          <t>Servicios externos</t>
        </is>
      </c>
      <c r="I3877" s="9" t="n">
        <v>754.86</v>
      </c>
      <c r="J3877" s="9" t="n">
        <v>679.03</v>
      </c>
      <c r="K3877" s="9" t="n">
        <v>765.3099999999999</v>
      </c>
      <c r="L3877" s="9" t="n">
        <v>704.11</v>
      </c>
      <c r="M3877" s="9" t="n">
        <v>725.5</v>
      </c>
      <c r="N3877" s="9" t="n">
        <v>709.1900000000001</v>
      </c>
      <c r="O3877" s="9" t="n">
        <v>744.95</v>
      </c>
      <c r="P3877" s="9" t="n">
        <v>768.99</v>
      </c>
      <c r="Q3877" s="9" t="n">
        <v>720.52</v>
      </c>
      <c r="R3877" s="9" t="n">
        <v>817.5700000000001</v>
      </c>
      <c r="S3877" s="9" t="n">
        <v>741.5700000000001</v>
      </c>
      <c r="T3877" s="9" t="n">
        <v>676.62</v>
      </c>
      <c r="U3877" s="10">
        <f>SUM(I3877:T3877)</f>
        <v/>
      </c>
    </row>
    <row r="3878">
      <c r="A3878" s="2" t="inlineStr">
        <is>
          <t>SN-3000-3500-3500-3500CQ0004</t>
        </is>
      </c>
      <c r="B3878" s="2" t="inlineStr">
        <is>
          <t>3500CQ0004</t>
        </is>
      </c>
      <c r="C3878" s="2" t="inlineStr">
        <is>
          <t>Intercambiador calor por aire CQ0004</t>
        </is>
      </c>
      <c r="D3878" s="2" t="n">
        <v>1293</v>
      </c>
      <c r="E3878" s="2" t="inlineStr">
        <is>
          <t>CC-3000</t>
        </is>
      </c>
      <c r="F3878" s="2" t="inlineStr">
        <is>
          <t>P01</t>
        </is>
      </c>
      <c r="G3878" s="2" t="n">
        <v>610000</v>
      </c>
      <c r="H3878" s="2" t="inlineStr">
        <is>
          <t>Mano obra interna</t>
        </is>
      </c>
      <c r="I3878" s="9" t="n">
        <v>2310.47</v>
      </c>
      <c r="J3878" s="9" t="n">
        <v>2300.29</v>
      </c>
      <c r="K3878" s="9" t="n">
        <v>2472.82</v>
      </c>
      <c r="L3878" s="9" t="n">
        <v>2643.93</v>
      </c>
      <c r="M3878" s="9" t="n">
        <v>2422.49</v>
      </c>
      <c r="N3878" s="9" t="n">
        <v>2391.52</v>
      </c>
      <c r="O3878" s="9" t="n">
        <v>2390.67</v>
      </c>
      <c r="P3878" s="9" t="n">
        <v>2481.59</v>
      </c>
      <c r="Q3878" s="9" t="n">
        <v>2389.15</v>
      </c>
      <c r="R3878" s="9" t="n">
        <v>2551.03</v>
      </c>
      <c r="S3878" s="9" t="n">
        <v>2528.77</v>
      </c>
      <c r="T3878" s="9" t="n">
        <v>2365.76</v>
      </c>
      <c r="U3878" s="10">
        <f>SUM(I3878:T3878)</f>
        <v/>
      </c>
    </row>
    <row r="3879">
      <c r="A3879" s="2" t="inlineStr">
        <is>
          <t>SN-3000-3500-3500-3500CQ0004</t>
        </is>
      </c>
      <c r="B3879" s="2" t="inlineStr">
        <is>
          <t>3500CQ0004</t>
        </is>
      </c>
      <c r="C3879" s="2" t="inlineStr">
        <is>
          <t>Intercambiador calor por aire CQ0004</t>
        </is>
      </c>
      <c r="D3879" s="2" t="n">
        <v>1293</v>
      </c>
      <c r="E3879" s="2" t="inlineStr">
        <is>
          <t>CC-3000</t>
        </is>
      </c>
      <c r="F3879" s="2" t="inlineStr">
        <is>
          <t>P01</t>
        </is>
      </c>
      <c r="G3879" s="2" t="n">
        <v>620000</v>
      </c>
      <c r="H3879" s="2" t="inlineStr">
        <is>
          <t>Materiales</t>
        </is>
      </c>
      <c r="I3879" s="9" t="n">
        <v>2624.62</v>
      </c>
      <c r="J3879" s="9" t="n">
        <v>2757.54</v>
      </c>
      <c r="K3879" s="9" t="n">
        <v>3091.61</v>
      </c>
      <c r="L3879" s="9" t="n">
        <v>2892.14</v>
      </c>
      <c r="M3879" s="9" t="n">
        <v>2776.3</v>
      </c>
      <c r="N3879" s="9" t="n">
        <v>2736.36</v>
      </c>
      <c r="O3879" s="9" t="n">
        <v>2688.38</v>
      </c>
      <c r="P3879" s="9" t="n">
        <v>2580.5</v>
      </c>
      <c r="Q3879" s="9" t="n">
        <v>2485.58</v>
      </c>
      <c r="R3879" s="9" t="n">
        <v>2843.66</v>
      </c>
      <c r="S3879" s="9" t="n">
        <v>2874.55</v>
      </c>
      <c r="T3879" s="9" t="n">
        <v>2981.27</v>
      </c>
      <c r="U3879" s="10">
        <f>SUM(I3879:T3879)</f>
        <v/>
      </c>
    </row>
    <row r="3880">
      <c r="A3880" s="2" t="inlineStr">
        <is>
          <t>SN-3000-3500-3500-3500CQ0004</t>
        </is>
      </c>
      <c r="B3880" s="2" t="inlineStr">
        <is>
          <t>3500CQ0004</t>
        </is>
      </c>
      <c r="C3880" s="2" t="inlineStr">
        <is>
          <t>Intercambiador calor por aire CQ0004</t>
        </is>
      </c>
      <c r="D3880" s="2" t="n">
        <v>1293</v>
      </c>
      <c r="E3880" s="2" t="inlineStr">
        <is>
          <t>CC-3000</t>
        </is>
      </c>
      <c r="F3880" s="2" t="inlineStr">
        <is>
          <t>P01</t>
        </is>
      </c>
      <c r="G3880" s="2" t="n">
        <v>630000</v>
      </c>
      <c r="H3880" s="2" t="inlineStr">
        <is>
          <t>Servicios externos</t>
        </is>
      </c>
      <c r="I3880" s="9" t="n">
        <v>2510.39</v>
      </c>
      <c r="J3880" s="9" t="n">
        <v>2192.31</v>
      </c>
      <c r="K3880" s="9" t="n">
        <v>2291.76</v>
      </c>
      <c r="L3880" s="9" t="n">
        <v>2487.18</v>
      </c>
      <c r="M3880" s="9" t="n">
        <v>2245.55</v>
      </c>
      <c r="N3880" s="9" t="n">
        <v>2075.76</v>
      </c>
      <c r="O3880" s="9" t="n">
        <v>2416.87</v>
      </c>
      <c r="P3880" s="9" t="n">
        <v>2514.57</v>
      </c>
      <c r="Q3880" s="9" t="n">
        <v>2195.26</v>
      </c>
      <c r="R3880" s="9" t="n">
        <v>2421.5</v>
      </c>
      <c r="S3880" s="9" t="n">
        <v>2213.17</v>
      </c>
      <c r="T3880" s="9" t="n">
        <v>2424.62</v>
      </c>
      <c r="U3880" s="10">
        <f>SUM(I3880:T3880)</f>
        <v/>
      </c>
    </row>
    <row r="3881">
      <c r="A3881" s="2" t="inlineStr">
        <is>
          <t>SN-3000-3500-3500-3500FA0015</t>
        </is>
      </c>
      <c r="B3881" s="2" t="inlineStr">
        <is>
          <t>3500FA0015</t>
        </is>
      </c>
      <c r="C3881" s="2" t="inlineStr">
        <is>
          <t>Ventilador centrífugo FA0015</t>
        </is>
      </c>
      <c r="D3881" s="2" t="n">
        <v>1294</v>
      </c>
      <c r="E3881" s="2" t="inlineStr">
        <is>
          <t>CC-3000</t>
        </is>
      </c>
      <c r="F3881" s="2" t="inlineStr">
        <is>
          <t>P01</t>
        </is>
      </c>
      <c r="G3881" s="2" t="n">
        <v>610000</v>
      </c>
      <c r="H3881" s="2" t="inlineStr">
        <is>
          <t>Mano obra interna</t>
        </is>
      </c>
      <c r="I3881" s="9" t="n">
        <v>2577.24</v>
      </c>
      <c r="J3881" s="9" t="n">
        <v>2494.81</v>
      </c>
      <c r="K3881" s="9" t="n">
        <v>2594.66</v>
      </c>
      <c r="L3881" s="9" t="n">
        <v>2487.79</v>
      </c>
      <c r="M3881" s="9" t="n">
        <v>2334.17</v>
      </c>
      <c r="N3881" s="9" t="n">
        <v>2338.4</v>
      </c>
      <c r="O3881" s="9" t="n">
        <v>2442.11</v>
      </c>
      <c r="P3881" s="9" t="n">
        <v>2268.66</v>
      </c>
      <c r="Q3881" s="9" t="n">
        <v>2215.96</v>
      </c>
      <c r="R3881" s="9" t="n">
        <v>2444.4</v>
      </c>
      <c r="S3881" s="9" t="n">
        <v>2448.69</v>
      </c>
      <c r="T3881" s="9" t="n">
        <v>2344.7</v>
      </c>
      <c r="U3881" s="10">
        <f>SUM(I3881:T3881)</f>
        <v/>
      </c>
    </row>
    <row r="3882">
      <c r="A3882" s="2" t="inlineStr">
        <is>
          <t>SN-3000-3500-3500-3500FA0015</t>
        </is>
      </c>
      <c r="B3882" s="2" t="inlineStr">
        <is>
          <t>3500FA0015</t>
        </is>
      </c>
      <c r="C3882" s="2" t="inlineStr">
        <is>
          <t>Ventilador centrífugo FA0015</t>
        </is>
      </c>
      <c r="D3882" s="2" t="n">
        <v>1294</v>
      </c>
      <c r="E3882" s="2" t="inlineStr">
        <is>
          <t>CC-3000</t>
        </is>
      </c>
      <c r="F3882" s="2" t="inlineStr">
        <is>
          <t>P01</t>
        </is>
      </c>
      <c r="G3882" s="2" t="n">
        <v>620000</v>
      </c>
      <c r="H3882" s="2" t="inlineStr">
        <is>
          <t>Materiales</t>
        </is>
      </c>
      <c r="I3882" s="9" t="n">
        <v>2430.62</v>
      </c>
      <c r="J3882" s="9" t="n">
        <v>2492.85</v>
      </c>
      <c r="K3882" s="9" t="n">
        <v>2393.66</v>
      </c>
      <c r="L3882" s="9" t="n">
        <v>2586.98</v>
      </c>
      <c r="M3882" s="9" t="n">
        <v>2280.33</v>
      </c>
      <c r="N3882" s="9" t="n">
        <v>2318.58</v>
      </c>
      <c r="O3882" s="9" t="n">
        <v>2279.58</v>
      </c>
      <c r="P3882" s="9" t="n">
        <v>2437.71</v>
      </c>
      <c r="Q3882" s="9" t="n">
        <v>2376.83</v>
      </c>
      <c r="R3882" s="9" t="n">
        <v>2726.26</v>
      </c>
      <c r="S3882" s="9" t="n">
        <v>2182.12</v>
      </c>
      <c r="T3882" s="9" t="n">
        <v>2461.67</v>
      </c>
      <c r="U3882" s="10">
        <f>SUM(I3882:T3882)</f>
        <v/>
      </c>
    </row>
    <row r="3883">
      <c r="A3883" s="2" t="inlineStr">
        <is>
          <t>SN-3000-3500-3500-3500FA0015</t>
        </is>
      </c>
      <c r="B3883" s="2" t="inlineStr">
        <is>
          <t>3500FA0015</t>
        </is>
      </c>
      <c r="C3883" s="2" t="inlineStr">
        <is>
          <t>Ventilador centrífugo FA0015</t>
        </is>
      </c>
      <c r="D3883" s="2" t="n">
        <v>1294</v>
      </c>
      <c r="E3883" s="2" t="inlineStr">
        <is>
          <t>CC-3000</t>
        </is>
      </c>
      <c r="F3883" s="2" t="inlineStr">
        <is>
          <t>P01</t>
        </is>
      </c>
      <c r="G3883" s="2" t="n">
        <v>630000</v>
      </c>
      <c r="H3883" s="2" t="inlineStr">
        <is>
          <t>Servicios externos</t>
        </is>
      </c>
      <c r="I3883" s="9" t="n">
        <v>2580.97</v>
      </c>
      <c r="J3883" s="9" t="n">
        <v>2260.09</v>
      </c>
      <c r="K3883" s="9" t="n">
        <v>2476.03</v>
      </c>
      <c r="L3883" s="9" t="n">
        <v>2546.25</v>
      </c>
      <c r="M3883" s="9" t="n">
        <v>2315.46</v>
      </c>
      <c r="N3883" s="9" t="n">
        <v>2429.21</v>
      </c>
      <c r="O3883" s="9" t="n">
        <v>2523.38</v>
      </c>
      <c r="P3883" s="9" t="n">
        <v>2349.67</v>
      </c>
      <c r="Q3883" s="9" t="n">
        <v>2316.84</v>
      </c>
      <c r="R3883" s="9" t="n">
        <v>2795.4</v>
      </c>
      <c r="S3883" s="9" t="n">
        <v>2342.25</v>
      </c>
      <c r="T3883" s="9" t="n">
        <v>2404.2</v>
      </c>
      <c r="U3883" s="10">
        <f>SUM(I3883:T3883)</f>
        <v/>
      </c>
    </row>
    <row r="3884">
      <c r="A3884" s="2" t="inlineStr">
        <is>
          <t>SN-3000-3500-3500-3500FA0016</t>
        </is>
      </c>
      <c r="B3884" s="2" t="inlineStr">
        <is>
          <t>3500FA0016</t>
        </is>
      </c>
      <c r="C3884" s="2" t="inlineStr">
        <is>
          <t>Ventilador centrífugo FA0016</t>
        </is>
      </c>
      <c r="D3884" s="2" t="n">
        <v>1295</v>
      </c>
      <c r="E3884" s="2" t="inlineStr">
        <is>
          <t>CC-3000</t>
        </is>
      </c>
      <c r="F3884" s="2" t="inlineStr">
        <is>
          <t>P01</t>
        </is>
      </c>
      <c r="G3884" s="2" t="n">
        <v>610000</v>
      </c>
      <c r="H3884" s="2" t="inlineStr">
        <is>
          <t>Mano obra interna</t>
        </is>
      </c>
      <c r="I3884" s="9" t="n">
        <v>1869.63</v>
      </c>
      <c r="J3884" s="9" t="n">
        <v>2039.8</v>
      </c>
      <c r="K3884" s="9" t="n">
        <v>2172.66</v>
      </c>
      <c r="L3884" s="9" t="n">
        <v>2159.3</v>
      </c>
      <c r="M3884" s="9" t="n">
        <v>1925.14</v>
      </c>
      <c r="N3884" s="9" t="n">
        <v>1917.16</v>
      </c>
      <c r="O3884" s="9" t="n">
        <v>2079.87</v>
      </c>
      <c r="P3884" s="9" t="n">
        <v>1878.06</v>
      </c>
      <c r="Q3884" s="9" t="n">
        <v>1692.23</v>
      </c>
      <c r="R3884" s="9" t="n">
        <v>2081.54</v>
      </c>
      <c r="S3884" s="9" t="n">
        <v>2020.76</v>
      </c>
      <c r="T3884" s="9" t="n">
        <v>1997.31</v>
      </c>
      <c r="U3884" s="10">
        <f>SUM(I3884:T3884)</f>
        <v/>
      </c>
    </row>
    <row r="3885">
      <c r="A3885" s="2" t="inlineStr">
        <is>
          <t>SN-3000-3500-3500-3500FA0016</t>
        </is>
      </c>
      <c r="B3885" s="2" t="inlineStr">
        <is>
          <t>3500FA0016</t>
        </is>
      </c>
      <c r="C3885" s="2" t="inlineStr">
        <is>
          <t>Ventilador centrífugo FA0016</t>
        </is>
      </c>
      <c r="D3885" s="2" t="n">
        <v>1295</v>
      </c>
      <c r="E3885" s="2" t="inlineStr">
        <is>
          <t>CC-3000</t>
        </is>
      </c>
      <c r="F3885" s="2" t="inlineStr">
        <is>
          <t>P01</t>
        </is>
      </c>
      <c r="G3885" s="2" t="n">
        <v>620000</v>
      </c>
      <c r="H3885" s="2" t="inlineStr">
        <is>
          <t>Materiales</t>
        </is>
      </c>
      <c r="I3885" s="9" t="n">
        <v>1904.18</v>
      </c>
      <c r="J3885" s="9" t="n">
        <v>1803.7</v>
      </c>
      <c r="K3885" s="9" t="n">
        <v>1734.03</v>
      </c>
      <c r="L3885" s="9" t="n">
        <v>1867.77</v>
      </c>
      <c r="M3885" s="9" t="n">
        <v>1833.54</v>
      </c>
      <c r="N3885" s="9" t="n">
        <v>1769.55</v>
      </c>
      <c r="O3885" s="9" t="n">
        <v>1876.83</v>
      </c>
      <c r="P3885" s="9" t="n">
        <v>1814.27</v>
      </c>
      <c r="Q3885" s="9" t="n">
        <v>1792.59</v>
      </c>
      <c r="R3885" s="9" t="n">
        <v>1940.63</v>
      </c>
      <c r="S3885" s="9" t="n">
        <v>1757.15</v>
      </c>
      <c r="T3885" s="9" t="n">
        <v>1919.1</v>
      </c>
      <c r="U3885" s="10">
        <f>SUM(I3885:T3885)</f>
        <v/>
      </c>
    </row>
    <row r="3886">
      <c r="A3886" s="2" t="inlineStr">
        <is>
          <t>SN-3000-3500-3500-3500FA0016</t>
        </is>
      </c>
      <c r="B3886" s="2" t="inlineStr">
        <is>
          <t>3500FA0016</t>
        </is>
      </c>
      <c r="C3886" s="2" t="inlineStr">
        <is>
          <t>Ventilador centrífugo FA0016</t>
        </is>
      </c>
      <c r="D3886" s="2" t="n">
        <v>1295</v>
      </c>
      <c r="E3886" s="2" t="inlineStr">
        <is>
          <t>CC-3000</t>
        </is>
      </c>
      <c r="F3886" s="2" t="inlineStr">
        <is>
          <t>P01</t>
        </is>
      </c>
      <c r="G3886" s="2" t="n">
        <v>630000</v>
      </c>
      <c r="H3886" s="2" t="inlineStr">
        <is>
          <t>Servicios externos</t>
        </is>
      </c>
      <c r="I3886" s="9" t="n">
        <v>2119.34</v>
      </c>
      <c r="J3886" s="9" t="n">
        <v>1877.82</v>
      </c>
      <c r="K3886" s="9" t="n">
        <v>2035.84</v>
      </c>
      <c r="L3886" s="9" t="n">
        <v>1913.5</v>
      </c>
      <c r="M3886" s="9" t="n">
        <v>1941.26</v>
      </c>
      <c r="N3886" s="9" t="n">
        <v>1960.62</v>
      </c>
      <c r="O3886" s="9" t="n">
        <v>2127.92</v>
      </c>
      <c r="P3886" s="9" t="n">
        <v>2054.18</v>
      </c>
      <c r="Q3886" s="9" t="n">
        <v>1748.78</v>
      </c>
      <c r="R3886" s="9" t="n">
        <v>2102.67</v>
      </c>
      <c r="S3886" s="9" t="n">
        <v>1987.68</v>
      </c>
      <c r="T3886" s="9" t="n">
        <v>2126.87</v>
      </c>
      <c r="U3886" s="10">
        <f>SUM(I3886:T3886)</f>
        <v/>
      </c>
    </row>
    <row r="3887">
      <c r="A3887" s="2" t="inlineStr">
        <is>
          <t>SN-3000-3500-3500-3500FA0031</t>
        </is>
      </c>
      <c r="B3887" s="2" t="inlineStr">
        <is>
          <t>3500FA0031</t>
        </is>
      </c>
      <c r="C3887" s="2" t="inlineStr">
        <is>
          <t>Ventilador centrífugo FA0031</t>
        </is>
      </c>
      <c r="D3887" s="2" t="n">
        <v>1296</v>
      </c>
      <c r="E3887" s="2" t="inlineStr">
        <is>
          <t>CC-3000</t>
        </is>
      </c>
      <c r="F3887" s="2" t="inlineStr">
        <is>
          <t>P01</t>
        </is>
      </c>
      <c r="G3887" s="2" t="n">
        <v>610000</v>
      </c>
      <c r="H3887" s="2" t="inlineStr">
        <is>
          <t>Mano obra interna</t>
        </is>
      </c>
      <c r="I3887" s="9" t="n">
        <v>1702.66</v>
      </c>
      <c r="J3887" s="9" t="n">
        <v>1624.08</v>
      </c>
      <c r="K3887" s="9" t="n">
        <v>1592.51</v>
      </c>
      <c r="L3887" s="9" t="n">
        <v>1648.65</v>
      </c>
      <c r="M3887" s="9" t="n">
        <v>1471.97</v>
      </c>
      <c r="N3887" s="9" t="n">
        <v>1380.07</v>
      </c>
      <c r="O3887" s="9" t="n">
        <v>1441.96</v>
      </c>
      <c r="P3887" s="9" t="n">
        <v>1486.44</v>
      </c>
      <c r="Q3887" s="9" t="n">
        <v>1337.63</v>
      </c>
      <c r="R3887" s="9" t="n">
        <v>1767.27</v>
      </c>
      <c r="S3887" s="9" t="n">
        <v>1499.8</v>
      </c>
      <c r="T3887" s="9" t="n">
        <v>1653.16</v>
      </c>
      <c r="U3887" s="10">
        <f>SUM(I3887:T3887)</f>
        <v/>
      </c>
    </row>
    <row r="3888">
      <c r="A3888" s="2" t="inlineStr">
        <is>
          <t>SN-3000-3500-3500-3500FA0031</t>
        </is>
      </c>
      <c r="B3888" s="2" t="inlineStr">
        <is>
          <t>3500FA0031</t>
        </is>
      </c>
      <c r="C3888" s="2" t="inlineStr">
        <is>
          <t>Ventilador centrífugo FA0031</t>
        </is>
      </c>
      <c r="D3888" s="2" t="n">
        <v>1296</v>
      </c>
      <c r="E3888" s="2" t="inlineStr">
        <is>
          <t>CC-3000</t>
        </is>
      </c>
      <c r="F3888" s="2" t="inlineStr">
        <is>
          <t>P01</t>
        </is>
      </c>
      <c r="G3888" s="2" t="n">
        <v>620000</v>
      </c>
      <c r="H3888" s="2" t="inlineStr">
        <is>
          <t>Materiales</t>
        </is>
      </c>
      <c r="I3888" s="9" t="n">
        <v>1615.01</v>
      </c>
      <c r="J3888" s="9" t="n">
        <v>1544.96</v>
      </c>
      <c r="K3888" s="9" t="n">
        <v>1564.96</v>
      </c>
      <c r="L3888" s="9" t="n">
        <v>1484.58</v>
      </c>
      <c r="M3888" s="9" t="n">
        <v>1473.75</v>
      </c>
      <c r="N3888" s="9" t="n">
        <v>1472.74</v>
      </c>
      <c r="O3888" s="9" t="n">
        <v>1560.13</v>
      </c>
      <c r="P3888" s="9" t="n">
        <v>1572.07</v>
      </c>
      <c r="Q3888" s="9" t="n">
        <v>1415.18</v>
      </c>
      <c r="R3888" s="9" t="n">
        <v>1591.26</v>
      </c>
      <c r="S3888" s="9" t="n">
        <v>1525.71</v>
      </c>
      <c r="T3888" s="9" t="n">
        <v>1597.12</v>
      </c>
      <c r="U3888" s="10">
        <f>SUM(I3888:T3888)</f>
        <v/>
      </c>
    </row>
    <row r="3889">
      <c r="A3889" s="2" t="inlineStr">
        <is>
          <t>SN-3000-3500-3500-3500FA0031</t>
        </is>
      </c>
      <c r="B3889" s="2" t="inlineStr">
        <is>
          <t>3500FA0031</t>
        </is>
      </c>
      <c r="C3889" s="2" t="inlineStr">
        <is>
          <t>Ventilador centrífugo FA0031</t>
        </is>
      </c>
      <c r="D3889" s="2" t="n">
        <v>1296</v>
      </c>
      <c r="E3889" s="2" t="inlineStr">
        <is>
          <t>CC-3000</t>
        </is>
      </c>
      <c r="F3889" s="2" t="inlineStr">
        <is>
          <t>P01</t>
        </is>
      </c>
      <c r="G3889" s="2" t="n">
        <v>630000</v>
      </c>
      <c r="H3889" s="2" t="inlineStr">
        <is>
          <t>Servicios externos</t>
        </is>
      </c>
      <c r="I3889" s="9" t="n">
        <v>1409.87</v>
      </c>
      <c r="J3889" s="9" t="n">
        <v>1394.31</v>
      </c>
      <c r="K3889" s="9" t="n">
        <v>1376.78</v>
      </c>
      <c r="L3889" s="9" t="n">
        <v>1451.4</v>
      </c>
      <c r="M3889" s="9" t="n">
        <v>1252.05</v>
      </c>
      <c r="N3889" s="9" t="n">
        <v>1285.84</v>
      </c>
      <c r="O3889" s="9" t="n">
        <v>1345.85</v>
      </c>
      <c r="P3889" s="9" t="n">
        <v>1387.82</v>
      </c>
      <c r="Q3889" s="9" t="n">
        <v>1178.68</v>
      </c>
      <c r="R3889" s="9" t="n">
        <v>1362.43</v>
      </c>
      <c r="S3889" s="9" t="n">
        <v>1389.62</v>
      </c>
      <c r="T3889" s="9" t="n">
        <v>1326.04</v>
      </c>
      <c r="U3889" s="10">
        <f>SUM(I3889:T3889)</f>
        <v/>
      </c>
    </row>
    <row r="3890">
      <c r="A3890" s="2" t="inlineStr">
        <is>
          <t>SN-3000-3500-3500-3500FA0032</t>
        </is>
      </c>
      <c r="B3890" s="2" t="inlineStr">
        <is>
          <t>3500FA0032</t>
        </is>
      </c>
      <c r="C3890" s="2" t="inlineStr">
        <is>
          <t>Ventilador centrífugo FA0032</t>
        </is>
      </c>
      <c r="D3890" s="2" t="n">
        <v>1297</v>
      </c>
      <c r="E3890" s="2" t="inlineStr">
        <is>
          <t>CC-3000</t>
        </is>
      </c>
      <c r="F3890" s="2" t="inlineStr">
        <is>
          <t>P01</t>
        </is>
      </c>
      <c r="G3890" s="2" t="n">
        <v>610000</v>
      </c>
      <c r="H3890" s="2" t="inlineStr">
        <is>
          <t>Mano obra interna</t>
        </is>
      </c>
      <c r="I3890" s="9" t="n">
        <v>1887.34</v>
      </c>
      <c r="J3890" s="9" t="n">
        <v>1719.83</v>
      </c>
      <c r="K3890" s="9" t="n">
        <v>1923.68</v>
      </c>
      <c r="L3890" s="9" t="n">
        <v>1780.88</v>
      </c>
      <c r="M3890" s="9" t="n">
        <v>1825.12</v>
      </c>
      <c r="N3890" s="9" t="n">
        <v>1699.45</v>
      </c>
      <c r="O3890" s="9" t="n">
        <v>1894.69</v>
      </c>
      <c r="P3890" s="9" t="n">
        <v>1720.2</v>
      </c>
      <c r="Q3890" s="9" t="n">
        <v>1611.8</v>
      </c>
      <c r="R3890" s="9" t="n">
        <v>2052.79</v>
      </c>
      <c r="S3890" s="9" t="n">
        <v>1778.97</v>
      </c>
      <c r="T3890" s="9" t="n">
        <v>1875.01</v>
      </c>
      <c r="U3890" s="10">
        <f>SUM(I3890:T3890)</f>
        <v/>
      </c>
    </row>
    <row r="3891">
      <c r="A3891" s="2" t="inlineStr">
        <is>
          <t>SN-3000-3500-3500-3500FA0032</t>
        </is>
      </c>
      <c r="B3891" s="2" t="inlineStr">
        <is>
          <t>3500FA0032</t>
        </is>
      </c>
      <c r="C3891" s="2" t="inlineStr">
        <is>
          <t>Ventilador centrífugo FA0032</t>
        </is>
      </c>
      <c r="D3891" s="2" t="n">
        <v>1297</v>
      </c>
      <c r="E3891" s="2" t="inlineStr">
        <is>
          <t>CC-3000</t>
        </is>
      </c>
      <c r="F3891" s="2" t="inlineStr">
        <is>
          <t>P01</t>
        </is>
      </c>
      <c r="G3891" s="2" t="n">
        <v>620000</v>
      </c>
      <c r="H3891" s="2" t="inlineStr">
        <is>
          <t>Materiales</t>
        </is>
      </c>
      <c r="I3891" s="9" t="n">
        <v>1792.97</v>
      </c>
      <c r="J3891" s="9" t="n">
        <v>1669.6</v>
      </c>
      <c r="K3891" s="9" t="n">
        <v>1733.43</v>
      </c>
      <c r="L3891" s="9" t="n">
        <v>1795.99</v>
      </c>
      <c r="M3891" s="9" t="n">
        <v>1864.28</v>
      </c>
      <c r="N3891" s="9" t="n">
        <v>1594.35</v>
      </c>
      <c r="O3891" s="9" t="n">
        <v>1676.17</v>
      </c>
      <c r="P3891" s="9" t="n">
        <v>1674.33</v>
      </c>
      <c r="Q3891" s="9" t="n">
        <v>1702.53</v>
      </c>
      <c r="R3891" s="9" t="n">
        <v>1887.6</v>
      </c>
      <c r="S3891" s="9" t="n">
        <v>1660.41</v>
      </c>
      <c r="T3891" s="9" t="n">
        <v>1870.89</v>
      </c>
      <c r="U3891" s="10">
        <f>SUM(I3891:T3891)</f>
        <v/>
      </c>
    </row>
    <row r="3892">
      <c r="A3892" s="2" t="inlineStr">
        <is>
          <t>SN-3000-3500-3500-3500FA0032</t>
        </is>
      </c>
      <c r="B3892" s="2" t="inlineStr">
        <is>
          <t>3500FA0032</t>
        </is>
      </c>
      <c r="C3892" s="2" t="inlineStr">
        <is>
          <t>Ventilador centrífugo FA0032</t>
        </is>
      </c>
      <c r="D3892" s="2" t="n">
        <v>1297</v>
      </c>
      <c r="E3892" s="2" t="inlineStr">
        <is>
          <t>CC-3000</t>
        </is>
      </c>
      <c r="F3892" s="2" t="inlineStr">
        <is>
          <t>P01</t>
        </is>
      </c>
      <c r="G3892" s="2" t="n">
        <v>630000</v>
      </c>
      <c r="H3892" s="2" t="inlineStr">
        <is>
          <t>Servicios externos</t>
        </is>
      </c>
      <c r="I3892" s="9" t="n">
        <v>1834.46</v>
      </c>
      <c r="J3892" s="9" t="n">
        <v>1677.99</v>
      </c>
      <c r="K3892" s="9" t="n">
        <v>1771.37</v>
      </c>
      <c r="L3892" s="9" t="n">
        <v>1760.22</v>
      </c>
      <c r="M3892" s="9" t="n">
        <v>1765.31</v>
      </c>
      <c r="N3892" s="9" t="n">
        <v>1754.94</v>
      </c>
      <c r="O3892" s="9" t="n">
        <v>1683.23</v>
      </c>
      <c r="P3892" s="9" t="n">
        <v>1736.52</v>
      </c>
      <c r="Q3892" s="9" t="n">
        <v>1613.8</v>
      </c>
      <c r="R3892" s="9" t="n">
        <v>1894.11</v>
      </c>
      <c r="S3892" s="9" t="n">
        <v>1675.56</v>
      </c>
      <c r="T3892" s="9" t="n">
        <v>1765.16</v>
      </c>
      <c r="U3892" s="10">
        <f>SUM(I3892:T3892)</f>
        <v/>
      </c>
    </row>
    <row r="3893">
      <c r="A3893" s="2" t="inlineStr">
        <is>
          <t>SN-3000-3500-3500-3500FA0033</t>
        </is>
      </c>
      <c r="B3893" s="2" t="inlineStr">
        <is>
          <t>3500FA0033</t>
        </is>
      </c>
      <c r="C3893" s="2" t="inlineStr">
        <is>
          <t>Ventilador centrífugo FA0033</t>
        </is>
      </c>
      <c r="D3893" s="2" t="n">
        <v>1298</v>
      </c>
      <c r="E3893" s="2" t="inlineStr">
        <is>
          <t>CC-3000</t>
        </is>
      </c>
      <c r="F3893" s="2" t="inlineStr">
        <is>
          <t>P01</t>
        </is>
      </c>
      <c r="G3893" s="2" t="n">
        <v>610000</v>
      </c>
      <c r="H3893" s="2" t="inlineStr">
        <is>
          <t>Mano obra interna</t>
        </is>
      </c>
      <c r="I3893" s="9" t="n">
        <v>1744.05</v>
      </c>
      <c r="J3893" s="9" t="n">
        <v>1727.11</v>
      </c>
      <c r="K3893" s="9" t="n">
        <v>1824.89</v>
      </c>
      <c r="L3893" s="9" t="n">
        <v>1766.17</v>
      </c>
      <c r="M3893" s="9" t="n">
        <v>1719.9</v>
      </c>
      <c r="N3893" s="9" t="n">
        <v>1643.05</v>
      </c>
      <c r="O3893" s="9" t="n">
        <v>1723.93</v>
      </c>
      <c r="P3893" s="9" t="n">
        <v>1796.95</v>
      </c>
      <c r="Q3893" s="9" t="n">
        <v>1487.83</v>
      </c>
      <c r="R3893" s="9" t="n">
        <v>1749.5</v>
      </c>
      <c r="S3893" s="9" t="n">
        <v>1523.16</v>
      </c>
      <c r="T3893" s="9" t="n">
        <v>1800.09</v>
      </c>
      <c r="U3893" s="10">
        <f>SUM(I3893:T3893)</f>
        <v/>
      </c>
    </row>
    <row r="3894">
      <c r="A3894" s="2" t="inlineStr">
        <is>
          <t>SN-3000-3500-3500-3500FA0033</t>
        </is>
      </c>
      <c r="B3894" s="2" t="inlineStr">
        <is>
          <t>3500FA0033</t>
        </is>
      </c>
      <c r="C3894" s="2" t="inlineStr">
        <is>
          <t>Ventilador centrífugo FA0033</t>
        </is>
      </c>
      <c r="D3894" s="2" t="n">
        <v>1298</v>
      </c>
      <c r="E3894" s="2" t="inlineStr">
        <is>
          <t>CC-3000</t>
        </is>
      </c>
      <c r="F3894" s="2" t="inlineStr">
        <is>
          <t>P01</t>
        </is>
      </c>
      <c r="G3894" s="2" t="n">
        <v>620000</v>
      </c>
      <c r="H3894" s="2" t="inlineStr">
        <is>
          <t>Materiales</t>
        </is>
      </c>
      <c r="I3894" s="9" t="n">
        <v>1534.96</v>
      </c>
      <c r="J3894" s="9" t="n">
        <v>1370.64</v>
      </c>
      <c r="K3894" s="9" t="n">
        <v>1442.96</v>
      </c>
      <c r="L3894" s="9" t="n">
        <v>1430.86</v>
      </c>
      <c r="M3894" s="9" t="n">
        <v>1422.2</v>
      </c>
      <c r="N3894" s="9" t="n">
        <v>1407.11</v>
      </c>
      <c r="O3894" s="9" t="n">
        <v>1378.7</v>
      </c>
      <c r="P3894" s="9" t="n">
        <v>1439.98</v>
      </c>
      <c r="Q3894" s="9" t="n">
        <v>1251.84</v>
      </c>
      <c r="R3894" s="9" t="n">
        <v>1535.54</v>
      </c>
      <c r="S3894" s="9" t="n">
        <v>1376.76</v>
      </c>
      <c r="T3894" s="9" t="n">
        <v>1521.72</v>
      </c>
      <c r="U3894" s="10">
        <f>SUM(I3894:T3894)</f>
        <v/>
      </c>
    </row>
    <row r="3895">
      <c r="A3895" s="2" t="inlineStr">
        <is>
          <t>SN-3000-3500-3500-3500FA0033</t>
        </is>
      </c>
      <c r="B3895" s="2" t="inlineStr">
        <is>
          <t>3500FA0033</t>
        </is>
      </c>
      <c r="C3895" s="2" t="inlineStr">
        <is>
          <t>Ventilador centrífugo FA0033</t>
        </is>
      </c>
      <c r="D3895" s="2" t="n">
        <v>1298</v>
      </c>
      <c r="E3895" s="2" t="inlineStr">
        <is>
          <t>CC-3000</t>
        </is>
      </c>
      <c r="F3895" s="2" t="inlineStr">
        <is>
          <t>P01</t>
        </is>
      </c>
      <c r="G3895" s="2" t="n">
        <v>630000</v>
      </c>
      <c r="H3895" s="2" t="inlineStr">
        <is>
          <t>Servicios externos</t>
        </is>
      </c>
      <c r="I3895" s="9" t="n">
        <v>1662.31</v>
      </c>
      <c r="J3895" s="9" t="n">
        <v>1484.76</v>
      </c>
      <c r="K3895" s="9" t="n">
        <v>1776.15</v>
      </c>
      <c r="L3895" s="9" t="n">
        <v>1534.42</v>
      </c>
      <c r="M3895" s="9" t="n">
        <v>1609.2</v>
      </c>
      <c r="N3895" s="9" t="n">
        <v>1440.16</v>
      </c>
      <c r="O3895" s="9" t="n">
        <v>1593.94</v>
      </c>
      <c r="P3895" s="9" t="n">
        <v>1666.16</v>
      </c>
      <c r="Q3895" s="9" t="n">
        <v>1487.61</v>
      </c>
      <c r="R3895" s="9" t="n">
        <v>1879.86</v>
      </c>
      <c r="S3895" s="9" t="n">
        <v>1615.17</v>
      </c>
      <c r="T3895" s="9" t="n">
        <v>1694.73</v>
      </c>
      <c r="U3895" s="10">
        <f>SUM(I3895:T3895)</f>
        <v/>
      </c>
    </row>
    <row r="3896">
      <c r="A3896" s="2" t="inlineStr">
        <is>
          <t>SN-3000-3500-3500-3500FA0034</t>
        </is>
      </c>
      <c r="B3896" s="2" t="inlineStr">
        <is>
          <t>3500FA0034</t>
        </is>
      </c>
      <c r="C3896" s="2" t="inlineStr">
        <is>
          <t>Ventilador centrífugo FA0034</t>
        </is>
      </c>
      <c r="D3896" s="2" t="n">
        <v>1299</v>
      </c>
      <c r="E3896" s="2" t="inlineStr">
        <is>
          <t>CC-3000</t>
        </is>
      </c>
      <c r="F3896" s="2" t="inlineStr">
        <is>
          <t>P01</t>
        </is>
      </c>
      <c r="G3896" s="2" t="n">
        <v>610000</v>
      </c>
      <c r="H3896" s="2" t="inlineStr">
        <is>
          <t>Mano obra interna</t>
        </is>
      </c>
      <c r="I3896" s="9" t="n">
        <v>2505.41</v>
      </c>
      <c r="J3896" s="9" t="n">
        <v>2709.23</v>
      </c>
      <c r="K3896" s="9" t="n">
        <v>2828.33</v>
      </c>
      <c r="L3896" s="9" t="n">
        <v>2721.37</v>
      </c>
      <c r="M3896" s="9" t="n">
        <v>2587.35</v>
      </c>
      <c r="N3896" s="9" t="n">
        <v>2549.01</v>
      </c>
      <c r="O3896" s="9" t="n">
        <v>2755.79</v>
      </c>
      <c r="P3896" s="9" t="n">
        <v>2738.07</v>
      </c>
      <c r="Q3896" s="9" t="n">
        <v>2529.13</v>
      </c>
      <c r="R3896" s="9" t="n">
        <v>3042.34</v>
      </c>
      <c r="S3896" s="9" t="n">
        <v>2610.37</v>
      </c>
      <c r="T3896" s="9" t="n">
        <v>2480.35</v>
      </c>
      <c r="U3896" s="10">
        <f>SUM(I3896:T3896)</f>
        <v/>
      </c>
    </row>
    <row r="3897">
      <c r="A3897" s="2" t="inlineStr">
        <is>
          <t>SN-3000-3500-3500-3500FA0034</t>
        </is>
      </c>
      <c r="B3897" s="2" t="inlineStr">
        <is>
          <t>3500FA0034</t>
        </is>
      </c>
      <c r="C3897" s="2" t="inlineStr">
        <is>
          <t>Ventilador centrífugo FA0034</t>
        </is>
      </c>
      <c r="D3897" s="2" t="n">
        <v>1299</v>
      </c>
      <c r="E3897" s="2" t="inlineStr">
        <is>
          <t>CC-3000</t>
        </is>
      </c>
      <c r="F3897" s="2" t="inlineStr">
        <is>
          <t>P01</t>
        </is>
      </c>
      <c r="G3897" s="2" t="n">
        <v>620000</v>
      </c>
      <c r="H3897" s="2" t="inlineStr">
        <is>
          <t>Materiales</t>
        </is>
      </c>
      <c r="I3897" s="9" t="n">
        <v>2899.82</v>
      </c>
      <c r="J3897" s="9" t="n">
        <v>2558.87</v>
      </c>
      <c r="K3897" s="9" t="n">
        <v>2845.36</v>
      </c>
      <c r="L3897" s="9" t="n">
        <v>2920.81</v>
      </c>
      <c r="M3897" s="9" t="n">
        <v>2851.85</v>
      </c>
      <c r="N3897" s="9" t="n">
        <v>2835.54</v>
      </c>
      <c r="O3897" s="9" t="n">
        <v>2944.1</v>
      </c>
      <c r="P3897" s="9" t="n">
        <v>2617.21</v>
      </c>
      <c r="Q3897" s="9" t="n">
        <v>2642.69</v>
      </c>
      <c r="R3897" s="9" t="n">
        <v>3055.64</v>
      </c>
      <c r="S3897" s="9" t="n">
        <v>2616.42</v>
      </c>
      <c r="T3897" s="9" t="n">
        <v>2688.66</v>
      </c>
      <c r="U3897" s="10">
        <f>SUM(I3897:T3897)</f>
        <v/>
      </c>
    </row>
    <row r="3898">
      <c r="A3898" s="2" t="inlineStr">
        <is>
          <t>SN-3000-3500-3500-3500FA0034</t>
        </is>
      </c>
      <c r="B3898" s="2" t="inlineStr">
        <is>
          <t>3500FA0034</t>
        </is>
      </c>
      <c r="C3898" s="2" t="inlineStr">
        <is>
          <t>Ventilador centrífugo FA0034</t>
        </is>
      </c>
      <c r="D3898" s="2" t="n">
        <v>1299</v>
      </c>
      <c r="E3898" s="2" t="inlineStr">
        <is>
          <t>CC-3000</t>
        </is>
      </c>
      <c r="F3898" s="2" t="inlineStr">
        <is>
          <t>P01</t>
        </is>
      </c>
      <c r="G3898" s="2" t="n">
        <v>630000</v>
      </c>
      <c r="H3898" s="2" t="inlineStr">
        <is>
          <t>Servicios externos</t>
        </is>
      </c>
      <c r="I3898" s="9" t="n">
        <v>2428.85</v>
      </c>
      <c r="J3898" s="9" t="n">
        <v>2591.76</v>
      </c>
      <c r="K3898" s="9" t="n">
        <v>2442.46</v>
      </c>
      <c r="L3898" s="9" t="n">
        <v>2467.33</v>
      </c>
      <c r="M3898" s="9" t="n">
        <v>2370.62</v>
      </c>
      <c r="N3898" s="9" t="n">
        <v>2480.15</v>
      </c>
      <c r="O3898" s="9" t="n">
        <v>2372.64</v>
      </c>
      <c r="P3898" s="9" t="n">
        <v>2315.91</v>
      </c>
      <c r="Q3898" s="9" t="n">
        <v>2288.28</v>
      </c>
      <c r="R3898" s="9" t="n">
        <v>2621.05</v>
      </c>
      <c r="S3898" s="9" t="n">
        <v>2388.81</v>
      </c>
      <c r="T3898" s="9" t="n">
        <v>2649.32</v>
      </c>
      <c r="U3898" s="10">
        <f>SUM(I3898:T3898)</f>
        <v/>
      </c>
    </row>
    <row r="3899">
      <c r="A3899" s="2" t="inlineStr">
        <is>
          <t>SN-3000-3500-3500-3500FL0025</t>
        </is>
      </c>
      <c r="B3899" s="2" t="inlineStr">
        <is>
          <t>3500FL0025</t>
        </is>
      </c>
      <c r="C3899" s="2" t="inlineStr">
        <is>
          <t>Filtros coalescedores FL0025</t>
        </is>
      </c>
      <c r="D3899" s="2" t="n">
        <v>1300</v>
      </c>
      <c r="E3899" s="2" t="inlineStr">
        <is>
          <t>CC-3000</t>
        </is>
      </c>
      <c r="F3899" s="2" t="inlineStr">
        <is>
          <t>P01</t>
        </is>
      </c>
      <c r="G3899" s="2" t="n">
        <v>610000</v>
      </c>
      <c r="H3899" s="2" t="inlineStr">
        <is>
          <t>Mano obra interna</t>
        </is>
      </c>
      <c r="I3899" s="9" t="n">
        <v>231.35</v>
      </c>
      <c r="J3899" s="9" t="n">
        <v>231.6</v>
      </c>
      <c r="K3899" s="9" t="n">
        <v>268.2</v>
      </c>
      <c r="L3899" s="9" t="n">
        <v>236.88</v>
      </c>
      <c r="M3899" s="9" t="n">
        <v>261.46</v>
      </c>
      <c r="N3899" s="9" t="n">
        <v>245.42</v>
      </c>
      <c r="O3899" s="9" t="n">
        <v>243.12</v>
      </c>
      <c r="P3899" s="9" t="n">
        <v>254.25</v>
      </c>
      <c r="Q3899" s="9" t="n">
        <v>228.5</v>
      </c>
      <c r="R3899" s="9" t="n">
        <v>266.71</v>
      </c>
      <c r="S3899" s="9" t="n">
        <v>239.98</v>
      </c>
      <c r="T3899" s="9" t="n">
        <v>254.28</v>
      </c>
      <c r="U3899" s="10">
        <f>SUM(I3899:T3899)</f>
        <v/>
      </c>
    </row>
    <row r="3900">
      <c r="A3900" s="2" t="inlineStr">
        <is>
          <t>SN-3000-3500-3500-3500FL0025</t>
        </is>
      </c>
      <c r="B3900" s="2" t="inlineStr">
        <is>
          <t>3500FL0025</t>
        </is>
      </c>
      <c r="C3900" s="2" t="inlineStr">
        <is>
          <t>Filtros coalescedores FL0025</t>
        </is>
      </c>
      <c r="D3900" s="2" t="n">
        <v>1300</v>
      </c>
      <c r="E3900" s="2" t="inlineStr">
        <is>
          <t>CC-3000</t>
        </is>
      </c>
      <c r="F3900" s="2" t="inlineStr">
        <is>
          <t>P01</t>
        </is>
      </c>
      <c r="G3900" s="2" t="n">
        <v>620000</v>
      </c>
      <c r="H3900" s="2" t="inlineStr">
        <is>
          <t>Materiales</t>
        </is>
      </c>
      <c r="I3900" s="9" t="n">
        <v>247.55</v>
      </c>
      <c r="J3900" s="9" t="n">
        <v>242.59</v>
      </c>
      <c r="K3900" s="9" t="n">
        <v>238.15</v>
      </c>
      <c r="L3900" s="9" t="n">
        <v>261.93</v>
      </c>
      <c r="M3900" s="9" t="n">
        <v>222.19</v>
      </c>
      <c r="N3900" s="9" t="n">
        <v>242.54</v>
      </c>
      <c r="O3900" s="9" t="n">
        <v>244.89</v>
      </c>
      <c r="P3900" s="9" t="n">
        <v>244.13</v>
      </c>
      <c r="Q3900" s="9" t="n">
        <v>234.93</v>
      </c>
      <c r="R3900" s="9" t="n">
        <v>270.35</v>
      </c>
      <c r="S3900" s="9" t="n">
        <v>224.75</v>
      </c>
      <c r="T3900" s="9" t="n">
        <v>249.53</v>
      </c>
      <c r="U3900" s="10">
        <f>SUM(I3900:T3900)</f>
        <v/>
      </c>
    </row>
    <row r="3901">
      <c r="A3901" s="2" t="inlineStr">
        <is>
          <t>SN-3000-3500-3500-3500FL0025</t>
        </is>
      </c>
      <c r="B3901" s="2" t="inlineStr">
        <is>
          <t>3500FL0025</t>
        </is>
      </c>
      <c r="C3901" s="2" t="inlineStr">
        <is>
          <t>Filtros coalescedores FL0025</t>
        </is>
      </c>
      <c r="D3901" s="2" t="n">
        <v>1300</v>
      </c>
      <c r="E3901" s="2" t="inlineStr">
        <is>
          <t>CC-3000</t>
        </is>
      </c>
      <c r="F3901" s="2" t="inlineStr">
        <is>
          <t>P01</t>
        </is>
      </c>
      <c r="G3901" s="2" t="n">
        <v>630000</v>
      </c>
      <c r="H3901" s="2" t="inlineStr">
        <is>
          <t>Servicios externos</t>
        </is>
      </c>
      <c r="I3901" s="9" t="n">
        <v>245.94</v>
      </c>
      <c r="J3901" s="9" t="n">
        <v>255.36</v>
      </c>
      <c r="K3901" s="9" t="n">
        <v>240.95</v>
      </c>
      <c r="L3901" s="9" t="n">
        <v>229.82</v>
      </c>
      <c r="M3901" s="9" t="n">
        <v>242.99</v>
      </c>
      <c r="N3901" s="9" t="n">
        <v>226.3</v>
      </c>
      <c r="O3901" s="9" t="n">
        <v>237.76</v>
      </c>
      <c r="P3901" s="9" t="n">
        <v>245.33</v>
      </c>
      <c r="Q3901" s="9" t="n">
        <v>229.95</v>
      </c>
      <c r="R3901" s="9" t="n">
        <v>258.7</v>
      </c>
      <c r="S3901" s="9" t="n">
        <v>234.86</v>
      </c>
      <c r="T3901" s="9" t="n">
        <v>265.32</v>
      </c>
      <c r="U3901" s="10">
        <f>SUM(I3901:T3901)</f>
        <v/>
      </c>
    </row>
    <row r="3902">
      <c r="A3902" s="2" t="inlineStr">
        <is>
          <t>SN-3000-3500-3500-3500FL0026</t>
        </is>
      </c>
      <c r="B3902" s="2" t="inlineStr">
        <is>
          <t>3500FL0026</t>
        </is>
      </c>
      <c r="C3902" s="2" t="inlineStr">
        <is>
          <t>Filtros coalescedores FL0026</t>
        </is>
      </c>
      <c r="D3902" s="2" t="n">
        <v>1301</v>
      </c>
      <c r="E3902" s="2" t="inlineStr">
        <is>
          <t>CC-3000</t>
        </is>
      </c>
      <c r="F3902" s="2" t="inlineStr">
        <is>
          <t>P01</t>
        </is>
      </c>
      <c r="G3902" s="2" t="n">
        <v>610000</v>
      </c>
      <c r="H3902" s="2" t="inlineStr">
        <is>
          <t>Mano obra interna</t>
        </is>
      </c>
      <c r="I3902" s="9" t="n">
        <v>697.92</v>
      </c>
      <c r="J3902" s="9" t="n">
        <v>616.41</v>
      </c>
      <c r="K3902" s="9" t="n">
        <v>667.37</v>
      </c>
      <c r="L3902" s="9" t="n">
        <v>717.77</v>
      </c>
      <c r="M3902" s="9" t="n">
        <v>646.87</v>
      </c>
      <c r="N3902" s="9" t="n">
        <v>678.75</v>
      </c>
      <c r="O3902" s="9" t="n">
        <v>660.78</v>
      </c>
      <c r="P3902" s="9" t="n">
        <v>699.5</v>
      </c>
      <c r="Q3902" s="9" t="n">
        <v>570.1900000000001</v>
      </c>
      <c r="R3902" s="9" t="n">
        <v>706.1</v>
      </c>
      <c r="S3902" s="9" t="n">
        <v>661.12</v>
      </c>
      <c r="T3902" s="9" t="n">
        <v>710.61</v>
      </c>
      <c r="U3902" s="10">
        <f>SUM(I3902:T3902)</f>
        <v/>
      </c>
    </row>
    <row r="3903">
      <c r="A3903" s="2" t="inlineStr">
        <is>
          <t>SN-3000-3500-3500-3500FL0026</t>
        </is>
      </c>
      <c r="B3903" s="2" t="inlineStr">
        <is>
          <t>3500FL0026</t>
        </is>
      </c>
      <c r="C3903" s="2" t="inlineStr">
        <is>
          <t>Filtros coalescedores FL0026</t>
        </is>
      </c>
      <c r="D3903" s="2" t="n">
        <v>1301</v>
      </c>
      <c r="E3903" s="2" t="inlineStr">
        <is>
          <t>CC-3000</t>
        </is>
      </c>
      <c r="F3903" s="2" t="inlineStr">
        <is>
          <t>P01</t>
        </is>
      </c>
      <c r="G3903" s="2" t="n">
        <v>620000</v>
      </c>
      <c r="H3903" s="2" t="inlineStr">
        <is>
          <t>Materiales</t>
        </is>
      </c>
      <c r="I3903" s="9" t="n">
        <v>571.51</v>
      </c>
      <c r="J3903" s="9" t="n">
        <v>617.6900000000001</v>
      </c>
      <c r="K3903" s="9" t="n">
        <v>616.71</v>
      </c>
      <c r="L3903" s="9" t="n">
        <v>565.88</v>
      </c>
      <c r="M3903" s="9" t="n">
        <v>581.23</v>
      </c>
      <c r="N3903" s="9" t="n">
        <v>582.75</v>
      </c>
      <c r="O3903" s="9" t="n">
        <v>586.36</v>
      </c>
      <c r="P3903" s="9" t="n">
        <v>625.3</v>
      </c>
      <c r="Q3903" s="9" t="n">
        <v>543.17</v>
      </c>
      <c r="R3903" s="9" t="n">
        <v>645.55</v>
      </c>
      <c r="S3903" s="9" t="n">
        <v>545.4299999999999</v>
      </c>
      <c r="T3903" s="9" t="n">
        <v>600.71</v>
      </c>
      <c r="U3903" s="10">
        <f>SUM(I3903:T3903)</f>
        <v/>
      </c>
    </row>
    <row r="3904">
      <c r="A3904" s="2" t="inlineStr">
        <is>
          <t>SN-3000-3500-3500-3500FL0026</t>
        </is>
      </c>
      <c r="B3904" s="2" t="inlineStr">
        <is>
          <t>3500FL0026</t>
        </is>
      </c>
      <c r="C3904" s="2" t="inlineStr">
        <is>
          <t>Filtros coalescedores FL0026</t>
        </is>
      </c>
      <c r="D3904" s="2" t="n">
        <v>1301</v>
      </c>
      <c r="E3904" s="2" t="inlineStr">
        <is>
          <t>CC-3000</t>
        </is>
      </c>
      <c r="F3904" s="2" t="inlineStr">
        <is>
          <t>P01</t>
        </is>
      </c>
      <c r="G3904" s="2" t="n">
        <v>630000</v>
      </c>
      <c r="H3904" s="2" t="inlineStr">
        <is>
          <t>Servicios externos</t>
        </is>
      </c>
      <c r="I3904" s="9" t="n">
        <v>525.6</v>
      </c>
      <c r="J3904" s="9" t="n">
        <v>511.71</v>
      </c>
      <c r="K3904" s="9" t="n">
        <v>515.0700000000001</v>
      </c>
      <c r="L3904" s="9" t="n">
        <v>520.76</v>
      </c>
      <c r="M3904" s="9" t="n">
        <v>526.52</v>
      </c>
      <c r="N3904" s="9" t="n">
        <v>484.49</v>
      </c>
      <c r="O3904" s="9" t="n">
        <v>507.18</v>
      </c>
      <c r="P3904" s="9" t="n">
        <v>578.4299999999999</v>
      </c>
      <c r="Q3904" s="9" t="n">
        <v>495.47</v>
      </c>
      <c r="R3904" s="9" t="n">
        <v>571.83</v>
      </c>
      <c r="S3904" s="9" t="n">
        <v>501.97</v>
      </c>
      <c r="T3904" s="9" t="n">
        <v>547.63</v>
      </c>
      <c r="U3904" s="10">
        <f>SUM(I3904:T3904)</f>
        <v/>
      </c>
    </row>
    <row r="3905">
      <c r="A3905" s="2" t="inlineStr">
        <is>
          <t>SN-3000-3500-3500-3500FL0027</t>
        </is>
      </c>
      <c r="B3905" s="2" t="inlineStr">
        <is>
          <t>3500FL0027</t>
        </is>
      </c>
      <c r="C3905" s="2" t="inlineStr">
        <is>
          <t>Filtros coalescedores FL0027</t>
        </is>
      </c>
      <c r="D3905" s="2" t="n">
        <v>1302</v>
      </c>
      <c r="E3905" s="2" t="inlineStr">
        <is>
          <t>CC-3000</t>
        </is>
      </c>
      <c r="F3905" s="2" t="inlineStr">
        <is>
          <t>P01</t>
        </is>
      </c>
      <c r="G3905" s="2" t="n">
        <v>610000</v>
      </c>
      <c r="H3905" s="2" t="inlineStr">
        <is>
          <t>Mano obra interna</t>
        </is>
      </c>
      <c r="I3905" s="9" t="n">
        <v>905.38</v>
      </c>
      <c r="J3905" s="9" t="n">
        <v>870.02</v>
      </c>
      <c r="K3905" s="9" t="n">
        <v>956.83</v>
      </c>
      <c r="L3905" s="9" t="n">
        <v>984.5700000000001</v>
      </c>
      <c r="M3905" s="9" t="n">
        <v>943.13</v>
      </c>
      <c r="N3905" s="9" t="n">
        <v>806.75</v>
      </c>
      <c r="O3905" s="9" t="n">
        <v>920.98</v>
      </c>
      <c r="P3905" s="9" t="n">
        <v>827.16</v>
      </c>
      <c r="Q3905" s="9" t="n">
        <v>854.36</v>
      </c>
      <c r="R3905" s="9" t="n">
        <v>963.61</v>
      </c>
      <c r="S3905" s="9" t="n">
        <v>868.72</v>
      </c>
      <c r="T3905" s="9" t="n">
        <v>924.85</v>
      </c>
      <c r="U3905" s="10">
        <f>SUM(I3905:T3905)</f>
        <v/>
      </c>
    </row>
    <row r="3906">
      <c r="A3906" s="2" t="inlineStr">
        <is>
          <t>SN-3000-3500-3500-3500FL0027</t>
        </is>
      </c>
      <c r="B3906" s="2" t="inlineStr">
        <is>
          <t>3500FL0027</t>
        </is>
      </c>
      <c r="C3906" s="2" t="inlineStr">
        <is>
          <t>Filtros coalescedores FL0027</t>
        </is>
      </c>
      <c r="D3906" s="2" t="n">
        <v>1302</v>
      </c>
      <c r="E3906" s="2" t="inlineStr">
        <is>
          <t>CC-3000</t>
        </is>
      </c>
      <c r="F3906" s="2" t="inlineStr">
        <is>
          <t>P01</t>
        </is>
      </c>
      <c r="G3906" s="2" t="n">
        <v>620000</v>
      </c>
      <c r="H3906" s="2" t="inlineStr">
        <is>
          <t>Materiales</t>
        </is>
      </c>
      <c r="I3906" s="9" t="n">
        <v>952.05</v>
      </c>
      <c r="J3906" s="9" t="n">
        <v>821.39</v>
      </c>
      <c r="K3906" s="9" t="n">
        <v>963.16</v>
      </c>
      <c r="L3906" s="9" t="n">
        <v>967.9299999999999</v>
      </c>
      <c r="M3906" s="9" t="n">
        <v>828.77</v>
      </c>
      <c r="N3906" s="9" t="n">
        <v>835.7</v>
      </c>
      <c r="O3906" s="9" t="n">
        <v>942.05</v>
      </c>
      <c r="P3906" s="9" t="n">
        <v>897.92</v>
      </c>
      <c r="Q3906" s="9" t="n">
        <v>863.51</v>
      </c>
      <c r="R3906" s="9" t="n">
        <v>970.49</v>
      </c>
      <c r="S3906" s="9" t="n">
        <v>937.49</v>
      </c>
      <c r="T3906" s="9" t="n">
        <v>976.65</v>
      </c>
      <c r="U3906" s="10">
        <f>SUM(I3906:T3906)</f>
        <v/>
      </c>
    </row>
    <row r="3907">
      <c r="A3907" s="2" t="inlineStr">
        <is>
          <t>SN-3000-3500-3500-3500FL0027</t>
        </is>
      </c>
      <c r="B3907" s="2" t="inlineStr">
        <is>
          <t>3500FL0027</t>
        </is>
      </c>
      <c r="C3907" s="2" t="inlineStr">
        <is>
          <t>Filtros coalescedores FL0027</t>
        </is>
      </c>
      <c r="D3907" s="2" t="n">
        <v>1302</v>
      </c>
      <c r="E3907" s="2" t="inlineStr">
        <is>
          <t>CC-3000</t>
        </is>
      </c>
      <c r="F3907" s="2" t="inlineStr">
        <is>
          <t>P01</t>
        </is>
      </c>
      <c r="G3907" s="2" t="n">
        <v>630000</v>
      </c>
      <c r="H3907" s="2" t="inlineStr">
        <is>
          <t>Servicios externos</t>
        </is>
      </c>
      <c r="I3907" s="9" t="n">
        <v>799.33</v>
      </c>
      <c r="J3907" s="9" t="n">
        <v>776.86</v>
      </c>
      <c r="K3907" s="9" t="n">
        <v>770.7</v>
      </c>
      <c r="L3907" s="9" t="n">
        <v>802.64</v>
      </c>
      <c r="M3907" s="9" t="n">
        <v>824.03</v>
      </c>
      <c r="N3907" s="9" t="n">
        <v>804.85</v>
      </c>
      <c r="O3907" s="9" t="n">
        <v>847.23</v>
      </c>
      <c r="P3907" s="9" t="n">
        <v>735.0700000000001</v>
      </c>
      <c r="Q3907" s="9" t="n">
        <v>776.75</v>
      </c>
      <c r="R3907" s="9" t="n">
        <v>860.48</v>
      </c>
      <c r="S3907" s="9" t="n">
        <v>735.8</v>
      </c>
      <c r="T3907" s="9" t="n">
        <v>809.25</v>
      </c>
      <c r="U3907" s="10">
        <f>SUM(I3907:T3907)</f>
        <v/>
      </c>
    </row>
    <row r="3908">
      <c r="A3908" s="2" t="inlineStr">
        <is>
          <t>SN-3000-3500-3500-3500FL0028</t>
        </is>
      </c>
      <c r="B3908" s="2" t="inlineStr">
        <is>
          <t>3500FL0028</t>
        </is>
      </c>
      <c r="C3908" s="2" t="inlineStr">
        <is>
          <t>Filtros coalescedores FL0028</t>
        </is>
      </c>
      <c r="D3908" s="2" t="n">
        <v>1303</v>
      </c>
      <c r="E3908" s="2" t="inlineStr">
        <is>
          <t>CC-3000</t>
        </is>
      </c>
      <c r="F3908" s="2" t="inlineStr">
        <is>
          <t>P01</t>
        </is>
      </c>
      <c r="G3908" s="2" t="n">
        <v>610000</v>
      </c>
      <c r="H3908" s="2" t="inlineStr">
        <is>
          <t>Mano obra interna</t>
        </is>
      </c>
      <c r="I3908" s="9" t="n">
        <v>2492.74</v>
      </c>
      <c r="J3908" s="9" t="n">
        <v>2621.16</v>
      </c>
      <c r="K3908" s="9" t="n">
        <v>2593.41</v>
      </c>
      <c r="L3908" s="9" t="n">
        <v>2518.07</v>
      </c>
      <c r="M3908" s="9" t="n">
        <v>2362.12</v>
      </c>
      <c r="N3908" s="9" t="n">
        <v>2174.8</v>
      </c>
      <c r="O3908" s="9" t="n">
        <v>2512.58</v>
      </c>
      <c r="P3908" s="9" t="n">
        <v>2496.53</v>
      </c>
      <c r="Q3908" s="9" t="n">
        <v>2303.4</v>
      </c>
      <c r="R3908" s="9" t="n">
        <v>2677.39</v>
      </c>
      <c r="S3908" s="9" t="n">
        <v>2520.29</v>
      </c>
      <c r="T3908" s="9" t="n">
        <v>2431.06</v>
      </c>
      <c r="U3908" s="10">
        <f>SUM(I3908:T3908)</f>
        <v/>
      </c>
    </row>
    <row r="3909">
      <c r="A3909" s="2" t="inlineStr">
        <is>
          <t>SN-3000-3500-3500-3500FL0028</t>
        </is>
      </c>
      <c r="B3909" s="2" t="inlineStr">
        <is>
          <t>3500FL0028</t>
        </is>
      </c>
      <c r="C3909" s="2" t="inlineStr">
        <is>
          <t>Filtros coalescedores FL0028</t>
        </is>
      </c>
      <c r="D3909" s="2" t="n">
        <v>1303</v>
      </c>
      <c r="E3909" s="2" t="inlineStr">
        <is>
          <t>CC-3000</t>
        </is>
      </c>
      <c r="F3909" s="2" t="inlineStr">
        <is>
          <t>P01</t>
        </is>
      </c>
      <c r="G3909" s="2" t="n">
        <v>620000</v>
      </c>
      <c r="H3909" s="2" t="inlineStr">
        <is>
          <t>Materiales</t>
        </is>
      </c>
      <c r="I3909" s="9" t="n">
        <v>2281.07</v>
      </c>
      <c r="J3909" s="9" t="n">
        <v>2039.75</v>
      </c>
      <c r="K3909" s="9" t="n">
        <v>2392.98</v>
      </c>
      <c r="L3909" s="9" t="n">
        <v>2304.05</v>
      </c>
      <c r="M3909" s="9" t="n">
        <v>1995.86</v>
      </c>
      <c r="N3909" s="9" t="n">
        <v>2197.84</v>
      </c>
      <c r="O3909" s="9" t="n">
        <v>2322.39</v>
      </c>
      <c r="P3909" s="9" t="n">
        <v>2272.31</v>
      </c>
      <c r="Q3909" s="9" t="n">
        <v>1997.95</v>
      </c>
      <c r="R3909" s="9" t="n">
        <v>2527.56</v>
      </c>
      <c r="S3909" s="9" t="n">
        <v>1976.24</v>
      </c>
      <c r="T3909" s="9" t="n">
        <v>2217.11</v>
      </c>
      <c r="U3909" s="10">
        <f>SUM(I3909:T3909)</f>
        <v/>
      </c>
    </row>
    <row r="3910">
      <c r="A3910" s="2" t="inlineStr">
        <is>
          <t>SN-3000-3500-3500-3500FL0028</t>
        </is>
      </c>
      <c r="B3910" s="2" t="inlineStr">
        <is>
          <t>3500FL0028</t>
        </is>
      </c>
      <c r="C3910" s="2" t="inlineStr">
        <is>
          <t>Filtros coalescedores FL0028</t>
        </is>
      </c>
      <c r="D3910" s="2" t="n">
        <v>1303</v>
      </c>
      <c r="E3910" s="2" t="inlineStr">
        <is>
          <t>CC-3000</t>
        </is>
      </c>
      <c r="F3910" s="2" t="inlineStr">
        <is>
          <t>P01</t>
        </is>
      </c>
      <c r="G3910" s="2" t="n">
        <v>630000</v>
      </c>
      <c r="H3910" s="2" t="inlineStr">
        <is>
          <t>Servicios externos</t>
        </is>
      </c>
      <c r="I3910" s="9" t="n">
        <v>1965.46</v>
      </c>
      <c r="J3910" s="9" t="n">
        <v>2045.7</v>
      </c>
      <c r="K3910" s="9" t="n">
        <v>2100.14</v>
      </c>
      <c r="L3910" s="9" t="n">
        <v>2076.73</v>
      </c>
      <c r="M3910" s="9" t="n">
        <v>1879.09</v>
      </c>
      <c r="N3910" s="9" t="n">
        <v>1987.93</v>
      </c>
      <c r="O3910" s="9" t="n">
        <v>1904.07</v>
      </c>
      <c r="P3910" s="9" t="n">
        <v>1799.74</v>
      </c>
      <c r="Q3910" s="9" t="n">
        <v>1849.7</v>
      </c>
      <c r="R3910" s="9" t="n">
        <v>2050.59</v>
      </c>
      <c r="S3910" s="9" t="n">
        <v>1777.82</v>
      </c>
      <c r="T3910" s="9" t="n">
        <v>2110.27</v>
      </c>
      <c r="U3910" s="10">
        <f>SUM(I3910:T3910)</f>
        <v/>
      </c>
    </row>
    <row r="3911">
      <c r="A3911" s="2" t="inlineStr">
        <is>
          <t>SN-3000-3500-3500-3500HD0001</t>
        </is>
      </c>
      <c r="B3911" s="2" t="inlineStr">
        <is>
          <t>3500HD0001</t>
        </is>
      </c>
      <c r="C3911" s="2" t="inlineStr">
        <is>
          <t>Extractor tipo campana HD0001</t>
        </is>
      </c>
      <c r="D3911" s="2" t="n">
        <v>1304</v>
      </c>
      <c r="E3911" s="2" t="inlineStr">
        <is>
          <t>CC-3000</t>
        </is>
      </c>
      <c r="F3911" s="2" t="inlineStr">
        <is>
          <t>P01</t>
        </is>
      </c>
      <c r="G3911" s="2" t="n">
        <v>610000</v>
      </c>
      <c r="H3911" s="2" t="inlineStr">
        <is>
          <t>Mano obra interna</t>
        </is>
      </c>
      <c r="I3911" s="9" t="n">
        <v>2156.87</v>
      </c>
      <c r="J3911" s="9" t="n">
        <v>1969.63</v>
      </c>
      <c r="K3911" s="9" t="n">
        <v>1894.07</v>
      </c>
      <c r="L3911" s="9" t="n">
        <v>1865.5</v>
      </c>
      <c r="M3911" s="9" t="n">
        <v>2078.48</v>
      </c>
      <c r="N3911" s="9" t="n">
        <v>1747.73</v>
      </c>
      <c r="O3911" s="9" t="n">
        <v>2010.99</v>
      </c>
      <c r="P3911" s="9" t="n">
        <v>1908.48</v>
      </c>
      <c r="Q3911" s="9" t="n">
        <v>1892.44</v>
      </c>
      <c r="R3911" s="9" t="n">
        <v>2055.18</v>
      </c>
      <c r="S3911" s="9" t="n">
        <v>1769.2</v>
      </c>
      <c r="T3911" s="9" t="n">
        <v>2076.99</v>
      </c>
      <c r="U3911" s="10">
        <f>SUM(I3911:T3911)</f>
        <v/>
      </c>
    </row>
    <row r="3912">
      <c r="A3912" s="2" t="inlineStr">
        <is>
          <t>SN-3000-3500-3500-3500HD0001</t>
        </is>
      </c>
      <c r="B3912" s="2" t="inlineStr">
        <is>
          <t>3500HD0001</t>
        </is>
      </c>
      <c r="C3912" s="2" t="inlineStr">
        <is>
          <t>Extractor tipo campana HD0001</t>
        </is>
      </c>
      <c r="D3912" s="2" t="n">
        <v>1304</v>
      </c>
      <c r="E3912" s="2" t="inlineStr">
        <is>
          <t>CC-3000</t>
        </is>
      </c>
      <c r="F3912" s="2" t="inlineStr">
        <is>
          <t>P01</t>
        </is>
      </c>
      <c r="G3912" s="2" t="n">
        <v>620000</v>
      </c>
      <c r="H3912" s="2" t="inlineStr">
        <is>
          <t>Materiales</t>
        </is>
      </c>
      <c r="I3912" s="9" t="n">
        <v>1712.03</v>
      </c>
      <c r="J3912" s="9" t="n">
        <v>1710.15</v>
      </c>
      <c r="K3912" s="9" t="n">
        <v>1771.88</v>
      </c>
      <c r="L3912" s="9" t="n">
        <v>1659.03</v>
      </c>
      <c r="M3912" s="9" t="n">
        <v>1711.62</v>
      </c>
      <c r="N3912" s="9" t="n">
        <v>1698.79</v>
      </c>
      <c r="O3912" s="9" t="n">
        <v>1693.59</v>
      </c>
      <c r="P3912" s="9" t="n">
        <v>1716.43</v>
      </c>
      <c r="Q3912" s="9" t="n">
        <v>1639.22</v>
      </c>
      <c r="R3912" s="9" t="n">
        <v>1892.65</v>
      </c>
      <c r="S3912" s="9" t="n">
        <v>1572.19</v>
      </c>
      <c r="T3912" s="9" t="n">
        <v>1821.07</v>
      </c>
      <c r="U3912" s="10">
        <f>SUM(I3912:T3912)</f>
        <v/>
      </c>
    </row>
    <row r="3913">
      <c r="A3913" s="2" t="inlineStr">
        <is>
          <t>SN-3000-3500-3500-3500HD0001</t>
        </is>
      </c>
      <c r="B3913" s="2" t="inlineStr">
        <is>
          <t>3500HD0001</t>
        </is>
      </c>
      <c r="C3913" s="2" t="inlineStr">
        <is>
          <t>Extractor tipo campana HD0001</t>
        </is>
      </c>
      <c r="D3913" s="2" t="n">
        <v>1304</v>
      </c>
      <c r="E3913" s="2" t="inlineStr">
        <is>
          <t>CC-3000</t>
        </is>
      </c>
      <c r="F3913" s="2" t="inlineStr">
        <is>
          <t>P01</t>
        </is>
      </c>
      <c r="G3913" s="2" t="n">
        <v>630000</v>
      </c>
      <c r="H3913" s="2" t="inlineStr">
        <is>
          <t>Servicios externos</t>
        </is>
      </c>
      <c r="I3913" s="9" t="n">
        <v>1727.55</v>
      </c>
      <c r="J3913" s="9" t="n">
        <v>1483.4</v>
      </c>
      <c r="K3913" s="9" t="n">
        <v>1604.26</v>
      </c>
      <c r="L3913" s="9" t="n">
        <v>1703.13</v>
      </c>
      <c r="M3913" s="9" t="n">
        <v>1490.21</v>
      </c>
      <c r="N3913" s="9" t="n">
        <v>1434.94</v>
      </c>
      <c r="O3913" s="9" t="n">
        <v>1606.69</v>
      </c>
      <c r="P3913" s="9" t="n">
        <v>1620.41</v>
      </c>
      <c r="Q3913" s="9" t="n">
        <v>1346.32</v>
      </c>
      <c r="R3913" s="9" t="n">
        <v>1679.72</v>
      </c>
      <c r="S3913" s="9" t="n">
        <v>1517.22</v>
      </c>
      <c r="T3913" s="9" t="n">
        <v>1535.16</v>
      </c>
      <c r="U3913" s="10">
        <f>SUM(I3913:T3913)</f>
        <v/>
      </c>
    </row>
    <row r="3914">
      <c r="A3914" s="2" t="inlineStr">
        <is>
          <t>SN-3000-3500-3500-3500HD0002</t>
        </is>
      </c>
      <c r="B3914" s="2" t="inlineStr">
        <is>
          <t>3500HD0002</t>
        </is>
      </c>
      <c r="C3914" s="2" t="inlineStr">
        <is>
          <t>Extractor tipo campana HD0002</t>
        </is>
      </c>
      <c r="D3914" s="2" t="n">
        <v>1305</v>
      </c>
      <c r="E3914" s="2" t="inlineStr">
        <is>
          <t>CC-3000</t>
        </is>
      </c>
      <c r="F3914" s="2" t="inlineStr">
        <is>
          <t>P01</t>
        </is>
      </c>
      <c r="G3914" s="2" t="n">
        <v>610000</v>
      </c>
      <c r="H3914" s="2" t="inlineStr">
        <is>
          <t>Mano obra interna</t>
        </is>
      </c>
      <c r="I3914" s="9" t="n">
        <v>2721.33</v>
      </c>
      <c r="J3914" s="9" t="n">
        <v>2700.55</v>
      </c>
      <c r="K3914" s="9" t="n">
        <v>3010.31</v>
      </c>
      <c r="L3914" s="9" t="n">
        <v>3056.39</v>
      </c>
      <c r="M3914" s="9" t="n">
        <v>2832.46</v>
      </c>
      <c r="N3914" s="9" t="n">
        <v>2514.23</v>
      </c>
      <c r="O3914" s="9" t="n">
        <v>2903.72</v>
      </c>
      <c r="P3914" s="9" t="n">
        <v>2998.97</v>
      </c>
      <c r="Q3914" s="9" t="n">
        <v>2628.47</v>
      </c>
      <c r="R3914" s="9" t="n">
        <v>3039.93</v>
      </c>
      <c r="S3914" s="9" t="n">
        <v>2946.37</v>
      </c>
      <c r="T3914" s="9" t="n">
        <v>2926.05</v>
      </c>
      <c r="U3914" s="10">
        <f>SUM(I3914:T3914)</f>
        <v/>
      </c>
    </row>
    <row r="3915">
      <c r="A3915" s="2" t="inlineStr">
        <is>
          <t>SN-3000-3500-3500-3500HD0002</t>
        </is>
      </c>
      <c r="B3915" s="2" t="inlineStr">
        <is>
          <t>3500HD0002</t>
        </is>
      </c>
      <c r="C3915" s="2" t="inlineStr">
        <is>
          <t>Extractor tipo campana HD0002</t>
        </is>
      </c>
      <c r="D3915" s="2" t="n">
        <v>1305</v>
      </c>
      <c r="E3915" s="2" t="inlineStr">
        <is>
          <t>CC-3000</t>
        </is>
      </c>
      <c r="F3915" s="2" t="inlineStr">
        <is>
          <t>P01</t>
        </is>
      </c>
      <c r="G3915" s="2" t="n">
        <v>620000</v>
      </c>
      <c r="H3915" s="2" t="inlineStr">
        <is>
          <t>Materiales</t>
        </is>
      </c>
      <c r="I3915" s="9" t="n">
        <v>3129.6</v>
      </c>
      <c r="J3915" s="9" t="n">
        <v>2818.39</v>
      </c>
      <c r="K3915" s="9" t="n">
        <v>2983.5</v>
      </c>
      <c r="L3915" s="9" t="n">
        <v>3142.69</v>
      </c>
      <c r="M3915" s="9" t="n">
        <v>2943.66</v>
      </c>
      <c r="N3915" s="9" t="n">
        <v>2820.05</v>
      </c>
      <c r="O3915" s="9" t="n">
        <v>2767.86</v>
      </c>
      <c r="P3915" s="9" t="n">
        <v>3177.33</v>
      </c>
      <c r="Q3915" s="9" t="n">
        <v>2959.97</v>
      </c>
      <c r="R3915" s="9" t="n">
        <v>3210.23</v>
      </c>
      <c r="S3915" s="9" t="n">
        <v>2992.95</v>
      </c>
      <c r="T3915" s="9" t="n">
        <v>2883.25</v>
      </c>
      <c r="U3915" s="10">
        <f>SUM(I3915:T3915)</f>
        <v/>
      </c>
    </row>
    <row r="3916">
      <c r="A3916" s="2" t="inlineStr">
        <is>
          <t>SN-3000-3500-3500-3500HD0002</t>
        </is>
      </c>
      <c r="B3916" s="2" t="inlineStr">
        <is>
          <t>3500HD0002</t>
        </is>
      </c>
      <c r="C3916" s="2" t="inlineStr">
        <is>
          <t>Extractor tipo campana HD0002</t>
        </is>
      </c>
      <c r="D3916" s="2" t="n">
        <v>1305</v>
      </c>
      <c r="E3916" s="2" t="inlineStr">
        <is>
          <t>CC-3000</t>
        </is>
      </c>
      <c r="F3916" s="2" t="inlineStr">
        <is>
          <t>P01</t>
        </is>
      </c>
      <c r="G3916" s="2" t="n">
        <v>630000</v>
      </c>
      <c r="H3916" s="2" t="inlineStr">
        <is>
          <t>Servicios externos</t>
        </is>
      </c>
      <c r="I3916" s="9" t="n">
        <v>2806.73</v>
      </c>
      <c r="J3916" s="9" t="n">
        <v>2803.06</v>
      </c>
      <c r="K3916" s="9" t="n">
        <v>2850.52</v>
      </c>
      <c r="L3916" s="9" t="n">
        <v>2837.08</v>
      </c>
      <c r="M3916" s="9" t="n">
        <v>2658.04</v>
      </c>
      <c r="N3916" s="9" t="n">
        <v>2462.8</v>
      </c>
      <c r="O3916" s="9" t="n">
        <v>2963.18</v>
      </c>
      <c r="P3916" s="9" t="n">
        <v>2557.97</v>
      </c>
      <c r="Q3916" s="9" t="n">
        <v>2494.22</v>
      </c>
      <c r="R3916" s="9" t="n">
        <v>2969.23</v>
      </c>
      <c r="S3916" s="9" t="n">
        <v>2610.1</v>
      </c>
      <c r="T3916" s="9" t="n">
        <v>2841.21</v>
      </c>
      <c r="U3916" s="10">
        <f>SUM(I3916:T3916)</f>
        <v/>
      </c>
    </row>
    <row r="3917">
      <c r="A3917" s="2" t="inlineStr">
        <is>
          <t>SN-3000-3500-3500-3500HD0003</t>
        </is>
      </c>
      <c r="B3917" s="2" t="inlineStr">
        <is>
          <t>3500HD0003</t>
        </is>
      </c>
      <c r="C3917" s="2" t="inlineStr">
        <is>
          <t>Extractor tipo campana HD0003</t>
        </is>
      </c>
      <c r="D3917" s="2" t="n">
        <v>1306</v>
      </c>
      <c r="E3917" s="2" t="inlineStr">
        <is>
          <t>CC-3000</t>
        </is>
      </c>
      <c r="F3917" s="2" t="inlineStr">
        <is>
          <t>P01</t>
        </is>
      </c>
      <c r="G3917" s="2" t="n">
        <v>610000</v>
      </c>
      <c r="H3917" s="2" t="inlineStr">
        <is>
          <t>Mano obra interna</t>
        </is>
      </c>
      <c r="I3917" s="9" t="n">
        <v>592.96</v>
      </c>
      <c r="J3917" s="9" t="n">
        <v>556.11</v>
      </c>
      <c r="K3917" s="9" t="n">
        <v>587.47</v>
      </c>
      <c r="L3917" s="9" t="n">
        <v>616.48</v>
      </c>
      <c r="M3917" s="9" t="n">
        <v>631.37</v>
      </c>
      <c r="N3917" s="9" t="n">
        <v>541.02</v>
      </c>
      <c r="O3917" s="9" t="n">
        <v>621.9299999999999</v>
      </c>
      <c r="P3917" s="9" t="n">
        <v>632.28</v>
      </c>
      <c r="Q3917" s="9" t="n">
        <v>542.62</v>
      </c>
      <c r="R3917" s="9" t="n">
        <v>669.46</v>
      </c>
      <c r="S3917" s="9" t="n">
        <v>602.6799999999999</v>
      </c>
      <c r="T3917" s="9" t="n">
        <v>633.88</v>
      </c>
      <c r="U3917" s="10">
        <f>SUM(I3917:T3917)</f>
        <v/>
      </c>
    </row>
    <row r="3918">
      <c r="A3918" s="2" t="inlineStr">
        <is>
          <t>SN-3000-3500-3500-3500HD0003</t>
        </is>
      </c>
      <c r="B3918" s="2" t="inlineStr">
        <is>
          <t>3500HD0003</t>
        </is>
      </c>
      <c r="C3918" s="2" t="inlineStr">
        <is>
          <t>Extractor tipo campana HD0003</t>
        </is>
      </c>
      <c r="D3918" s="2" t="n">
        <v>1306</v>
      </c>
      <c r="E3918" s="2" t="inlineStr">
        <is>
          <t>CC-3000</t>
        </is>
      </c>
      <c r="F3918" s="2" t="inlineStr">
        <is>
          <t>P01</t>
        </is>
      </c>
      <c r="G3918" s="2" t="n">
        <v>620000</v>
      </c>
      <c r="H3918" s="2" t="inlineStr">
        <is>
          <t>Materiales</t>
        </is>
      </c>
      <c r="I3918" s="9" t="n">
        <v>672.71</v>
      </c>
      <c r="J3918" s="9" t="n">
        <v>632.65</v>
      </c>
      <c r="K3918" s="9" t="n">
        <v>695.89</v>
      </c>
      <c r="L3918" s="9" t="n">
        <v>636.6900000000001</v>
      </c>
      <c r="M3918" s="9" t="n">
        <v>645.3</v>
      </c>
      <c r="N3918" s="9" t="n">
        <v>679.6900000000001</v>
      </c>
      <c r="O3918" s="9" t="n">
        <v>673.59</v>
      </c>
      <c r="P3918" s="9" t="n">
        <v>662.5599999999999</v>
      </c>
      <c r="Q3918" s="9" t="n">
        <v>600.17</v>
      </c>
      <c r="R3918" s="9" t="n">
        <v>693.53</v>
      </c>
      <c r="S3918" s="9" t="n">
        <v>621.13</v>
      </c>
      <c r="T3918" s="9" t="n">
        <v>715.6</v>
      </c>
      <c r="U3918" s="10">
        <f>SUM(I3918:T3918)</f>
        <v/>
      </c>
    </row>
    <row r="3919">
      <c r="A3919" s="2" t="inlineStr">
        <is>
          <t>SN-3000-3500-3500-3500HD0003</t>
        </is>
      </c>
      <c r="B3919" s="2" t="inlineStr">
        <is>
          <t>3500HD0003</t>
        </is>
      </c>
      <c r="C3919" s="2" t="inlineStr">
        <is>
          <t>Extractor tipo campana HD0003</t>
        </is>
      </c>
      <c r="D3919" s="2" t="n">
        <v>1306</v>
      </c>
      <c r="E3919" s="2" t="inlineStr">
        <is>
          <t>CC-3000</t>
        </is>
      </c>
      <c r="F3919" s="2" t="inlineStr">
        <is>
          <t>P01</t>
        </is>
      </c>
      <c r="G3919" s="2" t="n">
        <v>630000</v>
      </c>
      <c r="H3919" s="2" t="inlineStr">
        <is>
          <t>Servicios externos</t>
        </is>
      </c>
      <c r="I3919" s="9" t="n">
        <v>685.72</v>
      </c>
      <c r="J3919" s="9" t="n">
        <v>613.66</v>
      </c>
      <c r="K3919" s="9" t="n">
        <v>716.8200000000001</v>
      </c>
      <c r="L3919" s="9" t="n">
        <v>723.92</v>
      </c>
      <c r="M3919" s="9" t="n">
        <v>706.71</v>
      </c>
      <c r="N3919" s="9" t="n">
        <v>651.8099999999999</v>
      </c>
      <c r="O3919" s="9" t="n">
        <v>669.04</v>
      </c>
      <c r="P3919" s="9" t="n">
        <v>680.38</v>
      </c>
      <c r="Q3919" s="9" t="n">
        <v>573.37</v>
      </c>
      <c r="R3919" s="9" t="n">
        <v>738.3</v>
      </c>
      <c r="S3919" s="9" t="n">
        <v>668.36</v>
      </c>
      <c r="T3919" s="9" t="n">
        <v>702</v>
      </c>
      <c r="U3919" s="10">
        <f>SUM(I3919:T3919)</f>
        <v/>
      </c>
    </row>
    <row r="3920">
      <c r="A3920" s="2" t="inlineStr">
        <is>
          <t>SN-3000-3500-3500-3500HX0008</t>
        </is>
      </c>
      <c r="B3920" s="2" t="inlineStr">
        <is>
          <t>3500HX0008</t>
        </is>
      </c>
      <c r="C3920" s="2" t="inlineStr">
        <is>
          <t>Intercambiador calor tubos HX0008</t>
        </is>
      </c>
      <c r="D3920" s="2" t="n">
        <v>1307</v>
      </c>
      <c r="E3920" s="2" t="inlineStr">
        <is>
          <t>CC-3000</t>
        </is>
      </c>
      <c r="F3920" s="2" t="inlineStr">
        <is>
          <t>P01</t>
        </is>
      </c>
      <c r="G3920" s="2" t="n">
        <v>610000</v>
      </c>
      <c r="H3920" s="2" t="inlineStr">
        <is>
          <t>Mano obra interna</t>
        </is>
      </c>
      <c r="I3920" s="9" t="n">
        <v>2164.96</v>
      </c>
      <c r="J3920" s="9" t="n">
        <v>2068.82</v>
      </c>
      <c r="K3920" s="9" t="n">
        <v>1989.59</v>
      </c>
      <c r="L3920" s="9" t="n">
        <v>2234.15</v>
      </c>
      <c r="M3920" s="9" t="n">
        <v>2073.66</v>
      </c>
      <c r="N3920" s="9" t="n">
        <v>2036.31</v>
      </c>
      <c r="O3920" s="9" t="n">
        <v>2004.23</v>
      </c>
      <c r="P3920" s="9" t="n">
        <v>2191.19</v>
      </c>
      <c r="Q3920" s="9" t="n">
        <v>1913.73</v>
      </c>
      <c r="R3920" s="9" t="n">
        <v>2279.62</v>
      </c>
      <c r="S3920" s="9" t="n">
        <v>2133.28</v>
      </c>
      <c r="T3920" s="9" t="n">
        <v>2224.33</v>
      </c>
      <c r="U3920" s="10">
        <f>SUM(I3920:T3920)</f>
        <v/>
      </c>
    </row>
    <row r="3921">
      <c r="A3921" s="2" t="inlineStr">
        <is>
          <t>SN-3000-3500-3500-3500HX0008</t>
        </is>
      </c>
      <c r="B3921" s="2" t="inlineStr">
        <is>
          <t>3500HX0008</t>
        </is>
      </c>
      <c r="C3921" s="2" t="inlineStr">
        <is>
          <t>Intercambiador calor tubos HX0008</t>
        </is>
      </c>
      <c r="D3921" s="2" t="n">
        <v>1307</v>
      </c>
      <c r="E3921" s="2" t="inlineStr">
        <is>
          <t>CC-3000</t>
        </is>
      </c>
      <c r="F3921" s="2" t="inlineStr">
        <is>
          <t>P01</t>
        </is>
      </c>
      <c r="G3921" s="2" t="n">
        <v>620000</v>
      </c>
      <c r="H3921" s="2" t="inlineStr">
        <is>
          <t>Materiales</t>
        </is>
      </c>
      <c r="I3921" s="9" t="n">
        <v>2027.22</v>
      </c>
      <c r="J3921" s="9" t="n">
        <v>2215.22</v>
      </c>
      <c r="K3921" s="9" t="n">
        <v>2332.08</v>
      </c>
      <c r="L3921" s="9" t="n">
        <v>2008.22</v>
      </c>
      <c r="M3921" s="9" t="n">
        <v>2059.82</v>
      </c>
      <c r="N3921" s="9" t="n">
        <v>2021.35</v>
      </c>
      <c r="O3921" s="9" t="n">
        <v>1961.99</v>
      </c>
      <c r="P3921" s="9" t="n">
        <v>1992.37</v>
      </c>
      <c r="Q3921" s="9" t="n">
        <v>1964.79</v>
      </c>
      <c r="R3921" s="9" t="n">
        <v>2430.22</v>
      </c>
      <c r="S3921" s="9" t="n">
        <v>1877.58</v>
      </c>
      <c r="T3921" s="9" t="n">
        <v>2269.69</v>
      </c>
      <c r="U3921" s="10">
        <f>SUM(I3921:T3921)</f>
        <v/>
      </c>
    </row>
    <row r="3922">
      <c r="A3922" s="2" t="inlineStr">
        <is>
          <t>SN-3000-3500-3500-3500HX0008</t>
        </is>
      </c>
      <c r="B3922" s="2" t="inlineStr">
        <is>
          <t>3500HX0008</t>
        </is>
      </c>
      <c r="C3922" s="2" t="inlineStr">
        <is>
          <t>Intercambiador calor tubos HX0008</t>
        </is>
      </c>
      <c r="D3922" s="2" t="n">
        <v>1307</v>
      </c>
      <c r="E3922" s="2" t="inlineStr">
        <is>
          <t>CC-3000</t>
        </is>
      </c>
      <c r="F3922" s="2" t="inlineStr">
        <is>
          <t>P01</t>
        </is>
      </c>
      <c r="G3922" s="2" t="n">
        <v>630000</v>
      </c>
      <c r="H3922" s="2" t="inlineStr">
        <is>
          <t>Servicios externos</t>
        </is>
      </c>
      <c r="I3922" s="9" t="n">
        <v>2406.84</v>
      </c>
      <c r="J3922" s="9" t="n">
        <v>2153.43</v>
      </c>
      <c r="K3922" s="9" t="n">
        <v>2297.43</v>
      </c>
      <c r="L3922" s="9" t="n">
        <v>2244.24</v>
      </c>
      <c r="M3922" s="9" t="n">
        <v>2365.23</v>
      </c>
      <c r="N3922" s="9" t="n">
        <v>2139.54</v>
      </c>
      <c r="O3922" s="9" t="n">
        <v>2081.53</v>
      </c>
      <c r="P3922" s="9" t="n">
        <v>2148.01</v>
      </c>
      <c r="Q3922" s="9" t="n">
        <v>2063.46</v>
      </c>
      <c r="R3922" s="9" t="n">
        <v>2579.68</v>
      </c>
      <c r="S3922" s="9" t="n">
        <v>2182.83</v>
      </c>
      <c r="T3922" s="9" t="n">
        <v>2334.36</v>
      </c>
      <c r="U3922" s="10">
        <f>SUM(I3922:T3922)</f>
        <v/>
      </c>
    </row>
    <row r="3923">
      <c r="A3923" s="2" t="inlineStr">
        <is>
          <t>SN-3000-3500-3500-3500HX0009</t>
        </is>
      </c>
      <c r="B3923" s="2" t="inlineStr">
        <is>
          <t>3500HX0009</t>
        </is>
      </c>
      <c r="C3923" s="2" t="inlineStr">
        <is>
          <t>Intercambiador calor tubos HX0009</t>
        </is>
      </c>
      <c r="D3923" s="2" t="n">
        <v>1308</v>
      </c>
      <c r="E3923" s="2" t="inlineStr">
        <is>
          <t>CC-3000</t>
        </is>
      </c>
      <c r="F3923" s="2" t="inlineStr">
        <is>
          <t>P01</t>
        </is>
      </c>
      <c r="G3923" s="2" t="n">
        <v>610000</v>
      </c>
      <c r="H3923" s="2" t="inlineStr">
        <is>
          <t>Mano obra interna</t>
        </is>
      </c>
      <c r="I3923" s="9" t="n">
        <v>1441.94</v>
      </c>
      <c r="J3923" s="9" t="n">
        <v>1320.1</v>
      </c>
      <c r="K3923" s="9" t="n">
        <v>1466.85</v>
      </c>
      <c r="L3923" s="9" t="n">
        <v>1349.57</v>
      </c>
      <c r="M3923" s="9" t="n">
        <v>1356.92</v>
      </c>
      <c r="N3923" s="9" t="n">
        <v>1267.62</v>
      </c>
      <c r="O3923" s="9" t="n">
        <v>1256.46</v>
      </c>
      <c r="P3923" s="9" t="n">
        <v>1282.54</v>
      </c>
      <c r="Q3923" s="9" t="n">
        <v>1154.14</v>
      </c>
      <c r="R3923" s="9" t="n">
        <v>1422.82</v>
      </c>
      <c r="S3923" s="9" t="n">
        <v>1320.35</v>
      </c>
      <c r="T3923" s="9" t="n">
        <v>1296.42</v>
      </c>
      <c r="U3923" s="10">
        <f>SUM(I3923:T3923)</f>
        <v/>
      </c>
    </row>
    <row r="3924">
      <c r="A3924" s="2" t="inlineStr">
        <is>
          <t>SN-3000-3500-3500-3500HX0009</t>
        </is>
      </c>
      <c r="B3924" s="2" t="inlineStr">
        <is>
          <t>3500HX0009</t>
        </is>
      </c>
      <c r="C3924" s="2" t="inlineStr">
        <is>
          <t>Intercambiador calor tubos HX0009</t>
        </is>
      </c>
      <c r="D3924" s="2" t="n">
        <v>1308</v>
      </c>
      <c r="E3924" s="2" t="inlineStr">
        <is>
          <t>CC-3000</t>
        </is>
      </c>
      <c r="F3924" s="2" t="inlineStr">
        <is>
          <t>P01</t>
        </is>
      </c>
      <c r="G3924" s="2" t="n">
        <v>620000</v>
      </c>
      <c r="H3924" s="2" t="inlineStr">
        <is>
          <t>Materiales</t>
        </is>
      </c>
      <c r="I3924" s="9" t="n">
        <v>1489.42</v>
      </c>
      <c r="J3924" s="9" t="n">
        <v>1454.14</v>
      </c>
      <c r="K3924" s="9" t="n">
        <v>1438.65</v>
      </c>
      <c r="L3924" s="9" t="n">
        <v>1509.18</v>
      </c>
      <c r="M3924" s="9" t="n">
        <v>1421.88</v>
      </c>
      <c r="N3924" s="9" t="n">
        <v>1356.06</v>
      </c>
      <c r="O3924" s="9" t="n">
        <v>1489.52</v>
      </c>
      <c r="P3924" s="9" t="n">
        <v>1384.91</v>
      </c>
      <c r="Q3924" s="9" t="n">
        <v>1454.77</v>
      </c>
      <c r="R3924" s="9" t="n">
        <v>1694.02</v>
      </c>
      <c r="S3924" s="9" t="n">
        <v>1458.28</v>
      </c>
      <c r="T3924" s="9" t="n">
        <v>1443.51</v>
      </c>
      <c r="U3924" s="10">
        <f>SUM(I3924:T3924)</f>
        <v/>
      </c>
    </row>
    <row r="3925">
      <c r="A3925" s="2" t="inlineStr">
        <is>
          <t>SN-3000-3500-3500-3500HX0009</t>
        </is>
      </c>
      <c r="B3925" s="2" t="inlineStr">
        <is>
          <t>3500HX0009</t>
        </is>
      </c>
      <c r="C3925" s="2" t="inlineStr">
        <is>
          <t>Intercambiador calor tubos HX0009</t>
        </is>
      </c>
      <c r="D3925" s="2" t="n">
        <v>1308</v>
      </c>
      <c r="E3925" s="2" t="inlineStr">
        <is>
          <t>CC-3000</t>
        </is>
      </c>
      <c r="F3925" s="2" t="inlineStr">
        <is>
          <t>P01</t>
        </is>
      </c>
      <c r="G3925" s="2" t="n">
        <v>630000</v>
      </c>
      <c r="H3925" s="2" t="inlineStr">
        <is>
          <t>Servicios externos</t>
        </is>
      </c>
      <c r="I3925" s="9" t="n">
        <v>1619.47</v>
      </c>
      <c r="J3925" s="9" t="n">
        <v>1510.65</v>
      </c>
      <c r="K3925" s="9" t="n">
        <v>1555.61</v>
      </c>
      <c r="L3925" s="9" t="n">
        <v>1510.82</v>
      </c>
      <c r="M3925" s="9" t="n">
        <v>1475.03</v>
      </c>
      <c r="N3925" s="9" t="n">
        <v>1529</v>
      </c>
      <c r="O3925" s="9" t="n">
        <v>1658.17</v>
      </c>
      <c r="P3925" s="9" t="n">
        <v>1531.16</v>
      </c>
      <c r="Q3925" s="9" t="n">
        <v>1365.23</v>
      </c>
      <c r="R3925" s="9" t="n">
        <v>1552.24</v>
      </c>
      <c r="S3925" s="9" t="n">
        <v>1488.43</v>
      </c>
      <c r="T3925" s="9" t="n">
        <v>1516.43</v>
      </c>
      <c r="U3925" s="10">
        <f>SUM(I3925:T3925)</f>
        <v/>
      </c>
    </row>
    <row r="3926">
      <c r="A3926" s="2" t="inlineStr">
        <is>
          <t>SN-3000-3500-3500-3500HX0013</t>
        </is>
      </c>
      <c r="B3926" s="2" t="inlineStr">
        <is>
          <t>3500HX0013</t>
        </is>
      </c>
      <c r="C3926" s="2" t="inlineStr">
        <is>
          <t>Intercambiador calor tubos HX0013</t>
        </is>
      </c>
      <c r="D3926" s="2" t="n">
        <v>1309</v>
      </c>
      <c r="E3926" s="2" t="inlineStr">
        <is>
          <t>CC-3000</t>
        </is>
      </c>
      <c r="F3926" s="2" t="inlineStr">
        <is>
          <t>P01</t>
        </is>
      </c>
      <c r="G3926" s="2" t="n">
        <v>610000</v>
      </c>
      <c r="H3926" s="2" t="inlineStr">
        <is>
          <t>Mano obra interna</t>
        </is>
      </c>
      <c r="I3926" s="9" t="n">
        <v>1872.28</v>
      </c>
      <c r="J3926" s="9" t="n">
        <v>1933.64</v>
      </c>
      <c r="K3926" s="9" t="n">
        <v>2017.39</v>
      </c>
      <c r="L3926" s="9" t="n">
        <v>2084.28</v>
      </c>
      <c r="M3926" s="9" t="n">
        <v>1953.84</v>
      </c>
      <c r="N3926" s="9" t="n">
        <v>1731.02</v>
      </c>
      <c r="O3926" s="9" t="n">
        <v>1991.03</v>
      </c>
      <c r="P3926" s="9" t="n">
        <v>1814.2</v>
      </c>
      <c r="Q3926" s="9" t="n">
        <v>1797.58</v>
      </c>
      <c r="R3926" s="9" t="n">
        <v>1923.55</v>
      </c>
      <c r="S3926" s="9" t="n">
        <v>1717.88</v>
      </c>
      <c r="T3926" s="9" t="n">
        <v>1930.41</v>
      </c>
      <c r="U3926" s="10">
        <f>SUM(I3926:T3926)</f>
        <v/>
      </c>
    </row>
    <row r="3927">
      <c r="A3927" s="2" t="inlineStr">
        <is>
          <t>SN-3000-3500-3500-3500HX0013</t>
        </is>
      </c>
      <c r="B3927" s="2" t="inlineStr">
        <is>
          <t>3500HX0013</t>
        </is>
      </c>
      <c r="C3927" s="2" t="inlineStr">
        <is>
          <t>Intercambiador calor tubos HX0013</t>
        </is>
      </c>
      <c r="D3927" s="2" t="n">
        <v>1309</v>
      </c>
      <c r="E3927" s="2" t="inlineStr">
        <is>
          <t>CC-3000</t>
        </is>
      </c>
      <c r="F3927" s="2" t="inlineStr">
        <is>
          <t>P01</t>
        </is>
      </c>
      <c r="G3927" s="2" t="n">
        <v>620000</v>
      </c>
      <c r="H3927" s="2" t="inlineStr">
        <is>
          <t>Materiales</t>
        </is>
      </c>
      <c r="I3927" s="9" t="n">
        <v>1681.59</v>
      </c>
      <c r="J3927" s="9" t="n">
        <v>1630.92</v>
      </c>
      <c r="K3927" s="9" t="n">
        <v>1829.21</v>
      </c>
      <c r="L3927" s="9" t="n">
        <v>1690.8</v>
      </c>
      <c r="M3927" s="9" t="n">
        <v>1680.72</v>
      </c>
      <c r="N3927" s="9" t="n">
        <v>1696.03</v>
      </c>
      <c r="O3927" s="9" t="n">
        <v>1620.31</v>
      </c>
      <c r="P3927" s="9" t="n">
        <v>1781.42</v>
      </c>
      <c r="Q3927" s="9" t="n">
        <v>1666.34</v>
      </c>
      <c r="R3927" s="9" t="n">
        <v>1976.52</v>
      </c>
      <c r="S3927" s="9" t="n">
        <v>1630.81</v>
      </c>
      <c r="T3927" s="9" t="n">
        <v>1689.37</v>
      </c>
      <c r="U3927" s="10">
        <f>SUM(I3927:T3927)</f>
        <v/>
      </c>
    </row>
    <row r="3928">
      <c r="A3928" s="2" t="inlineStr">
        <is>
          <t>SN-3000-3500-3500-3500HX0013</t>
        </is>
      </c>
      <c r="B3928" s="2" t="inlineStr">
        <is>
          <t>3500HX0013</t>
        </is>
      </c>
      <c r="C3928" s="2" t="inlineStr">
        <is>
          <t>Intercambiador calor tubos HX0013</t>
        </is>
      </c>
      <c r="D3928" s="2" t="n">
        <v>1309</v>
      </c>
      <c r="E3928" s="2" t="inlineStr">
        <is>
          <t>CC-3000</t>
        </is>
      </c>
      <c r="F3928" s="2" t="inlineStr">
        <is>
          <t>P01</t>
        </is>
      </c>
      <c r="G3928" s="2" t="n">
        <v>630000</v>
      </c>
      <c r="H3928" s="2" t="inlineStr">
        <is>
          <t>Servicios externos</t>
        </is>
      </c>
      <c r="I3928" s="9" t="n">
        <v>2015.35</v>
      </c>
      <c r="J3928" s="9" t="n">
        <v>1938.14</v>
      </c>
      <c r="K3928" s="9" t="n">
        <v>2133.74</v>
      </c>
      <c r="L3928" s="9" t="n">
        <v>2250.94</v>
      </c>
      <c r="M3928" s="9" t="n">
        <v>1973.39</v>
      </c>
      <c r="N3928" s="9" t="n">
        <v>2075.1</v>
      </c>
      <c r="O3928" s="9" t="n">
        <v>2046.96</v>
      </c>
      <c r="P3928" s="9" t="n">
        <v>2174.31</v>
      </c>
      <c r="Q3928" s="9" t="n">
        <v>1963.92</v>
      </c>
      <c r="R3928" s="9" t="n">
        <v>2149.92</v>
      </c>
      <c r="S3928" s="9" t="n">
        <v>1973.38</v>
      </c>
      <c r="T3928" s="9" t="n">
        <v>2059.24</v>
      </c>
      <c r="U3928" s="10">
        <f>SUM(I3928:T3928)</f>
        <v/>
      </c>
    </row>
    <row r="3929">
      <c r="A3929" s="2" t="inlineStr">
        <is>
          <t>SN-3000-3500-3500-3500HX0014</t>
        </is>
      </c>
      <c r="B3929" s="2" t="inlineStr">
        <is>
          <t>3500HX0014</t>
        </is>
      </c>
      <c r="C3929" s="2" t="inlineStr">
        <is>
          <t>Intercambiador calor tubos HX0014</t>
        </is>
      </c>
      <c r="D3929" s="2" t="n">
        <v>1310</v>
      </c>
      <c r="E3929" s="2" t="inlineStr">
        <is>
          <t>CC-3000</t>
        </is>
      </c>
      <c r="F3929" s="2" t="inlineStr">
        <is>
          <t>P01</t>
        </is>
      </c>
      <c r="G3929" s="2" t="n">
        <v>610000</v>
      </c>
      <c r="H3929" s="2" t="inlineStr">
        <is>
          <t>Mano obra interna</t>
        </is>
      </c>
      <c r="I3929" s="9" t="n">
        <v>1354.62</v>
      </c>
      <c r="J3929" s="9" t="n">
        <v>1409.08</v>
      </c>
      <c r="K3929" s="9" t="n">
        <v>1410.72</v>
      </c>
      <c r="L3929" s="9" t="n">
        <v>1436.4</v>
      </c>
      <c r="M3929" s="9" t="n">
        <v>1421.52</v>
      </c>
      <c r="N3929" s="9" t="n">
        <v>1283.41</v>
      </c>
      <c r="O3929" s="9" t="n">
        <v>1278.4</v>
      </c>
      <c r="P3929" s="9" t="n">
        <v>1423.95</v>
      </c>
      <c r="Q3929" s="9" t="n">
        <v>1281.05</v>
      </c>
      <c r="R3929" s="9" t="n">
        <v>1543.93</v>
      </c>
      <c r="S3929" s="9" t="n">
        <v>1322.32</v>
      </c>
      <c r="T3929" s="9" t="n">
        <v>1413.11</v>
      </c>
      <c r="U3929" s="10">
        <f>SUM(I3929:T3929)</f>
        <v/>
      </c>
    </row>
    <row r="3930">
      <c r="A3930" s="2" t="inlineStr">
        <is>
          <t>SN-3000-3500-3500-3500HX0014</t>
        </is>
      </c>
      <c r="B3930" s="2" t="inlineStr">
        <is>
          <t>3500HX0014</t>
        </is>
      </c>
      <c r="C3930" s="2" t="inlineStr">
        <is>
          <t>Intercambiador calor tubos HX0014</t>
        </is>
      </c>
      <c r="D3930" s="2" t="n">
        <v>1310</v>
      </c>
      <c r="E3930" s="2" t="inlineStr">
        <is>
          <t>CC-3000</t>
        </is>
      </c>
      <c r="F3930" s="2" t="inlineStr">
        <is>
          <t>P01</t>
        </is>
      </c>
      <c r="G3930" s="2" t="n">
        <v>620000</v>
      </c>
      <c r="H3930" s="2" t="inlineStr">
        <is>
          <t>Materiales</t>
        </is>
      </c>
      <c r="I3930" s="9" t="n">
        <v>1763.39</v>
      </c>
      <c r="J3930" s="9" t="n">
        <v>1649.84</v>
      </c>
      <c r="K3930" s="9" t="n">
        <v>1703.38</v>
      </c>
      <c r="L3930" s="9" t="n">
        <v>1782.85</v>
      </c>
      <c r="M3930" s="9" t="n">
        <v>1712.86</v>
      </c>
      <c r="N3930" s="9" t="n">
        <v>1551.83</v>
      </c>
      <c r="O3930" s="9" t="n">
        <v>1658.89</v>
      </c>
      <c r="P3930" s="9" t="n">
        <v>1693.14</v>
      </c>
      <c r="Q3930" s="9" t="n">
        <v>1427.43</v>
      </c>
      <c r="R3930" s="9" t="n">
        <v>1716.42</v>
      </c>
      <c r="S3930" s="9" t="n">
        <v>1541.44</v>
      </c>
      <c r="T3930" s="9" t="n">
        <v>1786.42</v>
      </c>
      <c r="U3930" s="10">
        <f>SUM(I3930:T3930)</f>
        <v/>
      </c>
    </row>
    <row r="3931">
      <c r="A3931" s="2" t="inlineStr">
        <is>
          <t>SN-3000-3500-3500-3500HX0014</t>
        </is>
      </c>
      <c r="B3931" s="2" t="inlineStr">
        <is>
          <t>3500HX0014</t>
        </is>
      </c>
      <c r="C3931" s="2" t="inlineStr">
        <is>
          <t>Intercambiador calor tubos HX0014</t>
        </is>
      </c>
      <c r="D3931" s="2" t="n">
        <v>1310</v>
      </c>
      <c r="E3931" s="2" t="inlineStr">
        <is>
          <t>CC-3000</t>
        </is>
      </c>
      <c r="F3931" s="2" t="inlineStr">
        <is>
          <t>P01</t>
        </is>
      </c>
      <c r="G3931" s="2" t="n">
        <v>630000</v>
      </c>
      <c r="H3931" s="2" t="inlineStr">
        <is>
          <t>Servicios externos</t>
        </is>
      </c>
      <c r="I3931" s="9" t="n">
        <v>1441.67</v>
      </c>
      <c r="J3931" s="9" t="n">
        <v>1454.13</v>
      </c>
      <c r="K3931" s="9" t="n">
        <v>1390.85</v>
      </c>
      <c r="L3931" s="9" t="n">
        <v>1346.75</v>
      </c>
      <c r="M3931" s="9" t="n">
        <v>1487.14</v>
      </c>
      <c r="N3931" s="9" t="n">
        <v>1384.41</v>
      </c>
      <c r="O3931" s="9" t="n">
        <v>1330.26</v>
      </c>
      <c r="P3931" s="9" t="n">
        <v>1472.72</v>
      </c>
      <c r="Q3931" s="9" t="n">
        <v>1365.15</v>
      </c>
      <c r="R3931" s="9" t="n">
        <v>1593.72</v>
      </c>
      <c r="S3931" s="9" t="n">
        <v>1308.72</v>
      </c>
      <c r="T3931" s="9" t="n">
        <v>1411.21</v>
      </c>
      <c r="U3931" s="10">
        <f>SUM(I3931:T3931)</f>
        <v/>
      </c>
    </row>
    <row r="3932">
      <c r="A3932" s="2" t="inlineStr">
        <is>
          <t>SN-3000-3500-3500-3500ME0061</t>
        </is>
      </c>
      <c r="B3932" s="2" t="inlineStr">
        <is>
          <t>3500ME0061</t>
        </is>
      </c>
      <c r="C3932" s="2" t="inlineStr">
        <is>
          <t>Rack bandejas ME0061</t>
        </is>
      </c>
      <c r="D3932" s="2" t="n">
        <v>1311</v>
      </c>
      <c r="E3932" s="2" t="inlineStr">
        <is>
          <t>CC-3000</t>
        </is>
      </c>
      <c r="F3932" s="2" t="inlineStr">
        <is>
          <t>P01</t>
        </is>
      </c>
      <c r="G3932" s="2" t="n">
        <v>610000</v>
      </c>
      <c r="H3932" s="2" t="inlineStr">
        <is>
          <t>Mano obra interna</t>
        </is>
      </c>
      <c r="I3932" s="9" t="n">
        <v>1718.89</v>
      </c>
      <c r="J3932" s="9" t="n">
        <v>1571.69</v>
      </c>
      <c r="K3932" s="9" t="n">
        <v>1665.15</v>
      </c>
      <c r="L3932" s="9" t="n">
        <v>1778.76</v>
      </c>
      <c r="M3932" s="9" t="n">
        <v>1662.16</v>
      </c>
      <c r="N3932" s="9" t="n">
        <v>1508.81</v>
      </c>
      <c r="O3932" s="9" t="n">
        <v>1787.75</v>
      </c>
      <c r="P3932" s="9" t="n">
        <v>1689.66</v>
      </c>
      <c r="Q3932" s="9" t="n">
        <v>1547.77</v>
      </c>
      <c r="R3932" s="9" t="n">
        <v>1911.31</v>
      </c>
      <c r="S3932" s="9" t="n">
        <v>1647.12</v>
      </c>
      <c r="T3932" s="9" t="n">
        <v>1793.43</v>
      </c>
      <c r="U3932" s="10">
        <f>SUM(I3932:T3932)</f>
        <v/>
      </c>
    </row>
    <row r="3933">
      <c r="A3933" s="2" t="inlineStr">
        <is>
          <t>SN-3000-3500-3500-3500ME0061</t>
        </is>
      </c>
      <c r="B3933" s="2" t="inlineStr">
        <is>
          <t>3500ME0061</t>
        </is>
      </c>
      <c r="C3933" s="2" t="inlineStr">
        <is>
          <t>Rack bandejas ME0061</t>
        </is>
      </c>
      <c r="D3933" s="2" t="n">
        <v>1311</v>
      </c>
      <c r="E3933" s="2" t="inlineStr">
        <is>
          <t>CC-3000</t>
        </is>
      </c>
      <c r="F3933" s="2" t="inlineStr">
        <is>
          <t>P01</t>
        </is>
      </c>
      <c r="G3933" s="2" t="n">
        <v>620000</v>
      </c>
      <c r="H3933" s="2" t="inlineStr">
        <is>
          <t>Materiales</t>
        </is>
      </c>
      <c r="I3933" s="9" t="n">
        <v>1259.18</v>
      </c>
      <c r="J3933" s="9" t="n">
        <v>1330.9</v>
      </c>
      <c r="K3933" s="9" t="n">
        <v>1487.43</v>
      </c>
      <c r="L3933" s="9" t="n">
        <v>1318.21</v>
      </c>
      <c r="M3933" s="9" t="n">
        <v>1363.45</v>
      </c>
      <c r="N3933" s="9" t="n">
        <v>1212.62</v>
      </c>
      <c r="O3933" s="9" t="n">
        <v>1298.76</v>
      </c>
      <c r="P3933" s="9" t="n">
        <v>1247.24</v>
      </c>
      <c r="Q3933" s="9" t="n">
        <v>1321.93</v>
      </c>
      <c r="R3933" s="9" t="n">
        <v>1399.73</v>
      </c>
      <c r="S3933" s="9" t="n">
        <v>1239.91</v>
      </c>
      <c r="T3933" s="9" t="n">
        <v>1408.53</v>
      </c>
      <c r="U3933" s="10">
        <f>SUM(I3933:T3933)</f>
        <v/>
      </c>
    </row>
    <row r="3934">
      <c r="A3934" s="2" t="inlineStr">
        <is>
          <t>SN-3000-3500-3500-3500ME0061</t>
        </is>
      </c>
      <c r="B3934" s="2" t="inlineStr">
        <is>
          <t>3500ME0061</t>
        </is>
      </c>
      <c r="C3934" s="2" t="inlineStr">
        <is>
          <t>Rack bandejas ME0061</t>
        </is>
      </c>
      <c r="D3934" s="2" t="n">
        <v>1311</v>
      </c>
      <c r="E3934" s="2" t="inlineStr">
        <is>
          <t>CC-3000</t>
        </is>
      </c>
      <c r="F3934" s="2" t="inlineStr">
        <is>
          <t>P01</t>
        </is>
      </c>
      <c r="G3934" s="2" t="n">
        <v>630000</v>
      </c>
      <c r="H3934" s="2" t="inlineStr">
        <is>
          <t>Servicios externos</t>
        </is>
      </c>
      <c r="I3934" s="9" t="n">
        <v>1392.68</v>
      </c>
      <c r="J3934" s="9" t="n">
        <v>1312.94</v>
      </c>
      <c r="K3934" s="9" t="n">
        <v>1577.19</v>
      </c>
      <c r="L3934" s="9" t="n">
        <v>1396.03</v>
      </c>
      <c r="M3934" s="9" t="n">
        <v>1520.39</v>
      </c>
      <c r="N3934" s="9" t="n">
        <v>1290.35</v>
      </c>
      <c r="O3934" s="9" t="n">
        <v>1314.82</v>
      </c>
      <c r="P3934" s="9" t="n">
        <v>1512.38</v>
      </c>
      <c r="Q3934" s="9" t="n">
        <v>1341.97</v>
      </c>
      <c r="R3934" s="9" t="n">
        <v>1498.53</v>
      </c>
      <c r="S3934" s="9" t="n">
        <v>1380.88</v>
      </c>
      <c r="T3934" s="9" t="n">
        <v>1389.23</v>
      </c>
      <c r="U3934" s="10">
        <f>SUM(I3934:T3934)</f>
        <v/>
      </c>
    </row>
    <row r="3935">
      <c r="A3935" s="2" t="inlineStr">
        <is>
          <t>SN-3000-3500-3500-3500ME0064</t>
        </is>
      </c>
      <c r="B3935" s="2" t="inlineStr">
        <is>
          <t>3500ME0064</t>
        </is>
      </c>
      <c r="C3935" s="2" t="inlineStr">
        <is>
          <t>Rack bandejas ME0064</t>
        </is>
      </c>
      <c r="D3935" s="2" t="n">
        <v>1312</v>
      </c>
      <c r="E3935" s="2" t="inlineStr">
        <is>
          <t>CC-3000</t>
        </is>
      </c>
      <c r="F3935" s="2" t="inlineStr">
        <is>
          <t>P01</t>
        </is>
      </c>
      <c r="G3935" s="2" t="n">
        <v>610000</v>
      </c>
      <c r="H3935" s="2" t="inlineStr">
        <is>
          <t>Mano obra interna</t>
        </is>
      </c>
      <c r="I3935" s="9" t="n">
        <v>1898.03</v>
      </c>
      <c r="J3935" s="9" t="n">
        <v>1676.87</v>
      </c>
      <c r="K3935" s="9" t="n">
        <v>2006.74</v>
      </c>
      <c r="L3935" s="9" t="n">
        <v>1853.71</v>
      </c>
      <c r="M3935" s="9" t="n">
        <v>1718.27</v>
      </c>
      <c r="N3935" s="9" t="n">
        <v>1691.29</v>
      </c>
      <c r="O3935" s="9" t="n">
        <v>1933.08</v>
      </c>
      <c r="P3935" s="9" t="n">
        <v>1789.8</v>
      </c>
      <c r="Q3935" s="9" t="n">
        <v>1715.93</v>
      </c>
      <c r="R3935" s="9" t="n">
        <v>2109.4</v>
      </c>
      <c r="S3935" s="9" t="n">
        <v>1809.86</v>
      </c>
      <c r="T3935" s="9" t="n">
        <v>1904.44</v>
      </c>
      <c r="U3935" s="10">
        <f>SUM(I3935:T3935)</f>
        <v/>
      </c>
    </row>
    <row r="3936">
      <c r="A3936" s="2" t="inlineStr">
        <is>
          <t>SN-3000-3500-3500-3500ME0064</t>
        </is>
      </c>
      <c r="B3936" s="2" t="inlineStr">
        <is>
          <t>3500ME0064</t>
        </is>
      </c>
      <c r="C3936" s="2" t="inlineStr">
        <is>
          <t>Rack bandejas ME0064</t>
        </is>
      </c>
      <c r="D3936" s="2" t="n">
        <v>1312</v>
      </c>
      <c r="E3936" s="2" t="inlineStr">
        <is>
          <t>CC-3000</t>
        </is>
      </c>
      <c r="F3936" s="2" t="inlineStr">
        <is>
          <t>P01</t>
        </is>
      </c>
      <c r="G3936" s="2" t="n">
        <v>620000</v>
      </c>
      <c r="H3936" s="2" t="inlineStr">
        <is>
          <t>Materiales</t>
        </is>
      </c>
      <c r="I3936" s="9" t="n">
        <v>1676.12</v>
      </c>
      <c r="J3936" s="9" t="n">
        <v>1547.88</v>
      </c>
      <c r="K3936" s="9" t="n">
        <v>1757.91</v>
      </c>
      <c r="L3936" s="9" t="n">
        <v>1537.23</v>
      </c>
      <c r="M3936" s="9" t="n">
        <v>1528.04</v>
      </c>
      <c r="N3936" s="9" t="n">
        <v>1422.46</v>
      </c>
      <c r="O3936" s="9" t="n">
        <v>1569.09</v>
      </c>
      <c r="P3936" s="9" t="n">
        <v>1507.77</v>
      </c>
      <c r="Q3936" s="9" t="n">
        <v>1570.52</v>
      </c>
      <c r="R3936" s="9" t="n">
        <v>1841.49</v>
      </c>
      <c r="S3936" s="9" t="n">
        <v>1589.74</v>
      </c>
      <c r="T3936" s="9" t="n">
        <v>1519.6</v>
      </c>
      <c r="U3936" s="10">
        <f>SUM(I3936:T3936)</f>
        <v/>
      </c>
    </row>
    <row r="3937">
      <c r="A3937" s="2" t="inlineStr">
        <is>
          <t>SN-3000-3500-3500-3500ME0064</t>
        </is>
      </c>
      <c r="B3937" s="2" t="inlineStr">
        <is>
          <t>3500ME0064</t>
        </is>
      </c>
      <c r="C3937" s="2" t="inlineStr">
        <is>
          <t>Rack bandejas ME0064</t>
        </is>
      </c>
      <c r="D3937" s="2" t="n">
        <v>1312</v>
      </c>
      <c r="E3937" s="2" t="inlineStr">
        <is>
          <t>CC-3000</t>
        </is>
      </c>
      <c r="F3937" s="2" t="inlineStr">
        <is>
          <t>P01</t>
        </is>
      </c>
      <c r="G3937" s="2" t="n">
        <v>630000</v>
      </c>
      <c r="H3937" s="2" t="inlineStr">
        <is>
          <t>Servicios externos</t>
        </is>
      </c>
      <c r="I3937" s="9" t="n">
        <v>1802.66</v>
      </c>
      <c r="J3937" s="9" t="n">
        <v>1524.6</v>
      </c>
      <c r="K3937" s="9" t="n">
        <v>1711.03</v>
      </c>
      <c r="L3937" s="9" t="n">
        <v>1640.4</v>
      </c>
      <c r="M3937" s="9" t="n">
        <v>1756.61</v>
      </c>
      <c r="N3937" s="9" t="n">
        <v>1517.52</v>
      </c>
      <c r="O3937" s="9" t="n">
        <v>1525.45</v>
      </c>
      <c r="P3937" s="9" t="n">
        <v>1695.6</v>
      </c>
      <c r="Q3937" s="9" t="n">
        <v>1487.66</v>
      </c>
      <c r="R3937" s="9" t="n">
        <v>1817.29</v>
      </c>
      <c r="S3937" s="9" t="n">
        <v>1490.55</v>
      </c>
      <c r="T3937" s="9" t="n">
        <v>1674.25</v>
      </c>
      <c r="U3937" s="10">
        <f>SUM(I3937:T3937)</f>
        <v/>
      </c>
    </row>
    <row r="3938">
      <c r="A3938" s="2" t="inlineStr">
        <is>
          <t>SN-3000-3500-3500-3500ME0065</t>
        </is>
      </c>
      <c r="B3938" s="2" t="inlineStr">
        <is>
          <t>3500ME0065</t>
        </is>
      </c>
      <c r="C3938" s="2" t="inlineStr">
        <is>
          <t>Rack bandejas ME0065</t>
        </is>
      </c>
      <c r="D3938" s="2" t="n">
        <v>1313</v>
      </c>
      <c r="E3938" s="2" t="inlineStr">
        <is>
          <t>CC-3000</t>
        </is>
      </c>
      <c r="F3938" s="2" t="inlineStr">
        <is>
          <t>P01</t>
        </is>
      </c>
      <c r="G3938" s="2" t="n">
        <v>610000</v>
      </c>
      <c r="H3938" s="2" t="inlineStr">
        <is>
          <t>Mano obra interna</t>
        </is>
      </c>
      <c r="I3938" s="9" t="n">
        <v>752.92</v>
      </c>
      <c r="J3938" s="9" t="n">
        <v>762.97</v>
      </c>
      <c r="K3938" s="9" t="n">
        <v>813.65</v>
      </c>
      <c r="L3938" s="9" t="n">
        <v>779.75</v>
      </c>
      <c r="M3938" s="9" t="n">
        <v>756.63</v>
      </c>
      <c r="N3938" s="9" t="n">
        <v>704.27</v>
      </c>
      <c r="O3938" s="9" t="n">
        <v>686.3099999999999</v>
      </c>
      <c r="P3938" s="9" t="n">
        <v>752.27</v>
      </c>
      <c r="Q3938" s="9" t="n">
        <v>644.09</v>
      </c>
      <c r="R3938" s="9" t="n">
        <v>758.5599999999999</v>
      </c>
      <c r="S3938" s="9" t="n">
        <v>733.39</v>
      </c>
      <c r="T3938" s="9" t="n">
        <v>762.8099999999999</v>
      </c>
      <c r="U3938" s="10">
        <f>SUM(I3938:T3938)</f>
        <v/>
      </c>
    </row>
    <row r="3939">
      <c r="A3939" s="2" t="inlineStr">
        <is>
          <t>SN-3000-3500-3500-3500ME0065</t>
        </is>
      </c>
      <c r="B3939" s="2" t="inlineStr">
        <is>
          <t>3500ME0065</t>
        </is>
      </c>
      <c r="C3939" s="2" t="inlineStr">
        <is>
          <t>Rack bandejas ME0065</t>
        </is>
      </c>
      <c r="D3939" s="2" t="n">
        <v>1313</v>
      </c>
      <c r="E3939" s="2" t="inlineStr">
        <is>
          <t>CC-3000</t>
        </is>
      </c>
      <c r="F3939" s="2" t="inlineStr">
        <is>
          <t>P01</t>
        </is>
      </c>
      <c r="G3939" s="2" t="n">
        <v>620000</v>
      </c>
      <c r="H3939" s="2" t="inlineStr">
        <is>
          <t>Materiales</t>
        </is>
      </c>
      <c r="I3939" s="9" t="n">
        <v>731.49</v>
      </c>
      <c r="J3939" s="9" t="n">
        <v>723.8</v>
      </c>
      <c r="K3939" s="9" t="n">
        <v>713.52</v>
      </c>
      <c r="L3939" s="9" t="n">
        <v>721.75</v>
      </c>
      <c r="M3939" s="9" t="n">
        <v>654.74</v>
      </c>
      <c r="N3939" s="9" t="n">
        <v>705.95</v>
      </c>
      <c r="O3939" s="9" t="n">
        <v>662.1</v>
      </c>
      <c r="P3939" s="9" t="n">
        <v>728.6799999999999</v>
      </c>
      <c r="Q3939" s="9" t="n">
        <v>682.96</v>
      </c>
      <c r="R3939" s="9" t="n">
        <v>766.53</v>
      </c>
      <c r="S3939" s="9" t="n">
        <v>697.87</v>
      </c>
      <c r="T3939" s="9" t="n">
        <v>692.16</v>
      </c>
      <c r="U3939" s="10">
        <f>SUM(I3939:T3939)</f>
        <v/>
      </c>
    </row>
    <row r="3940">
      <c r="A3940" s="2" t="inlineStr">
        <is>
          <t>SN-3000-3500-3500-3500ME0065</t>
        </is>
      </c>
      <c r="B3940" s="2" t="inlineStr">
        <is>
          <t>3500ME0065</t>
        </is>
      </c>
      <c r="C3940" s="2" t="inlineStr">
        <is>
          <t>Rack bandejas ME0065</t>
        </is>
      </c>
      <c r="D3940" s="2" t="n">
        <v>1313</v>
      </c>
      <c r="E3940" s="2" t="inlineStr">
        <is>
          <t>CC-3000</t>
        </is>
      </c>
      <c r="F3940" s="2" t="inlineStr">
        <is>
          <t>P01</t>
        </is>
      </c>
      <c r="G3940" s="2" t="n">
        <v>630000</v>
      </c>
      <c r="H3940" s="2" t="inlineStr">
        <is>
          <t>Servicios externos</t>
        </is>
      </c>
      <c r="I3940" s="9" t="n">
        <v>888.91</v>
      </c>
      <c r="J3940" s="9" t="n">
        <v>802.64</v>
      </c>
      <c r="K3940" s="9" t="n">
        <v>800.39</v>
      </c>
      <c r="L3940" s="9" t="n">
        <v>862.28</v>
      </c>
      <c r="M3940" s="9" t="n">
        <v>874.76</v>
      </c>
      <c r="N3940" s="9" t="n">
        <v>847.63</v>
      </c>
      <c r="O3940" s="9" t="n">
        <v>883.5599999999999</v>
      </c>
      <c r="P3940" s="9" t="n">
        <v>799.36</v>
      </c>
      <c r="Q3940" s="9" t="n">
        <v>771.05</v>
      </c>
      <c r="R3940" s="9" t="n">
        <v>920.41</v>
      </c>
      <c r="S3940" s="9" t="n">
        <v>833.2</v>
      </c>
      <c r="T3940" s="9" t="n">
        <v>828.14</v>
      </c>
      <c r="U3940" s="10">
        <f>SUM(I3940:T3940)</f>
        <v/>
      </c>
    </row>
    <row r="3941">
      <c r="A3941" s="2" t="inlineStr">
        <is>
          <t>SN-3000-3500-3500-3500ME0066</t>
        </is>
      </c>
      <c r="B3941" s="2" t="inlineStr">
        <is>
          <t>3500ME0066</t>
        </is>
      </c>
      <c r="C3941" s="2" t="inlineStr">
        <is>
          <t>Rack bandejas ME0066</t>
        </is>
      </c>
      <c r="D3941" s="2" t="n">
        <v>1314</v>
      </c>
      <c r="E3941" s="2" t="inlineStr">
        <is>
          <t>CC-3000</t>
        </is>
      </c>
      <c r="F3941" s="2" t="inlineStr">
        <is>
          <t>P01</t>
        </is>
      </c>
      <c r="G3941" s="2" t="n">
        <v>610000</v>
      </c>
      <c r="H3941" s="2" t="inlineStr">
        <is>
          <t>Mano obra interna</t>
        </is>
      </c>
      <c r="I3941" s="9" t="n">
        <v>2535.67</v>
      </c>
      <c r="J3941" s="9" t="n">
        <v>2436.97</v>
      </c>
      <c r="K3941" s="9" t="n">
        <v>2591.63</v>
      </c>
      <c r="L3941" s="9" t="n">
        <v>2543.64</v>
      </c>
      <c r="M3941" s="9" t="n">
        <v>2293.82</v>
      </c>
      <c r="N3941" s="9" t="n">
        <v>2480.95</v>
      </c>
      <c r="O3941" s="9" t="n">
        <v>2347.72</v>
      </c>
      <c r="P3941" s="9" t="n">
        <v>2542.16</v>
      </c>
      <c r="Q3941" s="9" t="n">
        <v>2161.07</v>
      </c>
      <c r="R3941" s="9" t="n">
        <v>2708.29</v>
      </c>
      <c r="S3941" s="9" t="n">
        <v>2520.15</v>
      </c>
      <c r="T3941" s="9" t="n">
        <v>2289.73</v>
      </c>
      <c r="U3941" s="10">
        <f>SUM(I3941:T3941)</f>
        <v/>
      </c>
    </row>
    <row r="3942">
      <c r="A3942" s="2" t="inlineStr">
        <is>
          <t>SN-3000-3500-3500-3500ME0066</t>
        </is>
      </c>
      <c r="B3942" s="2" t="inlineStr">
        <is>
          <t>3500ME0066</t>
        </is>
      </c>
      <c r="C3942" s="2" t="inlineStr">
        <is>
          <t>Rack bandejas ME0066</t>
        </is>
      </c>
      <c r="D3942" s="2" t="n">
        <v>1314</v>
      </c>
      <c r="E3942" s="2" t="inlineStr">
        <is>
          <t>CC-3000</t>
        </is>
      </c>
      <c r="F3942" s="2" t="inlineStr">
        <is>
          <t>P01</t>
        </is>
      </c>
      <c r="G3942" s="2" t="n">
        <v>620000</v>
      </c>
      <c r="H3942" s="2" t="inlineStr">
        <is>
          <t>Materiales</t>
        </is>
      </c>
      <c r="I3942" s="9" t="n">
        <v>2436.93</v>
      </c>
      <c r="J3942" s="9" t="n">
        <v>2343.58</v>
      </c>
      <c r="K3942" s="9" t="n">
        <v>2815.46</v>
      </c>
      <c r="L3942" s="9" t="n">
        <v>2726.43</v>
      </c>
      <c r="M3942" s="9" t="n">
        <v>2393.6</v>
      </c>
      <c r="N3942" s="9" t="n">
        <v>2640.75</v>
      </c>
      <c r="O3942" s="9" t="n">
        <v>2653.64</v>
      </c>
      <c r="P3942" s="9" t="n">
        <v>2418.97</v>
      </c>
      <c r="Q3942" s="9" t="n">
        <v>2541.61</v>
      </c>
      <c r="R3942" s="9" t="n">
        <v>2775.37</v>
      </c>
      <c r="S3942" s="9" t="n">
        <v>2410.27</v>
      </c>
      <c r="T3942" s="9" t="n">
        <v>2756</v>
      </c>
      <c r="U3942" s="10">
        <f>SUM(I3942:T3942)</f>
        <v/>
      </c>
    </row>
    <row r="3943">
      <c r="A3943" s="2" t="inlineStr">
        <is>
          <t>SN-3000-3500-3500-3500ME0066</t>
        </is>
      </c>
      <c r="B3943" s="2" t="inlineStr">
        <is>
          <t>3500ME0066</t>
        </is>
      </c>
      <c r="C3943" s="2" t="inlineStr">
        <is>
          <t>Rack bandejas ME0066</t>
        </is>
      </c>
      <c r="D3943" s="2" t="n">
        <v>1314</v>
      </c>
      <c r="E3943" s="2" t="inlineStr">
        <is>
          <t>CC-3000</t>
        </is>
      </c>
      <c r="F3943" s="2" t="inlineStr">
        <is>
          <t>P01</t>
        </is>
      </c>
      <c r="G3943" s="2" t="n">
        <v>630000</v>
      </c>
      <c r="H3943" s="2" t="inlineStr">
        <is>
          <t>Servicios externos</t>
        </is>
      </c>
      <c r="I3943" s="9" t="n">
        <v>2463.15</v>
      </c>
      <c r="J3943" s="9" t="n">
        <v>2479.03</v>
      </c>
      <c r="K3943" s="9" t="n">
        <v>2582.25</v>
      </c>
      <c r="L3943" s="9" t="n">
        <v>2312.72</v>
      </c>
      <c r="M3943" s="9" t="n">
        <v>2483.68</v>
      </c>
      <c r="N3943" s="9" t="n">
        <v>2216.72</v>
      </c>
      <c r="O3943" s="9" t="n">
        <v>2341.5</v>
      </c>
      <c r="P3943" s="9" t="n">
        <v>2543.19</v>
      </c>
      <c r="Q3943" s="9" t="n">
        <v>2294.29</v>
      </c>
      <c r="R3943" s="9" t="n">
        <v>2478.96</v>
      </c>
      <c r="S3943" s="9" t="n">
        <v>2344.92</v>
      </c>
      <c r="T3943" s="9" t="n">
        <v>2416.51</v>
      </c>
      <c r="U3943" s="10">
        <f>SUM(I3943:T3943)</f>
        <v/>
      </c>
    </row>
    <row r="3944">
      <c r="A3944" s="2" t="inlineStr">
        <is>
          <t>SN-3000-3500-3500-3500ME0067</t>
        </is>
      </c>
      <c r="B3944" s="2" t="inlineStr">
        <is>
          <t>3500ME0067</t>
        </is>
      </c>
      <c r="C3944" s="2" t="inlineStr">
        <is>
          <t>Rack bandejas ME0067</t>
        </is>
      </c>
      <c r="D3944" s="2" t="n">
        <v>1315</v>
      </c>
      <c r="E3944" s="2" t="inlineStr">
        <is>
          <t>CC-3000</t>
        </is>
      </c>
      <c r="F3944" s="2" t="inlineStr">
        <is>
          <t>P01</t>
        </is>
      </c>
      <c r="G3944" s="2" t="n">
        <v>610000</v>
      </c>
      <c r="H3944" s="2" t="inlineStr">
        <is>
          <t>Mano obra interna</t>
        </is>
      </c>
      <c r="I3944" s="9" t="n">
        <v>896.15</v>
      </c>
      <c r="J3944" s="9" t="n">
        <v>855.97</v>
      </c>
      <c r="K3944" s="9" t="n">
        <v>890.61</v>
      </c>
      <c r="L3944" s="9" t="n">
        <v>852.78</v>
      </c>
      <c r="M3944" s="9" t="n">
        <v>781.48</v>
      </c>
      <c r="N3944" s="9" t="n">
        <v>838.79</v>
      </c>
      <c r="O3944" s="9" t="n">
        <v>807.49</v>
      </c>
      <c r="P3944" s="9" t="n">
        <v>762.53</v>
      </c>
      <c r="Q3944" s="9" t="n">
        <v>828.74</v>
      </c>
      <c r="R3944" s="9" t="n">
        <v>942.9</v>
      </c>
      <c r="S3944" s="9" t="n">
        <v>815.88</v>
      </c>
      <c r="T3944" s="9" t="n">
        <v>773.4</v>
      </c>
      <c r="U3944" s="10">
        <f>SUM(I3944:T3944)</f>
        <v/>
      </c>
    </row>
    <row r="3945">
      <c r="A3945" s="2" t="inlineStr">
        <is>
          <t>SN-3000-3500-3500-3500ME0067</t>
        </is>
      </c>
      <c r="B3945" s="2" t="inlineStr">
        <is>
          <t>3500ME0067</t>
        </is>
      </c>
      <c r="C3945" s="2" t="inlineStr">
        <is>
          <t>Rack bandejas ME0067</t>
        </is>
      </c>
      <c r="D3945" s="2" t="n">
        <v>1315</v>
      </c>
      <c r="E3945" s="2" t="inlineStr">
        <is>
          <t>CC-3000</t>
        </is>
      </c>
      <c r="F3945" s="2" t="inlineStr">
        <is>
          <t>P01</t>
        </is>
      </c>
      <c r="G3945" s="2" t="n">
        <v>620000</v>
      </c>
      <c r="H3945" s="2" t="inlineStr">
        <is>
          <t>Materiales</t>
        </is>
      </c>
      <c r="I3945" s="9" t="n">
        <v>829.14</v>
      </c>
      <c r="J3945" s="9" t="n">
        <v>822.62</v>
      </c>
      <c r="K3945" s="9" t="n">
        <v>872.51</v>
      </c>
      <c r="L3945" s="9" t="n">
        <v>875.12</v>
      </c>
      <c r="M3945" s="9" t="n">
        <v>817.24</v>
      </c>
      <c r="N3945" s="9" t="n">
        <v>802.09</v>
      </c>
      <c r="O3945" s="9" t="n">
        <v>859.64</v>
      </c>
      <c r="P3945" s="9" t="n">
        <v>846.65</v>
      </c>
      <c r="Q3945" s="9" t="n">
        <v>817.36</v>
      </c>
      <c r="R3945" s="9" t="n">
        <v>935.59</v>
      </c>
      <c r="S3945" s="9" t="n">
        <v>750.4400000000001</v>
      </c>
      <c r="T3945" s="9" t="n">
        <v>890.11</v>
      </c>
      <c r="U3945" s="10">
        <f>SUM(I3945:T3945)</f>
        <v/>
      </c>
    </row>
    <row r="3946">
      <c r="A3946" s="2" t="inlineStr">
        <is>
          <t>SN-3000-3500-3500-3500ME0067</t>
        </is>
      </c>
      <c r="B3946" s="2" t="inlineStr">
        <is>
          <t>3500ME0067</t>
        </is>
      </c>
      <c r="C3946" s="2" t="inlineStr">
        <is>
          <t>Rack bandejas ME0067</t>
        </is>
      </c>
      <c r="D3946" s="2" t="n">
        <v>1315</v>
      </c>
      <c r="E3946" s="2" t="inlineStr">
        <is>
          <t>CC-3000</t>
        </is>
      </c>
      <c r="F3946" s="2" t="inlineStr">
        <is>
          <t>P01</t>
        </is>
      </c>
      <c r="G3946" s="2" t="n">
        <v>630000</v>
      </c>
      <c r="H3946" s="2" t="inlineStr">
        <is>
          <t>Servicios externos</t>
        </is>
      </c>
      <c r="I3946" s="9" t="n">
        <v>912.01</v>
      </c>
      <c r="J3946" s="9" t="n">
        <v>842.02</v>
      </c>
      <c r="K3946" s="9" t="n">
        <v>871.9299999999999</v>
      </c>
      <c r="L3946" s="9" t="n">
        <v>822.75</v>
      </c>
      <c r="M3946" s="9" t="n">
        <v>771.6</v>
      </c>
      <c r="N3946" s="9" t="n">
        <v>744.53</v>
      </c>
      <c r="O3946" s="9" t="n">
        <v>877.26</v>
      </c>
      <c r="P3946" s="9" t="n">
        <v>818.72</v>
      </c>
      <c r="Q3946" s="9" t="n">
        <v>778.41</v>
      </c>
      <c r="R3946" s="9" t="n">
        <v>954.96</v>
      </c>
      <c r="S3946" s="9" t="n">
        <v>770.4400000000001</v>
      </c>
      <c r="T3946" s="9" t="n">
        <v>876.08</v>
      </c>
      <c r="U3946" s="10">
        <f>SUM(I3946:T3946)</f>
        <v/>
      </c>
    </row>
    <row r="3947">
      <c r="A3947" s="2" t="inlineStr">
        <is>
          <t>SN-3000-3500-3500-3500ME0068</t>
        </is>
      </c>
      <c r="B3947" s="2" t="inlineStr">
        <is>
          <t>3500ME0068</t>
        </is>
      </c>
      <c r="C3947" s="2" t="inlineStr">
        <is>
          <t>Rack bandejas ME0068</t>
        </is>
      </c>
      <c r="D3947" s="2" t="n">
        <v>1316</v>
      </c>
      <c r="E3947" s="2" t="inlineStr">
        <is>
          <t>CC-3000</t>
        </is>
      </c>
      <c r="F3947" s="2" t="inlineStr">
        <is>
          <t>P01</t>
        </is>
      </c>
      <c r="G3947" s="2" t="n">
        <v>610000</v>
      </c>
      <c r="H3947" s="2" t="inlineStr">
        <is>
          <t>Mano obra interna</t>
        </is>
      </c>
      <c r="I3947" s="9" t="n">
        <v>1961.89</v>
      </c>
      <c r="J3947" s="9" t="n">
        <v>2095.95</v>
      </c>
      <c r="K3947" s="9" t="n">
        <v>2137.98</v>
      </c>
      <c r="L3947" s="9" t="n">
        <v>1925.38</v>
      </c>
      <c r="M3947" s="9" t="n">
        <v>2006.89</v>
      </c>
      <c r="N3947" s="9" t="n">
        <v>2034.31</v>
      </c>
      <c r="O3947" s="9" t="n">
        <v>1875.68</v>
      </c>
      <c r="P3947" s="9" t="n">
        <v>1985.94</v>
      </c>
      <c r="Q3947" s="9" t="n">
        <v>1966.74</v>
      </c>
      <c r="R3947" s="9" t="n">
        <v>2296.95</v>
      </c>
      <c r="S3947" s="9" t="n">
        <v>2035.99</v>
      </c>
      <c r="T3947" s="9" t="n">
        <v>1980.77</v>
      </c>
      <c r="U3947" s="10">
        <f>SUM(I3947:T3947)</f>
        <v/>
      </c>
    </row>
    <row r="3948">
      <c r="A3948" s="2" t="inlineStr">
        <is>
          <t>SN-3000-3500-3500-3500ME0068</t>
        </is>
      </c>
      <c r="B3948" s="2" t="inlineStr">
        <is>
          <t>3500ME0068</t>
        </is>
      </c>
      <c r="C3948" s="2" t="inlineStr">
        <is>
          <t>Rack bandejas ME0068</t>
        </is>
      </c>
      <c r="D3948" s="2" t="n">
        <v>1316</v>
      </c>
      <c r="E3948" s="2" t="inlineStr">
        <is>
          <t>CC-3000</t>
        </is>
      </c>
      <c r="F3948" s="2" t="inlineStr">
        <is>
          <t>P01</t>
        </is>
      </c>
      <c r="G3948" s="2" t="n">
        <v>620000</v>
      </c>
      <c r="H3948" s="2" t="inlineStr">
        <is>
          <t>Materiales</t>
        </is>
      </c>
      <c r="I3948" s="9" t="n">
        <v>2114.07</v>
      </c>
      <c r="J3948" s="9" t="n">
        <v>1854.58</v>
      </c>
      <c r="K3948" s="9" t="n">
        <v>2088.29</v>
      </c>
      <c r="L3948" s="9" t="n">
        <v>2109.74</v>
      </c>
      <c r="M3948" s="9" t="n">
        <v>2083.81</v>
      </c>
      <c r="N3948" s="9" t="n">
        <v>1787.89</v>
      </c>
      <c r="O3948" s="9" t="n">
        <v>1940.47</v>
      </c>
      <c r="P3948" s="9" t="n">
        <v>2005.72</v>
      </c>
      <c r="Q3948" s="9" t="n">
        <v>1915.81</v>
      </c>
      <c r="R3948" s="9" t="n">
        <v>2229.45</v>
      </c>
      <c r="S3948" s="9" t="n">
        <v>1854.05</v>
      </c>
      <c r="T3948" s="9" t="n">
        <v>1866.14</v>
      </c>
      <c r="U3948" s="10">
        <f>SUM(I3948:T3948)</f>
        <v/>
      </c>
    </row>
    <row r="3949">
      <c r="A3949" s="2" t="inlineStr">
        <is>
          <t>SN-3000-3500-3500-3500ME0068</t>
        </is>
      </c>
      <c r="B3949" s="2" t="inlineStr">
        <is>
          <t>3500ME0068</t>
        </is>
      </c>
      <c r="C3949" s="2" t="inlineStr">
        <is>
          <t>Rack bandejas ME0068</t>
        </is>
      </c>
      <c r="D3949" s="2" t="n">
        <v>1316</v>
      </c>
      <c r="E3949" s="2" t="inlineStr">
        <is>
          <t>CC-3000</t>
        </is>
      </c>
      <c r="F3949" s="2" t="inlineStr">
        <is>
          <t>P01</t>
        </is>
      </c>
      <c r="G3949" s="2" t="n">
        <v>630000</v>
      </c>
      <c r="H3949" s="2" t="inlineStr">
        <is>
          <t>Servicios externos</t>
        </is>
      </c>
      <c r="I3949" s="9" t="n">
        <v>2264.54</v>
      </c>
      <c r="J3949" s="9" t="n">
        <v>2148.09</v>
      </c>
      <c r="K3949" s="9" t="n">
        <v>2189.97</v>
      </c>
      <c r="L3949" s="9" t="n">
        <v>2290.5</v>
      </c>
      <c r="M3949" s="9" t="n">
        <v>2038.42</v>
      </c>
      <c r="N3949" s="9" t="n">
        <v>1998.52</v>
      </c>
      <c r="O3949" s="9" t="n">
        <v>1920.41</v>
      </c>
      <c r="P3949" s="9" t="n">
        <v>2228.9</v>
      </c>
      <c r="Q3949" s="9" t="n">
        <v>1963.94</v>
      </c>
      <c r="R3949" s="9" t="n">
        <v>2206.06</v>
      </c>
      <c r="S3949" s="9" t="n">
        <v>1868.65</v>
      </c>
      <c r="T3949" s="9" t="n">
        <v>2066.41</v>
      </c>
      <c r="U3949" s="10">
        <f>SUM(I3949:T3949)</f>
        <v/>
      </c>
    </row>
    <row r="3950">
      <c r="A3950" s="2" t="inlineStr">
        <is>
          <t>SN-3000-3500-3500-3500ME0071</t>
        </is>
      </c>
      <c r="B3950" s="2" t="inlineStr">
        <is>
          <t>3500ME0071</t>
        </is>
      </c>
      <c r="C3950" s="2" t="inlineStr">
        <is>
          <t>Rack bandejas ME0071</t>
        </is>
      </c>
      <c r="D3950" s="2" t="n">
        <v>1317</v>
      </c>
      <c r="E3950" s="2" t="inlineStr">
        <is>
          <t>CC-3000</t>
        </is>
      </c>
      <c r="F3950" s="2" t="inlineStr">
        <is>
          <t>P01</t>
        </is>
      </c>
      <c r="G3950" s="2" t="n">
        <v>610000</v>
      </c>
      <c r="H3950" s="2" t="inlineStr">
        <is>
          <t>Mano obra interna</t>
        </is>
      </c>
      <c r="I3950" s="9" t="n">
        <v>1445.43</v>
      </c>
      <c r="J3950" s="9" t="n">
        <v>1538.44</v>
      </c>
      <c r="K3950" s="9" t="n">
        <v>1419.82</v>
      </c>
      <c r="L3950" s="9" t="n">
        <v>1499.79</v>
      </c>
      <c r="M3950" s="9" t="n">
        <v>1369.5</v>
      </c>
      <c r="N3950" s="9" t="n">
        <v>1456.01</v>
      </c>
      <c r="O3950" s="9" t="n">
        <v>1472.07</v>
      </c>
      <c r="P3950" s="9" t="n">
        <v>1386.41</v>
      </c>
      <c r="Q3950" s="9" t="n">
        <v>1435.62</v>
      </c>
      <c r="R3950" s="9" t="n">
        <v>1642.51</v>
      </c>
      <c r="S3950" s="9" t="n">
        <v>1512.17</v>
      </c>
      <c r="T3950" s="9" t="n">
        <v>1360.36</v>
      </c>
      <c r="U3950" s="10">
        <f>SUM(I3950:T3950)</f>
        <v/>
      </c>
    </row>
    <row r="3951">
      <c r="A3951" s="2" t="inlineStr">
        <is>
          <t>SN-3000-3500-3500-3500ME0071</t>
        </is>
      </c>
      <c r="B3951" s="2" t="inlineStr">
        <is>
          <t>3500ME0071</t>
        </is>
      </c>
      <c r="C3951" s="2" t="inlineStr">
        <is>
          <t>Rack bandejas ME0071</t>
        </is>
      </c>
      <c r="D3951" s="2" t="n">
        <v>1317</v>
      </c>
      <c r="E3951" s="2" t="inlineStr">
        <is>
          <t>CC-3000</t>
        </is>
      </c>
      <c r="F3951" s="2" t="inlineStr">
        <is>
          <t>P01</t>
        </is>
      </c>
      <c r="G3951" s="2" t="n">
        <v>620000</v>
      </c>
      <c r="H3951" s="2" t="inlineStr">
        <is>
          <t>Materiales</t>
        </is>
      </c>
      <c r="I3951" s="9" t="n">
        <v>1790.65</v>
      </c>
      <c r="J3951" s="9" t="n">
        <v>1679.25</v>
      </c>
      <c r="K3951" s="9" t="n">
        <v>1764.4</v>
      </c>
      <c r="L3951" s="9" t="n">
        <v>1692.17</v>
      </c>
      <c r="M3951" s="9" t="n">
        <v>1662.15</v>
      </c>
      <c r="N3951" s="9" t="n">
        <v>1628.7</v>
      </c>
      <c r="O3951" s="9" t="n">
        <v>1518.93</v>
      </c>
      <c r="P3951" s="9" t="n">
        <v>1672.99</v>
      </c>
      <c r="Q3951" s="9" t="n">
        <v>1588.22</v>
      </c>
      <c r="R3951" s="9" t="n">
        <v>1622.9</v>
      </c>
      <c r="S3951" s="9" t="n">
        <v>1521.27</v>
      </c>
      <c r="T3951" s="9" t="n">
        <v>1601.9</v>
      </c>
      <c r="U3951" s="10">
        <f>SUM(I3951:T3951)</f>
        <v/>
      </c>
    </row>
    <row r="3952">
      <c r="A3952" s="2" t="inlineStr">
        <is>
          <t>SN-3000-3500-3500-3500ME0071</t>
        </is>
      </c>
      <c r="B3952" s="2" t="inlineStr">
        <is>
          <t>3500ME0071</t>
        </is>
      </c>
      <c r="C3952" s="2" t="inlineStr">
        <is>
          <t>Rack bandejas ME0071</t>
        </is>
      </c>
      <c r="D3952" s="2" t="n">
        <v>1317</v>
      </c>
      <c r="E3952" s="2" t="inlineStr">
        <is>
          <t>CC-3000</t>
        </is>
      </c>
      <c r="F3952" s="2" t="inlineStr">
        <is>
          <t>P01</t>
        </is>
      </c>
      <c r="G3952" s="2" t="n">
        <v>630000</v>
      </c>
      <c r="H3952" s="2" t="inlineStr">
        <is>
          <t>Servicios externos</t>
        </is>
      </c>
      <c r="I3952" s="9" t="n">
        <v>1955.64</v>
      </c>
      <c r="J3952" s="9" t="n">
        <v>1850.89</v>
      </c>
      <c r="K3952" s="9" t="n">
        <v>1983.7</v>
      </c>
      <c r="L3952" s="9" t="n">
        <v>1859.92</v>
      </c>
      <c r="M3952" s="9" t="n">
        <v>1923.33</v>
      </c>
      <c r="N3952" s="9" t="n">
        <v>1678.37</v>
      </c>
      <c r="O3952" s="9" t="n">
        <v>1894.33</v>
      </c>
      <c r="P3952" s="9" t="n">
        <v>1756.39</v>
      </c>
      <c r="Q3952" s="9" t="n">
        <v>1581.07</v>
      </c>
      <c r="R3952" s="9" t="n">
        <v>1908.97</v>
      </c>
      <c r="S3952" s="9" t="n">
        <v>1772.89</v>
      </c>
      <c r="T3952" s="9" t="n">
        <v>1962.93</v>
      </c>
      <c r="U3952" s="10">
        <f>SUM(I3952:T3952)</f>
        <v/>
      </c>
    </row>
    <row r="3953">
      <c r="A3953" s="2" t="inlineStr">
        <is>
          <t>SN-3000-3500-3500-3500ME0072</t>
        </is>
      </c>
      <c r="B3953" s="2" t="inlineStr">
        <is>
          <t>3500ME0072</t>
        </is>
      </c>
      <c r="C3953" s="2" t="inlineStr">
        <is>
          <t>Rack bandejas ME0072</t>
        </is>
      </c>
      <c r="D3953" s="2" t="n">
        <v>1318</v>
      </c>
      <c r="E3953" s="2" t="inlineStr">
        <is>
          <t>CC-3000</t>
        </is>
      </c>
      <c r="F3953" s="2" t="inlineStr">
        <is>
          <t>P01</t>
        </is>
      </c>
      <c r="G3953" s="2" t="n">
        <v>610000</v>
      </c>
      <c r="H3953" s="2" t="inlineStr">
        <is>
          <t>Mano obra interna</t>
        </is>
      </c>
      <c r="I3953" s="9" t="n">
        <v>2487.08</v>
      </c>
      <c r="J3953" s="9" t="n">
        <v>2728.65</v>
      </c>
      <c r="K3953" s="9" t="n">
        <v>2551.92</v>
      </c>
      <c r="L3953" s="9" t="n">
        <v>2828.54</v>
      </c>
      <c r="M3953" s="9" t="n">
        <v>2719</v>
      </c>
      <c r="N3953" s="9" t="n">
        <v>2471.98</v>
      </c>
      <c r="O3953" s="9" t="n">
        <v>2401.55</v>
      </c>
      <c r="P3953" s="9" t="n">
        <v>2646.44</v>
      </c>
      <c r="Q3953" s="9" t="n">
        <v>2522.85</v>
      </c>
      <c r="R3953" s="9" t="n">
        <v>2745.29</v>
      </c>
      <c r="S3953" s="9" t="n">
        <v>2382.31</v>
      </c>
      <c r="T3953" s="9" t="n">
        <v>2732.54</v>
      </c>
      <c r="U3953" s="10">
        <f>SUM(I3953:T3953)</f>
        <v/>
      </c>
    </row>
    <row r="3954">
      <c r="A3954" s="2" t="inlineStr">
        <is>
          <t>SN-3000-3500-3500-3500ME0072</t>
        </is>
      </c>
      <c r="B3954" s="2" t="inlineStr">
        <is>
          <t>3500ME0072</t>
        </is>
      </c>
      <c r="C3954" s="2" t="inlineStr">
        <is>
          <t>Rack bandejas ME0072</t>
        </is>
      </c>
      <c r="D3954" s="2" t="n">
        <v>1318</v>
      </c>
      <c r="E3954" s="2" t="inlineStr">
        <is>
          <t>CC-3000</t>
        </is>
      </c>
      <c r="F3954" s="2" t="inlineStr">
        <is>
          <t>P01</t>
        </is>
      </c>
      <c r="G3954" s="2" t="n">
        <v>620000</v>
      </c>
      <c r="H3954" s="2" t="inlineStr">
        <is>
          <t>Materiales</t>
        </is>
      </c>
      <c r="I3954" s="9" t="n">
        <v>2462.28</v>
      </c>
      <c r="J3954" s="9" t="n">
        <v>2675.79</v>
      </c>
      <c r="K3954" s="9" t="n">
        <v>2802.3</v>
      </c>
      <c r="L3954" s="9" t="n">
        <v>2535.4</v>
      </c>
      <c r="M3954" s="9" t="n">
        <v>2333.42</v>
      </c>
      <c r="N3954" s="9" t="n">
        <v>2473.99</v>
      </c>
      <c r="O3954" s="9" t="n">
        <v>2461.62</v>
      </c>
      <c r="P3954" s="9" t="n">
        <v>2357</v>
      </c>
      <c r="Q3954" s="9" t="n">
        <v>2507.34</v>
      </c>
      <c r="R3954" s="9" t="n">
        <v>2951.26</v>
      </c>
      <c r="S3954" s="9" t="n">
        <v>2394.95</v>
      </c>
      <c r="T3954" s="9" t="n">
        <v>2672.99</v>
      </c>
      <c r="U3954" s="10">
        <f>SUM(I3954:T3954)</f>
        <v/>
      </c>
    </row>
    <row r="3955">
      <c r="A3955" s="2" t="inlineStr">
        <is>
          <t>SN-3000-3500-3500-3500ME0072</t>
        </is>
      </c>
      <c r="B3955" s="2" t="inlineStr">
        <is>
          <t>3500ME0072</t>
        </is>
      </c>
      <c r="C3955" s="2" t="inlineStr">
        <is>
          <t>Rack bandejas ME0072</t>
        </is>
      </c>
      <c r="D3955" s="2" t="n">
        <v>1318</v>
      </c>
      <c r="E3955" s="2" t="inlineStr">
        <is>
          <t>CC-3000</t>
        </is>
      </c>
      <c r="F3955" s="2" t="inlineStr">
        <is>
          <t>P01</t>
        </is>
      </c>
      <c r="G3955" s="2" t="n">
        <v>630000</v>
      </c>
      <c r="H3955" s="2" t="inlineStr">
        <is>
          <t>Servicios externos</t>
        </is>
      </c>
      <c r="I3955" s="9" t="n">
        <v>2235.3</v>
      </c>
      <c r="J3955" s="9" t="n">
        <v>2064.55</v>
      </c>
      <c r="K3955" s="9" t="n">
        <v>2142.91</v>
      </c>
      <c r="L3955" s="9" t="n">
        <v>2318.05</v>
      </c>
      <c r="M3955" s="9" t="n">
        <v>2320.1</v>
      </c>
      <c r="N3955" s="9" t="n">
        <v>2121.95</v>
      </c>
      <c r="O3955" s="9" t="n">
        <v>2245.95</v>
      </c>
      <c r="P3955" s="9" t="n">
        <v>2152.64</v>
      </c>
      <c r="Q3955" s="9" t="n">
        <v>2160.43</v>
      </c>
      <c r="R3955" s="9" t="n">
        <v>2358.05</v>
      </c>
      <c r="S3955" s="9" t="n">
        <v>2015.05</v>
      </c>
      <c r="T3955" s="9" t="n">
        <v>2148.02</v>
      </c>
      <c r="U3955" s="10">
        <f>SUM(I3955:T3955)</f>
        <v/>
      </c>
    </row>
    <row r="3956">
      <c r="A3956" s="2" t="inlineStr">
        <is>
          <t>SN-3000-3500-3500-3500SC0004</t>
        </is>
      </c>
      <c r="B3956" s="2" t="inlineStr">
        <is>
          <t>3500SC0004</t>
        </is>
      </c>
      <c r="C3956" s="2" t="inlineStr">
        <is>
          <t>Balanza SC0004</t>
        </is>
      </c>
      <c r="D3956" s="2" t="n">
        <v>1319</v>
      </c>
      <c r="E3956" s="2" t="inlineStr">
        <is>
          <t>CC-3000</t>
        </is>
      </c>
      <c r="F3956" s="2" t="inlineStr">
        <is>
          <t>P01</t>
        </is>
      </c>
      <c r="G3956" s="2" t="n">
        <v>610000</v>
      </c>
      <c r="H3956" s="2" t="inlineStr">
        <is>
          <t>Mano obra interna</t>
        </is>
      </c>
      <c r="I3956" s="9" t="n">
        <v>2431.05</v>
      </c>
      <c r="J3956" s="9" t="n">
        <v>2204.82</v>
      </c>
      <c r="K3956" s="9" t="n">
        <v>2603.95</v>
      </c>
      <c r="L3956" s="9" t="n">
        <v>2619.68</v>
      </c>
      <c r="M3956" s="9" t="n">
        <v>2285.35</v>
      </c>
      <c r="N3956" s="9" t="n">
        <v>2295.06</v>
      </c>
      <c r="O3956" s="9" t="n">
        <v>2414.53</v>
      </c>
      <c r="P3956" s="9" t="n">
        <v>2590.88</v>
      </c>
      <c r="Q3956" s="9" t="n">
        <v>2084.11</v>
      </c>
      <c r="R3956" s="9" t="n">
        <v>2664.5</v>
      </c>
      <c r="S3956" s="9" t="n">
        <v>2271.78</v>
      </c>
      <c r="T3956" s="9" t="n">
        <v>2442.53</v>
      </c>
      <c r="U3956" s="10">
        <f>SUM(I3956:T3956)</f>
        <v/>
      </c>
    </row>
    <row r="3957">
      <c r="A3957" s="2" t="inlineStr">
        <is>
          <t>SN-3000-3500-3500-3500SC0004</t>
        </is>
      </c>
      <c r="B3957" s="2" t="inlineStr">
        <is>
          <t>3500SC0004</t>
        </is>
      </c>
      <c r="C3957" s="2" t="inlineStr">
        <is>
          <t>Balanza SC0004</t>
        </is>
      </c>
      <c r="D3957" s="2" t="n">
        <v>1319</v>
      </c>
      <c r="E3957" s="2" t="inlineStr">
        <is>
          <t>CC-3000</t>
        </is>
      </c>
      <c r="F3957" s="2" t="inlineStr">
        <is>
          <t>P01</t>
        </is>
      </c>
      <c r="G3957" s="2" t="n">
        <v>620000</v>
      </c>
      <c r="H3957" s="2" t="inlineStr">
        <is>
          <t>Materiales</t>
        </is>
      </c>
      <c r="I3957" s="9" t="n">
        <v>2361.8</v>
      </c>
      <c r="J3957" s="9" t="n">
        <v>2310.66</v>
      </c>
      <c r="K3957" s="9" t="n">
        <v>2350.84</v>
      </c>
      <c r="L3957" s="9" t="n">
        <v>2411.72</v>
      </c>
      <c r="M3957" s="9" t="n">
        <v>2495</v>
      </c>
      <c r="N3957" s="9" t="n">
        <v>2395.78</v>
      </c>
      <c r="O3957" s="9" t="n">
        <v>2469.02</v>
      </c>
      <c r="P3957" s="9" t="n">
        <v>2249.31</v>
      </c>
      <c r="Q3957" s="9" t="n">
        <v>2141.09</v>
      </c>
      <c r="R3957" s="9" t="n">
        <v>2783.19</v>
      </c>
      <c r="S3957" s="9" t="n">
        <v>2281.94</v>
      </c>
      <c r="T3957" s="9" t="n">
        <v>2646.65</v>
      </c>
      <c r="U3957" s="10">
        <f>SUM(I3957:T3957)</f>
        <v/>
      </c>
    </row>
    <row r="3958">
      <c r="A3958" s="2" t="inlineStr">
        <is>
          <t>SN-3000-3500-3500-3500SC0004</t>
        </is>
      </c>
      <c r="B3958" s="2" t="inlineStr">
        <is>
          <t>3500SC0004</t>
        </is>
      </c>
      <c r="C3958" s="2" t="inlineStr">
        <is>
          <t>Balanza SC0004</t>
        </is>
      </c>
      <c r="D3958" s="2" t="n">
        <v>1319</v>
      </c>
      <c r="E3958" s="2" t="inlineStr">
        <is>
          <t>CC-3000</t>
        </is>
      </c>
      <c r="F3958" s="2" t="inlineStr">
        <is>
          <t>P01</t>
        </is>
      </c>
      <c r="G3958" s="2" t="n">
        <v>630000</v>
      </c>
      <c r="H3958" s="2" t="inlineStr">
        <is>
          <t>Servicios externos</t>
        </is>
      </c>
      <c r="I3958" s="9" t="n">
        <v>2795</v>
      </c>
      <c r="J3958" s="9" t="n">
        <v>3035.86</v>
      </c>
      <c r="K3958" s="9" t="n">
        <v>3050.77</v>
      </c>
      <c r="L3958" s="9" t="n">
        <v>3023.56</v>
      </c>
      <c r="M3958" s="9" t="n">
        <v>3029.79</v>
      </c>
      <c r="N3958" s="9" t="n">
        <v>2728.53</v>
      </c>
      <c r="O3958" s="9" t="n">
        <v>3008.37</v>
      </c>
      <c r="P3958" s="9" t="n">
        <v>2973.49</v>
      </c>
      <c r="Q3958" s="9" t="n">
        <v>2814.81</v>
      </c>
      <c r="R3958" s="9" t="n">
        <v>3205.3</v>
      </c>
      <c r="S3958" s="9" t="n">
        <v>2616.88</v>
      </c>
      <c r="T3958" s="9" t="n">
        <v>2843.42</v>
      </c>
      <c r="U3958" s="10">
        <f>SUM(I3958:T3958)</f>
        <v/>
      </c>
    </row>
    <row r="3959">
      <c r="A3959" s="2" t="inlineStr">
        <is>
          <t>SN-3000-3500-3500-3500ST0002</t>
        </is>
      </c>
      <c r="B3959" s="2" t="inlineStr">
        <is>
          <t>3500ST0002</t>
        </is>
      </c>
      <c r="C3959" s="2" t="inlineStr">
        <is>
          <t>Separadores ST0002</t>
        </is>
      </c>
      <c r="D3959" s="2" t="n">
        <v>1320</v>
      </c>
      <c r="E3959" s="2" t="inlineStr">
        <is>
          <t>CC-3000</t>
        </is>
      </c>
      <c r="F3959" s="2" t="inlineStr">
        <is>
          <t>P01</t>
        </is>
      </c>
      <c r="G3959" s="2" t="n">
        <v>610000</v>
      </c>
      <c r="H3959" s="2" t="inlineStr">
        <is>
          <t>Mano obra interna</t>
        </is>
      </c>
      <c r="I3959" s="9" t="n">
        <v>1489.5</v>
      </c>
      <c r="J3959" s="9" t="n">
        <v>1496.86</v>
      </c>
      <c r="K3959" s="9" t="n">
        <v>1538.9</v>
      </c>
      <c r="L3959" s="9" t="n">
        <v>1457.02</v>
      </c>
      <c r="M3959" s="9" t="n">
        <v>1433.79</v>
      </c>
      <c r="N3959" s="9" t="n">
        <v>1409.76</v>
      </c>
      <c r="O3959" s="9" t="n">
        <v>1518.37</v>
      </c>
      <c r="P3959" s="9" t="n">
        <v>1616.92</v>
      </c>
      <c r="Q3959" s="9" t="n">
        <v>1424.67</v>
      </c>
      <c r="R3959" s="9" t="n">
        <v>1686.39</v>
      </c>
      <c r="S3959" s="9" t="n">
        <v>1460.38</v>
      </c>
      <c r="T3959" s="9" t="n">
        <v>1641.05</v>
      </c>
      <c r="U3959" s="10">
        <f>SUM(I3959:T3959)</f>
        <v/>
      </c>
    </row>
    <row r="3960">
      <c r="A3960" s="2" t="inlineStr">
        <is>
          <t>SN-3000-3500-3500-3500ST0002</t>
        </is>
      </c>
      <c r="B3960" s="2" t="inlineStr">
        <is>
          <t>3500ST0002</t>
        </is>
      </c>
      <c r="C3960" s="2" t="inlineStr">
        <is>
          <t>Separadores ST0002</t>
        </is>
      </c>
      <c r="D3960" s="2" t="n">
        <v>1320</v>
      </c>
      <c r="E3960" s="2" t="inlineStr">
        <is>
          <t>CC-3000</t>
        </is>
      </c>
      <c r="F3960" s="2" t="inlineStr">
        <is>
          <t>P01</t>
        </is>
      </c>
      <c r="G3960" s="2" t="n">
        <v>620000</v>
      </c>
      <c r="H3960" s="2" t="inlineStr">
        <is>
          <t>Materiales</t>
        </is>
      </c>
      <c r="I3960" s="9" t="n">
        <v>1300.88</v>
      </c>
      <c r="J3960" s="9" t="n">
        <v>1338.15</v>
      </c>
      <c r="K3960" s="9" t="n">
        <v>1480.44</v>
      </c>
      <c r="L3960" s="9" t="n">
        <v>1445.8</v>
      </c>
      <c r="M3960" s="9" t="n">
        <v>1437.04</v>
      </c>
      <c r="N3960" s="9" t="n">
        <v>1246.92</v>
      </c>
      <c r="O3960" s="9" t="n">
        <v>1468.41</v>
      </c>
      <c r="P3960" s="9" t="n">
        <v>1315.76</v>
      </c>
      <c r="Q3960" s="9" t="n">
        <v>1178.02</v>
      </c>
      <c r="R3960" s="9" t="n">
        <v>1469.56</v>
      </c>
      <c r="S3960" s="9" t="n">
        <v>1237.78</v>
      </c>
      <c r="T3960" s="9" t="n">
        <v>1424.02</v>
      </c>
      <c r="U3960" s="10">
        <f>SUM(I3960:T3960)</f>
        <v/>
      </c>
    </row>
    <row r="3961">
      <c r="A3961" s="2" t="inlineStr">
        <is>
          <t>SN-3000-3500-3500-3500ST0002</t>
        </is>
      </c>
      <c r="B3961" s="2" t="inlineStr">
        <is>
          <t>3500ST0002</t>
        </is>
      </c>
      <c r="C3961" s="2" t="inlineStr">
        <is>
          <t>Separadores ST0002</t>
        </is>
      </c>
      <c r="D3961" s="2" t="n">
        <v>1320</v>
      </c>
      <c r="E3961" s="2" t="inlineStr">
        <is>
          <t>CC-3000</t>
        </is>
      </c>
      <c r="F3961" s="2" t="inlineStr">
        <is>
          <t>P01</t>
        </is>
      </c>
      <c r="G3961" s="2" t="n">
        <v>630000</v>
      </c>
      <c r="H3961" s="2" t="inlineStr">
        <is>
          <t>Servicios externos</t>
        </is>
      </c>
      <c r="I3961" s="9" t="n">
        <v>1545.36</v>
      </c>
      <c r="J3961" s="9" t="n">
        <v>1420.64</v>
      </c>
      <c r="K3961" s="9" t="n">
        <v>1471.32</v>
      </c>
      <c r="L3961" s="9" t="n">
        <v>1564.02</v>
      </c>
      <c r="M3961" s="9" t="n">
        <v>1421.36</v>
      </c>
      <c r="N3961" s="9" t="n">
        <v>1448.62</v>
      </c>
      <c r="O3961" s="9" t="n">
        <v>1513.41</v>
      </c>
      <c r="P3961" s="9" t="n">
        <v>1369.41</v>
      </c>
      <c r="Q3961" s="9" t="n">
        <v>1217.45</v>
      </c>
      <c r="R3961" s="9" t="n">
        <v>1514.53</v>
      </c>
      <c r="S3961" s="9" t="n">
        <v>1452.28</v>
      </c>
      <c r="T3961" s="9" t="n">
        <v>1516.65</v>
      </c>
      <c r="U3961" s="10">
        <f>SUM(I3961:T3961)</f>
        <v/>
      </c>
    </row>
    <row r="3962">
      <c r="A3962" s="2" t="inlineStr">
        <is>
          <t>SN-3000-3500-3500-3500ST0003</t>
        </is>
      </c>
      <c r="B3962" s="2" t="inlineStr">
        <is>
          <t>3500ST0003</t>
        </is>
      </c>
      <c r="C3962" s="2" t="inlineStr">
        <is>
          <t>Chimenea gases a atmósfera ST0003</t>
        </is>
      </c>
      <c r="D3962" s="2" t="n">
        <v>1321</v>
      </c>
      <c r="E3962" s="2" t="inlineStr">
        <is>
          <t>CC-3000</t>
        </is>
      </c>
      <c r="F3962" s="2" t="inlineStr">
        <is>
          <t>P01</t>
        </is>
      </c>
      <c r="G3962" s="2" t="n">
        <v>610000</v>
      </c>
      <c r="H3962" s="2" t="inlineStr">
        <is>
          <t>Mano obra interna</t>
        </is>
      </c>
      <c r="I3962" s="9" t="n">
        <v>2715.58</v>
      </c>
      <c r="J3962" s="9" t="n">
        <v>2598.08</v>
      </c>
      <c r="K3962" s="9" t="n">
        <v>3115.07</v>
      </c>
      <c r="L3962" s="9" t="n">
        <v>2840.63</v>
      </c>
      <c r="M3962" s="9" t="n">
        <v>2851.68</v>
      </c>
      <c r="N3962" s="9" t="n">
        <v>2865.85</v>
      </c>
      <c r="O3962" s="9" t="n">
        <v>2982.69</v>
      </c>
      <c r="P3962" s="9" t="n">
        <v>2842.76</v>
      </c>
      <c r="Q3962" s="9" t="n">
        <v>2615.12</v>
      </c>
      <c r="R3962" s="9" t="n">
        <v>3149.77</v>
      </c>
      <c r="S3962" s="9" t="n">
        <v>2659.31</v>
      </c>
      <c r="T3962" s="9" t="n">
        <v>2913.86</v>
      </c>
      <c r="U3962" s="10">
        <f>SUM(I3962:T3962)</f>
        <v/>
      </c>
    </row>
    <row r="3963">
      <c r="A3963" s="2" t="inlineStr">
        <is>
          <t>SN-3000-3500-3500-3500ST0003</t>
        </is>
      </c>
      <c r="B3963" s="2" t="inlineStr">
        <is>
          <t>3500ST0003</t>
        </is>
      </c>
      <c r="C3963" s="2" t="inlineStr">
        <is>
          <t>Chimenea gases a atmósfera ST0003</t>
        </is>
      </c>
      <c r="D3963" s="2" t="n">
        <v>1321</v>
      </c>
      <c r="E3963" s="2" t="inlineStr">
        <is>
          <t>CC-3000</t>
        </is>
      </c>
      <c r="F3963" s="2" t="inlineStr">
        <is>
          <t>P01</t>
        </is>
      </c>
      <c r="G3963" s="2" t="n">
        <v>620000</v>
      </c>
      <c r="H3963" s="2" t="inlineStr">
        <is>
          <t>Materiales</t>
        </is>
      </c>
      <c r="I3963" s="9" t="n">
        <v>2454.21</v>
      </c>
      <c r="J3963" s="9" t="n">
        <v>2430.26</v>
      </c>
      <c r="K3963" s="9" t="n">
        <v>2529.36</v>
      </c>
      <c r="L3963" s="9" t="n">
        <v>2283.52</v>
      </c>
      <c r="M3963" s="9" t="n">
        <v>2273.12</v>
      </c>
      <c r="N3963" s="9" t="n">
        <v>2092.87</v>
      </c>
      <c r="O3963" s="9" t="n">
        <v>2214.46</v>
      </c>
      <c r="P3963" s="9" t="n">
        <v>2268.21</v>
      </c>
      <c r="Q3963" s="9" t="n">
        <v>2211.63</v>
      </c>
      <c r="R3963" s="9" t="n">
        <v>2274.62</v>
      </c>
      <c r="S3963" s="9" t="n">
        <v>2174.91</v>
      </c>
      <c r="T3963" s="9" t="n">
        <v>2340.4</v>
      </c>
      <c r="U3963" s="10">
        <f>SUM(I3963:T3963)</f>
        <v/>
      </c>
    </row>
    <row r="3964">
      <c r="A3964" s="2" t="inlineStr">
        <is>
          <t>SN-3000-3500-3500-3500ST0003</t>
        </is>
      </c>
      <c r="B3964" s="2" t="inlineStr">
        <is>
          <t>3500ST0003</t>
        </is>
      </c>
      <c r="C3964" s="2" t="inlineStr">
        <is>
          <t>Chimenea gases a atmósfera ST0003</t>
        </is>
      </c>
      <c r="D3964" s="2" t="n">
        <v>1321</v>
      </c>
      <c r="E3964" s="2" t="inlineStr">
        <is>
          <t>CC-3000</t>
        </is>
      </c>
      <c r="F3964" s="2" t="inlineStr">
        <is>
          <t>P01</t>
        </is>
      </c>
      <c r="G3964" s="2" t="n">
        <v>630000</v>
      </c>
      <c r="H3964" s="2" t="inlineStr">
        <is>
          <t>Servicios externos</t>
        </is>
      </c>
      <c r="I3964" s="9" t="n">
        <v>2401.16</v>
      </c>
      <c r="J3964" s="9" t="n">
        <v>2499.78</v>
      </c>
      <c r="K3964" s="9" t="n">
        <v>2659.42</v>
      </c>
      <c r="L3964" s="9" t="n">
        <v>2636</v>
      </c>
      <c r="M3964" s="9" t="n">
        <v>2438.87</v>
      </c>
      <c r="N3964" s="9" t="n">
        <v>2310.1</v>
      </c>
      <c r="O3964" s="9" t="n">
        <v>2410.49</v>
      </c>
      <c r="P3964" s="9" t="n">
        <v>2335.07</v>
      </c>
      <c r="Q3964" s="9" t="n">
        <v>2229.44</v>
      </c>
      <c r="R3964" s="9" t="n">
        <v>2858.71</v>
      </c>
      <c r="S3964" s="9" t="n">
        <v>2247.55</v>
      </c>
      <c r="T3964" s="9" t="n">
        <v>2372.89</v>
      </c>
      <c r="U3964" s="10">
        <f>SUM(I3964:T3964)</f>
        <v/>
      </c>
    </row>
    <row r="3965">
      <c r="A3965" s="2" t="inlineStr">
        <is>
          <t>SN-3000-3500-3500-3500TK0024</t>
        </is>
      </c>
      <c r="B3965" s="2" t="inlineStr">
        <is>
          <t>3500TK0024</t>
        </is>
      </c>
      <c r="C3965" s="2" t="inlineStr">
        <is>
          <t>Estanque almacenamiento TK0024</t>
        </is>
      </c>
      <c r="D3965" s="2" t="n">
        <v>1322</v>
      </c>
      <c r="E3965" s="2" t="inlineStr">
        <is>
          <t>CC-3000</t>
        </is>
      </c>
      <c r="F3965" s="2" t="inlineStr">
        <is>
          <t>P01</t>
        </is>
      </c>
      <c r="G3965" s="2" t="n">
        <v>610000</v>
      </c>
      <c r="H3965" s="2" t="inlineStr">
        <is>
          <t>Mano obra interna</t>
        </is>
      </c>
      <c r="I3965" s="9" t="n">
        <v>899.52</v>
      </c>
      <c r="J3965" s="9" t="n">
        <v>855.65</v>
      </c>
      <c r="K3965" s="9" t="n">
        <v>873.3200000000001</v>
      </c>
      <c r="L3965" s="9" t="n">
        <v>855.4400000000001</v>
      </c>
      <c r="M3965" s="9" t="n">
        <v>945.34</v>
      </c>
      <c r="N3965" s="9" t="n">
        <v>909.48</v>
      </c>
      <c r="O3965" s="9" t="n">
        <v>931.8</v>
      </c>
      <c r="P3965" s="9" t="n">
        <v>856.49</v>
      </c>
      <c r="Q3965" s="9" t="n">
        <v>807.41</v>
      </c>
      <c r="R3965" s="9" t="n">
        <v>988.08</v>
      </c>
      <c r="S3965" s="9" t="n">
        <v>835.24</v>
      </c>
      <c r="T3965" s="9" t="n">
        <v>910.24</v>
      </c>
      <c r="U3965" s="10">
        <f>SUM(I3965:T3965)</f>
        <v/>
      </c>
    </row>
    <row r="3966">
      <c r="A3966" s="2" t="inlineStr">
        <is>
          <t>SN-3000-3500-3500-3500TK0024</t>
        </is>
      </c>
      <c r="B3966" s="2" t="inlineStr">
        <is>
          <t>3500TK0024</t>
        </is>
      </c>
      <c r="C3966" s="2" t="inlineStr">
        <is>
          <t>Estanque almacenamiento TK0024</t>
        </is>
      </c>
      <c r="D3966" s="2" t="n">
        <v>1322</v>
      </c>
      <c r="E3966" s="2" t="inlineStr">
        <is>
          <t>CC-3000</t>
        </is>
      </c>
      <c r="F3966" s="2" t="inlineStr">
        <is>
          <t>P01</t>
        </is>
      </c>
      <c r="G3966" s="2" t="n">
        <v>620000</v>
      </c>
      <c r="H3966" s="2" t="inlineStr">
        <is>
          <t>Materiales</t>
        </is>
      </c>
      <c r="I3966" s="9" t="n">
        <v>1020.18</v>
      </c>
      <c r="J3966" s="9" t="n">
        <v>967.59</v>
      </c>
      <c r="K3966" s="9" t="n">
        <v>1002.8</v>
      </c>
      <c r="L3966" s="9" t="n">
        <v>1063.5</v>
      </c>
      <c r="M3966" s="9" t="n">
        <v>1023.69</v>
      </c>
      <c r="N3966" s="9" t="n">
        <v>982.42</v>
      </c>
      <c r="O3966" s="9" t="n">
        <v>976.75</v>
      </c>
      <c r="P3966" s="9" t="n">
        <v>1039.46</v>
      </c>
      <c r="Q3966" s="9" t="n">
        <v>995.34</v>
      </c>
      <c r="R3966" s="9" t="n">
        <v>1106.91</v>
      </c>
      <c r="S3966" s="9" t="n">
        <v>950.26</v>
      </c>
      <c r="T3966" s="9" t="n">
        <v>1059.04</v>
      </c>
      <c r="U3966" s="10">
        <f>SUM(I3966:T3966)</f>
        <v/>
      </c>
    </row>
    <row r="3967">
      <c r="A3967" s="2" t="inlineStr">
        <is>
          <t>SN-3000-3500-3500-3500TK0024</t>
        </is>
      </c>
      <c r="B3967" s="2" t="inlineStr">
        <is>
          <t>3500TK0024</t>
        </is>
      </c>
      <c r="C3967" s="2" t="inlineStr">
        <is>
          <t>Estanque almacenamiento TK0024</t>
        </is>
      </c>
      <c r="D3967" s="2" t="n">
        <v>1322</v>
      </c>
      <c r="E3967" s="2" t="inlineStr">
        <is>
          <t>CC-3000</t>
        </is>
      </c>
      <c r="F3967" s="2" t="inlineStr">
        <is>
          <t>P01</t>
        </is>
      </c>
      <c r="G3967" s="2" t="n">
        <v>630000</v>
      </c>
      <c r="H3967" s="2" t="inlineStr">
        <is>
          <t>Servicios externos</t>
        </is>
      </c>
      <c r="I3967" s="9" t="n">
        <v>1091.86</v>
      </c>
      <c r="J3967" s="9" t="n">
        <v>1027.23</v>
      </c>
      <c r="K3967" s="9" t="n">
        <v>1085.47</v>
      </c>
      <c r="L3967" s="9" t="n">
        <v>1058.47</v>
      </c>
      <c r="M3967" s="9" t="n">
        <v>933.03</v>
      </c>
      <c r="N3967" s="9" t="n">
        <v>962.01</v>
      </c>
      <c r="O3967" s="9" t="n">
        <v>937.47</v>
      </c>
      <c r="P3967" s="9" t="n">
        <v>999.41</v>
      </c>
      <c r="Q3967" s="9" t="n">
        <v>971.41</v>
      </c>
      <c r="R3967" s="9" t="n">
        <v>1074.01</v>
      </c>
      <c r="S3967" s="9" t="n">
        <v>898.55</v>
      </c>
      <c r="T3967" s="9" t="n">
        <v>1002.19</v>
      </c>
      <c r="U3967" s="10">
        <f>SUM(I3967:T3967)</f>
        <v/>
      </c>
    </row>
    <row r="3968">
      <c r="A3968" s="2" t="inlineStr">
        <is>
          <t>SN-3000-3500-3500-3500TK0104</t>
        </is>
      </c>
      <c r="B3968" s="2" t="inlineStr">
        <is>
          <t>3500TK0104</t>
        </is>
      </c>
      <c r="C3968" s="2" t="inlineStr">
        <is>
          <t>Estanque almacenamiento TK0104</t>
        </is>
      </c>
      <c r="D3968" s="2" t="n">
        <v>1323</v>
      </c>
      <c r="E3968" s="2" t="inlineStr">
        <is>
          <t>CC-3000</t>
        </is>
      </c>
      <c r="F3968" s="2" t="inlineStr">
        <is>
          <t>P01</t>
        </is>
      </c>
      <c r="G3968" s="2" t="n">
        <v>610000</v>
      </c>
      <c r="H3968" s="2" t="inlineStr">
        <is>
          <t>Mano obra interna</t>
        </is>
      </c>
      <c r="I3968" s="9" t="n">
        <v>508.01</v>
      </c>
      <c r="J3968" s="9" t="n">
        <v>490.33</v>
      </c>
      <c r="K3968" s="9" t="n">
        <v>515.4</v>
      </c>
      <c r="L3968" s="9" t="n">
        <v>450.17</v>
      </c>
      <c r="M3968" s="9" t="n">
        <v>436.05</v>
      </c>
      <c r="N3968" s="9" t="n">
        <v>484.72</v>
      </c>
      <c r="O3968" s="9" t="n">
        <v>447.78</v>
      </c>
      <c r="P3968" s="9" t="n">
        <v>488.85</v>
      </c>
      <c r="Q3968" s="9" t="n">
        <v>464.29</v>
      </c>
      <c r="R3968" s="9" t="n">
        <v>509.32</v>
      </c>
      <c r="S3968" s="9" t="n">
        <v>464.47</v>
      </c>
      <c r="T3968" s="9" t="n">
        <v>462.24</v>
      </c>
      <c r="U3968" s="10">
        <f>SUM(I3968:T3968)</f>
        <v/>
      </c>
    </row>
    <row r="3969">
      <c r="A3969" s="2" t="inlineStr">
        <is>
          <t>SN-3000-3500-3500-3500TK0104</t>
        </is>
      </c>
      <c r="B3969" s="2" t="inlineStr">
        <is>
          <t>3500TK0104</t>
        </is>
      </c>
      <c r="C3969" s="2" t="inlineStr">
        <is>
          <t>Estanque almacenamiento TK0104</t>
        </is>
      </c>
      <c r="D3969" s="2" t="n">
        <v>1323</v>
      </c>
      <c r="E3969" s="2" t="inlineStr">
        <is>
          <t>CC-3000</t>
        </is>
      </c>
      <c r="F3969" s="2" t="inlineStr">
        <is>
          <t>P01</t>
        </is>
      </c>
      <c r="G3969" s="2" t="n">
        <v>620000</v>
      </c>
      <c r="H3969" s="2" t="inlineStr">
        <is>
          <t>Materiales</t>
        </is>
      </c>
      <c r="I3969" s="9" t="n">
        <v>608.1799999999999</v>
      </c>
      <c r="J3969" s="9" t="n">
        <v>578.6</v>
      </c>
      <c r="K3969" s="9" t="n">
        <v>637.3200000000001</v>
      </c>
      <c r="L3969" s="9" t="n">
        <v>597.7</v>
      </c>
      <c r="M3969" s="9" t="n">
        <v>627.1</v>
      </c>
      <c r="N3969" s="9" t="n">
        <v>589.67</v>
      </c>
      <c r="O3969" s="9" t="n">
        <v>580.87</v>
      </c>
      <c r="P3969" s="9" t="n">
        <v>572.25</v>
      </c>
      <c r="Q3969" s="9" t="n">
        <v>539.48</v>
      </c>
      <c r="R3969" s="9" t="n">
        <v>624.95</v>
      </c>
      <c r="S3969" s="9" t="n">
        <v>577.79</v>
      </c>
      <c r="T3969" s="9" t="n">
        <v>657.71</v>
      </c>
      <c r="U3969" s="10">
        <f>SUM(I3969:T3969)</f>
        <v/>
      </c>
    </row>
    <row r="3970">
      <c r="A3970" s="2" t="inlineStr">
        <is>
          <t>SN-3000-3500-3500-3500TK0104</t>
        </is>
      </c>
      <c r="B3970" s="2" t="inlineStr">
        <is>
          <t>3500TK0104</t>
        </is>
      </c>
      <c r="C3970" s="2" t="inlineStr">
        <is>
          <t>Estanque almacenamiento TK0104</t>
        </is>
      </c>
      <c r="D3970" s="2" t="n">
        <v>1323</v>
      </c>
      <c r="E3970" s="2" t="inlineStr">
        <is>
          <t>CC-3000</t>
        </is>
      </c>
      <c r="F3970" s="2" t="inlineStr">
        <is>
          <t>P01</t>
        </is>
      </c>
      <c r="G3970" s="2" t="n">
        <v>630000</v>
      </c>
      <c r="H3970" s="2" t="inlineStr">
        <is>
          <t>Servicios externos</t>
        </is>
      </c>
      <c r="I3970" s="9" t="n">
        <v>446.4</v>
      </c>
      <c r="J3970" s="9" t="n">
        <v>443.48</v>
      </c>
      <c r="K3970" s="9" t="n">
        <v>483.76</v>
      </c>
      <c r="L3970" s="9" t="n">
        <v>495.19</v>
      </c>
      <c r="M3970" s="9" t="n">
        <v>491.16</v>
      </c>
      <c r="N3970" s="9" t="n">
        <v>438.28</v>
      </c>
      <c r="O3970" s="9" t="n">
        <v>435.83</v>
      </c>
      <c r="P3970" s="9" t="n">
        <v>443.31</v>
      </c>
      <c r="Q3970" s="9" t="n">
        <v>418.08</v>
      </c>
      <c r="R3970" s="9" t="n">
        <v>524.37</v>
      </c>
      <c r="S3970" s="9" t="n">
        <v>463.55</v>
      </c>
      <c r="T3970" s="9" t="n">
        <v>449.89</v>
      </c>
      <c r="U3970" s="10">
        <f>SUM(I3970:T3970)</f>
        <v/>
      </c>
    </row>
    <row r="3971">
      <c r="A3971" s="2" t="inlineStr">
        <is>
          <t>SN-3000-3500-3500-3500TK0105</t>
        </is>
      </c>
      <c r="B3971" s="2" t="inlineStr">
        <is>
          <t>3500TK0105</t>
        </is>
      </c>
      <c r="C3971" s="2" t="inlineStr">
        <is>
          <t>Estanque almacenamiento TK0105</t>
        </is>
      </c>
      <c r="D3971" s="2" t="n">
        <v>1324</v>
      </c>
      <c r="E3971" s="2" t="inlineStr">
        <is>
          <t>CC-3000</t>
        </is>
      </c>
      <c r="F3971" s="2" t="inlineStr">
        <is>
          <t>P01</t>
        </is>
      </c>
      <c r="G3971" s="2" t="n">
        <v>610000</v>
      </c>
      <c r="H3971" s="2" t="inlineStr">
        <is>
          <t>Mano obra interna</t>
        </is>
      </c>
      <c r="I3971" s="9" t="n">
        <v>1482.33</v>
      </c>
      <c r="J3971" s="9" t="n">
        <v>1435.11</v>
      </c>
      <c r="K3971" s="9" t="n">
        <v>1365.61</v>
      </c>
      <c r="L3971" s="9" t="n">
        <v>1321.18</v>
      </c>
      <c r="M3971" s="9" t="n">
        <v>1272.84</v>
      </c>
      <c r="N3971" s="9" t="n">
        <v>1291.84</v>
      </c>
      <c r="O3971" s="9" t="n">
        <v>1358.24</v>
      </c>
      <c r="P3971" s="9" t="n">
        <v>1452.97</v>
      </c>
      <c r="Q3971" s="9" t="n">
        <v>1230.74</v>
      </c>
      <c r="R3971" s="9" t="n">
        <v>1510.91</v>
      </c>
      <c r="S3971" s="9" t="n">
        <v>1390.6</v>
      </c>
      <c r="T3971" s="9" t="n">
        <v>1342.07</v>
      </c>
      <c r="U3971" s="10">
        <f>SUM(I3971:T3971)</f>
        <v/>
      </c>
    </row>
    <row r="3972">
      <c r="A3972" s="2" t="inlineStr">
        <is>
          <t>SN-3000-3500-3500-3500TK0105</t>
        </is>
      </c>
      <c r="B3972" s="2" t="inlineStr">
        <is>
          <t>3500TK0105</t>
        </is>
      </c>
      <c r="C3972" s="2" t="inlineStr">
        <is>
          <t>Estanque almacenamiento TK0105</t>
        </is>
      </c>
      <c r="D3972" s="2" t="n">
        <v>1324</v>
      </c>
      <c r="E3972" s="2" t="inlineStr">
        <is>
          <t>CC-3000</t>
        </is>
      </c>
      <c r="F3972" s="2" t="inlineStr">
        <is>
          <t>P01</t>
        </is>
      </c>
      <c r="G3972" s="2" t="n">
        <v>620000</v>
      </c>
      <c r="H3972" s="2" t="inlineStr">
        <is>
          <t>Materiales</t>
        </is>
      </c>
      <c r="I3972" s="9" t="n">
        <v>1151.04</v>
      </c>
      <c r="J3972" s="9" t="n">
        <v>1120.32</v>
      </c>
      <c r="K3972" s="9" t="n">
        <v>1215.87</v>
      </c>
      <c r="L3972" s="9" t="n">
        <v>1184.84</v>
      </c>
      <c r="M3972" s="9" t="n">
        <v>1142.45</v>
      </c>
      <c r="N3972" s="9" t="n">
        <v>1081.89</v>
      </c>
      <c r="O3972" s="9" t="n">
        <v>1031.27</v>
      </c>
      <c r="P3972" s="9" t="n">
        <v>1151.28</v>
      </c>
      <c r="Q3972" s="9" t="n">
        <v>1093.11</v>
      </c>
      <c r="R3972" s="9" t="n">
        <v>1163.22</v>
      </c>
      <c r="S3972" s="9" t="n">
        <v>1031.07</v>
      </c>
      <c r="T3972" s="9" t="n">
        <v>1118.13</v>
      </c>
      <c r="U3972" s="10">
        <f>SUM(I3972:T3972)</f>
        <v/>
      </c>
    </row>
    <row r="3973">
      <c r="A3973" s="2" t="inlineStr">
        <is>
          <t>SN-3000-3500-3500-3500TK0105</t>
        </is>
      </c>
      <c r="B3973" s="2" t="inlineStr">
        <is>
          <t>3500TK0105</t>
        </is>
      </c>
      <c r="C3973" s="2" t="inlineStr">
        <is>
          <t>Estanque almacenamiento TK0105</t>
        </is>
      </c>
      <c r="D3973" s="2" t="n">
        <v>1324</v>
      </c>
      <c r="E3973" s="2" t="inlineStr">
        <is>
          <t>CC-3000</t>
        </is>
      </c>
      <c r="F3973" s="2" t="inlineStr">
        <is>
          <t>P01</t>
        </is>
      </c>
      <c r="G3973" s="2" t="n">
        <v>630000</v>
      </c>
      <c r="H3973" s="2" t="inlineStr">
        <is>
          <t>Servicios externos</t>
        </is>
      </c>
      <c r="I3973" s="9" t="n">
        <v>1318.68</v>
      </c>
      <c r="J3973" s="9" t="n">
        <v>1416.51</v>
      </c>
      <c r="K3973" s="9" t="n">
        <v>1508.1</v>
      </c>
      <c r="L3973" s="9" t="n">
        <v>1488.18</v>
      </c>
      <c r="M3973" s="9" t="n">
        <v>1392.1</v>
      </c>
      <c r="N3973" s="9" t="n">
        <v>1420.17</v>
      </c>
      <c r="O3973" s="9" t="n">
        <v>1310.98</v>
      </c>
      <c r="P3973" s="9" t="n">
        <v>1334.03</v>
      </c>
      <c r="Q3973" s="9" t="n">
        <v>1255.56</v>
      </c>
      <c r="R3973" s="9" t="n">
        <v>1382.94</v>
      </c>
      <c r="S3973" s="9" t="n">
        <v>1319.45</v>
      </c>
      <c r="T3973" s="9" t="n">
        <v>1335.75</v>
      </c>
      <c r="U3973" s="10">
        <f>SUM(I3973:T3973)</f>
        <v/>
      </c>
    </row>
    <row r="3974">
      <c r="A3974" s="2" t="inlineStr">
        <is>
          <t>SN-3000-3500-3500-3500XM0032</t>
        </is>
      </c>
      <c r="B3974" s="2" t="inlineStr">
        <is>
          <t>3500XM0032</t>
        </is>
      </c>
      <c r="C3974" s="2" t="inlineStr">
        <is>
          <t>Cascada moldeo XM0032</t>
        </is>
      </c>
      <c r="D3974" s="2" t="n">
        <v>1325</v>
      </c>
      <c r="E3974" s="2" t="inlineStr">
        <is>
          <t>CC-3000</t>
        </is>
      </c>
      <c r="F3974" s="2" t="inlineStr">
        <is>
          <t>P01</t>
        </is>
      </c>
      <c r="G3974" s="2" t="n">
        <v>610000</v>
      </c>
      <c r="H3974" s="2" t="inlineStr">
        <is>
          <t>Mano obra interna</t>
        </is>
      </c>
      <c r="I3974" s="9" t="n">
        <v>2181.41</v>
      </c>
      <c r="J3974" s="9" t="n">
        <v>2203.34</v>
      </c>
      <c r="K3974" s="9" t="n">
        <v>2161.11</v>
      </c>
      <c r="L3974" s="9" t="n">
        <v>2083.71</v>
      </c>
      <c r="M3974" s="9" t="n">
        <v>2017.7</v>
      </c>
      <c r="N3974" s="9" t="n">
        <v>1972.84</v>
      </c>
      <c r="O3974" s="9" t="n">
        <v>2033.9</v>
      </c>
      <c r="P3974" s="9" t="n">
        <v>2067.94</v>
      </c>
      <c r="Q3974" s="9" t="n">
        <v>2042.1</v>
      </c>
      <c r="R3974" s="9" t="n">
        <v>2245.16</v>
      </c>
      <c r="S3974" s="9" t="n">
        <v>2044.46</v>
      </c>
      <c r="T3974" s="9" t="n">
        <v>2041.18</v>
      </c>
      <c r="U3974" s="10">
        <f>SUM(I3974:T3974)</f>
        <v/>
      </c>
    </row>
    <row r="3975">
      <c r="A3975" s="2" t="inlineStr">
        <is>
          <t>SN-3000-3500-3500-3500XM0032</t>
        </is>
      </c>
      <c r="B3975" s="2" t="inlineStr">
        <is>
          <t>3500XM0032</t>
        </is>
      </c>
      <c r="C3975" s="2" t="inlineStr">
        <is>
          <t>Cascada moldeo XM0032</t>
        </is>
      </c>
      <c r="D3975" s="2" t="n">
        <v>1325</v>
      </c>
      <c r="E3975" s="2" t="inlineStr">
        <is>
          <t>CC-3000</t>
        </is>
      </c>
      <c r="F3975" s="2" t="inlineStr">
        <is>
          <t>P01</t>
        </is>
      </c>
      <c r="G3975" s="2" t="n">
        <v>620000</v>
      </c>
      <c r="H3975" s="2" t="inlineStr">
        <is>
          <t>Materiales</t>
        </is>
      </c>
      <c r="I3975" s="9" t="n">
        <v>2054.07</v>
      </c>
      <c r="J3975" s="9" t="n">
        <v>2052.51</v>
      </c>
      <c r="K3975" s="9" t="n">
        <v>2160.87</v>
      </c>
      <c r="L3975" s="9" t="n">
        <v>2277.9</v>
      </c>
      <c r="M3975" s="9" t="n">
        <v>2108.12</v>
      </c>
      <c r="N3975" s="9" t="n">
        <v>2003.71</v>
      </c>
      <c r="O3975" s="9" t="n">
        <v>2203.71</v>
      </c>
      <c r="P3975" s="9" t="n">
        <v>2167.31</v>
      </c>
      <c r="Q3975" s="9" t="n">
        <v>1853.95</v>
      </c>
      <c r="R3975" s="9" t="n">
        <v>2234.25</v>
      </c>
      <c r="S3975" s="9" t="n">
        <v>2225.9</v>
      </c>
      <c r="T3975" s="9" t="n">
        <v>2161.71</v>
      </c>
      <c r="U3975" s="10">
        <f>SUM(I3975:T3975)</f>
        <v/>
      </c>
    </row>
    <row r="3976">
      <c r="A3976" s="2" t="inlineStr">
        <is>
          <t>SN-3000-3500-3500-3500XM0032</t>
        </is>
      </c>
      <c r="B3976" s="2" t="inlineStr">
        <is>
          <t>3500XM0032</t>
        </is>
      </c>
      <c r="C3976" s="2" t="inlineStr">
        <is>
          <t>Cascada moldeo XM0032</t>
        </is>
      </c>
      <c r="D3976" s="2" t="n">
        <v>1325</v>
      </c>
      <c r="E3976" s="2" t="inlineStr">
        <is>
          <t>CC-3000</t>
        </is>
      </c>
      <c r="F3976" s="2" t="inlineStr">
        <is>
          <t>P01</t>
        </is>
      </c>
      <c r="G3976" s="2" t="n">
        <v>630000</v>
      </c>
      <c r="H3976" s="2" t="inlineStr">
        <is>
          <t>Servicios externos</t>
        </is>
      </c>
      <c r="I3976" s="9" t="n">
        <v>1817.16</v>
      </c>
      <c r="J3976" s="9" t="n">
        <v>1957.87</v>
      </c>
      <c r="K3976" s="9" t="n">
        <v>1831.21</v>
      </c>
      <c r="L3976" s="9" t="n">
        <v>1805.47</v>
      </c>
      <c r="M3976" s="9" t="n">
        <v>1847.96</v>
      </c>
      <c r="N3976" s="9" t="n">
        <v>1784.56</v>
      </c>
      <c r="O3976" s="9" t="n">
        <v>2031.86</v>
      </c>
      <c r="P3976" s="9" t="n">
        <v>1771.98</v>
      </c>
      <c r="Q3976" s="9" t="n">
        <v>1750.79</v>
      </c>
      <c r="R3976" s="9" t="n">
        <v>1936.36</v>
      </c>
      <c r="S3976" s="9" t="n">
        <v>1884.38</v>
      </c>
      <c r="T3976" s="9" t="n">
        <v>1880.51</v>
      </c>
      <c r="U3976" s="10">
        <f>SUM(I3976:T3976)</f>
        <v/>
      </c>
    </row>
    <row r="3977">
      <c r="A3977" s="2" t="inlineStr">
        <is>
          <t>SN-3000-3500-3500-3500XM0056</t>
        </is>
      </c>
      <c r="B3977" s="2" t="inlineStr">
        <is>
          <t>3500XM0056</t>
        </is>
      </c>
      <c r="C3977" s="2" t="inlineStr">
        <is>
          <t>Celosía XM0056</t>
        </is>
      </c>
      <c r="D3977" s="2" t="n">
        <v>1326</v>
      </c>
      <c r="E3977" s="2" t="inlineStr">
        <is>
          <t>CC-3000</t>
        </is>
      </c>
      <c r="F3977" s="2" t="inlineStr">
        <is>
          <t>P01</t>
        </is>
      </c>
      <c r="G3977" s="2" t="n">
        <v>610000</v>
      </c>
      <c r="H3977" s="2" t="inlineStr">
        <is>
          <t>Mano obra interna</t>
        </is>
      </c>
      <c r="I3977" s="9" t="n">
        <v>1857.52</v>
      </c>
      <c r="J3977" s="9" t="n">
        <v>1858.6</v>
      </c>
      <c r="K3977" s="9" t="n">
        <v>1917.47</v>
      </c>
      <c r="L3977" s="9" t="n">
        <v>1870.68</v>
      </c>
      <c r="M3977" s="9" t="n">
        <v>1859.66</v>
      </c>
      <c r="N3977" s="9" t="n">
        <v>1752.62</v>
      </c>
      <c r="O3977" s="9" t="n">
        <v>1960.22</v>
      </c>
      <c r="P3977" s="9" t="n">
        <v>1865.06</v>
      </c>
      <c r="Q3977" s="9" t="n">
        <v>1850.92</v>
      </c>
      <c r="R3977" s="9" t="n">
        <v>1925.03</v>
      </c>
      <c r="S3977" s="9" t="n">
        <v>1696.01</v>
      </c>
      <c r="T3977" s="9" t="n">
        <v>1859.51</v>
      </c>
      <c r="U3977" s="10">
        <f>SUM(I3977:T3977)</f>
        <v/>
      </c>
    </row>
    <row r="3978">
      <c r="A3978" s="2" t="inlineStr">
        <is>
          <t>SN-3000-3500-3500-3500XM0056</t>
        </is>
      </c>
      <c r="B3978" s="2" t="inlineStr">
        <is>
          <t>3500XM0056</t>
        </is>
      </c>
      <c r="C3978" s="2" t="inlineStr">
        <is>
          <t>Celosía XM0056</t>
        </is>
      </c>
      <c r="D3978" s="2" t="n">
        <v>1326</v>
      </c>
      <c r="E3978" s="2" t="inlineStr">
        <is>
          <t>CC-3000</t>
        </is>
      </c>
      <c r="F3978" s="2" t="inlineStr">
        <is>
          <t>P01</t>
        </is>
      </c>
      <c r="G3978" s="2" t="n">
        <v>620000</v>
      </c>
      <c r="H3978" s="2" t="inlineStr">
        <is>
          <t>Materiales</t>
        </is>
      </c>
      <c r="I3978" s="9" t="n">
        <v>1563.08</v>
      </c>
      <c r="J3978" s="9" t="n">
        <v>1462.39</v>
      </c>
      <c r="K3978" s="9" t="n">
        <v>1701.78</v>
      </c>
      <c r="L3978" s="9" t="n">
        <v>1609.44</v>
      </c>
      <c r="M3978" s="9" t="n">
        <v>1541.1</v>
      </c>
      <c r="N3978" s="9" t="n">
        <v>1557.93</v>
      </c>
      <c r="O3978" s="9" t="n">
        <v>1466.34</v>
      </c>
      <c r="P3978" s="9" t="n">
        <v>1645.56</v>
      </c>
      <c r="Q3978" s="9" t="n">
        <v>1446.25</v>
      </c>
      <c r="R3978" s="9" t="n">
        <v>1582.25</v>
      </c>
      <c r="S3978" s="9" t="n">
        <v>1585.12</v>
      </c>
      <c r="T3978" s="9" t="n">
        <v>1571.01</v>
      </c>
      <c r="U3978" s="10">
        <f>SUM(I3978:T3978)</f>
        <v/>
      </c>
    </row>
    <row r="3979">
      <c r="A3979" s="2" t="inlineStr">
        <is>
          <t>SN-3000-3500-3500-3500XM0056</t>
        </is>
      </c>
      <c r="B3979" s="2" t="inlineStr">
        <is>
          <t>3500XM0056</t>
        </is>
      </c>
      <c r="C3979" s="2" t="inlineStr">
        <is>
          <t>Celosía XM0056</t>
        </is>
      </c>
      <c r="D3979" s="2" t="n">
        <v>1326</v>
      </c>
      <c r="E3979" s="2" t="inlineStr">
        <is>
          <t>CC-3000</t>
        </is>
      </c>
      <c r="F3979" s="2" t="inlineStr">
        <is>
          <t>P01</t>
        </is>
      </c>
      <c r="G3979" s="2" t="n">
        <v>630000</v>
      </c>
      <c r="H3979" s="2" t="inlineStr">
        <is>
          <t>Servicios externos</t>
        </is>
      </c>
      <c r="I3979" s="9" t="n">
        <v>1870.47</v>
      </c>
      <c r="J3979" s="9" t="n">
        <v>1803.74</v>
      </c>
      <c r="K3979" s="9" t="n">
        <v>1890.03</v>
      </c>
      <c r="L3979" s="9" t="n">
        <v>1738.3</v>
      </c>
      <c r="M3979" s="9" t="n">
        <v>1774.02</v>
      </c>
      <c r="N3979" s="9" t="n">
        <v>1577.67</v>
      </c>
      <c r="O3979" s="9" t="n">
        <v>1815.88</v>
      </c>
      <c r="P3979" s="9" t="n">
        <v>1678.82</v>
      </c>
      <c r="Q3979" s="9" t="n">
        <v>1595.31</v>
      </c>
      <c r="R3979" s="9" t="n">
        <v>1975.32</v>
      </c>
      <c r="S3979" s="9" t="n">
        <v>1750.3</v>
      </c>
      <c r="T3979" s="9" t="n">
        <v>1875.97</v>
      </c>
      <c r="U3979" s="10">
        <f>SUM(I3979:T3979)</f>
        <v/>
      </c>
    </row>
    <row r="3980">
      <c r="A3980" s="2" t="inlineStr">
        <is>
          <t>SN-3000-3500-3500-3500XM0057</t>
        </is>
      </c>
      <c r="B3980" s="2" t="inlineStr">
        <is>
          <t>3500XM0057</t>
        </is>
      </c>
      <c r="C3980" s="2" t="inlineStr">
        <is>
          <t>Celosía XM0057</t>
        </is>
      </c>
      <c r="D3980" s="2" t="n">
        <v>1327</v>
      </c>
      <c r="E3980" s="2" t="inlineStr">
        <is>
          <t>CC-3000</t>
        </is>
      </c>
      <c r="F3980" s="2" t="inlineStr">
        <is>
          <t>P01</t>
        </is>
      </c>
      <c r="G3980" s="2" t="n">
        <v>610000</v>
      </c>
      <c r="H3980" s="2" t="inlineStr">
        <is>
          <t>Mano obra interna</t>
        </is>
      </c>
      <c r="I3980" s="9" t="n">
        <v>231.76</v>
      </c>
      <c r="J3980" s="9" t="n">
        <v>252.36</v>
      </c>
      <c r="K3980" s="9" t="n">
        <v>247.78</v>
      </c>
      <c r="L3980" s="9" t="n">
        <v>261.06</v>
      </c>
      <c r="M3980" s="9" t="n">
        <v>246.8</v>
      </c>
      <c r="N3980" s="9" t="n">
        <v>243.67</v>
      </c>
      <c r="O3980" s="9" t="n">
        <v>246.51</v>
      </c>
      <c r="P3980" s="9" t="n">
        <v>252.28</v>
      </c>
      <c r="Q3980" s="9" t="n">
        <v>210.23</v>
      </c>
      <c r="R3980" s="9" t="n">
        <v>278.73</v>
      </c>
      <c r="S3980" s="9" t="n">
        <v>220.89</v>
      </c>
      <c r="T3980" s="9" t="n">
        <v>225.45</v>
      </c>
      <c r="U3980" s="10">
        <f>SUM(I3980:T3980)</f>
        <v/>
      </c>
    </row>
    <row r="3981">
      <c r="A3981" s="2" t="inlineStr">
        <is>
          <t>SN-3000-3500-3500-3500XM0057</t>
        </is>
      </c>
      <c r="B3981" s="2" t="inlineStr">
        <is>
          <t>3500XM0057</t>
        </is>
      </c>
      <c r="C3981" s="2" t="inlineStr">
        <is>
          <t>Celosía XM0057</t>
        </is>
      </c>
      <c r="D3981" s="2" t="n">
        <v>1327</v>
      </c>
      <c r="E3981" s="2" t="inlineStr">
        <is>
          <t>CC-3000</t>
        </is>
      </c>
      <c r="F3981" s="2" t="inlineStr">
        <is>
          <t>P01</t>
        </is>
      </c>
      <c r="G3981" s="2" t="n">
        <v>620000</v>
      </c>
      <c r="H3981" s="2" t="inlineStr">
        <is>
          <t>Materiales</t>
        </is>
      </c>
      <c r="I3981" s="9" t="n">
        <v>259.06</v>
      </c>
      <c r="J3981" s="9" t="n">
        <v>250.1</v>
      </c>
      <c r="K3981" s="9" t="n">
        <v>246.7</v>
      </c>
      <c r="L3981" s="9" t="n">
        <v>261.04</v>
      </c>
      <c r="M3981" s="9" t="n">
        <v>256.22</v>
      </c>
      <c r="N3981" s="9" t="n">
        <v>238.79</v>
      </c>
      <c r="O3981" s="9" t="n">
        <v>241.08</v>
      </c>
      <c r="P3981" s="9" t="n">
        <v>249.72</v>
      </c>
      <c r="Q3981" s="9" t="n">
        <v>241.72</v>
      </c>
      <c r="R3981" s="9" t="n">
        <v>281.65</v>
      </c>
      <c r="S3981" s="9" t="n">
        <v>219.8</v>
      </c>
      <c r="T3981" s="9" t="n">
        <v>234.04</v>
      </c>
      <c r="U3981" s="10">
        <f>SUM(I3981:T3981)</f>
        <v/>
      </c>
    </row>
    <row r="3982">
      <c r="A3982" s="2" t="inlineStr">
        <is>
          <t>SN-3000-3500-3500-3500XM0057</t>
        </is>
      </c>
      <c r="B3982" s="2" t="inlineStr">
        <is>
          <t>3500XM0057</t>
        </is>
      </c>
      <c r="C3982" s="2" t="inlineStr">
        <is>
          <t>Celosía XM0057</t>
        </is>
      </c>
      <c r="D3982" s="2" t="n">
        <v>1327</v>
      </c>
      <c r="E3982" s="2" t="inlineStr">
        <is>
          <t>CC-3000</t>
        </is>
      </c>
      <c r="F3982" s="2" t="inlineStr">
        <is>
          <t>P01</t>
        </is>
      </c>
      <c r="G3982" s="2" t="n">
        <v>630000</v>
      </c>
      <c r="H3982" s="2" t="inlineStr">
        <is>
          <t>Servicios externos</t>
        </is>
      </c>
      <c r="I3982" s="9" t="n">
        <v>215.71</v>
      </c>
      <c r="J3982" s="9" t="n">
        <v>206.24</v>
      </c>
      <c r="K3982" s="9" t="n">
        <v>219.86</v>
      </c>
      <c r="L3982" s="9" t="n">
        <v>222.58</v>
      </c>
      <c r="M3982" s="9" t="n">
        <v>204.88</v>
      </c>
      <c r="N3982" s="9" t="n">
        <v>192.84</v>
      </c>
      <c r="O3982" s="9" t="n">
        <v>208.1</v>
      </c>
      <c r="P3982" s="9" t="n">
        <v>194.8</v>
      </c>
      <c r="Q3982" s="9" t="n">
        <v>207.32</v>
      </c>
      <c r="R3982" s="9" t="n">
        <v>223.91</v>
      </c>
      <c r="S3982" s="9" t="n">
        <v>208.83</v>
      </c>
      <c r="T3982" s="9" t="n">
        <v>208.68</v>
      </c>
      <c r="U3982" s="10">
        <f>SUM(I3982:T3982)</f>
        <v/>
      </c>
    </row>
    <row r="3983">
      <c r="A3983" s="2" t="inlineStr">
        <is>
          <t>SN-3000-3500-3500-3500XM0058</t>
        </is>
      </c>
      <c r="B3983" s="2" t="inlineStr">
        <is>
          <t>3500XM0058</t>
        </is>
      </c>
      <c r="C3983" s="2" t="inlineStr">
        <is>
          <t>Celosía XM0058</t>
        </is>
      </c>
      <c r="D3983" s="2" t="n">
        <v>1328</v>
      </c>
      <c r="E3983" s="2" t="inlineStr">
        <is>
          <t>CC-3000</t>
        </is>
      </c>
      <c r="F3983" s="2" t="inlineStr">
        <is>
          <t>P01</t>
        </is>
      </c>
      <c r="G3983" s="2" t="n">
        <v>610000</v>
      </c>
      <c r="H3983" s="2" t="inlineStr">
        <is>
          <t>Mano obra interna</t>
        </is>
      </c>
      <c r="I3983" s="9" t="n">
        <v>1397.07</v>
      </c>
      <c r="J3983" s="9" t="n">
        <v>1276.71</v>
      </c>
      <c r="K3983" s="9" t="n">
        <v>1430.9</v>
      </c>
      <c r="L3983" s="9" t="n">
        <v>1302.92</v>
      </c>
      <c r="M3983" s="9" t="n">
        <v>1341.61</v>
      </c>
      <c r="N3983" s="9" t="n">
        <v>1345.74</v>
      </c>
      <c r="O3983" s="9" t="n">
        <v>1371.04</v>
      </c>
      <c r="P3983" s="9" t="n">
        <v>1412.27</v>
      </c>
      <c r="Q3983" s="9" t="n">
        <v>1219.81</v>
      </c>
      <c r="R3983" s="9" t="n">
        <v>1360.52</v>
      </c>
      <c r="S3983" s="9" t="n">
        <v>1222.8</v>
      </c>
      <c r="T3983" s="9" t="n">
        <v>1328.87</v>
      </c>
      <c r="U3983" s="10">
        <f>SUM(I3983:T3983)</f>
        <v/>
      </c>
    </row>
    <row r="3984">
      <c r="A3984" s="2" t="inlineStr">
        <is>
          <t>SN-3000-3500-3500-3500XM0058</t>
        </is>
      </c>
      <c r="B3984" s="2" t="inlineStr">
        <is>
          <t>3500XM0058</t>
        </is>
      </c>
      <c r="C3984" s="2" t="inlineStr">
        <is>
          <t>Celosía XM0058</t>
        </is>
      </c>
      <c r="D3984" s="2" t="n">
        <v>1328</v>
      </c>
      <c r="E3984" s="2" t="inlineStr">
        <is>
          <t>CC-3000</t>
        </is>
      </c>
      <c r="F3984" s="2" t="inlineStr">
        <is>
          <t>P01</t>
        </is>
      </c>
      <c r="G3984" s="2" t="n">
        <v>620000</v>
      </c>
      <c r="H3984" s="2" t="inlineStr">
        <is>
          <t>Materiales</t>
        </is>
      </c>
      <c r="I3984" s="9" t="n">
        <v>1245.38</v>
      </c>
      <c r="J3984" s="9" t="n">
        <v>1243.54</v>
      </c>
      <c r="K3984" s="9" t="n">
        <v>1319.02</v>
      </c>
      <c r="L3984" s="9" t="n">
        <v>1277.81</v>
      </c>
      <c r="M3984" s="9" t="n">
        <v>1193.06</v>
      </c>
      <c r="N3984" s="9" t="n">
        <v>1115.71</v>
      </c>
      <c r="O3984" s="9" t="n">
        <v>1199.2</v>
      </c>
      <c r="P3984" s="9" t="n">
        <v>1167.83</v>
      </c>
      <c r="Q3984" s="9" t="n">
        <v>1151.33</v>
      </c>
      <c r="R3984" s="9" t="n">
        <v>1374.36</v>
      </c>
      <c r="S3984" s="9" t="n">
        <v>1177.36</v>
      </c>
      <c r="T3984" s="9" t="n">
        <v>1141.25</v>
      </c>
      <c r="U3984" s="10">
        <f>SUM(I3984:T3984)</f>
        <v/>
      </c>
    </row>
    <row r="3985">
      <c r="A3985" s="2" t="inlineStr">
        <is>
          <t>SN-3000-3500-3500-3500XM0058</t>
        </is>
      </c>
      <c r="B3985" s="2" t="inlineStr">
        <is>
          <t>3500XM0058</t>
        </is>
      </c>
      <c r="C3985" s="2" t="inlineStr">
        <is>
          <t>Celosía XM0058</t>
        </is>
      </c>
      <c r="D3985" s="2" t="n">
        <v>1328</v>
      </c>
      <c r="E3985" s="2" t="inlineStr">
        <is>
          <t>CC-3000</t>
        </is>
      </c>
      <c r="F3985" s="2" t="inlineStr">
        <is>
          <t>P01</t>
        </is>
      </c>
      <c r="G3985" s="2" t="n">
        <v>630000</v>
      </c>
      <c r="H3985" s="2" t="inlineStr">
        <is>
          <t>Servicios externos</t>
        </is>
      </c>
      <c r="I3985" s="9" t="n">
        <v>1402.41</v>
      </c>
      <c r="J3985" s="9" t="n">
        <v>1491.81</v>
      </c>
      <c r="K3985" s="9" t="n">
        <v>1538.89</v>
      </c>
      <c r="L3985" s="9" t="n">
        <v>1431.67</v>
      </c>
      <c r="M3985" s="9" t="n">
        <v>1306.13</v>
      </c>
      <c r="N3985" s="9" t="n">
        <v>1455.41</v>
      </c>
      <c r="O3985" s="9" t="n">
        <v>1457.34</v>
      </c>
      <c r="P3985" s="9" t="n">
        <v>1362.61</v>
      </c>
      <c r="Q3985" s="9" t="n">
        <v>1329.43</v>
      </c>
      <c r="R3985" s="9" t="n">
        <v>1565.12</v>
      </c>
      <c r="S3985" s="9" t="n">
        <v>1315.02</v>
      </c>
      <c r="T3985" s="9" t="n">
        <v>1347.87</v>
      </c>
      <c r="U3985" s="10">
        <f>SUM(I3985:T3985)</f>
        <v/>
      </c>
    </row>
    <row r="3986">
      <c r="A3986" s="2" t="inlineStr">
        <is>
          <t>SN-3000-3500-3500-3500XM0059</t>
        </is>
      </c>
      <c r="B3986" s="2" t="inlineStr">
        <is>
          <t>3500XM0059</t>
        </is>
      </c>
      <c r="C3986" s="2" t="inlineStr">
        <is>
          <t>Celosía XM0059</t>
        </is>
      </c>
      <c r="D3986" s="2" t="n">
        <v>1329</v>
      </c>
      <c r="E3986" s="2" t="inlineStr">
        <is>
          <t>CC-3000</t>
        </is>
      </c>
      <c r="F3986" s="2" t="inlineStr">
        <is>
          <t>P01</t>
        </is>
      </c>
      <c r="G3986" s="2" t="n">
        <v>610000</v>
      </c>
      <c r="H3986" s="2" t="inlineStr">
        <is>
          <t>Mano obra interna</t>
        </is>
      </c>
      <c r="I3986" s="9" t="n">
        <v>818.22</v>
      </c>
      <c r="J3986" s="9" t="n">
        <v>792.4299999999999</v>
      </c>
      <c r="K3986" s="9" t="n">
        <v>842.42</v>
      </c>
      <c r="L3986" s="9" t="n">
        <v>834.84</v>
      </c>
      <c r="M3986" s="9" t="n">
        <v>820.64</v>
      </c>
      <c r="N3986" s="9" t="n">
        <v>883.92</v>
      </c>
      <c r="O3986" s="9" t="n">
        <v>874.9400000000001</v>
      </c>
      <c r="P3986" s="9" t="n">
        <v>852.71</v>
      </c>
      <c r="Q3986" s="9" t="n">
        <v>812.54</v>
      </c>
      <c r="R3986" s="9" t="n">
        <v>858.13</v>
      </c>
      <c r="S3986" s="9" t="n">
        <v>889.3</v>
      </c>
      <c r="T3986" s="9" t="n">
        <v>881.42</v>
      </c>
      <c r="U3986" s="10">
        <f>SUM(I3986:T3986)</f>
        <v/>
      </c>
    </row>
    <row r="3987">
      <c r="A3987" s="2" t="inlineStr">
        <is>
          <t>SN-3000-3500-3500-3500XM0059</t>
        </is>
      </c>
      <c r="B3987" s="2" t="inlineStr">
        <is>
          <t>3500XM0059</t>
        </is>
      </c>
      <c r="C3987" s="2" t="inlineStr">
        <is>
          <t>Celosía XM0059</t>
        </is>
      </c>
      <c r="D3987" s="2" t="n">
        <v>1329</v>
      </c>
      <c r="E3987" s="2" t="inlineStr">
        <is>
          <t>CC-3000</t>
        </is>
      </c>
      <c r="F3987" s="2" t="inlineStr">
        <is>
          <t>P01</t>
        </is>
      </c>
      <c r="G3987" s="2" t="n">
        <v>620000</v>
      </c>
      <c r="H3987" s="2" t="inlineStr">
        <is>
          <t>Materiales</t>
        </is>
      </c>
      <c r="I3987" s="9" t="n">
        <v>934.79</v>
      </c>
      <c r="J3987" s="9" t="n">
        <v>873.38</v>
      </c>
      <c r="K3987" s="9" t="n">
        <v>859.38</v>
      </c>
      <c r="L3987" s="9" t="n">
        <v>935.13</v>
      </c>
      <c r="M3987" s="9" t="n">
        <v>894.1</v>
      </c>
      <c r="N3987" s="9" t="n">
        <v>877.17</v>
      </c>
      <c r="O3987" s="9" t="n">
        <v>800.38</v>
      </c>
      <c r="P3987" s="9" t="n">
        <v>916.89</v>
      </c>
      <c r="Q3987" s="9" t="n">
        <v>801.62</v>
      </c>
      <c r="R3987" s="9" t="n">
        <v>947.76</v>
      </c>
      <c r="S3987" s="9" t="n">
        <v>789.84</v>
      </c>
      <c r="T3987" s="9" t="n">
        <v>818.03</v>
      </c>
      <c r="U3987" s="10">
        <f>SUM(I3987:T3987)</f>
        <v/>
      </c>
    </row>
    <row r="3988">
      <c r="A3988" s="2" t="inlineStr">
        <is>
          <t>SN-3000-3500-3500-3500XM0059</t>
        </is>
      </c>
      <c r="B3988" s="2" t="inlineStr">
        <is>
          <t>3500XM0059</t>
        </is>
      </c>
      <c r="C3988" s="2" t="inlineStr">
        <is>
          <t>Celosía XM0059</t>
        </is>
      </c>
      <c r="D3988" s="2" t="n">
        <v>1329</v>
      </c>
      <c r="E3988" s="2" t="inlineStr">
        <is>
          <t>CC-3000</t>
        </is>
      </c>
      <c r="F3988" s="2" t="inlineStr">
        <is>
          <t>P01</t>
        </is>
      </c>
      <c r="G3988" s="2" t="n">
        <v>630000</v>
      </c>
      <c r="H3988" s="2" t="inlineStr">
        <is>
          <t>Servicios externos</t>
        </is>
      </c>
      <c r="I3988" s="9" t="n">
        <v>778.15</v>
      </c>
      <c r="J3988" s="9" t="n">
        <v>726.28</v>
      </c>
      <c r="K3988" s="9" t="n">
        <v>742.98</v>
      </c>
      <c r="L3988" s="9" t="n">
        <v>846.3099999999999</v>
      </c>
      <c r="M3988" s="9" t="n">
        <v>792.4</v>
      </c>
      <c r="N3988" s="9" t="n">
        <v>740.0599999999999</v>
      </c>
      <c r="O3988" s="9" t="n">
        <v>802.28</v>
      </c>
      <c r="P3988" s="9" t="n">
        <v>785.04</v>
      </c>
      <c r="Q3988" s="9" t="n">
        <v>681.49</v>
      </c>
      <c r="R3988" s="9" t="n">
        <v>850.16</v>
      </c>
      <c r="S3988" s="9" t="n">
        <v>768.85</v>
      </c>
      <c r="T3988" s="9" t="n">
        <v>750.42</v>
      </c>
      <c r="U3988" s="10">
        <f>SUM(I3988:T3988)</f>
        <v/>
      </c>
    </row>
    <row r="3989">
      <c r="A3989" s="2" t="inlineStr">
        <is>
          <t>SN-3000-3500-3500-3500XM0101</t>
        </is>
      </c>
      <c r="B3989" s="2" t="inlineStr">
        <is>
          <t>3500XM0101</t>
        </is>
      </c>
      <c r="C3989" s="2" t="inlineStr">
        <is>
          <t>Estanque separador gases XM0101</t>
        </is>
      </c>
      <c r="D3989" s="2" t="n">
        <v>1330</v>
      </c>
      <c r="E3989" s="2" t="inlineStr">
        <is>
          <t>CC-3000</t>
        </is>
      </c>
      <c r="F3989" s="2" t="inlineStr">
        <is>
          <t>P01</t>
        </is>
      </c>
      <c r="G3989" s="2" t="n">
        <v>610000</v>
      </c>
      <c r="H3989" s="2" t="inlineStr">
        <is>
          <t>Mano obra interna</t>
        </is>
      </c>
      <c r="I3989" s="9" t="n">
        <v>154.24</v>
      </c>
      <c r="J3989" s="9" t="n">
        <v>154.12</v>
      </c>
      <c r="K3989" s="9" t="n">
        <v>149.35</v>
      </c>
      <c r="L3989" s="9" t="n">
        <v>163.49</v>
      </c>
      <c r="M3989" s="9" t="n">
        <v>148.61</v>
      </c>
      <c r="N3989" s="9" t="n">
        <v>151.71</v>
      </c>
      <c r="O3989" s="9" t="n">
        <v>164.7</v>
      </c>
      <c r="P3989" s="9" t="n">
        <v>162.95</v>
      </c>
      <c r="Q3989" s="9" t="n">
        <v>148.77</v>
      </c>
      <c r="R3989" s="9" t="n">
        <v>157.89</v>
      </c>
      <c r="S3989" s="9" t="n">
        <v>154.58</v>
      </c>
      <c r="T3989" s="9" t="n">
        <v>159.64</v>
      </c>
      <c r="U3989" s="10">
        <f>SUM(I3989:T3989)</f>
        <v/>
      </c>
    </row>
    <row r="3990">
      <c r="A3990" s="2" t="inlineStr">
        <is>
          <t>SN-3000-3500-3500-3500XM0101</t>
        </is>
      </c>
      <c r="B3990" s="2" t="inlineStr">
        <is>
          <t>3500XM0101</t>
        </is>
      </c>
      <c r="C3990" s="2" t="inlineStr">
        <is>
          <t>Estanque separador gases XM0101</t>
        </is>
      </c>
      <c r="D3990" s="2" t="n">
        <v>1330</v>
      </c>
      <c r="E3990" s="2" t="inlineStr">
        <is>
          <t>CC-3000</t>
        </is>
      </c>
      <c r="F3990" s="2" t="inlineStr">
        <is>
          <t>P01</t>
        </is>
      </c>
      <c r="G3990" s="2" t="n">
        <v>620000</v>
      </c>
      <c r="H3990" s="2" t="inlineStr">
        <is>
          <t>Materiales</t>
        </is>
      </c>
      <c r="I3990" s="9" t="n">
        <v>184.41</v>
      </c>
      <c r="J3990" s="9" t="n">
        <v>162.93</v>
      </c>
      <c r="K3990" s="9" t="n">
        <v>180.04</v>
      </c>
      <c r="L3990" s="9" t="n">
        <v>168.07</v>
      </c>
      <c r="M3990" s="9" t="n">
        <v>164.66</v>
      </c>
      <c r="N3990" s="9" t="n">
        <v>163.62</v>
      </c>
      <c r="O3990" s="9" t="n">
        <v>168.86</v>
      </c>
      <c r="P3990" s="9" t="n">
        <v>173.19</v>
      </c>
      <c r="Q3990" s="9" t="n">
        <v>165.36</v>
      </c>
      <c r="R3990" s="9" t="n">
        <v>187.05</v>
      </c>
      <c r="S3990" s="9" t="n">
        <v>177.54</v>
      </c>
      <c r="T3990" s="9" t="n">
        <v>179.71</v>
      </c>
      <c r="U3990" s="10">
        <f>SUM(I3990:T3990)</f>
        <v/>
      </c>
    </row>
    <row r="3991">
      <c r="A3991" s="2" t="inlineStr">
        <is>
          <t>SN-3000-3500-3500-3500XM0101</t>
        </is>
      </c>
      <c r="B3991" s="2" t="inlineStr">
        <is>
          <t>3500XM0101</t>
        </is>
      </c>
      <c r="C3991" s="2" t="inlineStr">
        <is>
          <t>Estanque separador gases XM0101</t>
        </is>
      </c>
      <c r="D3991" s="2" t="n">
        <v>1330</v>
      </c>
      <c r="E3991" s="2" t="inlineStr">
        <is>
          <t>CC-3000</t>
        </is>
      </c>
      <c r="F3991" s="2" t="inlineStr">
        <is>
          <t>P01</t>
        </is>
      </c>
      <c r="G3991" s="2" t="n">
        <v>630000</v>
      </c>
      <c r="H3991" s="2" t="inlineStr">
        <is>
          <t>Servicios externos</t>
        </is>
      </c>
      <c r="I3991" s="9" t="n">
        <v>191.6</v>
      </c>
      <c r="J3991" s="9" t="n">
        <v>178.14</v>
      </c>
      <c r="K3991" s="9" t="n">
        <v>183.72</v>
      </c>
      <c r="L3991" s="9" t="n">
        <v>191.6</v>
      </c>
      <c r="M3991" s="9" t="n">
        <v>184.14</v>
      </c>
      <c r="N3991" s="9" t="n">
        <v>177.38</v>
      </c>
      <c r="O3991" s="9" t="n">
        <v>187.15</v>
      </c>
      <c r="P3991" s="9" t="n">
        <v>191.27</v>
      </c>
      <c r="Q3991" s="9" t="n">
        <v>160.84</v>
      </c>
      <c r="R3991" s="9" t="n">
        <v>196.84</v>
      </c>
      <c r="S3991" s="9" t="n">
        <v>177.77</v>
      </c>
      <c r="T3991" s="9" t="n">
        <v>177.26</v>
      </c>
      <c r="U3991" s="10">
        <f>SUM(I3991:T3991)</f>
        <v/>
      </c>
    </row>
    <row r="3992">
      <c r="A3992" s="2" t="inlineStr">
        <is>
          <t>SN-3000-3500-3500-3500XM0116</t>
        </is>
      </c>
      <c r="B3992" s="2" t="inlineStr">
        <is>
          <t>3500XM0116</t>
        </is>
      </c>
      <c r="C3992" s="2" t="inlineStr">
        <is>
          <t>Cascada moldeo XM0116</t>
        </is>
      </c>
      <c r="D3992" s="2" t="n">
        <v>1331</v>
      </c>
      <c r="E3992" s="2" t="inlineStr">
        <is>
          <t>CC-3000</t>
        </is>
      </c>
      <c r="F3992" s="2" t="inlineStr">
        <is>
          <t>P01</t>
        </is>
      </c>
      <c r="G3992" s="2" t="n">
        <v>610000</v>
      </c>
      <c r="H3992" s="2" t="inlineStr">
        <is>
          <t>Mano obra interna</t>
        </is>
      </c>
      <c r="I3992" s="9" t="n">
        <v>928.25</v>
      </c>
      <c r="J3992" s="9" t="n">
        <v>831.91</v>
      </c>
      <c r="K3992" s="9" t="n">
        <v>876.77</v>
      </c>
      <c r="L3992" s="9" t="n">
        <v>919.78</v>
      </c>
      <c r="M3992" s="9" t="n">
        <v>793.3099999999999</v>
      </c>
      <c r="N3992" s="9" t="n">
        <v>826.59</v>
      </c>
      <c r="O3992" s="9" t="n">
        <v>848.13</v>
      </c>
      <c r="P3992" s="9" t="n">
        <v>918.14</v>
      </c>
      <c r="Q3992" s="9" t="n">
        <v>847.1900000000001</v>
      </c>
      <c r="R3992" s="9" t="n">
        <v>912.5700000000001</v>
      </c>
      <c r="S3992" s="9" t="n">
        <v>890.9299999999999</v>
      </c>
      <c r="T3992" s="9" t="n">
        <v>940.88</v>
      </c>
      <c r="U3992" s="10">
        <f>SUM(I3992:T3992)</f>
        <v/>
      </c>
    </row>
    <row r="3993">
      <c r="A3993" s="2" t="inlineStr">
        <is>
          <t>SN-3000-3500-3500-3500XM0116</t>
        </is>
      </c>
      <c r="B3993" s="2" t="inlineStr">
        <is>
          <t>3500XM0116</t>
        </is>
      </c>
      <c r="C3993" s="2" t="inlineStr">
        <is>
          <t>Cascada moldeo XM0116</t>
        </is>
      </c>
      <c r="D3993" s="2" t="n">
        <v>1331</v>
      </c>
      <c r="E3993" s="2" t="inlineStr">
        <is>
          <t>CC-3000</t>
        </is>
      </c>
      <c r="F3993" s="2" t="inlineStr">
        <is>
          <t>P01</t>
        </is>
      </c>
      <c r="G3993" s="2" t="n">
        <v>620000</v>
      </c>
      <c r="H3993" s="2" t="inlineStr">
        <is>
          <t>Materiales</t>
        </is>
      </c>
      <c r="I3993" s="9" t="n">
        <v>740.17</v>
      </c>
      <c r="J3993" s="9" t="n">
        <v>787.9299999999999</v>
      </c>
      <c r="K3993" s="9" t="n">
        <v>768.27</v>
      </c>
      <c r="L3993" s="9" t="n">
        <v>787.2</v>
      </c>
      <c r="M3993" s="9" t="n">
        <v>703.76</v>
      </c>
      <c r="N3993" s="9" t="n">
        <v>733.1900000000001</v>
      </c>
      <c r="O3993" s="9" t="n">
        <v>752.52</v>
      </c>
      <c r="P3993" s="9" t="n">
        <v>789.11</v>
      </c>
      <c r="Q3993" s="9" t="n">
        <v>661.41</v>
      </c>
      <c r="R3993" s="9" t="n">
        <v>843.55</v>
      </c>
      <c r="S3993" s="9" t="n">
        <v>774.6799999999999</v>
      </c>
      <c r="T3993" s="9" t="n">
        <v>717.59</v>
      </c>
      <c r="U3993" s="10">
        <f>SUM(I3993:T3993)</f>
        <v/>
      </c>
    </row>
    <row r="3994">
      <c r="A3994" s="2" t="inlineStr">
        <is>
          <t>SN-3000-3500-3500-3500XM0116</t>
        </is>
      </c>
      <c r="B3994" s="2" t="inlineStr">
        <is>
          <t>3500XM0116</t>
        </is>
      </c>
      <c r="C3994" s="2" t="inlineStr">
        <is>
          <t>Cascada moldeo XM0116</t>
        </is>
      </c>
      <c r="D3994" s="2" t="n">
        <v>1331</v>
      </c>
      <c r="E3994" s="2" t="inlineStr">
        <is>
          <t>CC-3000</t>
        </is>
      </c>
      <c r="F3994" s="2" t="inlineStr">
        <is>
          <t>P01</t>
        </is>
      </c>
      <c r="G3994" s="2" t="n">
        <v>630000</v>
      </c>
      <c r="H3994" s="2" t="inlineStr">
        <is>
          <t>Servicios externos</t>
        </is>
      </c>
      <c r="I3994" s="9" t="n">
        <v>760.54</v>
      </c>
      <c r="J3994" s="9" t="n">
        <v>804.58</v>
      </c>
      <c r="K3994" s="9" t="n">
        <v>811.0700000000001</v>
      </c>
      <c r="L3994" s="9" t="n">
        <v>816.05</v>
      </c>
      <c r="M3994" s="9" t="n">
        <v>763.28</v>
      </c>
      <c r="N3994" s="9" t="n">
        <v>726.24</v>
      </c>
      <c r="O3994" s="9" t="n">
        <v>737.85</v>
      </c>
      <c r="P3994" s="9" t="n">
        <v>837.4400000000001</v>
      </c>
      <c r="Q3994" s="9" t="n">
        <v>750.15</v>
      </c>
      <c r="R3994" s="9" t="n">
        <v>919.9299999999999</v>
      </c>
      <c r="S3994" s="9" t="n">
        <v>809.5599999999999</v>
      </c>
      <c r="T3994" s="9" t="n">
        <v>851.15</v>
      </c>
      <c r="U3994" s="10">
        <f>SUM(I3994:T3994)</f>
        <v/>
      </c>
    </row>
    <row r="3995">
      <c r="A3995" s="2" t="inlineStr">
        <is>
          <t>SN-3000-3500-3500-3500XM0129</t>
        </is>
      </c>
      <c r="B3995" s="2" t="inlineStr">
        <is>
          <t>3500XM0129</t>
        </is>
      </c>
      <c r="C3995" s="2" t="inlineStr">
        <is>
          <t>Levantador de lingotes XM0129</t>
        </is>
      </c>
      <c r="D3995" s="2" t="n">
        <v>1332</v>
      </c>
      <c r="E3995" s="2" t="inlineStr">
        <is>
          <t>CC-3000</t>
        </is>
      </c>
      <c r="F3995" s="2" t="inlineStr">
        <is>
          <t>P01</t>
        </is>
      </c>
      <c r="G3995" s="2" t="n">
        <v>610000</v>
      </c>
      <c r="H3995" s="2" t="inlineStr">
        <is>
          <t>Mano obra interna</t>
        </is>
      </c>
      <c r="I3995" s="9" t="n">
        <v>2640.81</v>
      </c>
      <c r="J3995" s="9" t="n">
        <v>2911.44</v>
      </c>
      <c r="K3995" s="9" t="n">
        <v>2685.65</v>
      </c>
      <c r="L3995" s="9" t="n">
        <v>2841.7</v>
      </c>
      <c r="M3995" s="9" t="n">
        <v>2900.8</v>
      </c>
      <c r="N3995" s="9" t="n">
        <v>2639.28</v>
      </c>
      <c r="O3995" s="9" t="n">
        <v>2625.66</v>
      </c>
      <c r="P3995" s="9" t="n">
        <v>2714.52</v>
      </c>
      <c r="Q3995" s="9" t="n">
        <v>2782.83</v>
      </c>
      <c r="R3995" s="9" t="n">
        <v>3229.37</v>
      </c>
      <c r="S3995" s="9" t="n">
        <v>2774.8</v>
      </c>
      <c r="T3995" s="9" t="n">
        <v>2988.66</v>
      </c>
      <c r="U3995" s="10">
        <f>SUM(I3995:T3995)</f>
        <v/>
      </c>
    </row>
    <row r="3996">
      <c r="A3996" s="2" t="inlineStr">
        <is>
          <t>SN-3000-3500-3500-3500XM0129</t>
        </is>
      </c>
      <c r="B3996" s="2" t="inlineStr">
        <is>
          <t>3500XM0129</t>
        </is>
      </c>
      <c r="C3996" s="2" t="inlineStr">
        <is>
          <t>Levantador de lingotes XM0129</t>
        </is>
      </c>
      <c r="D3996" s="2" t="n">
        <v>1332</v>
      </c>
      <c r="E3996" s="2" t="inlineStr">
        <is>
          <t>CC-3000</t>
        </is>
      </c>
      <c r="F3996" s="2" t="inlineStr">
        <is>
          <t>P01</t>
        </is>
      </c>
      <c r="G3996" s="2" t="n">
        <v>620000</v>
      </c>
      <c r="H3996" s="2" t="inlineStr">
        <is>
          <t>Materiales</t>
        </is>
      </c>
      <c r="I3996" s="9" t="n">
        <v>2338.37</v>
      </c>
      <c r="J3996" s="9" t="n">
        <v>2290.74</v>
      </c>
      <c r="K3996" s="9" t="n">
        <v>2259.58</v>
      </c>
      <c r="L3996" s="9" t="n">
        <v>2380.35</v>
      </c>
      <c r="M3996" s="9" t="n">
        <v>2198.1</v>
      </c>
      <c r="N3996" s="9" t="n">
        <v>2277.73</v>
      </c>
      <c r="O3996" s="9" t="n">
        <v>2188.38</v>
      </c>
      <c r="P3996" s="9" t="n">
        <v>2286.81</v>
      </c>
      <c r="Q3996" s="9" t="n">
        <v>2341.16</v>
      </c>
      <c r="R3996" s="9" t="n">
        <v>2444.47</v>
      </c>
      <c r="S3996" s="9" t="n">
        <v>2139.77</v>
      </c>
      <c r="T3996" s="9" t="n">
        <v>2314.5</v>
      </c>
      <c r="U3996" s="10">
        <f>SUM(I3996:T3996)</f>
        <v/>
      </c>
    </row>
    <row r="3997">
      <c r="A3997" s="2" t="inlineStr">
        <is>
          <t>SN-3000-3500-3500-3500XM0129</t>
        </is>
      </c>
      <c r="B3997" s="2" t="inlineStr">
        <is>
          <t>3500XM0129</t>
        </is>
      </c>
      <c r="C3997" s="2" t="inlineStr">
        <is>
          <t>Levantador de lingotes XM0129</t>
        </is>
      </c>
      <c r="D3997" s="2" t="n">
        <v>1332</v>
      </c>
      <c r="E3997" s="2" t="inlineStr">
        <is>
          <t>CC-3000</t>
        </is>
      </c>
      <c r="F3997" s="2" t="inlineStr">
        <is>
          <t>P01</t>
        </is>
      </c>
      <c r="G3997" s="2" t="n">
        <v>630000</v>
      </c>
      <c r="H3997" s="2" t="inlineStr">
        <is>
          <t>Servicios externos</t>
        </is>
      </c>
      <c r="I3997" s="9" t="n">
        <v>3051.01</v>
      </c>
      <c r="J3997" s="9" t="n">
        <v>2942.94</v>
      </c>
      <c r="K3997" s="9" t="n">
        <v>2797.87</v>
      </c>
      <c r="L3997" s="9" t="n">
        <v>2999.15</v>
      </c>
      <c r="M3997" s="9" t="n">
        <v>2807.71</v>
      </c>
      <c r="N3997" s="9" t="n">
        <v>2744.24</v>
      </c>
      <c r="O3997" s="9" t="n">
        <v>2995.49</v>
      </c>
      <c r="P3997" s="9" t="n">
        <v>3121.8</v>
      </c>
      <c r="Q3997" s="9" t="n">
        <v>2604.09</v>
      </c>
      <c r="R3997" s="9" t="n">
        <v>3315.17</v>
      </c>
      <c r="S3997" s="9" t="n">
        <v>2647.5</v>
      </c>
      <c r="T3997" s="9" t="n">
        <v>2908.42</v>
      </c>
      <c r="U3997" s="10">
        <f>SUM(I3997:T3997)</f>
        <v/>
      </c>
    </row>
    <row r="3998">
      <c r="A3998" s="2" t="inlineStr">
        <is>
          <t>SN-3000-3600-3610-3610TA0022</t>
        </is>
      </c>
      <c r="B3998" s="2" t="inlineStr">
        <is>
          <t>3610TA0022</t>
        </is>
      </c>
      <c r="C3998" s="2" t="inlineStr">
        <is>
          <t>Agitador mecánico AG0022</t>
        </is>
      </c>
      <c r="D3998" s="2" t="n">
        <v>1333</v>
      </c>
      <c r="E3998" s="2" t="inlineStr">
        <is>
          <t>CC-3000</t>
        </is>
      </c>
      <c r="F3998" s="2" t="inlineStr">
        <is>
          <t>P01</t>
        </is>
      </c>
      <c r="G3998" s="2" t="n">
        <v>610000</v>
      </c>
      <c r="H3998" s="2" t="inlineStr">
        <is>
          <t>Mano obra interna</t>
        </is>
      </c>
      <c r="I3998" s="9" t="n">
        <v>1288.03</v>
      </c>
      <c r="J3998" s="9" t="n">
        <v>1105.12</v>
      </c>
      <c r="K3998" s="9" t="n">
        <v>1235.85</v>
      </c>
      <c r="L3998" s="9" t="n">
        <v>1144.29</v>
      </c>
      <c r="M3998" s="9" t="n">
        <v>1165.86</v>
      </c>
      <c r="N3998" s="9" t="n">
        <v>1115.42</v>
      </c>
      <c r="O3998" s="9" t="n">
        <v>1096.74</v>
      </c>
      <c r="P3998" s="9" t="n">
        <v>1243.82</v>
      </c>
      <c r="Q3998" s="9" t="n">
        <v>1150.64</v>
      </c>
      <c r="R3998" s="9" t="n">
        <v>1230.5</v>
      </c>
      <c r="S3998" s="9" t="n">
        <v>1166.17</v>
      </c>
      <c r="T3998" s="9" t="n">
        <v>1174.25</v>
      </c>
      <c r="U3998" s="10">
        <f>SUM(I3998:T3998)</f>
        <v/>
      </c>
    </row>
    <row r="3999">
      <c r="A3999" s="2" t="inlineStr">
        <is>
          <t>SN-3000-3600-3610-3610TA0022</t>
        </is>
      </c>
      <c r="B3999" s="2" t="inlineStr">
        <is>
          <t>3610TA0022</t>
        </is>
      </c>
      <c r="C3999" s="2" t="inlineStr">
        <is>
          <t>Agitador mecánico AG0022</t>
        </is>
      </c>
      <c r="D3999" s="2" t="n">
        <v>1333</v>
      </c>
      <c r="E3999" s="2" t="inlineStr">
        <is>
          <t>CC-3000</t>
        </is>
      </c>
      <c r="F3999" s="2" t="inlineStr">
        <is>
          <t>P01</t>
        </is>
      </c>
      <c r="G3999" s="2" t="n">
        <v>620000</v>
      </c>
      <c r="H3999" s="2" t="inlineStr">
        <is>
          <t>Materiales</t>
        </is>
      </c>
      <c r="I3999" s="9" t="n">
        <v>1442.25</v>
      </c>
      <c r="J3999" s="9" t="n">
        <v>1261.39</v>
      </c>
      <c r="K3999" s="9" t="n">
        <v>1491.82</v>
      </c>
      <c r="L3999" s="9" t="n">
        <v>1328.95</v>
      </c>
      <c r="M3999" s="9" t="n">
        <v>1285.69</v>
      </c>
      <c r="N3999" s="9" t="n">
        <v>1359.38</v>
      </c>
      <c r="O3999" s="9" t="n">
        <v>1301.72</v>
      </c>
      <c r="P3999" s="9" t="n">
        <v>1286.82</v>
      </c>
      <c r="Q3999" s="9" t="n">
        <v>1242.29</v>
      </c>
      <c r="R3999" s="9" t="n">
        <v>1558.18</v>
      </c>
      <c r="S3999" s="9" t="n">
        <v>1258.21</v>
      </c>
      <c r="T3999" s="9" t="n">
        <v>1355.13</v>
      </c>
      <c r="U3999" s="10">
        <f>SUM(I3999:T3999)</f>
        <v/>
      </c>
    </row>
    <row r="4000">
      <c r="A4000" s="2" t="inlineStr">
        <is>
          <t>SN-3000-3600-3610-3610TA0022</t>
        </is>
      </c>
      <c r="B4000" s="2" t="inlineStr">
        <is>
          <t>3610TA0022</t>
        </is>
      </c>
      <c r="C4000" s="2" t="inlineStr">
        <is>
          <t>Agitador mecánico AG0022</t>
        </is>
      </c>
      <c r="D4000" s="2" t="n">
        <v>1333</v>
      </c>
      <c r="E4000" s="2" t="inlineStr">
        <is>
          <t>CC-3000</t>
        </is>
      </c>
      <c r="F4000" s="2" t="inlineStr">
        <is>
          <t>P01</t>
        </is>
      </c>
      <c r="G4000" s="2" t="n">
        <v>630000</v>
      </c>
      <c r="H4000" s="2" t="inlineStr">
        <is>
          <t>Servicios externos</t>
        </is>
      </c>
      <c r="I4000" s="9" t="n">
        <v>1142.17</v>
      </c>
      <c r="J4000" s="9" t="n">
        <v>1166.55</v>
      </c>
      <c r="K4000" s="9" t="n">
        <v>1163.59</v>
      </c>
      <c r="L4000" s="9" t="n">
        <v>1219.08</v>
      </c>
      <c r="M4000" s="9" t="n">
        <v>1158.84</v>
      </c>
      <c r="N4000" s="9" t="n">
        <v>1070.58</v>
      </c>
      <c r="O4000" s="9" t="n">
        <v>1133.32</v>
      </c>
      <c r="P4000" s="9" t="n">
        <v>1181.65</v>
      </c>
      <c r="Q4000" s="9" t="n">
        <v>1071.99</v>
      </c>
      <c r="R4000" s="9" t="n">
        <v>1307.82</v>
      </c>
      <c r="S4000" s="9" t="n">
        <v>1185.49</v>
      </c>
      <c r="T4000" s="9" t="n">
        <v>1202.71</v>
      </c>
      <c r="U4000" s="10">
        <f>SUM(I4000:T4000)</f>
        <v/>
      </c>
    </row>
    <row r="4001">
      <c r="A4001" s="2" t="inlineStr">
        <is>
          <t>SN-3000-3600-3620-3620IL0001</t>
        </is>
      </c>
      <c r="B4001" s="2" t="inlineStr">
        <is>
          <t>3620IL0001</t>
        </is>
      </c>
      <c r="C4001" s="2" t="inlineStr">
        <is>
          <t>Indicador presión solución impreg PI2940</t>
        </is>
      </c>
      <c r="D4001" s="2" t="n">
        <v>1334</v>
      </c>
      <c r="E4001" s="2" t="inlineStr">
        <is>
          <t>CC-3000</t>
        </is>
      </c>
      <c r="F4001" s="2" t="inlineStr">
        <is>
          <t>P01</t>
        </is>
      </c>
      <c r="G4001" s="2" t="n">
        <v>610000</v>
      </c>
      <c r="H4001" s="2" t="inlineStr">
        <is>
          <t>Mano obra interna</t>
        </is>
      </c>
      <c r="I4001" s="9" t="n">
        <v>3118.47</v>
      </c>
      <c r="J4001" s="9" t="n">
        <v>2744.63</v>
      </c>
      <c r="K4001" s="9" t="n">
        <v>3105.92</v>
      </c>
      <c r="L4001" s="9" t="n">
        <v>2941.83</v>
      </c>
      <c r="M4001" s="9" t="n">
        <v>2898</v>
      </c>
      <c r="N4001" s="9" t="n">
        <v>2871.6</v>
      </c>
      <c r="O4001" s="9" t="n">
        <v>2911</v>
      </c>
      <c r="P4001" s="9" t="n">
        <v>2914.51</v>
      </c>
      <c r="Q4001" s="9" t="n">
        <v>2756.48</v>
      </c>
      <c r="R4001" s="9" t="n">
        <v>3133.41</v>
      </c>
      <c r="S4001" s="9" t="n">
        <v>2758.25</v>
      </c>
      <c r="T4001" s="9" t="n">
        <v>3182.71</v>
      </c>
      <c r="U4001" s="10">
        <f>SUM(I4001:T4001)</f>
        <v/>
      </c>
    </row>
    <row r="4002">
      <c r="A4002" s="2" t="inlineStr">
        <is>
          <t>SN-3000-3600-3620-3620IL0001</t>
        </is>
      </c>
      <c r="B4002" s="2" t="inlineStr">
        <is>
          <t>3620IL0001</t>
        </is>
      </c>
      <c r="C4002" s="2" t="inlineStr">
        <is>
          <t>Indicador presión solución impreg PI2940</t>
        </is>
      </c>
      <c r="D4002" s="2" t="n">
        <v>1334</v>
      </c>
      <c r="E4002" s="2" t="inlineStr">
        <is>
          <t>CC-3000</t>
        </is>
      </c>
      <c r="F4002" s="2" t="inlineStr">
        <is>
          <t>P01</t>
        </is>
      </c>
      <c r="G4002" s="2" t="n">
        <v>620000</v>
      </c>
      <c r="H4002" s="2" t="inlineStr">
        <is>
          <t>Materiales</t>
        </is>
      </c>
      <c r="I4002" s="9" t="n">
        <v>2546.5</v>
      </c>
      <c r="J4002" s="9" t="n">
        <v>2475.75</v>
      </c>
      <c r="K4002" s="9" t="n">
        <v>2541.84</v>
      </c>
      <c r="L4002" s="9" t="n">
        <v>2380.96</v>
      </c>
      <c r="M4002" s="9" t="n">
        <v>2427.28</v>
      </c>
      <c r="N4002" s="9" t="n">
        <v>2139.77</v>
      </c>
      <c r="O4002" s="9" t="n">
        <v>2430.93</v>
      </c>
      <c r="P4002" s="9" t="n">
        <v>2331.41</v>
      </c>
      <c r="Q4002" s="9" t="n">
        <v>2259.94</v>
      </c>
      <c r="R4002" s="9" t="n">
        <v>2658.68</v>
      </c>
      <c r="S4002" s="9" t="n">
        <v>2316.12</v>
      </c>
      <c r="T4002" s="9" t="n">
        <v>2458.74</v>
      </c>
      <c r="U4002" s="10">
        <f>SUM(I4002:T4002)</f>
        <v/>
      </c>
    </row>
    <row r="4003">
      <c r="A4003" s="2" t="inlineStr">
        <is>
          <t>SN-3000-3600-3620-3620IL0001</t>
        </is>
      </c>
      <c r="B4003" s="2" t="inlineStr">
        <is>
          <t>3620IL0001</t>
        </is>
      </c>
      <c r="C4003" s="2" t="inlineStr">
        <is>
          <t>Indicador presión solución impreg PI2940</t>
        </is>
      </c>
      <c r="D4003" s="2" t="n">
        <v>1334</v>
      </c>
      <c r="E4003" s="2" t="inlineStr">
        <is>
          <t>CC-3000</t>
        </is>
      </c>
      <c r="F4003" s="2" t="inlineStr">
        <is>
          <t>P01</t>
        </is>
      </c>
      <c r="G4003" s="2" t="n">
        <v>630000</v>
      </c>
      <c r="H4003" s="2" t="inlineStr">
        <is>
          <t>Servicios externos</t>
        </is>
      </c>
      <c r="I4003" s="9" t="n">
        <v>2383.95</v>
      </c>
      <c r="J4003" s="9" t="n">
        <v>2251.97</v>
      </c>
      <c r="K4003" s="9" t="n">
        <v>2346.63</v>
      </c>
      <c r="L4003" s="9" t="n">
        <v>2318.13</v>
      </c>
      <c r="M4003" s="9" t="n">
        <v>2208.45</v>
      </c>
      <c r="N4003" s="9" t="n">
        <v>2131.53</v>
      </c>
      <c r="O4003" s="9" t="n">
        <v>2375.75</v>
      </c>
      <c r="P4003" s="9" t="n">
        <v>2320.69</v>
      </c>
      <c r="Q4003" s="9" t="n">
        <v>1980.98</v>
      </c>
      <c r="R4003" s="9" t="n">
        <v>2302.35</v>
      </c>
      <c r="S4003" s="9" t="n">
        <v>2252.65</v>
      </c>
      <c r="T4003" s="9" t="n">
        <v>2464.7</v>
      </c>
      <c r="U4003" s="10">
        <f>SUM(I4003:T4003)</f>
        <v/>
      </c>
    </row>
    <row r="4004">
      <c r="A4004" s="2" t="inlineStr">
        <is>
          <t>SN-3000-3600-3620-3620PU0285</t>
        </is>
      </c>
      <c r="B4004" s="2" t="inlineStr">
        <is>
          <t>3620PU0285</t>
        </is>
      </c>
      <c r="C4004" s="2" t="inlineStr">
        <is>
          <t>Motor eléctrico PU0285M1</t>
        </is>
      </c>
      <c r="D4004" s="2" t="n">
        <v>1335</v>
      </c>
      <c r="E4004" s="2" t="inlineStr">
        <is>
          <t>CC-3000</t>
        </is>
      </c>
      <c r="F4004" s="2" t="inlineStr">
        <is>
          <t>P01</t>
        </is>
      </c>
      <c r="G4004" s="2" t="n">
        <v>610000</v>
      </c>
      <c r="H4004" s="2" t="inlineStr">
        <is>
          <t>Mano obra interna</t>
        </is>
      </c>
      <c r="I4004" s="9" t="n">
        <v>1963.15</v>
      </c>
      <c r="J4004" s="9" t="n">
        <v>1998.05</v>
      </c>
      <c r="K4004" s="9" t="n">
        <v>1824.51</v>
      </c>
      <c r="L4004" s="9" t="n">
        <v>1892.77</v>
      </c>
      <c r="M4004" s="9" t="n">
        <v>2028.7</v>
      </c>
      <c r="N4004" s="9" t="n">
        <v>1713.48</v>
      </c>
      <c r="O4004" s="9" t="n">
        <v>1954.62</v>
      </c>
      <c r="P4004" s="9" t="n">
        <v>1921.68</v>
      </c>
      <c r="Q4004" s="9" t="n">
        <v>1688.42</v>
      </c>
      <c r="R4004" s="9" t="n">
        <v>1919.86</v>
      </c>
      <c r="S4004" s="9" t="n">
        <v>1860.27</v>
      </c>
      <c r="T4004" s="9" t="n">
        <v>2022.71</v>
      </c>
      <c r="U4004" s="10">
        <f>SUM(I4004:T4004)</f>
        <v/>
      </c>
    </row>
    <row r="4005">
      <c r="A4005" s="2" t="inlineStr">
        <is>
          <t>SN-3000-3600-3620-3620PU0285</t>
        </is>
      </c>
      <c r="B4005" s="2" t="inlineStr">
        <is>
          <t>3620PU0285</t>
        </is>
      </c>
      <c r="C4005" s="2" t="inlineStr">
        <is>
          <t>Motor eléctrico PU0285M1</t>
        </is>
      </c>
      <c r="D4005" s="2" t="n">
        <v>1335</v>
      </c>
      <c r="E4005" s="2" t="inlineStr">
        <is>
          <t>CC-3000</t>
        </is>
      </c>
      <c r="F4005" s="2" t="inlineStr">
        <is>
          <t>P01</t>
        </is>
      </c>
      <c r="G4005" s="2" t="n">
        <v>620000</v>
      </c>
      <c r="H4005" s="2" t="inlineStr">
        <is>
          <t>Materiales</t>
        </is>
      </c>
      <c r="I4005" s="9" t="n">
        <v>2019.23</v>
      </c>
      <c r="J4005" s="9" t="n">
        <v>1904.21</v>
      </c>
      <c r="K4005" s="9" t="n">
        <v>1934.94</v>
      </c>
      <c r="L4005" s="9" t="n">
        <v>2013.16</v>
      </c>
      <c r="M4005" s="9" t="n">
        <v>1805.78</v>
      </c>
      <c r="N4005" s="9" t="n">
        <v>1822.28</v>
      </c>
      <c r="O4005" s="9" t="n">
        <v>1935.26</v>
      </c>
      <c r="P4005" s="9" t="n">
        <v>1905.14</v>
      </c>
      <c r="Q4005" s="9" t="n">
        <v>1757.28</v>
      </c>
      <c r="R4005" s="9" t="n">
        <v>2149.54</v>
      </c>
      <c r="S4005" s="9" t="n">
        <v>1904.36</v>
      </c>
      <c r="T4005" s="9" t="n">
        <v>1991.2</v>
      </c>
      <c r="U4005" s="10">
        <f>SUM(I4005:T4005)</f>
        <v/>
      </c>
    </row>
    <row r="4006">
      <c r="A4006" s="2" t="inlineStr">
        <is>
          <t>SN-3000-3600-3620-3620PU0285</t>
        </is>
      </c>
      <c r="B4006" s="2" t="inlineStr">
        <is>
          <t>3620PU0285</t>
        </is>
      </c>
      <c r="C4006" s="2" t="inlineStr">
        <is>
          <t>Motor eléctrico PU0285M1</t>
        </is>
      </c>
      <c r="D4006" s="2" t="n">
        <v>1335</v>
      </c>
      <c r="E4006" s="2" t="inlineStr">
        <is>
          <t>CC-3000</t>
        </is>
      </c>
      <c r="F4006" s="2" t="inlineStr">
        <is>
          <t>P01</t>
        </is>
      </c>
      <c r="G4006" s="2" t="n">
        <v>630000</v>
      </c>
      <c r="H4006" s="2" t="inlineStr">
        <is>
          <t>Servicios externos</t>
        </is>
      </c>
      <c r="I4006" s="9" t="n">
        <v>2571.87</v>
      </c>
      <c r="J4006" s="9" t="n">
        <v>2324.35</v>
      </c>
      <c r="K4006" s="9" t="n">
        <v>2350.39</v>
      </c>
      <c r="L4006" s="9" t="n">
        <v>2492.94</v>
      </c>
      <c r="M4006" s="9" t="n">
        <v>2178.5</v>
      </c>
      <c r="N4006" s="9" t="n">
        <v>2237.01</v>
      </c>
      <c r="O4006" s="9" t="n">
        <v>2345.2</v>
      </c>
      <c r="P4006" s="9" t="n">
        <v>2513.73</v>
      </c>
      <c r="Q4006" s="9" t="n">
        <v>2344.34</v>
      </c>
      <c r="R4006" s="9" t="n">
        <v>2638.66</v>
      </c>
      <c r="S4006" s="9" t="n">
        <v>2250.65</v>
      </c>
      <c r="T4006" s="9" t="n">
        <v>2387.56</v>
      </c>
      <c r="U4006" s="10">
        <f>SUM(I4006:T4006)</f>
        <v/>
      </c>
    </row>
    <row r="4007">
      <c r="A4007" s="2" t="inlineStr">
        <is>
          <t>SN-3000-3600-3620-3620PU0286</t>
        </is>
      </c>
      <c r="B4007" s="2" t="inlineStr">
        <is>
          <t>3620PU0286</t>
        </is>
      </c>
      <c r="C4007" s="2" t="inlineStr">
        <is>
          <t>Motor eléctrico PU0286M1</t>
        </is>
      </c>
      <c r="D4007" s="2" t="n">
        <v>1336</v>
      </c>
      <c r="E4007" s="2" t="inlineStr">
        <is>
          <t>CC-3000</t>
        </is>
      </c>
      <c r="F4007" s="2" t="inlineStr">
        <is>
          <t>P01</t>
        </is>
      </c>
      <c r="G4007" s="2" t="n">
        <v>610000</v>
      </c>
      <c r="H4007" s="2" t="inlineStr">
        <is>
          <t>Mano obra interna</t>
        </is>
      </c>
      <c r="I4007" s="9" t="n">
        <v>1021.89</v>
      </c>
      <c r="J4007" s="9" t="n">
        <v>973.39</v>
      </c>
      <c r="K4007" s="9" t="n">
        <v>1023.53</v>
      </c>
      <c r="L4007" s="9" t="n">
        <v>915.62</v>
      </c>
      <c r="M4007" s="9" t="n">
        <v>925.75</v>
      </c>
      <c r="N4007" s="9" t="n">
        <v>914.5</v>
      </c>
      <c r="O4007" s="9" t="n">
        <v>894.15</v>
      </c>
      <c r="P4007" s="9" t="n">
        <v>930.16</v>
      </c>
      <c r="Q4007" s="9" t="n">
        <v>826.6900000000001</v>
      </c>
      <c r="R4007" s="9" t="n">
        <v>1100.7</v>
      </c>
      <c r="S4007" s="9" t="n">
        <v>957.48</v>
      </c>
      <c r="T4007" s="9" t="n">
        <v>983.61</v>
      </c>
      <c r="U4007" s="10">
        <f>SUM(I4007:T4007)</f>
        <v/>
      </c>
    </row>
    <row r="4008">
      <c r="A4008" s="2" t="inlineStr">
        <is>
          <t>SN-3000-3600-3620-3620PU0286</t>
        </is>
      </c>
      <c r="B4008" s="2" t="inlineStr">
        <is>
          <t>3620PU0286</t>
        </is>
      </c>
      <c r="C4008" s="2" t="inlineStr">
        <is>
          <t>Motor eléctrico PU0286M1</t>
        </is>
      </c>
      <c r="D4008" s="2" t="n">
        <v>1336</v>
      </c>
      <c r="E4008" s="2" t="inlineStr">
        <is>
          <t>CC-3000</t>
        </is>
      </c>
      <c r="F4008" s="2" t="inlineStr">
        <is>
          <t>P01</t>
        </is>
      </c>
      <c r="G4008" s="2" t="n">
        <v>620000</v>
      </c>
      <c r="H4008" s="2" t="inlineStr">
        <is>
          <t>Materiales</t>
        </is>
      </c>
      <c r="I4008" s="9" t="n">
        <v>897.98</v>
      </c>
      <c r="J4008" s="9" t="n">
        <v>839.3200000000001</v>
      </c>
      <c r="K4008" s="9" t="n">
        <v>937.61</v>
      </c>
      <c r="L4008" s="9" t="n">
        <v>970.91</v>
      </c>
      <c r="M4008" s="9" t="n">
        <v>825.46</v>
      </c>
      <c r="N4008" s="9" t="n">
        <v>809.1</v>
      </c>
      <c r="O4008" s="9" t="n">
        <v>864.89</v>
      </c>
      <c r="P4008" s="9" t="n">
        <v>933.88</v>
      </c>
      <c r="Q4008" s="9" t="n">
        <v>894.1900000000001</v>
      </c>
      <c r="R4008" s="9" t="n">
        <v>1013.95</v>
      </c>
      <c r="S4008" s="9" t="n">
        <v>878.26</v>
      </c>
      <c r="T4008" s="9" t="n">
        <v>859.1</v>
      </c>
      <c r="U4008" s="10">
        <f>SUM(I4008:T4008)</f>
        <v/>
      </c>
    </row>
    <row r="4009">
      <c r="A4009" s="2" t="inlineStr">
        <is>
          <t>SN-3000-3600-3620-3620PU0286</t>
        </is>
      </c>
      <c r="B4009" s="2" t="inlineStr">
        <is>
          <t>3620PU0286</t>
        </is>
      </c>
      <c r="C4009" s="2" t="inlineStr">
        <is>
          <t>Motor eléctrico PU0286M1</t>
        </is>
      </c>
      <c r="D4009" s="2" t="n">
        <v>1336</v>
      </c>
      <c r="E4009" s="2" t="inlineStr">
        <is>
          <t>CC-3000</t>
        </is>
      </c>
      <c r="F4009" s="2" t="inlineStr">
        <is>
          <t>P01</t>
        </is>
      </c>
      <c r="G4009" s="2" t="n">
        <v>630000</v>
      </c>
      <c r="H4009" s="2" t="inlineStr">
        <is>
          <t>Servicios externos</t>
        </is>
      </c>
      <c r="I4009" s="9" t="n">
        <v>1020.26</v>
      </c>
      <c r="J4009" s="9" t="n">
        <v>1024.98</v>
      </c>
      <c r="K4009" s="9" t="n">
        <v>1066.68</v>
      </c>
      <c r="L4009" s="9" t="n">
        <v>1065.7</v>
      </c>
      <c r="M4009" s="9" t="n">
        <v>1026.91</v>
      </c>
      <c r="N4009" s="9" t="n">
        <v>1063.8</v>
      </c>
      <c r="O4009" s="9" t="n">
        <v>1011.17</v>
      </c>
      <c r="P4009" s="9" t="n">
        <v>1124.93</v>
      </c>
      <c r="Q4009" s="9" t="n">
        <v>1049.92</v>
      </c>
      <c r="R4009" s="9" t="n">
        <v>1148.73</v>
      </c>
      <c r="S4009" s="9" t="n">
        <v>967.6</v>
      </c>
      <c r="T4009" s="9" t="n">
        <v>1095.64</v>
      </c>
      <c r="U4009" s="10">
        <f>SUM(I4009:T4009)</f>
        <v/>
      </c>
    </row>
    <row r="4010">
      <c r="A4010" s="2" t="inlineStr">
        <is>
          <t>SN-3000-3600-3630-3630BX0017</t>
        </is>
      </c>
      <c r="B4010" s="2" t="inlineStr">
        <is>
          <t>3630BX0017</t>
        </is>
      </c>
      <c r="C4010" s="2" t="inlineStr">
        <is>
          <t>Cajón relaves BX0017</t>
        </is>
      </c>
      <c r="D4010" s="2" t="n">
        <v>1337</v>
      </c>
      <c r="E4010" s="2" t="inlineStr">
        <is>
          <t>CC-3000</t>
        </is>
      </c>
      <c r="F4010" s="2" t="inlineStr">
        <is>
          <t>P01</t>
        </is>
      </c>
      <c r="G4010" s="2" t="n">
        <v>610000</v>
      </c>
      <c r="H4010" s="2" t="inlineStr">
        <is>
          <t>Mano obra interna</t>
        </is>
      </c>
      <c r="I4010" s="9" t="n">
        <v>2482.4</v>
      </c>
      <c r="J4010" s="9" t="n">
        <v>2612.3</v>
      </c>
      <c r="K4010" s="9" t="n">
        <v>2669.58</v>
      </c>
      <c r="L4010" s="9" t="n">
        <v>2772.45</v>
      </c>
      <c r="M4010" s="9" t="n">
        <v>2619.83</v>
      </c>
      <c r="N4010" s="9" t="n">
        <v>2291.01</v>
      </c>
      <c r="O4010" s="9" t="n">
        <v>2497.07</v>
      </c>
      <c r="P4010" s="9" t="n">
        <v>2355.07</v>
      </c>
      <c r="Q4010" s="9" t="n">
        <v>2181.24</v>
      </c>
      <c r="R4010" s="9" t="n">
        <v>2803.3</v>
      </c>
      <c r="S4010" s="9" t="n">
        <v>2597.06</v>
      </c>
      <c r="T4010" s="9" t="n">
        <v>2747.34</v>
      </c>
      <c r="U4010" s="10">
        <f>SUM(I4010:T4010)</f>
        <v/>
      </c>
    </row>
    <row r="4011">
      <c r="A4011" s="2" t="inlineStr">
        <is>
          <t>SN-3000-3600-3630-3630BX0017</t>
        </is>
      </c>
      <c r="B4011" s="2" t="inlineStr">
        <is>
          <t>3630BX0017</t>
        </is>
      </c>
      <c r="C4011" s="2" t="inlineStr">
        <is>
          <t>Cajón relaves BX0017</t>
        </is>
      </c>
      <c r="D4011" s="2" t="n">
        <v>1337</v>
      </c>
      <c r="E4011" s="2" t="inlineStr">
        <is>
          <t>CC-3000</t>
        </is>
      </c>
      <c r="F4011" s="2" t="inlineStr">
        <is>
          <t>P01</t>
        </is>
      </c>
      <c r="G4011" s="2" t="n">
        <v>620000</v>
      </c>
      <c r="H4011" s="2" t="inlineStr">
        <is>
          <t>Materiales</t>
        </is>
      </c>
      <c r="I4011" s="9" t="n">
        <v>2027.82</v>
      </c>
      <c r="J4011" s="9" t="n">
        <v>2074.16</v>
      </c>
      <c r="K4011" s="9" t="n">
        <v>2048.95</v>
      </c>
      <c r="L4011" s="9" t="n">
        <v>2062.32</v>
      </c>
      <c r="M4011" s="9" t="n">
        <v>2175.76</v>
      </c>
      <c r="N4011" s="9" t="n">
        <v>2093.37</v>
      </c>
      <c r="O4011" s="9" t="n">
        <v>2218.81</v>
      </c>
      <c r="P4011" s="9" t="n">
        <v>2078.47</v>
      </c>
      <c r="Q4011" s="9" t="n">
        <v>1961.67</v>
      </c>
      <c r="R4011" s="9" t="n">
        <v>2346.93</v>
      </c>
      <c r="S4011" s="9" t="n">
        <v>1935.09</v>
      </c>
      <c r="T4011" s="9" t="n">
        <v>2226.35</v>
      </c>
      <c r="U4011" s="10">
        <f>SUM(I4011:T4011)</f>
        <v/>
      </c>
    </row>
    <row r="4012">
      <c r="A4012" s="2" t="inlineStr">
        <is>
          <t>SN-3000-3600-3630-3630BX0017</t>
        </is>
      </c>
      <c r="B4012" s="2" t="inlineStr">
        <is>
          <t>3630BX0017</t>
        </is>
      </c>
      <c r="C4012" s="2" t="inlineStr">
        <is>
          <t>Cajón relaves BX0017</t>
        </is>
      </c>
      <c r="D4012" s="2" t="n">
        <v>1337</v>
      </c>
      <c r="E4012" s="2" t="inlineStr">
        <is>
          <t>CC-3000</t>
        </is>
      </c>
      <c r="F4012" s="2" t="inlineStr">
        <is>
          <t>P01</t>
        </is>
      </c>
      <c r="G4012" s="2" t="n">
        <v>630000</v>
      </c>
      <c r="H4012" s="2" t="inlineStr">
        <is>
          <t>Servicios externos</t>
        </is>
      </c>
      <c r="I4012" s="9" t="n">
        <v>2032.68</v>
      </c>
      <c r="J4012" s="9" t="n">
        <v>1954.5</v>
      </c>
      <c r="K4012" s="9" t="n">
        <v>1898.6</v>
      </c>
      <c r="L4012" s="9" t="n">
        <v>2013.39</v>
      </c>
      <c r="M4012" s="9" t="n">
        <v>1794.91</v>
      </c>
      <c r="N4012" s="9" t="n">
        <v>1839.31</v>
      </c>
      <c r="O4012" s="9" t="n">
        <v>1962.54</v>
      </c>
      <c r="P4012" s="9" t="n">
        <v>1964.47</v>
      </c>
      <c r="Q4012" s="9" t="n">
        <v>1905.98</v>
      </c>
      <c r="R4012" s="9" t="n">
        <v>1945.42</v>
      </c>
      <c r="S4012" s="9" t="n">
        <v>1834.3</v>
      </c>
      <c r="T4012" s="9" t="n">
        <v>2046.18</v>
      </c>
      <c r="U4012" s="10">
        <f>SUM(I4012:T4012)</f>
        <v/>
      </c>
    </row>
    <row r="4013">
      <c r="A4013" s="2" t="inlineStr">
        <is>
          <t>SN-3000-3600-3630-3630BX0018</t>
        </is>
      </c>
      <c r="B4013" s="2" t="inlineStr">
        <is>
          <t>3630BX0018</t>
        </is>
      </c>
      <c r="C4013" s="2" t="inlineStr">
        <is>
          <t>Cajón relaves BX0018</t>
        </is>
      </c>
      <c r="D4013" s="2" t="n">
        <v>1338</v>
      </c>
      <c r="E4013" s="2" t="inlineStr">
        <is>
          <t>CC-3000</t>
        </is>
      </c>
      <c r="F4013" s="2" t="inlineStr">
        <is>
          <t>P01</t>
        </is>
      </c>
      <c r="G4013" s="2" t="n">
        <v>610000</v>
      </c>
      <c r="H4013" s="2" t="inlineStr">
        <is>
          <t>Mano obra interna</t>
        </is>
      </c>
      <c r="I4013" s="9" t="n">
        <v>288.92</v>
      </c>
      <c r="J4013" s="9" t="n">
        <v>260.13</v>
      </c>
      <c r="K4013" s="9" t="n">
        <v>288.41</v>
      </c>
      <c r="L4013" s="9" t="n">
        <v>288.98</v>
      </c>
      <c r="M4013" s="9" t="n">
        <v>278.83</v>
      </c>
      <c r="N4013" s="9" t="n">
        <v>270.38</v>
      </c>
      <c r="O4013" s="9" t="n">
        <v>255.08</v>
      </c>
      <c r="P4013" s="9" t="n">
        <v>264.14</v>
      </c>
      <c r="Q4013" s="9" t="n">
        <v>235.55</v>
      </c>
      <c r="R4013" s="9" t="n">
        <v>273.17</v>
      </c>
      <c r="S4013" s="9" t="n">
        <v>257.92</v>
      </c>
      <c r="T4013" s="9" t="n">
        <v>290.85</v>
      </c>
      <c r="U4013" s="10">
        <f>SUM(I4013:T4013)</f>
        <v/>
      </c>
    </row>
    <row r="4014">
      <c r="A4014" s="2" t="inlineStr">
        <is>
          <t>SN-3000-3600-3630-3630BX0018</t>
        </is>
      </c>
      <c r="B4014" s="2" t="inlineStr">
        <is>
          <t>3630BX0018</t>
        </is>
      </c>
      <c r="C4014" s="2" t="inlineStr">
        <is>
          <t>Cajón relaves BX0018</t>
        </is>
      </c>
      <c r="D4014" s="2" t="n">
        <v>1338</v>
      </c>
      <c r="E4014" s="2" t="inlineStr">
        <is>
          <t>CC-3000</t>
        </is>
      </c>
      <c r="F4014" s="2" t="inlineStr">
        <is>
          <t>P01</t>
        </is>
      </c>
      <c r="G4014" s="2" t="n">
        <v>620000</v>
      </c>
      <c r="H4014" s="2" t="inlineStr">
        <is>
          <t>Materiales</t>
        </is>
      </c>
      <c r="I4014" s="9" t="n">
        <v>290.46</v>
      </c>
      <c r="J4014" s="9" t="n">
        <v>283.75</v>
      </c>
      <c r="K4014" s="9" t="n">
        <v>259.42</v>
      </c>
      <c r="L4014" s="9" t="n">
        <v>260.33</v>
      </c>
      <c r="M4014" s="9" t="n">
        <v>257.58</v>
      </c>
      <c r="N4014" s="9" t="n">
        <v>262.26</v>
      </c>
      <c r="O4014" s="9" t="n">
        <v>250.51</v>
      </c>
      <c r="P4014" s="9" t="n">
        <v>281.42</v>
      </c>
      <c r="Q4014" s="9" t="n">
        <v>233.17</v>
      </c>
      <c r="R4014" s="9" t="n">
        <v>274.53</v>
      </c>
      <c r="S4014" s="9" t="n">
        <v>255.75</v>
      </c>
      <c r="T4014" s="9" t="n">
        <v>275.8</v>
      </c>
      <c r="U4014" s="10">
        <f>SUM(I4014:T4014)</f>
        <v/>
      </c>
    </row>
    <row r="4015">
      <c r="A4015" s="2" t="inlineStr">
        <is>
          <t>SN-3000-3600-3630-3630BX0018</t>
        </is>
      </c>
      <c r="B4015" s="2" t="inlineStr">
        <is>
          <t>3630BX0018</t>
        </is>
      </c>
      <c r="C4015" s="2" t="inlineStr">
        <is>
          <t>Cajón relaves BX0018</t>
        </is>
      </c>
      <c r="D4015" s="2" t="n">
        <v>1338</v>
      </c>
      <c r="E4015" s="2" t="inlineStr">
        <is>
          <t>CC-3000</t>
        </is>
      </c>
      <c r="F4015" s="2" t="inlineStr">
        <is>
          <t>P01</t>
        </is>
      </c>
      <c r="G4015" s="2" t="n">
        <v>630000</v>
      </c>
      <c r="H4015" s="2" t="inlineStr">
        <is>
          <t>Servicios externos</t>
        </is>
      </c>
      <c r="I4015" s="9" t="n">
        <v>314.94</v>
      </c>
      <c r="J4015" s="9" t="n">
        <v>300.26</v>
      </c>
      <c r="K4015" s="9" t="n">
        <v>277.66</v>
      </c>
      <c r="L4015" s="9" t="n">
        <v>299.7</v>
      </c>
      <c r="M4015" s="9" t="n">
        <v>281.58</v>
      </c>
      <c r="N4015" s="9" t="n">
        <v>258.14</v>
      </c>
      <c r="O4015" s="9" t="n">
        <v>289.86</v>
      </c>
      <c r="P4015" s="9" t="n">
        <v>280.4</v>
      </c>
      <c r="Q4015" s="9" t="n">
        <v>260.75</v>
      </c>
      <c r="R4015" s="9" t="n">
        <v>289.63</v>
      </c>
      <c r="S4015" s="9" t="n">
        <v>299.33</v>
      </c>
      <c r="T4015" s="9" t="n">
        <v>302</v>
      </c>
      <c r="U4015" s="10">
        <f>SUM(I4015:T4015)</f>
        <v/>
      </c>
    </row>
    <row r="4016">
      <c r="A4016" s="2" t="inlineStr">
        <is>
          <t>SN-3000-3600-3630-3630HE0135</t>
        </is>
      </c>
      <c r="B4016" s="2" t="inlineStr">
        <is>
          <t>3630HE0135</t>
        </is>
      </c>
      <c r="C4016" s="2" t="inlineStr">
        <is>
          <t>Calefactor eléctrico HE0135</t>
        </is>
      </c>
      <c r="D4016" s="2" t="n">
        <v>1339</v>
      </c>
      <c r="E4016" s="2" t="inlineStr">
        <is>
          <t>CC-3000</t>
        </is>
      </c>
      <c r="F4016" s="2" t="inlineStr">
        <is>
          <t>P01</t>
        </is>
      </c>
      <c r="G4016" s="2" t="n">
        <v>610000</v>
      </c>
      <c r="H4016" s="2" t="inlineStr">
        <is>
          <t>Mano obra interna</t>
        </is>
      </c>
      <c r="I4016" s="9" t="n">
        <v>1542.54</v>
      </c>
      <c r="J4016" s="9" t="n">
        <v>1494.99</v>
      </c>
      <c r="K4016" s="9" t="n">
        <v>1533.81</v>
      </c>
      <c r="L4016" s="9" t="n">
        <v>1484.55</v>
      </c>
      <c r="M4016" s="9" t="n">
        <v>1374.05</v>
      </c>
      <c r="N4016" s="9" t="n">
        <v>1339.98</v>
      </c>
      <c r="O4016" s="9" t="n">
        <v>1406.87</v>
      </c>
      <c r="P4016" s="9" t="n">
        <v>1517</v>
      </c>
      <c r="Q4016" s="9" t="n">
        <v>1373.4</v>
      </c>
      <c r="R4016" s="9" t="n">
        <v>1476.68</v>
      </c>
      <c r="S4016" s="9" t="n">
        <v>1398.54</v>
      </c>
      <c r="T4016" s="9" t="n">
        <v>1459.05</v>
      </c>
      <c r="U4016" s="10">
        <f>SUM(I4016:T4016)</f>
        <v/>
      </c>
    </row>
    <row r="4017">
      <c r="A4017" s="2" t="inlineStr">
        <is>
          <t>SN-3000-3600-3630-3630HE0135</t>
        </is>
      </c>
      <c r="B4017" s="2" t="inlineStr">
        <is>
          <t>3630HE0135</t>
        </is>
      </c>
      <c r="C4017" s="2" t="inlineStr">
        <is>
          <t>Calefactor eléctrico HE0135</t>
        </is>
      </c>
      <c r="D4017" s="2" t="n">
        <v>1339</v>
      </c>
      <c r="E4017" s="2" t="inlineStr">
        <is>
          <t>CC-3000</t>
        </is>
      </c>
      <c r="F4017" s="2" t="inlineStr">
        <is>
          <t>P01</t>
        </is>
      </c>
      <c r="G4017" s="2" t="n">
        <v>620000</v>
      </c>
      <c r="H4017" s="2" t="inlineStr">
        <is>
          <t>Materiales</t>
        </is>
      </c>
      <c r="I4017" s="9" t="n">
        <v>1573.39</v>
      </c>
      <c r="J4017" s="9" t="n">
        <v>1675.29</v>
      </c>
      <c r="K4017" s="9" t="n">
        <v>1654.19</v>
      </c>
      <c r="L4017" s="9" t="n">
        <v>1584.49</v>
      </c>
      <c r="M4017" s="9" t="n">
        <v>1691.41</v>
      </c>
      <c r="N4017" s="9" t="n">
        <v>1533.13</v>
      </c>
      <c r="O4017" s="9" t="n">
        <v>1709.42</v>
      </c>
      <c r="P4017" s="9" t="n">
        <v>1557.8</v>
      </c>
      <c r="Q4017" s="9" t="n">
        <v>1653.33</v>
      </c>
      <c r="R4017" s="9" t="n">
        <v>1863.49</v>
      </c>
      <c r="S4017" s="9" t="n">
        <v>1541.52</v>
      </c>
      <c r="T4017" s="9" t="n">
        <v>1736.8</v>
      </c>
      <c r="U4017" s="10">
        <f>SUM(I4017:T4017)</f>
        <v/>
      </c>
    </row>
    <row r="4018">
      <c r="A4018" s="2" t="inlineStr">
        <is>
          <t>SN-3000-3600-3630-3630HE0135</t>
        </is>
      </c>
      <c r="B4018" s="2" t="inlineStr">
        <is>
          <t>3630HE0135</t>
        </is>
      </c>
      <c r="C4018" s="2" t="inlineStr">
        <is>
          <t>Calefactor eléctrico HE0135</t>
        </is>
      </c>
      <c r="D4018" s="2" t="n">
        <v>1339</v>
      </c>
      <c r="E4018" s="2" t="inlineStr">
        <is>
          <t>CC-3000</t>
        </is>
      </c>
      <c r="F4018" s="2" t="inlineStr">
        <is>
          <t>P01</t>
        </is>
      </c>
      <c r="G4018" s="2" t="n">
        <v>630000</v>
      </c>
      <c r="H4018" s="2" t="inlineStr">
        <is>
          <t>Servicios externos</t>
        </is>
      </c>
      <c r="I4018" s="9" t="n">
        <v>1430.22</v>
      </c>
      <c r="J4018" s="9" t="n">
        <v>1251.85</v>
      </c>
      <c r="K4018" s="9" t="n">
        <v>1373.1</v>
      </c>
      <c r="L4018" s="9" t="n">
        <v>1504.58</v>
      </c>
      <c r="M4018" s="9" t="n">
        <v>1271.22</v>
      </c>
      <c r="N4018" s="9" t="n">
        <v>1327.75</v>
      </c>
      <c r="O4018" s="9" t="n">
        <v>1274.07</v>
      </c>
      <c r="P4018" s="9" t="n">
        <v>1403.46</v>
      </c>
      <c r="Q4018" s="9" t="n">
        <v>1227.84</v>
      </c>
      <c r="R4018" s="9" t="n">
        <v>1429.85</v>
      </c>
      <c r="S4018" s="9" t="n">
        <v>1289.42</v>
      </c>
      <c r="T4018" s="9" t="n">
        <v>1322.28</v>
      </c>
      <c r="U4018" s="10">
        <f>SUM(I4018:T4018)</f>
        <v/>
      </c>
    </row>
    <row r="4019">
      <c r="A4019" s="2" t="inlineStr">
        <is>
          <t>SN-3000-3600-3630-3630HE0136</t>
        </is>
      </c>
      <c r="B4019" s="2" t="inlineStr">
        <is>
          <t>3630HE0136</t>
        </is>
      </c>
      <c r="C4019" s="2" t="inlineStr">
        <is>
          <t>Calefactor eléctrico HE0136</t>
        </is>
      </c>
      <c r="D4019" s="2" t="n">
        <v>1340</v>
      </c>
      <c r="E4019" s="2" t="inlineStr">
        <is>
          <t>CC-3000</t>
        </is>
      </c>
      <c r="F4019" s="2" t="inlineStr">
        <is>
          <t>P01</t>
        </is>
      </c>
      <c r="G4019" s="2" t="n">
        <v>610000</v>
      </c>
      <c r="H4019" s="2" t="inlineStr">
        <is>
          <t>Mano obra interna</t>
        </is>
      </c>
      <c r="I4019" s="9" t="n">
        <v>345.44</v>
      </c>
      <c r="J4019" s="9" t="n">
        <v>331.47</v>
      </c>
      <c r="K4019" s="9" t="n">
        <v>307.17</v>
      </c>
      <c r="L4019" s="9" t="n">
        <v>310.91</v>
      </c>
      <c r="M4019" s="9" t="n">
        <v>320.12</v>
      </c>
      <c r="N4019" s="9" t="n">
        <v>326.66</v>
      </c>
      <c r="O4019" s="9" t="n">
        <v>323.23</v>
      </c>
      <c r="P4019" s="9" t="n">
        <v>308.74</v>
      </c>
      <c r="Q4019" s="9" t="n">
        <v>310.81</v>
      </c>
      <c r="R4019" s="9" t="n">
        <v>322.69</v>
      </c>
      <c r="S4019" s="9" t="n">
        <v>326.4</v>
      </c>
      <c r="T4019" s="9" t="n">
        <v>346.97</v>
      </c>
      <c r="U4019" s="10">
        <f>SUM(I4019:T4019)</f>
        <v/>
      </c>
    </row>
    <row r="4020">
      <c r="A4020" s="2" t="inlineStr">
        <is>
          <t>SN-3000-3600-3630-3630HE0136</t>
        </is>
      </c>
      <c r="B4020" s="2" t="inlineStr">
        <is>
          <t>3630HE0136</t>
        </is>
      </c>
      <c r="C4020" s="2" t="inlineStr">
        <is>
          <t>Calefactor eléctrico HE0136</t>
        </is>
      </c>
      <c r="D4020" s="2" t="n">
        <v>1340</v>
      </c>
      <c r="E4020" s="2" t="inlineStr">
        <is>
          <t>CC-3000</t>
        </is>
      </c>
      <c r="F4020" s="2" t="inlineStr">
        <is>
          <t>P01</t>
        </is>
      </c>
      <c r="G4020" s="2" t="n">
        <v>620000</v>
      </c>
      <c r="H4020" s="2" t="inlineStr">
        <is>
          <t>Materiales</t>
        </is>
      </c>
      <c r="I4020" s="9" t="n">
        <v>304.77</v>
      </c>
      <c r="J4020" s="9" t="n">
        <v>314.06</v>
      </c>
      <c r="K4020" s="9" t="n">
        <v>330.82</v>
      </c>
      <c r="L4020" s="9" t="n">
        <v>307.57</v>
      </c>
      <c r="M4020" s="9" t="n">
        <v>315.45</v>
      </c>
      <c r="N4020" s="9" t="n">
        <v>309.57</v>
      </c>
      <c r="O4020" s="9" t="n">
        <v>307.86</v>
      </c>
      <c r="P4020" s="9" t="n">
        <v>306.82</v>
      </c>
      <c r="Q4020" s="9" t="n">
        <v>273.79</v>
      </c>
      <c r="R4020" s="9" t="n">
        <v>366.13</v>
      </c>
      <c r="S4020" s="9" t="n">
        <v>321.15</v>
      </c>
      <c r="T4020" s="9" t="n">
        <v>334.41</v>
      </c>
      <c r="U4020" s="10">
        <f>SUM(I4020:T4020)</f>
        <v/>
      </c>
    </row>
    <row r="4021">
      <c r="A4021" s="2" t="inlineStr">
        <is>
          <t>SN-3000-3600-3630-3630HE0136</t>
        </is>
      </c>
      <c r="B4021" s="2" t="inlineStr">
        <is>
          <t>3630HE0136</t>
        </is>
      </c>
      <c r="C4021" s="2" t="inlineStr">
        <is>
          <t>Calefactor eléctrico HE0136</t>
        </is>
      </c>
      <c r="D4021" s="2" t="n">
        <v>1340</v>
      </c>
      <c r="E4021" s="2" t="inlineStr">
        <is>
          <t>CC-3000</t>
        </is>
      </c>
      <c r="F4021" s="2" t="inlineStr">
        <is>
          <t>P01</t>
        </is>
      </c>
      <c r="G4021" s="2" t="n">
        <v>630000</v>
      </c>
      <c r="H4021" s="2" t="inlineStr">
        <is>
          <t>Servicios externos</t>
        </is>
      </c>
      <c r="I4021" s="9" t="n">
        <v>246.95</v>
      </c>
      <c r="J4021" s="9" t="n">
        <v>221.66</v>
      </c>
      <c r="K4021" s="9" t="n">
        <v>251.03</v>
      </c>
      <c r="L4021" s="9" t="n">
        <v>247.12</v>
      </c>
      <c r="M4021" s="9" t="n">
        <v>247.96</v>
      </c>
      <c r="N4021" s="9" t="n">
        <v>217.9</v>
      </c>
      <c r="O4021" s="9" t="n">
        <v>219.36</v>
      </c>
      <c r="P4021" s="9" t="n">
        <v>252.72</v>
      </c>
      <c r="Q4021" s="9" t="n">
        <v>235.23</v>
      </c>
      <c r="R4021" s="9" t="n">
        <v>253.99</v>
      </c>
      <c r="S4021" s="9" t="n">
        <v>214.12</v>
      </c>
      <c r="T4021" s="9" t="n">
        <v>240.64</v>
      </c>
      <c r="U4021" s="10">
        <f>SUM(I4021:T4021)</f>
        <v/>
      </c>
    </row>
    <row r="4022">
      <c r="A4022" s="2" t="inlineStr">
        <is>
          <t>SN-3000-3600-3630-3630HE0137</t>
        </is>
      </c>
      <c r="B4022" s="2" t="inlineStr">
        <is>
          <t>3630HE0137</t>
        </is>
      </c>
      <c r="C4022" s="2" t="inlineStr">
        <is>
          <t>Calefactor eléctrico HE0137</t>
        </is>
      </c>
      <c r="D4022" s="2" t="n">
        <v>1341</v>
      </c>
      <c r="E4022" s="2" t="inlineStr">
        <is>
          <t>CC-3000</t>
        </is>
      </c>
      <c r="F4022" s="2" t="inlineStr">
        <is>
          <t>P01</t>
        </is>
      </c>
      <c r="G4022" s="2" t="n">
        <v>610000</v>
      </c>
      <c r="H4022" s="2" t="inlineStr">
        <is>
          <t>Mano obra interna</t>
        </is>
      </c>
      <c r="I4022" s="9" t="n">
        <v>2533.94</v>
      </c>
      <c r="J4022" s="9" t="n">
        <v>2405.69</v>
      </c>
      <c r="K4022" s="9" t="n">
        <v>2268.14</v>
      </c>
      <c r="L4022" s="9" t="n">
        <v>2491.99</v>
      </c>
      <c r="M4022" s="9" t="n">
        <v>2200.1</v>
      </c>
      <c r="N4022" s="9" t="n">
        <v>2108.72</v>
      </c>
      <c r="O4022" s="9" t="n">
        <v>2323.43</v>
      </c>
      <c r="P4022" s="9" t="n">
        <v>2199.4</v>
      </c>
      <c r="Q4022" s="9" t="n">
        <v>2313.27</v>
      </c>
      <c r="R4022" s="9" t="n">
        <v>2530.8</v>
      </c>
      <c r="S4022" s="9" t="n">
        <v>2317.1</v>
      </c>
      <c r="T4022" s="9" t="n">
        <v>2425.19</v>
      </c>
      <c r="U4022" s="10">
        <f>SUM(I4022:T4022)</f>
        <v/>
      </c>
    </row>
    <row r="4023">
      <c r="A4023" s="2" t="inlineStr">
        <is>
          <t>SN-3000-3600-3630-3630HE0137</t>
        </is>
      </c>
      <c r="B4023" s="2" t="inlineStr">
        <is>
          <t>3630HE0137</t>
        </is>
      </c>
      <c r="C4023" s="2" t="inlineStr">
        <is>
          <t>Calefactor eléctrico HE0137</t>
        </is>
      </c>
      <c r="D4023" s="2" t="n">
        <v>1341</v>
      </c>
      <c r="E4023" s="2" t="inlineStr">
        <is>
          <t>CC-3000</t>
        </is>
      </c>
      <c r="F4023" s="2" t="inlineStr">
        <is>
          <t>P01</t>
        </is>
      </c>
      <c r="G4023" s="2" t="n">
        <v>620000</v>
      </c>
      <c r="H4023" s="2" t="inlineStr">
        <is>
          <t>Materiales</t>
        </is>
      </c>
      <c r="I4023" s="9" t="n">
        <v>2806.26</v>
      </c>
      <c r="J4023" s="9" t="n">
        <v>2680.26</v>
      </c>
      <c r="K4023" s="9" t="n">
        <v>2609.38</v>
      </c>
      <c r="L4023" s="9" t="n">
        <v>2484.72</v>
      </c>
      <c r="M4023" s="9" t="n">
        <v>2588.32</v>
      </c>
      <c r="N4023" s="9" t="n">
        <v>2440.72</v>
      </c>
      <c r="O4023" s="9" t="n">
        <v>2465.41</v>
      </c>
      <c r="P4023" s="9" t="n">
        <v>2409.78</v>
      </c>
      <c r="Q4023" s="9" t="n">
        <v>2374.79</v>
      </c>
      <c r="R4023" s="9" t="n">
        <v>2846.73</v>
      </c>
      <c r="S4023" s="9" t="n">
        <v>2545.23</v>
      </c>
      <c r="T4023" s="9" t="n">
        <v>2730.4</v>
      </c>
      <c r="U4023" s="10">
        <f>SUM(I4023:T4023)</f>
        <v/>
      </c>
    </row>
    <row r="4024">
      <c r="A4024" s="2" t="inlineStr">
        <is>
          <t>SN-3000-3600-3630-3630HE0137</t>
        </is>
      </c>
      <c r="B4024" s="2" t="inlineStr">
        <is>
          <t>3630HE0137</t>
        </is>
      </c>
      <c r="C4024" s="2" t="inlineStr">
        <is>
          <t>Calefactor eléctrico HE0137</t>
        </is>
      </c>
      <c r="D4024" s="2" t="n">
        <v>1341</v>
      </c>
      <c r="E4024" s="2" t="inlineStr">
        <is>
          <t>CC-3000</t>
        </is>
      </c>
      <c r="F4024" s="2" t="inlineStr">
        <is>
          <t>P01</t>
        </is>
      </c>
      <c r="G4024" s="2" t="n">
        <v>630000</v>
      </c>
      <c r="H4024" s="2" t="inlineStr">
        <is>
          <t>Servicios externos</t>
        </is>
      </c>
      <c r="I4024" s="9" t="n">
        <v>2245.11</v>
      </c>
      <c r="J4024" s="9" t="n">
        <v>2243.39</v>
      </c>
      <c r="K4024" s="9" t="n">
        <v>2513</v>
      </c>
      <c r="L4024" s="9" t="n">
        <v>2145.37</v>
      </c>
      <c r="M4024" s="9" t="n">
        <v>2250.73</v>
      </c>
      <c r="N4024" s="9" t="n">
        <v>2105.29</v>
      </c>
      <c r="O4024" s="9" t="n">
        <v>2121.88</v>
      </c>
      <c r="P4024" s="9" t="n">
        <v>2238.53</v>
      </c>
      <c r="Q4024" s="9" t="n">
        <v>2154.98</v>
      </c>
      <c r="R4024" s="9" t="n">
        <v>2452.42</v>
      </c>
      <c r="S4024" s="9" t="n">
        <v>2026.47</v>
      </c>
      <c r="T4024" s="9" t="n">
        <v>2326.56</v>
      </c>
      <c r="U4024" s="10">
        <f>SUM(I4024:T4024)</f>
        <v/>
      </c>
    </row>
    <row r="4025">
      <c r="A4025" s="2" t="inlineStr">
        <is>
          <t>SN-3000-3600-3630-3630HE0138</t>
        </is>
      </c>
      <c r="B4025" s="2" t="inlineStr">
        <is>
          <t>3630HE0138</t>
        </is>
      </c>
      <c r="C4025" s="2" t="inlineStr">
        <is>
          <t>Calefactor eléctrico HE0138</t>
        </is>
      </c>
      <c r="D4025" s="2" t="n">
        <v>1342</v>
      </c>
      <c r="E4025" s="2" t="inlineStr">
        <is>
          <t>CC-3000</t>
        </is>
      </c>
      <c r="F4025" s="2" t="inlineStr">
        <is>
          <t>P01</t>
        </is>
      </c>
      <c r="G4025" s="2" t="n">
        <v>610000</v>
      </c>
      <c r="H4025" s="2" t="inlineStr">
        <is>
          <t>Mano obra interna</t>
        </is>
      </c>
      <c r="I4025" s="9" t="n">
        <v>1840.37</v>
      </c>
      <c r="J4025" s="9" t="n">
        <v>1766.96</v>
      </c>
      <c r="K4025" s="9" t="n">
        <v>2017.69</v>
      </c>
      <c r="L4025" s="9" t="n">
        <v>1753.63</v>
      </c>
      <c r="M4025" s="9" t="n">
        <v>1786.05</v>
      </c>
      <c r="N4025" s="9" t="n">
        <v>1738.68</v>
      </c>
      <c r="O4025" s="9" t="n">
        <v>1885.73</v>
      </c>
      <c r="P4025" s="9" t="n">
        <v>1933.78</v>
      </c>
      <c r="Q4025" s="9" t="n">
        <v>1784.57</v>
      </c>
      <c r="R4025" s="9" t="n">
        <v>2075.39</v>
      </c>
      <c r="S4025" s="9" t="n">
        <v>1702.5</v>
      </c>
      <c r="T4025" s="9" t="n">
        <v>2000.83</v>
      </c>
      <c r="U4025" s="10">
        <f>SUM(I4025:T4025)</f>
        <v/>
      </c>
    </row>
    <row r="4026">
      <c r="A4026" s="2" t="inlineStr">
        <is>
          <t>SN-3000-3600-3630-3630HE0138</t>
        </is>
      </c>
      <c r="B4026" s="2" t="inlineStr">
        <is>
          <t>3630HE0138</t>
        </is>
      </c>
      <c r="C4026" s="2" t="inlineStr">
        <is>
          <t>Calefactor eléctrico HE0138</t>
        </is>
      </c>
      <c r="D4026" s="2" t="n">
        <v>1342</v>
      </c>
      <c r="E4026" s="2" t="inlineStr">
        <is>
          <t>CC-3000</t>
        </is>
      </c>
      <c r="F4026" s="2" t="inlineStr">
        <is>
          <t>P01</t>
        </is>
      </c>
      <c r="G4026" s="2" t="n">
        <v>620000</v>
      </c>
      <c r="H4026" s="2" t="inlineStr">
        <is>
          <t>Materiales</t>
        </is>
      </c>
      <c r="I4026" s="9" t="n">
        <v>1791.32</v>
      </c>
      <c r="J4026" s="9" t="n">
        <v>1925.25</v>
      </c>
      <c r="K4026" s="9" t="n">
        <v>1996.57</v>
      </c>
      <c r="L4026" s="9" t="n">
        <v>1829.18</v>
      </c>
      <c r="M4026" s="9" t="n">
        <v>2022.58</v>
      </c>
      <c r="N4026" s="9" t="n">
        <v>1837.95</v>
      </c>
      <c r="O4026" s="9" t="n">
        <v>1895.15</v>
      </c>
      <c r="P4026" s="9" t="n">
        <v>1871.23</v>
      </c>
      <c r="Q4026" s="9" t="n">
        <v>1689.8</v>
      </c>
      <c r="R4026" s="9" t="n">
        <v>2201.69</v>
      </c>
      <c r="S4026" s="9" t="n">
        <v>1902.47</v>
      </c>
      <c r="T4026" s="9" t="n">
        <v>1952.82</v>
      </c>
      <c r="U4026" s="10">
        <f>SUM(I4026:T4026)</f>
        <v/>
      </c>
    </row>
    <row r="4027">
      <c r="A4027" s="2" t="inlineStr">
        <is>
          <t>SN-3000-3600-3630-3630HE0138</t>
        </is>
      </c>
      <c r="B4027" s="2" t="inlineStr">
        <is>
          <t>3630HE0138</t>
        </is>
      </c>
      <c r="C4027" s="2" t="inlineStr">
        <is>
          <t>Calefactor eléctrico HE0138</t>
        </is>
      </c>
      <c r="D4027" s="2" t="n">
        <v>1342</v>
      </c>
      <c r="E4027" s="2" t="inlineStr">
        <is>
          <t>CC-3000</t>
        </is>
      </c>
      <c r="F4027" s="2" t="inlineStr">
        <is>
          <t>P01</t>
        </is>
      </c>
      <c r="G4027" s="2" t="n">
        <v>630000</v>
      </c>
      <c r="H4027" s="2" t="inlineStr">
        <is>
          <t>Servicios externos</t>
        </is>
      </c>
      <c r="I4027" s="9" t="n">
        <v>2183.09</v>
      </c>
      <c r="J4027" s="9" t="n">
        <v>2040.71</v>
      </c>
      <c r="K4027" s="9" t="n">
        <v>1963.2</v>
      </c>
      <c r="L4027" s="9" t="n">
        <v>2138.19</v>
      </c>
      <c r="M4027" s="9" t="n">
        <v>2027.9</v>
      </c>
      <c r="N4027" s="9" t="n">
        <v>2083.63</v>
      </c>
      <c r="O4027" s="9" t="n">
        <v>2104.84</v>
      </c>
      <c r="P4027" s="9" t="n">
        <v>1975.95</v>
      </c>
      <c r="Q4027" s="9" t="n">
        <v>1777.73</v>
      </c>
      <c r="R4027" s="9" t="n">
        <v>2180.9</v>
      </c>
      <c r="S4027" s="9" t="n">
        <v>2019.62</v>
      </c>
      <c r="T4027" s="9" t="n">
        <v>1951.89</v>
      </c>
      <c r="U4027" s="10">
        <f>SUM(I4027:T4027)</f>
        <v/>
      </c>
    </row>
    <row r="4028">
      <c r="A4028" s="2" t="inlineStr">
        <is>
          <t>SN-3000-3600-3630-3630HE0139</t>
        </is>
      </c>
      <c r="B4028" s="2" t="inlineStr">
        <is>
          <t>3630HE0139</t>
        </is>
      </c>
      <c r="C4028" s="2" t="inlineStr">
        <is>
          <t>Calefactor eléctrico HE0139</t>
        </is>
      </c>
      <c r="D4028" s="2" t="n">
        <v>1343</v>
      </c>
      <c r="E4028" s="2" t="inlineStr">
        <is>
          <t>CC-3000</t>
        </is>
      </c>
      <c r="F4028" s="2" t="inlineStr">
        <is>
          <t>P01</t>
        </is>
      </c>
      <c r="G4028" s="2" t="n">
        <v>610000</v>
      </c>
      <c r="H4028" s="2" t="inlineStr">
        <is>
          <t>Mano obra interna</t>
        </is>
      </c>
      <c r="I4028" s="9" t="n">
        <v>864.58</v>
      </c>
      <c r="J4028" s="9" t="n">
        <v>749.3</v>
      </c>
      <c r="K4028" s="9" t="n">
        <v>857.8</v>
      </c>
      <c r="L4028" s="9" t="n">
        <v>765.9</v>
      </c>
      <c r="M4028" s="9" t="n">
        <v>733.9400000000001</v>
      </c>
      <c r="N4028" s="9" t="n">
        <v>712.0700000000001</v>
      </c>
      <c r="O4028" s="9" t="n">
        <v>822.3</v>
      </c>
      <c r="P4028" s="9" t="n">
        <v>865.3099999999999</v>
      </c>
      <c r="Q4028" s="9" t="n">
        <v>781.88</v>
      </c>
      <c r="R4028" s="9" t="n">
        <v>834.01</v>
      </c>
      <c r="S4028" s="9" t="n">
        <v>725.87</v>
      </c>
      <c r="T4028" s="9" t="n">
        <v>832.1900000000001</v>
      </c>
      <c r="U4028" s="10">
        <f>SUM(I4028:T4028)</f>
        <v/>
      </c>
    </row>
    <row r="4029">
      <c r="A4029" s="2" t="inlineStr">
        <is>
          <t>SN-3000-3600-3630-3630HE0139</t>
        </is>
      </c>
      <c r="B4029" s="2" t="inlineStr">
        <is>
          <t>3630HE0139</t>
        </is>
      </c>
      <c r="C4029" s="2" t="inlineStr">
        <is>
          <t>Calefactor eléctrico HE0139</t>
        </is>
      </c>
      <c r="D4029" s="2" t="n">
        <v>1343</v>
      </c>
      <c r="E4029" s="2" t="inlineStr">
        <is>
          <t>CC-3000</t>
        </is>
      </c>
      <c r="F4029" s="2" t="inlineStr">
        <is>
          <t>P01</t>
        </is>
      </c>
      <c r="G4029" s="2" t="n">
        <v>620000</v>
      </c>
      <c r="H4029" s="2" t="inlineStr">
        <is>
          <t>Materiales</t>
        </is>
      </c>
      <c r="I4029" s="9" t="n">
        <v>677.9400000000001</v>
      </c>
      <c r="J4029" s="9" t="n">
        <v>599.11</v>
      </c>
      <c r="K4029" s="9" t="n">
        <v>633.45</v>
      </c>
      <c r="L4029" s="9" t="n">
        <v>632.2</v>
      </c>
      <c r="M4029" s="9" t="n">
        <v>654.3099999999999</v>
      </c>
      <c r="N4029" s="9" t="n">
        <v>583.79</v>
      </c>
      <c r="O4029" s="9" t="n">
        <v>612.8</v>
      </c>
      <c r="P4029" s="9" t="n">
        <v>638.08</v>
      </c>
      <c r="Q4029" s="9" t="n">
        <v>587.05</v>
      </c>
      <c r="R4029" s="9" t="n">
        <v>734.02</v>
      </c>
      <c r="S4029" s="9" t="n">
        <v>590.89</v>
      </c>
      <c r="T4029" s="9" t="n">
        <v>601.78</v>
      </c>
      <c r="U4029" s="10">
        <f>SUM(I4029:T4029)</f>
        <v/>
      </c>
    </row>
    <row r="4030">
      <c r="A4030" s="2" t="inlineStr">
        <is>
          <t>SN-3000-3600-3630-3630HE0139</t>
        </is>
      </c>
      <c r="B4030" s="2" t="inlineStr">
        <is>
          <t>3630HE0139</t>
        </is>
      </c>
      <c r="C4030" s="2" t="inlineStr">
        <is>
          <t>Calefactor eléctrico HE0139</t>
        </is>
      </c>
      <c r="D4030" s="2" t="n">
        <v>1343</v>
      </c>
      <c r="E4030" s="2" t="inlineStr">
        <is>
          <t>CC-3000</t>
        </is>
      </c>
      <c r="F4030" s="2" t="inlineStr">
        <is>
          <t>P01</t>
        </is>
      </c>
      <c r="G4030" s="2" t="n">
        <v>630000</v>
      </c>
      <c r="H4030" s="2" t="inlineStr">
        <is>
          <t>Servicios externos</t>
        </is>
      </c>
      <c r="I4030" s="9" t="n">
        <v>716.0599999999999</v>
      </c>
      <c r="J4030" s="9" t="n">
        <v>717.49</v>
      </c>
      <c r="K4030" s="9" t="n">
        <v>723.96</v>
      </c>
      <c r="L4030" s="9" t="n">
        <v>801.04</v>
      </c>
      <c r="M4030" s="9" t="n">
        <v>710.9</v>
      </c>
      <c r="N4030" s="9" t="n">
        <v>737.34</v>
      </c>
      <c r="O4030" s="9" t="n">
        <v>792.11</v>
      </c>
      <c r="P4030" s="9" t="n">
        <v>790.21</v>
      </c>
      <c r="Q4030" s="9" t="n">
        <v>690.39</v>
      </c>
      <c r="R4030" s="9" t="n">
        <v>858.26</v>
      </c>
      <c r="S4030" s="9" t="n">
        <v>732.98</v>
      </c>
      <c r="T4030" s="9" t="n">
        <v>705.13</v>
      </c>
      <c r="U4030" s="10">
        <f>SUM(I4030:T4030)</f>
        <v/>
      </c>
    </row>
    <row r="4031">
      <c r="A4031" s="2" t="inlineStr">
        <is>
          <t>SN-3000-3600-3630-3630HE0140</t>
        </is>
      </c>
      <c r="B4031" s="2" t="inlineStr">
        <is>
          <t>3630HE0140</t>
        </is>
      </c>
      <c r="C4031" s="2" t="inlineStr">
        <is>
          <t>Calefactor eléctrico HE0140</t>
        </is>
      </c>
      <c r="D4031" s="2" t="n">
        <v>1344</v>
      </c>
      <c r="E4031" s="2" t="inlineStr">
        <is>
          <t>CC-3000</t>
        </is>
      </c>
      <c r="F4031" s="2" t="inlineStr">
        <is>
          <t>P01</t>
        </is>
      </c>
      <c r="G4031" s="2" t="n">
        <v>610000</v>
      </c>
      <c r="H4031" s="2" t="inlineStr">
        <is>
          <t>Mano obra interna</t>
        </is>
      </c>
      <c r="I4031" s="9" t="n">
        <v>1130.32</v>
      </c>
      <c r="J4031" s="9" t="n">
        <v>1035.06</v>
      </c>
      <c r="K4031" s="9" t="n">
        <v>1201.55</v>
      </c>
      <c r="L4031" s="9" t="n">
        <v>1159.98</v>
      </c>
      <c r="M4031" s="9" t="n">
        <v>1168.64</v>
      </c>
      <c r="N4031" s="9" t="n">
        <v>1119.64</v>
      </c>
      <c r="O4031" s="9" t="n">
        <v>1081.27</v>
      </c>
      <c r="P4031" s="9" t="n">
        <v>1068.63</v>
      </c>
      <c r="Q4031" s="9" t="n">
        <v>1074.65</v>
      </c>
      <c r="R4031" s="9" t="n">
        <v>1214.16</v>
      </c>
      <c r="S4031" s="9" t="n">
        <v>1003.14</v>
      </c>
      <c r="T4031" s="9" t="n">
        <v>1071.81</v>
      </c>
      <c r="U4031" s="10">
        <f>SUM(I4031:T4031)</f>
        <v/>
      </c>
    </row>
    <row r="4032">
      <c r="A4032" s="2" t="inlineStr">
        <is>
          <t>SN-3000-3600-3630-3630HE0140</t>
        </is>
      </c>
      <c r="B4032" s="2" t="inlineStr">
        <is>
          <t>3630HE0140</t>
        </is>
      </c>
      <c r="C4032" s="2" t="inlineStr">
        <is>
          <t>Calefactor eléctrico HE0140</t>
        </is>
      </c>
      <c r="D4032" s="2" t="n">
        <v>1344</v>
      </c>
      <c r="E4032" s="2" t="inlineStr">
        <is>
          <t>CC-3000</t>
        </is>
      </c>
      <c r="F4032" s="2" t="inlineStr">
        <is>
          <t>P01</t>
        </is>
      </c>
      <c r="G4032" s="2" t="n">
        <v>620000</v>
      </c>
      <c r="H4032" s="2" t="inlineStr">
        <is>
          <t>Materiales</t>
        </is>
      </c>
      <c r="I4032" s="9" t="n">
        <v>901.46</v>
      </c>
      <c r="J4032" s="9" t="n">
        <v>800.54</v>
      </c>
      <c r="K4032" s="9" t="n">
        <v>856.09</v>
      </c>
      <c r="L4032" s="9" t="n">
        <v>896.1900000000001</v>
      </c>
      <c r="M4032" s="9" t="n">
        <v>810.96</v>
      </c>
      <c r="N4032" s="9" t="n">
        <v>798.77</v>
      </c>
      <c r="O4032" s="9" t="n">
        <v>927.62</v>
      </c>
      <c r="P4032" s="9" t="n">
        <v>897.33</v>
      </c>
      <c r="Q4032" s="9" t="n">
        <v>785.33</v>
      </c>
      <c r="R4032" s="9" t="n">
        <v>995.5</v>
      </c>
      <c r="S4032" s="9" t="n">
        <v>809.0700000000001</v>
      </c>
      <c r="T4032" s="9" t="n">
        <v>896.0599999999999</v>
      </c>
      <c r="U4032" s="10">
        <f>SUM(I4032:T4032)</f>
        <v/>
      </c>
    </row>
    <row r="4033">
      <c r="A4033" s="2" t="inlineStr">
        <is>
          <t>SN-3000-3600-3630-3630HE0140</t>
        </is>
      </c>
      <c r="B4033" s="2" t="inlineStr">
        <is>
          <t>3630HE0140</t>
        </is>
      </c>
      <c r="C4033" s="2" t="inlineStr">
        <is>
          <t>Calefactor eléctrico HE0140</t>
        </is>
      </c>
      <c r="D4033" s="2" t="n">
        <v>1344</v>
      </c>
      <c r="E4033" s="2" t="inlineStr">
        <is>
          <t>CC-3000</t>
        </is>
      </c>
      <c r="F4033" s="2" t="inlineStr">
        <is>
          <t>P01</t>
        </is>
      </c>
      <c r="G4033" s="2" t="n">
        <v>630000</v>
      </c>
      <c r="H4033" s="2" t="inlineStr">
        <is>
          <t>Servicios externos</t>
        </is>
      </c>
      <c r="I4033" s="9" t="n">
        <v>973.99</v>
      </c>
      <c r="J4033" s="9" t="n">
        <v>884.65</v>
      </c>
      <c r="K4033" s="9" t="n">
        <v>908.1</v>
      </c>
      <c r="L4033" s="9" t="n">
        <v>953.47</v>
      </c>
      <c r="M4033" s="9" t="n">
        <v>943.24</v>
      </c>
      <c r="N4033" s="9" t="n">
        <v>881.91</v>
      </c>
      <c r="O4033" s="9" t="n">
        <v>949.26</v>
      </c>
      <c r="P4033" s="9" t="n">
        <v>904.98</v>
      </c>
      <c r="Q4033" s="9" t="n">
        <v>894.0599999999999</v>
      </c>
      <c r="R4033" s="9" t="n">
        <v>1002.48</v>
      </c>
      <c r="S4033" s="9" t="n">
        <v>844.66</v>
      </c>
      <c r="T4033" s="9" t="n">
        <v>988.9</v>
      </c>
      <c r="U4033" s="10">
        <f>SUM(I4033:T4033)</f>
        <v/>
      </c>
    </row>
    <row r="4034">
      <c r="A4034" s="2" t="inlineStr">
        <is>
          <t>SN-3000-3600-3630-3630HE0141</t>
        </is>
      </c>
      <c r="B4034" s="2" t="inlineStr">
        <is>
          <t>3630HE0141</t>
        </is>
      </c>
      <c r="C4034" s="2" t="inlineStr">
        <is>
          <t>Calefactor eléctrico HE0141</t>
        </is>
      </c>
      <c r="D4034" s="2" t="n">
        <v>1345</v>
      </c>
      <c r="E4034" s="2" t="inlineStr">
        <is>
          <t>CC-3000</t>
        </is>
      </c>
      <c r="F4034" s="2" t="inlineStr">
        <is>
          <t>P01</t>
        </is>
      </c>
      <c r="G4034" s="2" t="n">
        <v>610000</v>
      </c>
      <c r="H4034" s="2" t="inlineStr">
        <is>
          <t>Mano obra interna</t>
        </is>
      </c>
      <c r="I4034" s="9" t="n">
        <v>2590.6</v>
      </c>
      <c r="J4034" s="9" t="n">
        <v>2352.27</v>
      </c>
      <c r="K4034" s="9" t="n">
        <v>2505.63</v>
      </c>
      <c r="L4034" s="9" t="n">
        <v>2554.89</v>
      </c>
      <c r="M4034" s="9" t="n">
        <v>2170.56</v>
      </c>
      <c r="N4034" s="9" t="n">
        <v>2407.53</v>
      </c>
      <c r="O4034" s="9" t="n">
        <v>2276.89</v>
      </c>
      <c r="P4034" s="9" t="n">
        <v>2193.29</v>
      </c>
      <c r="Q4034" s="9" t="n">
        <v>2106.74</v>
      </c>
      <c r="R4034" s="9" t="n">
        <v>2582.82</v>
      </c>
      <c r="S4034" s="9" t="n">
        <v>2121.46</v>
      </c>
      <c r="T4034" s="9" t="n">
        <v>2205.93</v>
      </c>
      <c r="U4034" s="10">
        <f>SUM(I4034:T4034)</f>
        <v/>
      </c>
    </row>
    <row r="4035">
      <c r="A4035" s="2" t="inlineStr">
        <is>
          <t>SN-3000-3600-3630-3630HE0141</t>
        </is>
      </c>
      <c r="B4035" s="2" t="inlineStr">
        <is>
          <t>3630HE0141</t>
        </is>
      </c>
      <c r="C4035" s="2" t="inlineStr">
        <is>
          <t>Calefactor eléctrico HE0141</t>
        </is>
      </c>
      <c r="D4035" s="2" t="n">
        <v>1345</v>
      </c>
      <c r="E4035" s="2" t="inlineStr">
        <is>
          <t>CC-3000</t>
        </is>
      </c>
      <c r="F4035" s="2" t="inlineStr">
        <is>
          <t>P01</t>
        </is>
      </c>
      <c r="G4035" s="2" t="n">
        <v>620000</v>
      </c>
      <c r="H4035" s="2" t="inlineStr">
        <is>
          <t>Materiales</t>
        </is>
      </c>
      <c r="I4035" s="9" t="n">
        <v>2202.89</v>
      </c>
      <c r="J4035" s="9" t="n">
        <v>2259.17</v>
      </c>
      <c r="K4035" s="9" t="n">
        <v>2155.91</v>
      </c>
      <c r="L4035" s="9" t="n">
        <v>2144.09</v>
      </c>
      <c r="M4035" s="9" t="n">
        <v>2006.2</v>
      </c>
      <c r="N4035" s="9" t="n">
        <v>2091.42</v>
      </c>
      <c r="O4035" s="9" t="n">
        <v>2128.44</v>
      </c>
      <c r="P4035" s="9" t="n">
        <v>2116.78</v>
      </c>
      <c r="Q4035" s="9" t="n">
        <v>2010.12</v>
      </c>
      <c r="R4035" s="9" t="n">
        <v>2475.82</v>
      </c>
      <c r="S4035" s="9" t="n">
        <v>1971.74</v>
      </c>
      <c r="T4035" s="9" t="n">
        <v>2214.74</v>
      </c>
      <c r="U4035" s="10">
        <f>SUM(I4035:T4035)</f>
        <v/>
      </c>
    </row>
    <row r="4036">
      <c r="A4036" s="2" t="inlineStr">
        <is>
          <t>SN-3000-3600-3630-3630HE0141</t>
        </is>
      </c>
      <c r="B4036" s="2" t="inlineStr">
        <is>
          <t>3630HE0141</t>
        </is>
      </c>
      <c r="C4036" s="2" t="inlineStr">
        <is>
          <t>Calefactor eléctrico HE0141</t>
        </is>
      </c>
      <c r="D4036" s="2" t="n">
        <v>1345</v>
      </c>
      <c r="E4036" s="2" t="inlineStr">
        <is>
          <t>CC-3000</t>
        </is>
      </c>
      <c r="F4036" s="2" t="inlineStr">
        <is>
          <t>P01</t>
        </is>
      </c>
      <c r="G4036" s="2" t="n">
        <v>630000</v>
      </c>
      <c r="H4036" s="2" t="inlineStr">
        <is>
          <t>Servicios externos</t>
        </is>
      </c>
      <c r="I4036" s="9" t="n">
        <v>1814.96</v>
      </c>
      <c r="J4036" s="9" t="n">
        <v>1764</v>
      </c>
      <c r="K4036" s="9" t="n">
        <v>1910.14</v>
      </c>
      <c r="L4036" s="9" t="n">
        <v>1903.04</v>
      </c>
      <c r="M4036" s="9" t="n">
        <v>1954.01</v>
      </c>
      <c r="N4036" s="9" t="n">
        <v>1893.57</v>
      </c>
      <c r="O4036" s="9" t="n">
        <v>1890.35</v>
      </c>
      <c r="P4036" s="9" t="n">
        <v>1797.13</v>
      </c>
      <c r="Q4036" s="9" t="n">
        <v>1823.22</v>
      </c>
      <c r="R4036" s="9" t="n">
        <v>2104</v>
      </c>
      <c r="S4036" s="9" t="n">
        <v>1890.15</v>
      </c>
      <c r="T4036" s="9" t="n">
        <v>1744.97</v>
      </c>
      <c r="U4036" s="10">
        <f>SUM(I4036:T4036)</f>
        <v/>
      </c>
    </row>
    <row r="4037">
      <c r="A4037" s="2" t="inlineStr">
        <is>
          <t>SN-3000-3600-3630-3630HT0048</t>
        </is>
      </c>
      <c r="B4037" s="2" t="inlineStr">
        <is>
          <t>3630HT0048</t>
        </is>
      </c>
      <c r="C4037" s="2" t="inlineStr">
        <is>
          <t>Tecle manual HT0048</t>
        </is>
      </c>
      <c r="D4037" s="2" t="n">
        <v>1346</v>
      </c>
      <c r="E4037" s="2" t="inlineStr">
        <is>
          <t>CC-3000</t>
        </is>
      </c>
      <c r="F4037" s="2" t="inlineStr">
        <is>
          <t>P01</t>
        </is>
      </c>
      <c r="G4037" s="2" t="n">
        <v>610000</v>
      </c>
      <c r="H4037" s="2" t="inlineStr">
        <is>
          <t>Mano obra interna</t>
        </is>
      </c>
      <c r="I4037" s="9" t="n">
        <v>1207.44</v>
      </c>
      <c r="J4037" s="9" t="n">
        <v>1121.17</v>
      </c>
      <c r="K4037" s="9" t="n">
        <v>1201.45</v>
      </c>
      <c r="L4037" s="9" t="n">
        <v>1194.84</v>
      </c>
      <c r="M4037" s="9" t="n">
        <v>1109.18</v>
      </c>
      <c r="N4037" s="9" t="n">
        <v>1124.12</v>
      </c>
      <c r="O4037" s="9" t="n">
        <v>1172.49</v>
      </c>
      <c r="P4037" s="9" t="n">
        <v>1193.24</v>
      </c>
      <c r="Q4037" s="9" t="n">
        <v>1112.47</v>
      </c>
      <c r="R4037" s="9" t="n">
        <v>1213.14</v>
      </c>
      <c r="S4037" s="9" t="n">
        <v>1002.59</v>
      </c>
      <c r="T4037" s="9" t="n">
        <v>1048.8</v>
      </c>
      <c r="U4037" s="10">
        <f>SUM(I4037:T4037)</f>
        <v/>
      </c>
    </row>
    <row r="4038">
      <c r="A4038" s="2" t="inlineStr">
        <is>
          <t>SN-3000-3600-3630-3630HT0048</t>
        </is>
      </c>
      <c r="B4038" s="2" t="inlineStr">
        <is>
          <t>3630HT0048</t>
        </is>
      </c>
      <c r="C4038" s="2" t="inlineStr">
        <is>
          <t>Tecle manual HT0048</t>
        </is>
      </c>
      <c r="D4038" s="2" t="n">
        <v>1346</v>
      </c>
      <c r="E4038" s="2" t="inlineStr">
        <is>
          <t>CC-3000</t>
        </is>
      </c>
      <c r="F4038" s="2" t="inlineStr">
        <is>
          <t>P01</t>
        </is>
      </c>
      <c r="G4038" s="2" t="n">
        <v>620000</v>
      </c>
      <c r="H4038" s="2" t="inlineStr">
        <is>
          <t>Materiales</t>
        </is>
      </c>
      <c r="I4038" s="9" t="n">
        <v>1155.85</v>
      </c>
      <c r="J4038" s="9" t="n">
        <v>1122.46</v>
      </c>
      <c r="K4038" s="9" t="n">
        <v>1193.5</v>
      </c>
      <c r="L4038" s="9" t="n">
        <v>1143.6</v>
      </c>
      <c r="M4038" s="9" t="n">
        <v>1167.11</v>
      </c>
      <c r="N4038" s="9" t="n">
        <v>1162.04</v>
      </c>
      <c r="O4038" s="9" t="n">
        <v>1117.87</v>
      </c>
      <c r="P4038" s="9" t="n">
        <v>1206.8</v>
      </c>
      <c r="Q4038" s="9" t="n">
        <v>1111.92</v>
      </c>
      <c r="R4038" s="9" t="n">
        <v>1258.8</v>
      </c>
      <c r="S4038" s="9" t="n">
        <v>1093.94</v>
      </c>
      <c r="T4038" s="9" t="n">
        <v>1250.12</v>
      </c>
      <c r="U4038" s="10">
        <f>SUM(I4038:T4038)</f>
        <v/>
      </c>
    </row>
    <row r="4039">
      <c r="A4039" s="2" t="inlineStr">
        <is>
          <t>SN-3000-3600-3630-3630HT0048</t>
        </is>
      </c>
      <c r="B4039" s="2" t="inlineStr">
        <is>
          <t>3630HT0048</t>
        </is>
      </c>
      <c r="C4039" s="2" t="inlineStr">
        <is>
          <t>Tecle manual HT0048</t>
        </is>
      </c>
      <c r="D4039" s="2" t="n">
        <v>1346</v>
      </c>
      <c r="E4039" s="2" t="inlineStr">
        <is>
          <t>CC-3000</t>
        </is>
      </c>
      <c r="F4039" s="2" t="inlineStr">
        <is>
          <t>P01</t>
        </is>
      </c>
      <c r="G4039" s="2" t="n">
        <v>630000</v>
      </c>
      <c r="H4039" s="2" t="inlineStr">
        <is>
          <t>Servicios externos</t>
        </is>
      </c>
      <c r="I4039" s="9" t="n">
        <v>1016.64</v>
      </c>
      <c r="J4039" s="9" t="n">
        <v>1023.51</v>
      </c>
      <c r="K4039" s="9" t="n">
        <v>1118.93</v>
      </c>
      <c r="L4039" s="9" t="n">
        <v>1040</v>
      </c>
      <c r="M4039" s="9" t="n">
        <v>1041.58</v>
      </c>
      <c r="N4039" s="9" t="n">
        <v>964.91</v>
      </c>
      <c r="O4039" s="9" t="n">
        <v>970.98</v>
      </c>
      <c r="P4039" s="9" t="n">
        <v>954.4</v>
      </c>
      <c r="Q4039" s="9" t="n">
        <v>890.97</v>
      </c>
      <c r="R4039" s="9" t="n">
        <v>1012.02</v>
      </c>
      <c r="S4039" s="9" t="n">
        <v>992.13</v>
      </c>
      <c r="T4039" s="9" t="n">
        <v>970.48</v>
      </c>
      <c r="U4039" s="10">
        <f>SUM(I4039:T4039)</f>
        <v/>
      </c>
    </row>
    <row r="4040">
      <c r="A4040" s="2" t="inlineStr">
        <is>
          <t>SN-3000-3600-3630-3630HT0049</t>
        </is>
      </c>
      <c r="B4040" s="2" t="inlineStr">
        <is>
          <t>3630HT0049</t>
        </is>
      </c>
      <c r="C4040" s="2" t="inlineStr">
        <is>
          <t>Tecle manual HT0049</t>
        </is>
      </c>
      <c r="D4040" s="2" t="n">
        <v>1347</v>
      </c>
      <c r="E4040" s="2" t="inlineStr">
        <is>
          <t>CC-3000</t>
        </is>
      </c>
      <c r="F4040" s="2" t="inlineStr">
        <is>
          <t>P01</t>
        </is>
      </c>
      <c r="G4040" s="2" t="n">
        <v>610000</v>
      </c>
      <c r="H4040" s="2" t="inlineStr">
        <is>
          <t>Mano obra interna</t>
        </is>
      </c>
      <c r="I4040" s="9" t="n">
        <v>1436.89</v>
      </c>
      <c r="J4040" s="9" t="n">
        <v>1285.96</v>
      </c>
      <c r="K4040" s="9" t="n">
        <v>1337.08</v>
      </c>
      <c r="L4040" s="9" t="n">
        <v>1302.94</v>
      </c>
      <c r="M4040" s="9" t="n">
        <v>1321.64</v>
      </c>
      <c r="N4040" s="9" t="n">
        <v>1270.79</v>
      </c>
      <c r="O4040" s="9" t="n">
        <v>1274.43</v>
      </c>
      <c r="P4040" s="9" t="n">
        <v>1272.86</v>
      </c>
      <c r="Q4040" s="9" t="n">
        <v>1244.46</v>
      </c>
      <c r="R4040" s="9" t="n">
        <v>1421.36</v>
      </c>
      <c r="S4040" s="9" t="n">
        <v>1309.1</v>
      </c>
      <c r="T4040" s="9" t="n">
        <v>1419.64</v>
      </c>
      <c r="U4040" s="10">
        <f>SUM(I4040:T4040)</f>
        <v/>
      </c>
    </row>
    <row r="4041">
      <c r="A4041" s="2" t="inlineStr">
        <is>
          <t>SN-3000-3600-3630-3630HT0049</t>
        </is>
      </c>
      <c r="B4041" s="2" t="inlineStr">
        <is>
          <t>3630HT0049</t>
        </is>
      </c>
      <c r="C4041" s="2" t="inlineStr">
        <is>
          <t>Tecle manual HT0049</t>
        </is>
      </c>
      <c r="D4041" s="2" t="n">
        <v>1347</v>
      </c>
      <c r="E4041" s="2" t="inlineStr">
        <is>
          <t>CC-3000</t>
        </is>
      </c>
      <c r="F4041" s="2" t="inlineStr">
        <is>
          <t>P01</t>
        </is>
      </c>
      <c r="G4041" s="2" t="n">
        <v>620000</v>
      </c>
      <c r="H4041" s="2" t="inlineStr">
        <is>
          <t>Materiales</t>
        </is>
      </c>
      <c r="I4041" s="9" t="n">
        <v>1242.72</v>
      </c>
      <c r="J4041" s="9" t="n">
        <v>1288.96</v>
      </c>
      <c r="K4041" s="9" t="n">
        <v>1286.08</v>
      </c>
      <c r="L4041" s="9" t="n">
        <v>1341.44</v>
      </c>
      <c r="M4041" s="9" t="n">
        <v>1320.6</v>
      </c>
      <c r="N4041" s="9" t="n">
        <v>1153.4</v>
      </c>
      <c r="O4041" s="9" t="n">
        <v>1204.67</v>
      </c>
      <c r="P4041" s="9" t="n">
        <v>1242.2</v>
      </c>
      <c r="Q4041" s="9" t="n">
        <v>1085.87</v>
      </c>
      <c r="R4041" s="9" t="n">
        <v>1395.5</v>
      </c>
      <c r="S4041" s="9" t="n">
        <v>1265.15</v>
      </c>
      <c r="T4041" s="9" t="n">
        <v>1243.8</v>
      </c>
      <c r="U4041" s="10">
        <f>SUM(I4041:T4041)</f>
        <v/>
      </c>
    </row>
    <row r="4042">
      <c r="A4042" s="2" t="inlineStr">
        <is>
          <t>SN-3000-3600-3630-3630HT0049</t>
        </is>
      </c>
      <c r="B4042" s="2" t="inlineStr">
        <is>
          <t>3630HT0049</t>
        </is>
      </c>
      <c r="C4042" s="2" t="inlineStr">
        <is>
          <t>Tecle manual HT0049</t>
        </is>
      </c>
      <c r="D4042" s="2" t="n">
        <v>1347</v>
      </c>
      <c r="E4042" s="2" t="inlineStr">
        <is>
          <t>CC-3000</t>
        </is>
      </c>
      <c r="F4042" s="2" t="inlineStr">
        <is>
          <t>P01</t>
        </is>
      </c>
      <c r="G4042" s="2" t="n">
        <v>630000</v>
      </c>
      <c r="H4042" s="2" t="inlineStr">
        <is>
          <t>Servicios externos</t>
        </is>
      </c>
      <c r="I4042" s="9" t="n">
        <v>1181.84</v>
      </c>
      <c r="J4042" s="9" t="n">
        <v>1047.25</v>
      </c>
      <c r="K4042" s="9" t="n">
        <v>1217.12</v>
      </c>
      <c r="L4042" s="9" t="n">
        <v>1171.35</v>
      </c>
      <c r="M4042" s="9" t="n">
        <v>1151.86</v>
      </c>
      <c r="N4042" s="9" t="n">
        <v>1130.15</v>
      </c>
      <c r="O4042" s="9" t="n">
        <v>1173.8</v>
      </c>
      <c r="P4042" s="9" t="n">
        <v>1066.52</v>
      </c>
      <c r="Q4042" s="9" t="n">
        <v>1110.36</v>
      </c>
      <c r="R4042" s="9" t="n">
        <v>1252.38</v>
      </c>
      <c r="S4042" s="9" t="n">
        <v>1142.75</v>
      </c>
      <c r="T4042" s="9" t="n">
        <v>1113.96</v>
      </c>
      <c r="U4042" s="10">
        <f>SUM(I4042:T4042)</f>
        <v/>
      </c>
    </row>
    <row r="4043">
      <c r="A4043" s="2" t="inlineStr">
        <is>
          <t>SN-3000-3600-3630-3630PL0001</t>
        </is>
      </c>
      <c r="B4043" s="2" t="inlineStr">
        <is>
          <t>3630PL0001</t>
        </is>
      </c>
      <c r="C4043" s="2" t="inlineStr">
        <is>
          <t>Válvula control relaves HV4506</t>
        </is>
      </c>
      <c r="D4043" s="2" t="n">
        <v>1348</v>
      </c>
      <c r="E4043" s="2" t="inlineStr">
        <is>
          <t>CC-3000</t>
        </is>
      </c>
      <c r="F4043" s="2" t="inlineStr">
        <is>
          <t>P01</t>
        </is>
      </c>
      <c r="G4043" s="2" t="n">
        <v>610000</v>
      </c>
      <c r="H4043" s="2" t="inlineStr">
        <is>
          <t>Mano obra interna</t>
        </is>
      </c>
      <c r="I4043" s="9" t="n">
        <v>1252.71</v>
      </c>
      <c r="J4043" s="9" t="n">
        <v>1128.48</v>
      </c>
      <c r="K4043" s="9" t="n">
        <v>1217.69</v>
      </c>
      <c r="L4043" s="9" t="n">
        <v>1201.83</v>
      </c>
      <c r="M4043" s="9" t="n">
        <v>1169.95</v>
      </c>
      <c r="N4043" s="9" t="n">
        <v>1038.24</v>
      </c>
      <c r="O4043" s="9" t="n">
        <v>1129.93</v>
      </c>
      <c r="P4043" s="9" t="n">
        <v>1084.57</v>
      </c>
      <c r="Q4043" s="9" t="n">
        <v>1082.22</v>
      </c>
      <c r="R4043" s="9" t="n">
        <v>1338.67</v>
      </c>
      <c r="S4043" s="9" t="n">
        <v>1109.01</v>
      </c>
      <c r="T4043" s="9" t="n">
        <v>1237.09</v>
      </c>
      <c r="U4043" s="10">
        <f>SUM(I4043:T4043)</f>
        <v/>
      </c>
    </row>
    <row r="4044">
      <c r="A4044" s="2" t="inlineStr">
        <is>
          <t>SN-3000-3600-3630-3630PL0001</t>
        </is>
      </c>
      <c r="B4044" s="2" t="inlineStr">
        <is>
          <t>3630PL0001</t>
        </is>
      </c>
      <c r="C4044" s="2" t="inlineStr">
        <is>
          <t>Válvula control relaves HV4506</t>
        </is>
      </c>
      <c r="D4044" s="2" t="n">
        <v>1348</v>
      </c>
      <c r="E4044" s="2" t="inlineStr">
        <is>
          <t>CC-3000</t>
        </is>
      </c>
      <c r="F4044" s="2" t="inlineStr">
        <is>
          <t>P01</t>
        </is>
      </c>
      <c r="G4044" s="2" t="n">
        <v>620000</v>
      </c>
      <c r="H4044" s="2" t="inlineStr">
        <is>
          <t>Materiales</t>
        </is>
      </c>
      <c r="I4044" s="9" t="n">
        <v>1249.7</v>
      </c>
      <c r="J4044" s="9" t="n">
        <v>1125.93</v>
      </c>
      <c r="K4044" s="9" t="n">
        <v>1167.13</v>
      </c>
      <c r="L4044" s="9" t="n">
        <v>1221.09</v>
      </c>
      <c r="M4044" s="9" t="n">
        <v>1148.52</v>
      </c>
      <c r="N4044" s="9" t="n">
        <v>1078.46</v>
      </c>
      <c r="O4044" s="9" t="n">
        <v>1076.76</v>
      </c>
      <c r="P4044" s="9" t="n">
        <v>1095.57</v>
      </c>
      <c r="Q4044" s="9" t="n">
        <v>1125.08</v>
      </c>
      <c r="R4044" s="9" t="n">
        <v>1333.07</v>
      </c>
      <c r="S4044" s="9" t="n">
        <v>1061.77</v>
      </c>
      <c r="T4044" s="9" t="n">
        <v>1188.41</v>
      </c>
      <c r="U4044" s="10">
        <f>SUM(I4044:T4044)</f>
        <v/>
      </c>
    </row>
    <row r="4045">
      <c r="A4045" s="2" t="inlineStr">
        <is>
          <t>SN-3000-3600-3630-3630PL0001</t>
        </is>
      </c>
      <c r="B4045" s="2" t="inlineStr">
        <is>
          <t>3630PL0001</t>
        </is>
      </c>
      <c r="C4045" s="2" t="inlineStr">
        <is>
          <t>Válvula control relaves HV4506</t>
        </is>
      </c>
      <c r="D4045" s="2" t="n">
        <v>1348</v>
      </c>
      <c r="E4045" s="2" t="inlineStr">
        <is>
          <t>CC-3000</t>
        </is>
      </c>
      <c r="F4045" s="2" t="inlineStr">
        <is>
          <t>P01</t>
        </is>
      </c>
      <c r="G4045" s="2" t="n">
        <v>630000</v>
      </c>
      <c r="H4045" s="2" t="inlineStr">
        <is>
          <t>Servicios externos</t>
        </is>
      </c>
      <c r="I4045" s="9" t="n">
        <v>1056.15</v>
      </c>
      <c r="J4045" s="9" t="n">
        <v>1045.55</v>
      </c>
      <c r="K4045" s="9" t="n">
        <v>1145.94</v>
      </c>
      <c r="L4045" s="9" t="n">
        <v>1014.2</v>
      </c>
      <c r="M4045" s="9" t="n">
        <v>1106.99</v>
      </c>
      <c r="N4045" s="9" t="n">
        <v>974.6900000000001</v>
      </c>
      <c r="O4045" s="9" t="n">
        <v>1115.35</v>
      </c>
      <c r="P4045" s="9" t="n">
        <v>1091.07</v>
      </c>
      <c r="Q4045" s="9" t="n">
        <v>970.83</v>
      </c>
      <c r="R4045" s="9" t="n">
        <v>1195.67</v>
      </c>
      <c r="S4045" s="9" t="n">
        <v>992.5</v>
      </c>
      <c r="T4045" s="9" t="n">
        <v>1037.58</v>
      </c>
      <c r="U4045" s="10">
        <f>SUM(I4045:T4045)</f>
        <v/>
      </c>
    </row>
    <row r="4046">
      <c r="A4046" s="2" t="inlineStr">
        <is>
          <t>SN-3000-3600-3630-3630PL0002</t>
        </is>
      </c>
      <c r="B4046" s="2" t="inlineStr">
        <is>
          <t>3630PL0002</t>
        </is>
      </c>
      <c r="C4046" s="2" t="inlineStr">
        <is>
          <t>Válvula control relaves HV4513</t>
        </is>
      </c>
      <c r="D4046" s="2" t="n">
        <v>1349</v>
      </c>
      <c r="E4046" s="2" t="inlineStr">
        <is>
          <t>CC-3000</t>
        </is>
      </c>
      <c r="F4046" s="2" t="inlineStr">
        <is>
          <t>P01</t>
        </is>
      </c>
      <c r="G4046" s="2" t="n">
        <v>610000</v>
      </c>
      <c r="H4046" s="2" t="inlineStr">
        <is>
          <t>Mano obra interna</t>
        </is>
      </c>
      <c r="I4046" s="9" t="n">
        <v>127.97</v>
      </c>
      <c r="J4046" s="9" t="n">
        <v>117.52</v>
      </c>
      <c r="K4046" s="9" t="n">
        <v>129.88</v>
      </c>
      <c r="L4046" s="9" t="n">
        <v>120.13</v>
      </c>
      <c r="M4046" s="9" t="n">
        <v>119.25</v>
      </c>
      <c r="N4046" s="9" t="n">
        <v>130.37</v>
      </c>
      <c r="O4046" s="9" t="n">
        <v>133.63</v>
      </c>
      <c r="P4046" s="9" t="n">
        <v>122.06</v>
      </c>
      <c r="Q4046" s="9" t="n">
        <v>122.87</v>
      </c>
      <c r="R4046" s="9" t="n">
        <v>141.25</v>
      </c>
      <c r="S4046" s="9" t="n">
        <v>117.08</v>
      </c>
      <c r="T4046" s="9" t="n">
        <v>126.76</v>
      </c>
      <c r="U4046" s="10">
        <f>SUM(I4046:T4046)</f>
        <v/>
      </c>
    </row>
    <row r="4047">
      <c r="A4047" s="2" t="inlineStr">
        <is>
          <t>SN-3000-3600-3630-3630PL0002</t>
        </is>
      </c>
      <c r="B4047" s="2" t="inlineStr">
        <is>
          <t>3630PL0002</t>
        </is>
      </c>
      <c r="C4047" s="2" t="inlineStr">
        <is>
          <t>Válvula control relaves HV4513</t>
        </is>
      </c>
      <c r="D4047" s="2" t="n">
        <v>1349</v>
      </c>
      <c r="E4047" s="2" t="inlineStr">
        <is>
          <t>CC-3000</t>
        </is>
      </c>
      <c r="F4047" s="2" t="inlineStr">
        <is>
          <t>P01</t>
        </is>
      </c>
      <c r="G4047" s="2" t="n">
        <v>620000</v>
      </c>
      <c r="H4047" s="2" t="inlineStr">
        <is>
          <t>Materiales</t>
        </is>
      </c>
      <c r="I4047" s="9" t="n">
        <v>166.35</v>
      </c>
      <c r="J4047" s="9" t="n">
        <v>161.02</v>
      </c>
      <c r="K4047" s="9" t="n">
        <v>163.58</v>
      </c>
      <c r="L4047" s="9" t="n">
        <v>164.67</v>
      </c>
      <c r="M4047" s="9" t="n">
        <v>155.55</v>
      </c>
      <c r="N4047" s="9" t="n">
        <v>155.85</v>
      </c>
      <c r="O4047" s="9" t="n">
        <v>162.87</v>
      </c>
      <c r="P4047" s="9" t="n">
        <v>145.07</v>
      </c>
      <c r="Q4047" s="9" t="n">
        <v>149.19</v>
      </c>
      <c r="R4047" s="9" t="n">
        <v>172.78</v>
      </c>
      <c r="S4047" s="9" t="n">
        <v>141.43</v>
      </c>
      <c r="T4047" s="9" t="n">
        <v>157</v>
      </c>
      <c r="U4047" s="10">
        <f>SUM(I4047:T4047)</f>
        <v/>
      </c>
    </row>
    <row r="4048">
      <c r="A4048" s="2" t="inlineStr">
        <is>
          <t>SN-3000-3600-3630-3630PL0002</t>
        </is>
      </c>
      <c r="B4048" s="2" t="inlineStr">
        <is>
          <t>3630PL0002</t>
        </is>
      </c>
      <c r="C4048" s="2" t="inlineStr">
        <is>
          <t>Válvula control relaves HV4513</t>
        </is>
      </c>
      <c r="D4048" s="2" t="n">
        <v>1349</v>
      </c>
      <c r="E4048" s="2" t="inlineStr">
        <is>
          <t>CC-3000</t>
        </is>
      </c>
      <c r="F4048" s="2" t="inlineStr">
        <is>
          <t>P01</t>
        </is>
      </c>
      <c r="G4048" s="2" t="n">
        <v>630000</v>
      </c>
      <c r="H4048" s="2" t="inlineStr">
        <is>
          <t>Servicios externos</t>
        </is>
      </c>
      <c r="I4048" s="9" t="n">
        <v>170.7</v>
      </c>
      <c r="J4048" s="9" t="n">
        <v>160.48</v>
      </c>
      <c r="K4048" s="9" t="n">
        <v>151.87</v>
      </c>
      <c r="L4048" s="9" t="n">
        <v>156.15</v>
      </c>
      <c r="M4048" s="9" t="n">
        <v>146.46</v>
      </c>
      <c r="N4048" s="9" t="n">
        <v>152.68</v>
      </c>
      <c r="O4048" s="9" t="n">
        <v>162.79</v>
      </c>
      <c r="P4048" s="9" t="n">
        <v>165.35</v>
      </c>
      <c r="Q4048" s="9" t="n">
        <v>153.5</v>
      </c>
      <c r="R4048" s="9" t="n">
        <v>157.35</v>
      </c>
      <c r="S4048" s="9" t="n">
        <v>141.89</v>
      </c>
      <c r="T4048" s="9" t="n">
        <v>168.59</v>
      </c>
      <c r="U4048" s="10">
        <f>SUM(I4048:T4048)</f>
        <v/>
      </c>
    </row>
    <row r="4049">
      <c r="A4049" s="2" t="inlineStr">
        <is>
          <t>SN-3000-3600-3630-3630PL0003</t>
        </is>
      </c>
      <c r="B4049" s="2" t="inlineStr">
        <is>
          <t>3630PL0003</t>
        </is>
      </c>
      <c r="C4049" s="2" t="inlineStr">
        <is>
          <t>Válvula control relaves HV4514</t>
        </is>
      </c>
      <c r="D4049" s="2" t="n">
        <v>1350</v>
      </c>
      <c r="E4049" s="2" t="inlineStr">
        <is>
          <t>CC-3000</t>
        </is>
      </c>
      <c r="F4049" s="2" t="inlineStr">
        <is>
          <t>P01</t>
        </is>
      </c>
      <c r="G4049" s="2" t="n">
        <v>610000</v>
      </c>
      <c r="H4049" s="2" t="inlineStr">
        <is>
          <t>Mano obra interna</t>
        </is>
      </c>
      <c r="I4049" s="9" t="n">
        <v>1295.85</v>
      </c>
      <c r="J4049" s="9" t="n">
        <v>1244.06</v>
      </c>
      <c r="K4049" s="9" t="n">
        <v>1329.04</v>
      </c>
      <c r="L4049" s="9" t="n">
        <v>1325.83</v>
      </c>
      <c r="M4049" s="9" t="n">
        <v>1214.55</v>
      </c>
      <c r="N4049" s="9" t="n">
        <v>1202.55</v>
      </c>
      <c r="O4049" s="9" t="n">
        <v>1302.54</v>
      </c>
      <c r="P4049" s="9" t="n">
        <v>1216.54</v>
      </c>
      <c r="Q4049" s="9" t="n">
        <v>1284.09</v>
      </c>
      <c r="R4049" s="9" t="n">
        <v>1329.82</v>
      </c>
      <c r="S4049" s="9" t="n">
        <v>1247.06</v>
      </c>
      <c r="T4049" s="9" t="n">
        <v>1307.68</v>
      </c>
      <c r="U4049" s="10">
        <f>SUM(I4049:T4049)</f>
        <v/>
      </c>
    </row>
    <row r="4050">
      <c r="A4050" s="2" t="inlineStr">
        <is>
          <t>SN-3000-3600-3630-3630PL0003</t>
        </is>
      </c>
      <c r="B4050" s="2" t="inlineStr">
        <is>
          <t>3630PL0003</t>
        </is>
      </c>
      <c r="C4050" s="2" t="inlineStr">
        <is>
          <t>Válvula control relaves HV4514</t>
        </is>
      </c>
      <c r="D4050" s="2" t="n">
        <v>1350</v>
      </c>
      <c r="E4050" s="2" t="inlineStr">
        <is>
          <t>CC-3000</t>
        </is>
      </c>
      <c r="F4050" s="2" t="inlineStr">
        <is>
          <t>P01</t>
        </is>
      </c>
      <c r="G4050" s="2" t="n">
        <v>620000</v>
      </c>
      <c r="H4050" s="2" t="inlineStr">
        <is>
          <t>Materiales</t>
        </is>
      </c>
      <c r="I4050" s="9" t="n">
        <v>1098.36</v>
      </c>
      <c r="J4050" s="9" t="n">
        <v>1116.91</v>
      </c>
      <c r="K4050" s="9" t="n">
        <v>1082.09</v>
      </c>
      <c r="L4050" s="9" t="n">
        <v>1126.33</v>
      </c>
      <c r="M4050" s="9" t="n">
        <v>1061.73</v>
      </c>
      <c r="N4050" s="9" t="n">
        <v>1008.51</v>
      </c>
      <c r="O4050" s="9" t="n">
        <v>1199.29</v>
      </c>
      <c r="P4050" s="9" t="n">
        <v>1157.38</v>
      </c>
      <c r="Q4050" s="9" t="n">
        <v>989.4</v>
      </c>
      <c r="R4050" s="9" t="n">
        <v>1297.39</v>
      </c>
      <c r="S4050" s="9" t="n">
        <v>1037.13</v>
      </c>
      <c r="T4050" s="9" t="n">
        <v>1090.83</v>
      </c>
      <c r="U4050" s="10">
        <f>SUM(I4050:T4050)</f>
        <v/>
      </c>
    </row>
    <row r="4051">
      <c r="A4051" s="2" t="inlineStr">
        <is>
          <t>SN-3000-3600-3630-3630PL0003</t>
        </is>
      </c>
      <c r="B4051" s="2" t="inlineStr">
        <is>
          <t>3630PL0003</t>
        </is>
      </c>
      <c r="C4051" s="2" t="inlineStr">
        <is>
          <t>Válvula control relaves HV4514</t>
        </is>
      </c>
      <c r="D4051" s="2" t="n">
        <v>1350</v>
      </c>
      <c r="E4051" s="2" t="inlineStr">
        <is>
          <t>CC-3000</t>
        </is>
      </c>
      <c r="F4051" s="2" t="inlineStr">
        <is>
          <t>P01</t>
        </is>
      </c>
      <c r="G4051" s="2" t="n">
        <v>630000</v>
      </c>
      <c r="H4051" s="2" t="inlineStr">
        <is>
          <t>Servicios externos</t>
        </is>
      </c>
      <c r="I4051" s="9" t="n">
        <v>1053.55</v>
      </c>
      <c r="J4051" s="9" t="n">
        <v>991.78</v>
      </c>
      <c r="K4051" s="9" t="n">
        <v>954.64</v>
      </c>
      <c r="L4051" s="9" t="n">
        <v>940.39</v>
      </c>
      <c r="M4051" s="9" t="n">
        <v>990.59</v>
      </c>
      <c r="N4051" s="9" t="n">
        <v>975.0700000000001</v>
      </c>
      <c r="O4051" s="9" t="n">
        <v>1047.65</v>
      </c>
      <c r="P4051" s="9" t="n">
        <v>991.54</v>
      </c>
      <c r="Q4051" s="9" t="n">
        <v>953.09</v>
      </c>
      <c r="R4051" s="9" t="n">
        <v>1113.97</v>
      </c>
      <c r="S4051" s="9" t="n">
        <v>981.37</v>
      </c>
      <c r="T4051" s="9" t="n">
        <v>986.63</v>
      </c>
      <c r="U4051" s="10">
        <f>SUM(I4051:T4051)</f>
        <v/>
      </c>
    </row>
    <row r="4052">
      <c r="A4052" s="2" t="inlineStr">
        <is>
          <t>SN-3000-3600-3630-3630PU0267</t>
        </is>
      </c>
      <c r="B4052" s="2" t="inlineStr">
        <is>
          <t>3630PU0267</t>
        </is>
      </c>
      <c r="C4052" s="2" t="inlineStr">
        <is>
          <t>Bomba muestreo pulpa relaves PU0267</t>
        </is>
      </c>
      <c r="D4052" s="2" t="n">
        <v>1351</v>
      </c>
      <c r="E4052" s="2" t="inlineStr">
        <is>
          <t>CC-3000</t>
        </is>
      </c>
      <c r="F4052" s="2" t="inlineStr">
        <is>
          <t>P01</t>
        </is>
      </c>
      <c r="G4052" s="2" t="n">
        <v>610000</v>
      </c>
      <c r="H4052" s="2" t="inlineStr">
        <is>
          <t>Mano obra interna</t>
        </is>
      </c>
      <c r="I4052" s="9" t="n">
        <v>2199.95</v>
      </c>
      <c r="J4052" s="9" t="n">
        <v>2162.59</v>
      </c>
      <c r="K4052" s="9" t="n">
        <v>2064.16</v>
      </c>
      <c r="L4052" s="9" t="n">
        <v>2149.97</v>
      </c>
      <c r="M4052" s="9" t="n">
        <v>2049.3</v>
      </c>
      <c r="N4052" s="9" t="n">
        <v>1918.06</v>
      </c>
      <c r="O4052" s="9" t="n">
        <v>2020.45</v>
      </c>
      <c r="P4052" s="9" t="n">
        <v>2015.46</v>
      </c>
      <c r="Q4052" s="9" t="n">
        <v>1934.38</v>
      </c>
      <c r="R4052" s="9" t="n">
        <v>2230.65</v>
      </c>
      <c r="S4052" s="9" t="n">
        <v>2055.76</v>
      </c>
      <c r="T4052" s="9" t="n">
        <v>1997.53</v>
      </c>
      <c r="U4052" s="10">
        <f>SUM(I4052:T4052)</f>
        <v/>
      </c>
    </row>
    <row r="4053">
      <c r="A4053" s="2" t="inlineStr">
        <is>
          <t>SN-3000-3600-3630-3630PU0267</t>
        </is>
      </c>
      <c r="B4053" s="2" t="inlineStr">
        <is>
          <t>3630PU0267</t>
        </is>
      </c>
      <c r="C4053" s="2" t="inlineStr">
        <is>
          <t>Bomba muestreo pulpa relaves PU0267</t>
        </is>
      </c>
      <c r="D4053" s="2" t="n">
        <v>1351</v>
      </c>
      <c r="E4053" s="2" t="inlineStr">
        <is>
          <t>CC-3000</t>
        </is>
      </c>
      <c r="F4053" s="2" t="inlineStr">
        <is>
          <t>P01</t>
        </is>
      </c>
      <c r="G4053" s="2" t="n">
        <v>620000</v>
      </c>
      <c r="H4053" s="2" t="inlineStr">
        <is>
          <t>Materiales</t>
        </is>
      </c>
      <c r="I4053" s="9" t="n">
        <v>2193.48</v>
      </c>
      <c r="J4053" s="9" t="n">
        <v>2202.51</v>
      </c>
      <c r="K4053" s="9" t="n">
        <v>2401.13</v>
      </c>
      <c r="L4053" s="9" t="n">
        <v>2449.11</v>
      </c>
      <c r="M4053" s="9" t="n">
        <v>2402.57</v>
      </c>
      <c r="N4053" s="9" t="n">
        <v>2059.17</v>
      </c>
      <c r="O4053" s="9" t="n">
        <v>2341.71</v>
      </c>
      <c r="P4053" s="9" t="n">
        <v>2270.81</v>
      </c>
      <c r="Q4053" s="9" t="n">
        <v>2233.41</v>
      </c>
      <c r="R4053" s="9" t="n">
        <v>2422.36</v>
      </c>
      <c r="S4053" s="9" t="n">
        <v>2340.22</v>
      </c>
      <c r="T4053" s="9" t="n">
        <v>2399.86</v>
      </c>
      <c r="U4053" s="10">
        <f>SUM(I4053:T4053)</f>
        <v/>
      </c>
    </row>
    <row r="4054">
      <c r="A4054" s="2" t="inlineStr">
        <is>
          <t>SN-3000-3600-3630-3630PU0267</t>
        </is>
      </c>
      <c r="B4054" s="2" t="inlineStr">
        <is>
          <t>3630PU0267</t>
        </is>
      </c>
      <c r="C4054" s="2" t="inlineStr">
        <is>
          <t>Bomba muestreo pulpa relaves PU0267</t>
        </is>
      </c>
      <c r="D4054" s="2" t="n">
        <v>1351</v>
      </c>
      <c r="E4054" s="2" t="inlineStr">
        <is>
          <t>CC-3000</t>
        </is>
      </c>
      <c r="F4054" s="2" t="inlineStr">
        <is>
          <t>P01</t>
        </is>
      </c>
      <c r="G4054" s="2" t="n">
        <v>630000</v>
      </c>
      <c r="H4054" s="2" t="inlineStr">
        <is>
          <t>Servicios externos</t>
        </is>
      </c>
      <c r="I4054" s="9" t="n">
        <v>2667.71</v>
      </c>
      <c r="J4054" s="9" t="n">
        <v>2544.7</v>
      </c>
      <c r="K4054" s="9" t="n">
        <v>2539.36</v>
      </c>
      <c r="L4054" s="9" t="n">
        <v>2634.9</v>
      </c>
      <c r="M4054" s="9" t="n">
        <v>2266.96</v>
      </c>
      <c r="N4054" s="9" t="n">
        <v>2149.19</v>
      </c>
      <c r="O4054" s="9" t="n">
        <v>2439.23</v>
      </c>
      <c r="P4054" s="9" t="n">
        <v>2607.4</v>
      </c>
      <c r="Q4054" s="9" t="n">
        <v>2333.39</v>
      </c>
      <c r="R4054" s="9" t="n">
        <v>2533.93</v>
      </c>
      <c r="S4054" s="9" t="n">
        <v>2411.22</v>
      </c>
      <c r="T4054" s="9" t="n">
        <v>2280.1</v>
      </c>
      <c r="U4054" s="10">
        <f>SUM(I4054:T4054)</f>
        <v/>
      </c>
    </row>
    <row r="4055">
      <c r="A4055" s="2" t="inlineStr">
        <is>
          <t>SN-3000-3600-3630-3630SA0012</t>
        </is>
      </c>
      <c r="B4055" s="2" t="inlineStr">
        <is>
          <t>3630SA0012</t>
        </is>
      </c>
      <c r="C4055" s="2" t="inlineStr">
        <is>
          <t>Muestreador rotatorio SA0012</t>
        </is>
      </c>
      <c r="D4055" s="2" t="n">
        <v>1352</v>
      </c>
      <c r="E4055" s="2" t="inlineStr">
        <is>
          <t>CC-3000</t>
        </is>
      </c>
      <c r="F4055" s="2" t="inlineStr">
        <is>
          <t>P01</t>
        </is>
      </c>
      <c r="G4055" s="2" t="n">
        <v>610000</v>
      </c>
      <c r="H4055" s="2" t="inlineStr">
        <is>
          <t>Mano obra interna</t>
        </is>
      </c>
      <c r="I4055" s="9" t="n">
        <v>1595.01</v>
      </c>
      <c r="J4055" s="9" t="n">
        <v>1490.45</v>
      </c>
      <c r="K4055" s="9" t="n">
        <v>1615.29</v>
      </c>
      <c r="L4055" s="9" t="n">
        <v>1726.3</v>
      </c>
      <c r="M4055" s="9" t="n">
        <v>1627.36</v>
      </c>
      <c r="N4055" s="9" t="n">
        <v>1440.46</v>
      </c>
      <c r="O4055" s="9" t="n">
        <v>1608.18</v>
      </c>
      <c r="P4055" s="9" t="n">
        <v>1695.55</v>
      </c>
      <c r="Q4055" s="9" t="n">
        <v>1628.7</v>
      </c>
      <c r="R4055" s="9" t="n">
        <v>1864.28</v>
      </c>
      <c r="S4055" s="9" t="n">
        <v>1452.99</v>
      </c>
      <c r="T4055" s="9" t="n">
        <v>1580.73</v>
      </c>
      <c r="U4055" s="10">
        <f>SUM(I4055:T4055)</f>
        <v/>
      </c>
    </row>
    <row r="4056">
      <c r="A4056" s="2" t="inlineStr">
        <is>
          <t>SN-3000-3600-3630-3630SA0012</t>
        </is>
      </c>
      <c r="B4056" s="2" t="inlineStr">
        <is>
          <t>3630SA0012</t>
        </is>
      </c>
      <c r="C4056" s="2" t="inlineStr">
        <is>
          <t>Muestreador rotatorio SA0012</t>
        </is>
      </c>
      <c r="D4056" s="2" t="n">
        <v>1352</v>
      </c>
      <c r="E4056" s="2" t="inlineStr">
        <is>
          <t>CC-3000</t>
        </is>
      </c>
      <c r="F4056" s="2" t="inlineStr">
        <is>
          <t>P01</t>
        </is>
      </c>
      <c r="G4056" s="2" t="n">
        <v>620000</v>
      </c>
      <c r="H4056" s="2" t="inlineStr">
        <is>
          <t>Materiales</t>
        </is>
      </c>
      <c r="I4056" s="9" t="n">
        <v>1433.23</v>
      </c>
      <c r="J4056" s="9" t="n">
        <v>1434.91</v>
      </c>
      <c r="K4056" s="9" t="n">
        <v>1387.28</v>
      </c>
      <c r="L4056" s="9" t="n">
        <v>1551.93</v>
      </c>
      <c r="M4056" s="9" t="n">
        <v>1471.51</v>
      </c>
      <c r="N4056" s="9" t="n">
        <v>1343.65</v>
      </c>
      <c r="O4056" s="9" t="n">
        <v>1443.55</v>
      </c>
      <c r="P4056" s="9" t="n">
        <v>1432.22</v>
      </c>
      <c r="Q4056" s="9" t="n">
        <v>1342.79</v>
      </c>
      <c r="R4056" s="9" t="n">
        <v>1623.89</v>
      </c>
      <c r="S4056" s="9" t="n">
        <v>1312.16</v>
      </c>
      <c r="T4056" s="9" t="n">
        <v>1487.38</v>
      </c>
      <c r="U4056" s="10">
        <f>SUM(I4056:T4056)</f>
        <v/>
      </c>
    </row>
    <row r="4057">
      <c r="A4057" s="2" t="inlineStr">
        <is>
          <t>SN-3000-3600-3630-3630SA0012</t>
        </is>
      </c>
      <c r="B4057" s="2" t="inlineStr">
        <is>
          <t>3630SA0012</t>
        </is>
      </c>
      <c r="C4057" s="2" t="inlineStr">
        <is>
          <t>Muestreador rotatorio SA0012</t>
        </is>
      </c>
      <c r="D4057" s="2" t="n">
        <v>1352</v>
      </c>
      <c r="E4057" s="2" t="inlineStr">
        <is>
          <t>CC-3000</t>
        </is>
      </c>
      <c r="F4057" s="2" t="inlineStr">
        <is>
          <t>P01</t>
        </is>
      </c>
      <c r="G4057" s="2" t="n">
        <v>630000</v>
      </c>
      <c r="H4057" s="2" t="inlineStr">
        <is>
          <t>Servicios externos</t>
        </is>
      </c>
      <c r="I4057" s="9" t="n">
        <v>1445.48</v>
      </c>
      <c r="J4057" s="9" t="n">
        <v>1434.2</v>
      </c>
      <c r="K4057" s="9" t="n">
        <v>1355.68</v>
      </c>
      <c r="L4057" s="9" t="n">
        <v>1365.34</v>
      </c>
      <c r="M4057" s="9" t="n">
        <v>1318.28</v>
      </c>
      <c r="N4057" s="9" t="n">
        <v>1335.34</v>
      </c>
      <c r="O4057" s="9" t="n">
        <v>1453.75</v>
      </c>
      <c r="P4057" s="9" t="n">
        <v>1537.22</v>
      </c>
      <c r="Q4057" s="9" t="n">
        <v>1274.55</v>
      </c>
      <c r="R4057" s="9" t="n">
        <v>1447.52</v>
      </c>
      <c r="S4057" s="9" t="n">
        <v>1360.94</v>
      </c>
      <c r="T4057" s="9" t="n">
        <v>1364.5</v>
      </c>
      <c r="U4057" s="10">
        <f>SUM(I4057:T4057)</f>
        <v/>
      </c>
    </row>
    <row r="4058">
      <c r="A4058" s="2" t="inlineStr">
        <is>
          <t>SN-3000-3600-3630-3630SA0013</t>
        </is>
      </c>
      <c r="B4058" s="2" t="inlineStr">
        <is>
          <t>3630SA0013</t>
        </is>
      </c>
      <c r="C4058" s="2" t="inlineStr">
        <is>
          <t>Muestreador terciario SA0013</t>
        </is>
      </c>
      <c r="D4058" s="2" t="n">
        <v>1353</v>
      </c>
      <c r="E4058" s="2" t="inlineStr">
        <is>
          <t>CC-3000</t>
        </is>
      </c>
      <c r="F4058" s="2" t="inlineStr">
        <is>
          <t>P01</t>
        </is>
      </c>
      <c r="G4058" s="2" t="n">
        <v>610000</v>
      </c>
      <c r="H4058" s="2" t="inlineStr">
        <is>
          <t>Mano obra interna</t>
        </is>
      </c>
      <c r="I4058" s="9" t="n">
        <v>1371.98</v>
      </c>
      <c r="J4058" s="9" t="n">
        <v>1389.78</v>
      </c>
      <c r="K4058" s="9" t="n">
        <v>1451.68</v>
      </c>
      <c r="L4058" s="9" t="n">
        <v>1272.83</v>
      </c>
      <c r="M4058" s="9" t="n">
        <v>1242.33</v>
      </c>
      <c r="N4058" s="9" t="n">
        <v>1270.1</v>
      </c>
      <c r="O4058" s="9" t="n">
        <v>1302.78</v>
      </c>
      <c r="P4058" s="9" t="n">
        <v>1372.55</v>
      </c>
      <c r="Q4058" s="9" t="n">
        <v>1237.39</v>
      </c>
      <c r="R4058" s="9" t="n">
        <v>1324.53</v>
      </c>
      <c r="S4058" s="9" t="n">
        <v>1243.47</v>
      </c>
      <c r="T4058" s="9" t="n">
        <v>1436.83</v>
      </c>
      <c r="U4058" s="10">
        <f>SUM(I4058:T4058)</f>
        <v/>
      </c>
    </row>
    <row r="4059">
      <c r="A4059" s="2" t="inlineStr">
        <is>
          <t>SN-3000-3600-3630-3630SA0013</t>
        </is>
      </c>
      <c r="B4059" s="2" t="inlineStr">
        <is>
          <t>3630SA0013</t>
        </is>
      </c>
      <c r="C4059" s="2" t="inlineStr">
        <is>
          <t>Muestreador terciario SA0013</t>
        </is>
      </c>
      <c r="D4059" s="2" t="n">
        <v>1353</v>
      </c>
      <c r="E4059" s="2" t="inlineStr">
        <is>
          <t>CC-3000</t>
        </is>
      </c>
      <c r="F4059" s="2" t="inlineStr">
        <is>
          <t>P01</t>
        </is>
      </c>
      <c r="G4059" s="2" t="n">
        <v>620000</v>
      </c>
      <c r="H4059" s="2" t="inlineStr">
        <is>
          <t>Materiales</t>
        </is>
      </c>
      <c r="I4059" s="9" t="n">
        <v>1606.45</v>
      </c>
      <c r="J4059" s="9" t="n">
        <v>1456.17</v>
      </c>
      <c r="K4059" s="9" t="n">
        <v>1593.44</v>
      </c>
      <c r="L4059" s="9" t="n">
        <v>1453.85</v>
      </c>
      <c r="M4059" s="9" t="n">
        <v>1542.76</v>
      </c>
      <c r="N4059" s="9" t="n">
        <v>1501.9</v>
      </c>
      <c r="O4059" s="9" t="n">
        <v>1404.17</v>
      </c>
      <c r="P4059" s="9" t="n">
        <v>1424.86</v>
      </c>
      <c r="Q4059" s="9" t="n">
        <v>1389.91</v>
      </c>
      <c r="R4059" s="9" t="n">
        <v>1655.46</v>
      </c>
      <c r="S4059" s="9" t="n">
        <v>1486.06</v>
      </c>
      <c r="T4059" s="9" t="n">
        <v>1565.36</v>
      </c>
      <c r="U4059" s="10">
        <f>SUM(I4059:T4059)</f>
        <v/>
      </c>
    </row>
    <row r="4060">
      <c r="A4060" s="2" t="inlineStr">
        <is>
          <t>SN-3000-3600-3630-3630SA0013</t>
        </is>
      </c>
      <c r="B4060" s="2" t="inlineStr">
        <is>
          <t>3630SA0013</t>
        </is>
      </c>
      <c r="C4060" s="2" t="inlineStr">
        <is>
          <t>Muestreador terciario SA0013</t>
        </is>
      </c>
      <c r="D4060" s="2" t="n">
        <v>1353</v>
      </c>
      <c r="E4060" s="2" t="inlineStr">
        <is>
          <t>CC-3000</t>
        </is>
      </c>
      <c r="F4060" s="2" t="inlineStr">
        <is>
          <t>P01</t>
        </is>
      </c>
      <c r="G4060" s="2" t="n">
        <v>630000</v>
      </c>
      <c r="H4060" s="2" t="inlineStr">
        <is>
          <t>Servicios externos</t>
        </is>
      </c>
      <c r="I4060" s="9" t="n">
        <v>1650.87</v>
      </c>
      <c r="J4060" s="9" t="n">
        <v>1610.26</v>
      </c>
      <c r="K4060" s="9" t="n">
        <v>1535.69</v>
      </c>
      <c r="L4060" s="9" t="n">
        <v>1563.2</v>
      </c>
      <c r="M4060" s="9" t="n">
        <v>1598.59</v>
      </c>
      <c r="N4060" s="9" t="n">
        <v>1605.39</v>
      </c>
      <c r="O4060" s="9" t="n">
        <v>1696.3</v>
      </c>
      <c r="P4060" s="9" t="n">
        <v>1673.6</v>
      </c>
      <c r="Q4060" s="9" t="n">
        <v>1500.72</v>
      </c>
      <c r="R4060" s="9" t="n">
        <v>1681.4</v>
      </c>
      <c r="S4060" s="9" t="n">
        <v>1550.24</v>
      </c>
      <c r="T4060" s="9" t="n">
        <v>1510.92</v>
      </c>
      <c r="U4060" s="10">
        <f>SUM(I4060:T4060)</f>
        <v/>
      </c>
    </row>
    <row r="4061">
      <c r="A4061" s="2" t="inlineStr">
        <is>
          <t>SN-3000-3600-3630-3630TA0025</t>
        </is>
      </c>
      <c r="B4061" s="2" t="inlineStr">
        <is>
          <t>3630TA0025</t>
        </is>
      </c>
      <c r="C4061" s="2" t="inlineStr">
        <is>
          <t>Agitador mecánico AG0025</t>
        </is>
      </c>
      <c r="D4061" s="2" t="n">
        <v>1354</v>
      </c>
      <c r="E4061" s="2" t="inlineStr">
        <is>
          <t>CC-3000</t>
        </is>
      </c>
      <c r="F4061" s="2" t="inlineStr">
        <is>
          <t>P01</t>
        </is>
      </c>
      <c r="G4061" s="2" t="n">
        <v>610000</v>
      </c>
      <c r="H4061" s="2" t="inlineStr">
        <is>
          <t>Mano obra interna</t>
        </is>
      </c>
      <c r="I4061" s="9" t="n">
        <v>1784.66</v>
      </c>
      <c r="J4061" s="9" t="n">
        <v>1742.68</v>
      </c>
      <c r="K4061" s="9" t="n">
        <v>1974.28</v>
      </c>
      <c r="L4061" s="9" t="n">
        <v>1767.98</v>
      </c>
      <c r="M4061" s="9" t="n">
        <v>1878.36</v>
      </c>
      <c r="N4061" s="9" t="n">
        <v>1833.21</v>
      </c>
      <c r="O4061" s="9" t="n">
        <v>1963.32</v>
      </c>
      <c r="P4061" s="9" t="n">
        <v>1744.95</v>
      </c>
      <c r="Q4061" s="9" t="n">
        <v>1607.36</v>
      </c>
      <c r="R4061" s="9" t="n">
        <v>2109.41</v>
      </c>
      <c r="S4061" s="9" t="n">
        <v>1755</v>
      </c>
      <c r="T4061" s="9" t="n">
        <v>2021.71</v>
      </c>
      <c r="U4061" s="10">
        <f>SUM(I4061:T4061)</f>
        <v/>
      </c>
    </row>
    <row r="4062">
      <c r="A4062" s="2" t="inlineStr">
        <is>
          <t>SN-3000-3600-3630-3630TA0025</t>
        </is>
      </c>
      <c r="B4062" s="2" t="inlineStr">
        <is>
          <t>3630TA0025</t>
        </is>
      </c>
      <c r="C4062" s="2" t="inlineStr">
        <is>
          <t>Agitador mecánico AG0025</t>
        </is>
      </c>
      <c r="D4062" s="2" t="n">
        <v>1354</v>
      </c>
      <c r="E4062" s="2" t="inlineStr">
        <is>
          <t>CC-3000</t>
        </is>
      </c>
      <c r="F4062" s="2" t="inlineStr">
        <is>
          <t>P01</t>
        </is>
      </c>
      <c r="G4062" s="2" t="n">
        <v>620000</v>
      </c>
      <c r="H4062" s="2" t="inlineStr">
        <is>
          <t>Materiales</t>
        </is>
      </c>
      <c r="I4062" s="9" t="n">
        <v>1652.13</v>
      </c>
      <c r="J4062" s="9" t="n">
        <v>1474.11</v>
      </c>
      <c r="K4062" s="9" t="n">
        <v>1621.42</v>
      </c>
      <c r="L4062" s="9" t="n">
        <v>1731.49</v>
      </c>
      <c r="M4062" s="9" t="n">
        <v>1607.42</v>
      </c>
      <c r="N4062" s="9" t="n">
        <v>1572.72</v>
      </c>
      <c r="O4062" s="9" t="n">
        <v>1527.24</v>
      </c>
      <c r="P4062" s="9" t="n">
        <v>1703.27</v>
      </c>
      <c r="Q4062" s="9" t="n">
        <v>1515.55</v>
      </c>
      <c r="R4062" s="9" t="n">
        <v>1613.19</v>
      </c>
      <c r="S4062" s="9" t="n">
        <v>1425.76</v>
      </c>
      <c r="T4062" s="9" t="n">
        <v>1494.76</v>
      </c>
      <c r="U4062" s="10">
        <f>SUM(I4062:T4062)</f>
        <v/>
      </c>
    </row>
    <row r="4063">
      <c r="A4063" s="2" t="inlineStr">
        <is>
          <t>SN-3000-3600-3630-3630TA0025</t>
        </is>
      </c>
      <c r="B4063" s="2" t="inlineStr">
        <is>
          <t>3630TA0025</t>
        </is>
      </c>
      <c r="C4063" s="2" t="inlineStr">
        <is>
          <t>Agitador mecánico AG0025</t>
        </is>
      </c>
      <c r="D4063" s="2" t="n">
        <v>1354</v>
      </c>
      <c r="E4063" s="2" t="inlineStr">
        <is>
          <t>CC-3000</t>
        </is>
      </c>
      <c r="F4063" s="2" t="inlineStr">
        <is>
          <t>P01</t>
        </is>
      </c>
      <c r="G4063" s="2" t="n">
        <v>630000</v>
      </c>
      <c r="H4063" s="2" t="inlineStr">
        <is>
          <t>Servicios externos</t>
        </is>
      </c>
      <c r="I4063" s="9" t="n">
        <v>1659.67</v>
      </c>
      <c r="J4063" s="9" t="n">
        <v>1468.19</v>
      </c>
      <c r="K4063" s="9" t="n">
        <v>1522.79</v>
      </c>
      <c r="L4063" s="9" t="n">
        <v>1538.13</v>
      </c>
      <c r="M4063" s="9" t="n">
        <v>1487.7</v>
      </c>
      <c r="N4063" s="9" t="n">
        <v>1397.3</v>
      </c>
      <c r="O4063" s="9" t="n">
        <v>1426.35</v>
      </c>
      <c r="P4063" s="9" t="n">
        <v>1428.74</v>
      </c>
      <c r="Q4063" s="9" t="n">
        <v>1442.42</v>
      </c>
      <c r="R4063" s="9" t="n">
        <v>1617.8</v>
      </c>
      <c r="S4063" s="9" t="n">
        <v>1571.69</v>
      </c>
      <c r="T4063" s="9" t="n">
        <v>1538.99</v>
      </c>
      <c r="U4063" s="10">
        <f>SUM(I4063:T4063)</f>
        <v/>
      </c>
    </row>
    <row r="4064">
      <c r="A4064" s="2" t="inlineStr">
        <is>
          <t>SN-3000-3600-3630-3630TA0026</t>
        </is>
      </c>
      <c r="B4064" s="2" t="inlineStr">
        <is>
          <t>3630TA0026</t>
        </is>
      </c>
      <c r="C4064" s="2" t="inlineStr">
        <is>
          <t>Agitador mecánico AG0026</t>
        </is>
      </c>
      <c r="D4064" s="2" t="n">
        <v>1355</v>
      </c>
      <c r="E4064" s="2" t="inlineStr">
        <is>
          <t>CC-3000</t>
        </is>
      </c>
      <c r="F4064" s="2" t="inlineStr">
        <is>
          <t>P01</t>
        </is>
      </c>
      <c r="G4064" s="2" t="n">
        <v>610000</v>
      </c>
      <c r="H4064" s="2" t="inlineStr">
        <is>
          <t>Mano obra interna</t>
        </is>
      </c>
      <c r="I4064" s="9" t="n">
        <v>3037.14</v>
      </c>
      <c r="J4064" s="9" t="n">
        <v>2742.9</v>
      </c>
      <c r="K4064" s="9" t="n">
        <v>2873.35</v>
      </c>
      <c r="L4064" s="9" t="n">
        <v>2783.41</v>
      </c>
      <c r="M4064" s="9" t="n">
        <v>2848.31</v>
      </c>
      <c r="N4064" s="9" t="n">
        <v>2616.11</v>
      </c>
      <c r="O4064" s="9" t="n">
        <v>2824.96</v>
      </c>
      <c r="P4064" s="9" t="n">
        <v>2758.84</v>
      </c>
      <c r="Q4064" s="9" t="n">
        <v>2603.8</v>
      </c>
      <c r="R4064" s="9" t="n">
        <v>3159.82</v>
      </c>
      <c r="S4064" s="9" t="n">
        <v>2658.21</v>
      </c>
      <c r="T4064" s="9" t="n">
        <v>2703.64</v>
      </c>
      <c r="U4064" s="10">
        <f>SUM(I4064:T4064)</f>
        <v/>
      </c>
    </row>
    <row r="4065">
      <c r="A4065" s="2" t="inlineStr">
        <is>
          <t>SN-3000-3600-3630-3630TA0026</t>
        </is>
      </c>
      <c r="B4065" s="2" t="inlineStr">
        <is>
          <t>3630TA0026</t>
        </is>
      </c>
      <c r="C4065" s="2" t="inlineStr">
        <is>
          <t>Agitador mecánico AG0026</t>
        </is>
      </c>
      <c r="D4065" s="2" t="n">
        <v>1355</v>
      </c>
      <c r="E4065" s="2" t="inlineStr">
        <is>
          <t>CC-3000</t>
        </is>
      </c>
      <c r="F4065" s="2" t="inlineStr">
        <is>
          <t>P01</t>
        </is>
      </c>
      <c r="G4065" s="2" t="n">
        <v>620000</v>
      </c>
      <c r="H4065" s="2" t="inlineStr">
        <is>
          <t>Materiales</t>
        </is>
      </c>
      <c r="I4065" s="9" t="n">
        <v>2964.03</v>
      </c>
      <c r="J4065" s="9" t="n">
        <v>2755.08</v>
      </c>
      <c r="K4065" s="9" t="n">
        <v>2713.57</v>
      </c>
      <c r="L4065" s="9" t="n">
        <v>2978.82</v>
      </c>
      <c r="M4065" s="9" t="n">
        <v>2617.9</v>
      </c>
      <c r="N4065" s="9" t="n">
        <v>2794.93</v>
      </c>
      <c r="O4065" s="9" t="n">
        <v>2580.99</v>
      </c>
      <c r="P4065" s="9" t="n">
        <v>2928.29</v>
      </c>
      <c r="Q4065" s="9" t="n">
        <v>2354.58</v>
      </c>
      <c r="R4065" s="9" t="n">
        <v>3026.2</v>
      </c>
      <c r="S4065" s="9" t="n">
        <v>2727.95</v>
      </c>
      <c r="T4065" s="9" t="n">
        <v>2832.96</v>
      </c>
      <c r="U4065" s="10">
        <f>SUM(I4065:T4065)</f>
        <v/>
      </c>
    </row>
    <row r="4066">
      <c r="A4066" s="2" t="inlineStr">
        <is>
          <t>SN-3000-3600-3630-3630TA0026</t>
        </is>
      </c>
      <c r="B4066" s="2" t="inlineStr">
        <is>
          <t>3630TA0026</t>
        </is>
      </c>
      <c r="C4066" s="2" t="inlineStr">
        <is>
          <t>Agitador mecánico AG0026</t>
        </is>
      </c>
      <c r="D4066" s="2" t="n">
        <v>1355</v>
      </c>
      <c r="E4066" s="2" t="inlineStr">
        <is>
          <t>CC-3000</t>
        </is>
      </c>
      <c r="F4066" s="2" t="inlineStr">
        <is>
          <t>P01</t>
        </is>
      </c>
      <c r="G4066" s="2" t="n">
        <v>630000</v>
      </c>
      <c r="H4066" s="2" t="inlineStr">
        <is>
          <t>Servicios externos</t>
        </is>
      </c>
      <c r="I4066" s="9" t="n">
        <v>3000.4</v>
      </c>
      <c r="J4066" s="9" t="n">
        <v>2700.29</v>
      </c>
      <c r="K4066" s="9" t="n">
        <v>2976.54</v>
      </c>
      <c r="L4066" s="9" t="n">
        <v>3086.24</v>
      </c>
      <c r="M4066" s="9" t="n">
        <v>2990.27</v>
      </c>
      <c r="N4066" s="9" t="n">
        <v>2685.07</v>
      </c>
      <c r="O4066" s="9" t="n">
        <v>2837.05</v>
      </c>
      <c r="P4066" s="9" t="n">
        <v>2943.96</v>
      </c>
      <c r="Q4066" s="9" t="n">
        <v>2848.89</v>
      </c>
      <c r="R4066" s="9" t="n">
        <v>3363.72</v>
      </c>
      <c r="S4066" s="9" t="n">
        <v>2669.05</v>
      </c>
      <c r="T4066" s="9" t="n">
        <v>3200.32</v>
      </c>
      <c r="U4066" s="10">
        <f>SUM(I4066:T4066)</f>
        <v/>
      </c>
    </row>
    <row r="4067">
      <c r="A4067" s="2" t="inlineStr">
        <is>
          <t>SN-3000-3600-3630-3630TK0078</t>
        </is>
      </c>
      <c r="B4067" s="2" t="inlineStr">
        <is>
          <t>3630TK0078</t>
        </is>
      </c>
      <c r="C4067" s="2" t="inlineStr">
        <is>
          <t>Tanque almacenamiento TK0078</t>
        </is>
      </c>
      <c r="D4067" s="2" t="n">
        <v>1356</v>
      </c>
      <c r="E4067" s="2" t="inlineStr">
        <is>
          <t>CC-3000</t>
        </is>
      </c>
      <c r="F4067" s="2" t="inlineStr">
        <is>
          <t>P01</t>
        </is>
      </c>
      <c r="G4067" s="2" t="n">
        <v>610000</v>
      </c>
      <c r="H4067" s="2" t="inlineStr">
        <is>
          <t>Mano obra interna</t>
        </is>
      </c>
      <c r="I4067" s="9" t="n">
        <v>1112.06</v>
      </c>
      <c r="J4067" s="9" t="n">
        <v>1165.73</v>
      </c>
      <c r="K4067" s="9" t="n">
        <v>1236.87</v>
      </c>
      <c r="L4067" s="9" t="n">
        <v>1218.9</v>
      </c>
      <c r="M4067" s="9" t="n">
        <v>1191.89</v>
      </c>
      <c r="N4067" s="9" t="n">
        <v>1131.1</v>
      </c>
      <c r="O4067" s="9" t="n">
        <v>1143.95</v>
      </c>
      <c r="P4067" s="9" t="n">
        <v>1105.13</v>
      </c>
      <c r="Q4067" s="9" t="n">
        <v>1049.35</v>
      </c>
      <c r="R4067" s="9" t="n">
        <v>1324.2</v>
      </c>
      <c r="S4067" s="9" t="n">
        <v>1097.26</v>
      </c>
      <c r="T4067" s="9" t="n">
        <v>1263.3</v>
      </c>
      <c r="U4067" s="10">
        <f>SUM(I4067:T4067)</f>
        <v/>
      </c>
    </row>
    <row r="4068">
      <c r="A4068" s="2" t="inlineStr">
        <is>
          <t>SN-3000-3600-3630-3630TK0078</t>
        </is>
      </c>
      <c r="B4068" s="2" t="inlineStr">
        <is>
          <t>3630TK0078</t>
        </is>
      </c>
      <c r="C4068" s="2" t="inlineStr">
        <is>
          <t>Tanque almacenamiento TK0078</t>
        </is>
      </c>
      <c r="D4068" s="2" t="n">
        <v>1356</v>
      </c>
      <c r="E4068" s="2" t="inlineStr">
        <is>
          <t>CC-3000</t>
        </is>
      </c>
      <c r="F4068" s="2" t="inlineStr">
        <is>
          <t>P01</t>
        </is>
      </c>
      <c r="G4068" s="2" t="n">
        <v>620000</v>
      </c>
      <c r="H4068" s="2" t="inlineStr">
        <is>
          <t>Materiales</t>
        </is>
      </c>
      <c r="I4068" s="9" t="n">
        <v>984.2</v>
      </c>
      <c r="J4068" s="9" t="n">
        <v>1019.44</v>
      </c>
      <c r="K4068" s="9" t="n">
        <v>962.3099999999999</v>
      </c>
      <c r="L4068" s="9" t="n">
        <v>949.41</v>
      </c>
      <c r="M4068" s="9" t="n">
        <v>1042.5</v>
      </c>
      <c r="N4068" s="9" t="n">
        <v>940.61</v>
      </c>
      <c r="O4068" s="9" t="n">
        <v>929.5</v>
      </c>
      <c r="P4068" s="9" t="n">
        <v>924.52</v>
      </c>
      <c r="Q4068" s="9" t="n">
        <v>962.5599999999999</v>
      </c>
      <c r="R4068" s="9" t="n">
        <v>1070.98</v>
      </c>
      <c r="S4068" s="9" t="n">
        <v>887.98</v>
      </c>
      <c r="T4068" s="9" t="n">
        <v>1053.4</v>
      </c>
      <c r="U4068" s="10">
        <f>SUM(I4068:T4068)</f>
        <v/>
      </c>
    </row>
    <row r="4069">
      <c r="A4069" s="2" t="inlineStr">
        <is>
          <t>SN-3000-3600-3630-3630TK0078</t>
        </is>
      </c>
      <c r="B4069" s="2" t="inlineStr">
        <is>
          <t>3630TK0078</t>
        </is>
      </c>
      <c r="C4069" s="2" t="inlineStr">
        <is>
          <t>Tanque almacenamiento TK0078</t>
        </is>
      </c>
      <c r="D4069" s="2" t="n">
        <v>1356</v>
      </c>
      <c r="E4069" s="2" t="inlineStr">
        <is>
          <t>CC-3000</t>
        </is>
      </c>
      <c r="F4069" s="2" t="inlineStr">
        <is>
          <t>P01</t>
        </is>
      </c>
      <c r="G4069" s="2" t="n">
        <v>630000</v>
      </c>
      <c r="H4069" s="2" t="inlineStr">
        <is>
          <t>Servicios externos</t>
        </is>
      </c>
      <c r="I4069" s="9" t="n">
        <v>1103.55</v>
      </c>
      <c r="J4069" s="9" t="n">
        <v>952.87</v>
      </c>
      <c r="K4069" s="9" t="n">
        <v>1039.01</v>
      </c>
      <c r="L4069" s="9" t="n">
        <v>971.03</v>
      </c>
      <c r="M4069" s="9" t="n">
        <v>982.58</v>
      </c>
      <c r="N4069" s="9" t="n">
        <v>908.87</v>
      </c>
      <c r="O4069" s="9" t="n">
        <v>972.04</v>
      </c>
      <c r="P4069" s="9" t="n">
        <v>964.89</v>
      </c>
      <c r="Q4069" s="9" t="n">
        <v>900.84</v>
      </c>
      <c r="R4069" s="9" t="n">
        <v>1162.42</v>
      </c>
      <c r="S4069" s="9" t="n">
        <v>898.83</v>
      </c>
      <c r="T4069" s="9" t="n">
        <v>1016.9</v>
      </c>
      <c r="U4069" s="10">
        <f>SUM(I4069:T4069)</f>
        <v/>
      </c>
    </row>
    <row r="4070">
      <c r="A4070" s="2" t="inlineStr">
        <is>
          <t>SN-3000-3600-3630-3630WL0001</t>
        </is>
      </c>
      <c r="B4070" s="2" t="inlineStr">
        <is>
          <t>3630WL0001</t>
        </is>
      </c>
      <c r="C4070" s="2" t="inlineStr">
        <is>
          <t>Válvula control agua filtrada HV4568B</t>
        </is>
      </c>
      <c r="D4070" s="2" t="n">
        <v>1357</v>
      </c>
      <c r="E4070" s="2" t="inlineStr">
        <is>
          <t>CC-3000</t>
        </is>
      </c>
      <c r="F4070" s="2" t="inlineStr">
        <is>
          <t>P01</t>
        </is>
      </c>
      <c r="G4070" s="2" t="n">
        <v>610000</v>
      </c>
      <c r="H4070" s="2" t="inlineStr">
        <is>
          <t>Mano obra interna</t>
        </is>
      </c>
      <c r="I4070" s="9" t="n">
        <v>550.14</v>
      </c>
      <c r="J4070" s="9" t="n">
        <v>538.51</v>
      </c>
      <c r="K4070" s="9" t="n">
        <v>564.65</v>
      </c>
      <c r="L4070" s="9" t="n">
        <v>576.11</v>
      </c>
      <c r="M4070" s="9" t="n">
        <v>541.23</v>
      </c>
      <c r="N4070" s="9" t="n">
        <v>528.33</v>
      </c>
      <c r="O4070" s="9" t="n">
        <v>528.35</v>
      </c>
      <c r="P4070" s="9" t="n">
        <v>538.25</v>
      </c>
      <c r="Q4070" s="9" t="n">
        <v>487.36</v>
      </c>
      <c r="R4070" s="9" t="n">
        <v>546.33</v>
      </c>
      <c r="S4070" s="9" t="n">
        <v>493.43</v>
      </c>
      <c r="T4070" s="9" t="n">
        <v>521.3</v>
      </c>
      <c r="U4070" s="10">
        <f>SUM(I4070:T4070)</f>
        <v/>
      </c>
    </row>
    <row r="4071">
      <c r="A4071" s="2" t="inlineStr">
        <is>
          <t>SN-3000-3600-3630-3630WL0001</t>
        </is>
      </c>
      <c r="B4071" s="2" t="inlineStr">
        <is>
          <t>3630WL0001</t>
        </is>
      </c>
      <c r="C4071" s="2" t="inlineStr">
        <is>
          <t>Válvula control agua filtrada HV4568B</t>
        </is>
      </c>
      <c r="D4071" s="2" t="n">
        <v>1357</v>
      </c>
      <c r="E4071" s="2" t="inlineStr">
        <is>
          <t>CC-3000</t>
        </is>
      </c>
      <c r="F4071" s="2" t="inlineStr">
        <is>
          <t>P01</t>
        </is>
      </c>
      <c r="G4071" s="2" t="n">
        <v>620000</v>
      </c>
      <c r="H4071" s="2" t="inlineStr">
        <is>
          <t>Materiales</t>
        </is>
      </c>
      <c r="I4071" s="9" t="n">
        <v>484.26</v>
      </c>
      <c r="J4071" s="9" t="n">
        <v>445.96</v>
      </c>
      <c r="K4071" s="9" t="n">
        <v>488.1</v>
      </c>
      <c r="L4071" s="9" t="n">
        <v>514.39</v>
      </c>
      <c r="M4071" s="9" t="n">
        <v>459.96</v>
      </c>
      <c r="N4071" s="9" t="n">
        <v>431.12</v>
      </c>
      <c r="O4071" s="9" t="n">
        <v>460.52</v>
      </c>
      <c r="P4071" s="9" t="n">
        <v>499.95</v>
      </c>
      <c r="Q4071" s="9" t="n">
        <v>470.3</v>
      </c>
      <c r="R4071" s="9" t="n">
        <v>540.36</v>
      </c>
      <c r="S4071" s="9" t="n">
        <v>441.26</v>
      </c>
      <c r="T4071" s="9" t="n">
        <v>470.28</v>
      </c>
      <c r="U4071" s="10">
        <f>SUM(I4071:T4071)</f>
        <v/>
      </c>
    </row>
    <row r="4072">
      <c r="A4072" s="2" t="inlineStr">
        <is>
          <t>SN-3000-3600-3630-3630WL0001</t>
        </is>
      </c>
      <c r="B4072" s="2" t="inlineStr">
        <is>
          <t>3630WL0001</t>
        </is>
      </c>
      <c r="C4072" s="2" t="inlineStr">
        <is>
          <t>Válvula control agua filtrada HV4568B</t>
        </is>
      </c>
      <c r="D4072" s="2" t="n">
        <v>1357</v>
      </c>
      <c r="E4072" s="2" t="inlineStr">
        <is>
          <t>CC-3000</t>
        </is>
      </c>
      <c r="F4072" s="2" t="inlineStr">
        <is>
          <t>P01</t>
        </is>
      </c>
      <c r="G4072" s="2" t="n">
        <v>630000</v>
      </c>
      <c r="H4072" s="2" t="inlineStr">
        <is>
          <t>Servicios externos</t>
        </is>
      </c>
      <c r="I4072" s="9" t="n">
        <v>571.87</v>
      </c>
      <c r="J4072" s="9" t="n">
        <v>534.8099999999999</v>
      </c>
      <c r="K4072" s="9" t="n">
        <v>573.9400000000001</v>
      </c>
      <c r="L4072" s="9" t="n">
        <v>632.88</v>
      </c>
      <c r="M4072" s="9" t="n">
        <v>562.79</v>
      </c>
      <c r="N4072" s="9" t="n">
        <v>589.37</v>
      </c>
      <c r="O4072" s="9" t="n">
        <v>540.16</v>
      </c>
      <c r="P4072" s="9" t="n">
        <v>600.53</v>
      </c>
      <c r="Q4072" s="9" t="n">
        <v>501.68</v>
      </c>
      <c r="R4072" s="9" t="n">
        <v>591.5599999999999</v>
      </c>
      <c r="S4072" s="9" t="n">
        <v>568.39</v>
      </c>
      <c r="T4072" s="9" t="n">
        <v>578.86</v>
      </c>
      <c r="U4072" s="10">
        <f>SUM(I4072:T4072)</f>
        <v/>
      </c>
    </row>
    <row r="4073">
      <c r="A4073" s="2" t="inlineStr">
        <is>
          <t>SN-3000-3600-36ER-3600FP0001</t>
        </is>
      </c>
      <c r="B4073" s="2" t="inlineStr">
        <is>
          <t>3600FP0001</t>
        </is>
      </c>
      <c r="C4073" s="2" t="inlineStr">
        <is>
          <t>Tablero control SCI FP0001</t>
        </is>
      </c>
      <c r="D4073" s="2" t="n">
        <v>1358</v>
      </c>
      <c r="E4073" s="2" t="inlineStr">
        <is>
          <t>CC-3000</t>
        </is>
      </c>
      <c r="F4073" s="2" t="inlineStr">
        <is>
          <t>P01</t>
        </is>
      </c>
      <c r="G4073" s="2" t="n">
        <v>610000</v>
      </c>
      <c r="H4073" s="2" t="inlineStr">
        <is>
          <t>Mano obra interna</t>
        </is>
      </c>
      <c r="I4073" s="9" t="n">
        <v>2667.63</v>
      </c>
      <c r="J4073" s="9" t="n">
        <v>2221.16</v>
      </c>
      <c r="K4073" s="9" t="n">
        <v>2382.38</v>
      </c>
      <c r="L4073" s="9" t="n">
        <v>2538.41</v>
      </c>
      <c r="M4073" s="9" t="n">
        <v>2556.56</v>
      </c>
      <c r="N4073" s="9" t="n">
        <v>2433.04</v>
      </c>
      <c r="O4073" s="9" t="n">
        <v>2416.88</v>
      </c>
      <c r="P4073" s="9" t="n">
        <v>2522.68</v>
      </c>
      <c r="Q4073" s="9" t="n">
        <v>2155.64</v>
      </c>
      <c r="R4073" s="9" t="n">
        <v>2415.85</v>
      </c>
      <c r="S4073" s="9" t="n">
        <v>2377.93</v>
      </c>
      <c r="T4073" s="9" t="n">
        <v>2588.78</v>
      </c>
      <c r="U4073" s="10">
        <f>SUM(I4073:T4073)</f>
        <v/>
      </c>
    </row>
    <row r="4074">
      <c r="A4074" s="2" t="inlineStr">
        <is>
          <t>SN-3000-3600-36ER-3600FP0001</t>
        </is>
      </c>
      <c r="B4074" s="2" t="inlineStr">
        <is>
          <t>3600FP0001</t>
        </is>
      </c>
      <c r="C4074" s="2" t="inlineStr">
        <is>
          <t>Tablero control SCI FP0001</t>
        </is>
      </c>
      <c r="D4074" s="2" t="n">
        <v>1358</v>
      </c>
      <c r="E4074" s="2" t="inlineStr">
        <is>
          <t>CC-3000</t>
        </is>
      </c>
      <c r="F4074" s="2" t="inlineStr">
        <is>
          <t>P01</t>
        </is>
      </c>
      <c r="G4074" s="2" t="n">
        <v>620000</v>
      </c>
      <c r="H4074" s="2" t="inlineStr">
        <is>
          <t>Materiales</t>
        </is>
      </c>
      <c r="I4074" s="9" t="n">
        <v>2258.64</v>
      </c>
      <c r="J4074" s="9" t="n">
        <v>2128.31</v>
      </c>
      <c r="K4074" s="9" t="n">
        <v>2262.59</v>
      </c>
      <c r="L4074" s="9" t="n">
        <v>2374.05</v>
      </c>
      <c r="M4074" s="9" t="n">
        <v>2158.07</v>
      </c>
      <c r="N4074" s="9" t="n">
        <v>1927.27</v>
      </c>
      <c r="O4074" s="9" t="n">
        <v>2294.3</v>
      </c>
      <c r="P4074" s="9" t="n">
        <v>2227.83</v>
      </c>
      <c r="Q4074" s="9" t="n">
        <v>2112.11</v>
      </c>
      <c r="R4074" s="9" t="n">
        <v>2511.34</v>
      </c>
      <c r="S4074" s="9" t="n">
        <v>2045.93</v>
      </c>
      <c r="T4074" s="9" t="n">
        <v>2221.86</v>
      </c>
      <c r="U4074" s="10">
        <f>SUM(I4074:T4074)</f>
        <v/>
      </c>
    </row>
    <row r="4075">
      <c r="A4075" s="2" t="inlineStr">
        <is>
          <t>SN-3000-3600-36ER-3600FP0001</t>
        </is>
      </c>
      <c r="B4075" s="2" t="inlineStr">
        <is>
          <t>3600FP0001</t>
        </is>
      </c>
      <c r="C4075" s="2" t="inlineStr">
        <is>
          <t>Tablero control SCI FP0001</t>
        </is>
      </c>
      <c r="D4075" s="2" t="n">
        <v>1358</v>
      </c>
      <c r="E4075" s="2" t="inlineStr">
        <is>
          <t>CC-3000</t>
        </is>
      </c>
      <c r="F4075" s="2" t="inlineStr">
        <is>
          <t>P01</t>
        </is>
      </c>
      <c r="G4075" s="2" t="n">
        <v>630000</v>
      </c>
      <c r="H4075" s="2" t="inlineStr">
        <is>
          <t>Servicios externos</t>
        </is>
      </c>
      <c r="I4075" s="9" t="n">
        <v>2280.79</v>
      </c>
      <c r="J4075" s="9" t="n">
        <v>2381.13</v>
      </c>
      <c r="K4075" s="9" t="n">
        <v>2438.08</v>
      </c>
      <c r="L4075" s="9" t="n">
        <v>2428.83</v>
      </c>
      <c r="M4075" s="9" t="n">
        <v>2378.92</v>
      </c>
      <c r="N4075" s="9" t="n">
        <v>2105.47</v>
      </c>
      <c r="O4075" s="9" t="n">
        <v>2382</v>
      </c>
      <c r="P4075" s="9" t="n">
        <v>2389.46</v>
      </c>
      <c r="Q4075" s="9" t="n">
        <v>2249.36</v>
      </c>
      <c r="R4075" s="9" t="n">
        <v>2466.02</v>
      </c>
      <c r="S4075" s="9" t="n">
        <v>2219.21</v>
      </c>
      <c r="T4075" s="9" t="n">
        <v>2175.43</v>
      </c>
      <c r="U4075" s="10">
        <f>SUM(I4075:T4075)</f>
        <v/>
      </c>
    </row>
    <row r="4076">
      <c r="A4076" s="2" t="inlineStr">
        <is>
          <t>SN-3000-3800-3810-3810DC0004</t>
        </is>
      </c>
      <c r="B4076" s="2" t="inlineStr">
        <is>
          <t>3810DC0004</t>
        </is>
      </c>
      <c r="C4076" s="2" t="inlineStr">
        <is>
          <t>Colector polvo DC0004</t>
        </is>
      </c>
      <c r="D4076" s="2" t="n">
        <v>1359</v>
      </c>
      <c r="E4076" s="2" t="inlineStr">
        <is>
          <t>CC-3000</t>
        </is>
      </c>
      <c r="F4076" s="2" t="inlineStr">
        <is>
          <t>P01</t>
        </is>
      </c>
      <c r="G4076" s="2" t="n">
        <v>610000</v>
      </c>
      <c r="H4076" s="2" t="inlineStr">
        <is>
          <t>Mano obra interna</t>
        </is>
      </c>
      <c r="I4076" s="9" t="n">
        <v>2903.29</v>
      </c>
      <c r="J4076" s="9" t="n">
        <v>2828.11</v>
      </c>
      <c r="K4076" s="9" t="n">
        <v>2741.6</v>
      </c>
      <c r="L4076" s="9" t="n">
        <v>2938.32</v>
      </c>
      <c r="M4076" s="9" t="n">
        <v>2594.43</v>
      </c>
      <c r="N4076" s="9" t="n">
        <v>2887.71</v>
      </c>
      <c r="O4076" s="9" t="n">
        <v>2994.75</v>
      </c>
      <c r="P4076" s="9" t="n">
        <v>2688.49</v>
      </c>
      <c r="Q4076" s="9" t="n">
        <v>2672.83</v>
      </c>
      <c r="R4076" s="9" t="n">
        <v>3100.84</v>
      </c>
      <c r="S4076" s="9" t="n">
        <v>2871.46</v>
      </c>
      <c r="T4076" s="9" t="n">
        <v>2988.87</v>
      </c>
      <c r="U4076" s="10">
        <f>SUM(I4076:T4076)</f>
        <v/>
      </c>
    </row>
    <row r="4077">
      <c r="A4077" s="2" t="inlineStr">
        <is>
          <t>SN-3000-3800-3810-3810DC0004</t>
        </is>
      </c>
      <c r="B4077" s="2" t="inlineStr">
        <is>
          <t>3810DC0004</t>
        </is>
      </c>
      <c r="C4077" s="2" t="inlineStr">
        <is>
          <t>Colector polvo DC0004</t>
        </is>
      </c>
      <c r="D4077" s="2" t="n">
        <v>1359</v>
      </c>
      <c r="E4077" s="2" t="inlineStr">
        <is>
          <t>CC-3000</t>
        </is>
      </c>
      <c r="F4077" s="2" t="inlineStr">
        <is>
          <t>P01</t>
        </is>
      </c>
      <c r="G4077" s="2" t="n">
        <v>620000</v>
      </c>
      <c r="H4077" s="2" t="inlineStr">
        <is>
          <t>Materiales</t>
        </is>
      </c>
      <c r="I4077" s="9" t="n">
        <v>2891.07</v>
      </c>
      <c r="J4077" s="9" t="n">
        <v>2685.73</v>
      </c>
      <c r="K4077" s="9" t="n">
        <v>3028.26</v>
      </c>
      <c r="L4077" s="9" t="n">
        <v>3090.48</v>
      </c>
      <c r="M4077" s="9" t="n">
        <v>2772.86</v>
      </c>
      <c r="N4077" s="9" t="n">
        <v>2656.74</v>
      </c>
      <c r="O4077" s="9" t="n">
        <v>3043.05</v>
      </c>
      <c r="P4077" s="9" t="n">
        <v>3016.8</v>
      </c>
      <c r="Q4077" s="9" t="n">
        <v>2572.56</v>
      </c>
      <c r="R4077" s="9" t="n">
        <v>3313.67</v>
      </c>
      <c r="S4077" s="9" t="n">
        <v>2644.47</v>
      </c>
      <c r="T4077" s="9" t="n">
        <v>2760.27</v>
      </c>
      <c r="U4077" s="10">
        <f>SUM(I4077:T4077)</f>
        <v/>
      </c>
    </row>
    <row r="4078">
      <c r="A4078" s="2" t="inlineStr">
        <is>
          <t>SN-3000-3800-3810-3810DC0004</t>
        </is>
      </c>
      <c r="B4078" s="2" t="inlineStr">
        <is>
          <t>3810DC0004</t>
        </is>
      </c>
      <c r="C4078" s="2" t="inlineStr">
        <is>
          <t>Colector polvo DC0004</t>
        </is>
      </c>
      <c r="D4078" s="2" t="n">
        <v>1359</v>
      </c>
      <c r="E4078" s="2" t="inlineStr">
        <is>
          <t>CC-3000</t>
        </is>
      </c>
      <c r="F4078" s="2" t="inlineStr">
        <is>
          <t>P01</t>
        </is>
      </c>
      <c r="G4078" s="2" t="n">
        <v>630000</v>
      </c>
      <c r="H4078" s="2" t="inlineStr">
        <is>
          <t>Servicios externos</t>
        </is>
      </c>
      <c r="I4078" s="9" t="n">
        <v>2548.22</v>
      </c>
      <c r="J4078" s="9" t="n">
        <v>2387.61</v>
      </c>
      <c r="K4078" s="9" t="n">
        <v>2384.33</v>
      </c>
      <c r="L4078" s="9" t="n">
        <v>2270.87</v>
      </c>
      <c r="M4078" s="9" t="n">
        <v>2405.95</v>
      </c>
      <c r="N4078" s="9" t="n">
        <v>2283.18</v>
      </c>
      <c r="O4078" s="9" t="n">
        <v>2535.38</v>
      </c>
      <c r="P4078" s="9" t="n">
        <v>2448.86</v>
      </c>
      <c r="Q4078" s="9" t="n">
        <v>2049</v>
      </c>
      <c r="R4078" s="9" t="n">
        <v>2627.74</v>
      </c>
      <c r="S4078" s="9" t="n">
        <v>2187.41</v>
      </c>
      <c r="T4078" s="9" t="n">
        <v>2562.02</v>
      </c>
      <c r="U4078" s="10">
        <f>SUM(I4078:T4078)</f>
        <v/>
      </c>
    </row>
    <row r="4079">
      <c r="A4079" s="2" t="inlineStr">
        <is>
          <t>SN-3000-3800-3810-3810FA0030</t>
        </is>
      </c>
      <c r="B4079" s="2" t="inlineStr">
        <is>
          <t>3810FA0030</t>
        </is>
      </c>
      <c r="C4079" s="2" t="inlineStr">
        <is>
          <t>Ventilador centrífugo FA0030</t>
        </is>
      </c>
      <c r="D4079" s="2" t="n">
        <v>1360</v>
      </c>
      <c r="E4079" s="2" t="inlineStr">
        <is>
          <t>CC-3000</t>
        </is>
      </c>
      <c r="F4079" s="2" t="inlineStr">
        <is>
          <t>P01</t>
        </is>
      </c>
      <c r="G4079" s="2" t="n">
        <v>610000</v>
      </c>
      <c r="H4079" s="2" t="inlineStr">
        <is>
          <t>Mano obra interna</t>
        </is>
      </c>
      <c r="I4079" s="9" t="n">
        <v>680.58</v>
      </c>
      <c r="J4079" s="9" t="n">
        <v>685.17</v>
      </c>
      <c r="K4079" s="9" t="n">
        <v>669.49</v>
      </c>
      <c r="L4079" s="9" t="n">
        <v>693.41</v>
      </c>
      <c r="M4079" s="9" t="n">
        <v>688.3099999999999</v>
      </c>
      <c r="N4079" s="9" t="n">
        <v>659.6</v>
      </c>
      <c r="O4079" s="9" t="n">
        <v>691.74</v>
      </c>
      <c r="P4079" s="9" t="n">
        <v>737.46</v>
      </c>
      <c r="Q4079" s="9" t="n">
        <v>648.27</v>
      </c>
      <c r="R4079" s="9" t="n">
        <v>803.34</v>
      </c>
      <c r="S4079" s="9" t="n">
        <v>635.63</v>
      </c>
      <c r="T4079" s="9" t="n">
        <v>681.3200000000001</v>
      </c>
      <c r="U4079" s="10">
        <f>SUM(I4079:T4079)</f>
        <v/>
      </c>
    </row>
    <row r="4080">
      <c r="A4080" s="2" t="inlineStr">
        <is>
          <t>SN-3000-3800-3810-3810FA0030</t>
        </is>
      </c>
      <c r="B4080" s="2" t="inlineStr">
        <is>
          <t>3810FA0030</t>
        </is>
      </c>
      <c r="C4080" s="2" t="inlineStr">
        <is>
          <t>Ventilador centrífugo FA0030</t>
        </is>
      </c>
      <c r="D4080" s="2" t="n">
        <v>1360</v>
      </c>
      <c r="E4080" s="2" t="inlineStr">
        <is>
          <t>CC-3000</t>
        </is>
      </c>
      <c r="F4080" s="2" t="inlineStr">
        <is>
          <t>P01</t>
        </is>
      </c>
      <c r="G4080" s="2" t="n">
        <v>620000</v>
      </c>
      <c r="H4080" s="2" t="inlineStr">
        <is>
          <t>Materiales</t>
        </is>
      </c>
      <c r="I4080" s="9" t="n">
        <v>817.05</v>
      </c>
      <c r="J4080" s="9" t="n">
        <v>796.62</v>
      </c>
      <c r="K4080" s="9" t="n">
        <v>910.25</v>
      </c>
      <c r="L4080" s="9" t="n">
        <v>852.64</v>
      </c>
      <c r="M4080" s="9" t="n">
        <v>798.85</v>
      </c>
      <c r="N4080" s="9" t="n">
        <v>827.8</v>
      </c>
      <c r="O4080" s="9" t="n">
        <v>772.53</v>
      </c>
      <c r="P4080" s="9" t="n">
        <v>836.95</v>
      </c>
      <c r="Q4080" s="9" t="n">
        <v>722.38</v>
      </c>
      <c r="R4080" s="9" t="n">
        <v>847.9299999999999</v>
      </c>
      <c r="S4080" s="9" t="n">
        <v>746.46</v>
      </c>
      <c r="T4080" s="9" t="n">
        <v>895.52</v>
      </c>
      <c r="U4080" s="10">
        <f>SUM(I4080:T4080)</f>
        <v/>
      </c>
    </row>
    <row r="4081">
      <c r="A4081" s="2" t="inlineStr">
        <is>
          <t>SN-3000-3800-3810-3810FA0030</t>
        </is>
      </c>
      <c r="B4081" s="2" t="inlineStr">
        <is>
          <t>3810FA0030</t>
        </is>
      </c>
      <c r="C4081" s="2" t="inlineStr">
        <is>
          <t>Ventilador centrífugo FA0030</t>
        </is>
      </c>
      <c r="D4081" s="2" t="n">
        <v>1360</v>
      </c>
      <c r="E4081" s="2" t="inlineStr">
        <is>
          <t>CC-3000</t>
        </is>
      </c>
      <c r="F4081" s="2" t="inlineStr">
        <is>
          <t>P01</t>
        </is>
      </c>
      <c r="G4081" s="2" t="n">
        <v>630000</v>
      </c>
      <c r="H4081" s="2" t="inlineStr">
        <is>
          <t>Servicios externos</t>
        </is>
      </c>
      <c r="I4081" s="9" t="n">
        <v>688.46</v>
      </c>
      <c r="J4081" s="9" t="n">
        <v>633.3</v>
      </c>
      <c r="K4081" s="9" t="n">
        <v>680.99</v>
      </c>
      <c r="L4081" s="9" t="n">
        <v>686.76</v>
      </c>
      <c r="M4081" s="9" t="n">
        <v>660.36</v>
      </c>
      <c r="N4081" s="9" t="n">
        <v>668.61</v>
      </c>
      <c r="O4081" s="9" t="n">
        <v>717.29</v>
      </c>
      <c r="P4081" s="9" t="n">
        <v>650.65</v>
      </c>
      <c r="Q4081" s="9" t="n">
        <v>578.51</v>
      </c>
      <c r="R4081" s="9" t="n">
        <v>771.11</v>
      </c>
      <c r="S4081" s="9" t="n">
        <v>701.03</v>
      </c>
      <c r="T4081" s="9" t="n">
        <v>675.34</v>
      </c>
      <c r="U4081" s="10">
        <f>SUM(I4081:T4081)</f>
        <v/>
      </c>
    </row>
    <row r="4082">
      <c r="A4082" s="2" t="inlineStr">
        <is>
          <t>SN-3000-3800-3810-3810FA0044</t>
        </is>
      </c>
      <c r="B4082" s="2" t="inlineStr">
        <is>
          <t>3810FA0044</t>
        </is>
      </c>
      <c r="C4082" s="2" t="inlineStr">
        <is>
          <t>Ventilador centrífugo FA0044</t>
        </is>
      </c>
      <c r="D4082" s="2" t="n">
        <v>1361</v>
      </c>
      <c r="E4082" s="2" t="inlineStr">
        <is>
          <t>CC-3000</t>
        </is>
      </c>
      <c r="F4082" s="2" t="inlineStr">
        <is>
          <t>P01</t>
        </is>
      </c>
      <c r="G4082" s="2" t="n">
        <v>610000</v>
      </c>
      <c r="H4082" s="2" t="inlineStr">
        <is>
          <t>Mano obra interna</t>
        </is>
      </c>
      <c r="I4082" s="9" t="n">
        <v>2596.58</v>
      </c>
      <c r="J4082" s="9" t="n">
        <v>2645.87</v>
      </c>
      <c r="K4082" s="9" t="n">
        <v>2694.91</v>
      </c>
      <c r="L4082" s="9" t="n">
        <v>2974.62</v>
      </c>
      <c r="M4082" s="9" t="n">
        <v>2534.62</v>
      </c>
      <c r="N4082" s="9" t="n">
        <v>2528.53</v>
      </c>
      <c r="O4082" s="9" t="n">
        <v>2748.63</v>
      </c>
      <c r="P4082" s="9" t="n">
        <v>2628.32</v>
      </c>
      <c r="Q4082" s="9" t="n">
        <v>2500.41</v>
      </c>
      <c r="R4082" s="9" t="n">
        <v>3128.99</v>
      </c>
      <c r="S4082" s="9" t="n">
        <v>2614.35</v>
      </c>
      <c r="T4082" s="9" t="n">
        <v>2916.86</v>
      </c>
      <c r="U4082" s="10">
        <f>SUM(I4082:T4082)</f>
        <v/>
      </c>
    </row>
    <row r="4083">
      <c r="A4083" s="2" t="inlineStr">
        <is>
          <t>SN-3000-3800-3810-3810FA0044</t>
        </is>
      </c>
      <c r="B4083" s="2" t="inlineStr">
        <is>
          <t>3810FA0044</t>
        </is>
      </c>
      <c r="C4083" s="2" t="inlineStr">
        <is>
          <t>Ventilador centrífugo FA0044</t>
        </is>
      </c>
      <c r="D4083" s="2" t="n">
        <v>1361</v>
      </c>
      <c r="E4083" s="2" t="inlineStr">
        <is>
          <t>CC-3000</t>
        </is>
      </c>
      <c r="F4083" s="2" t="inlineStr">
        <is>
          <t>P01</t>
        </is>
      </c>
      <c r="G4083" s="2" t="n">
        <v>620000</v>
      </c>
      <c r="H4083" s="2" t="inlineStr">
        <is>
          <t>Materiales</t>
        </is>
      </c>
      <c r="I4083" s="9" t="n">
        <v>2195.92</v>
      </c>
      <c r="J4083" s="9" t="n">
        <v>2416.15</v>
      </c>
      <c r="K4083" s="9" t="n">
        <v>2222.52</v>
      </c>
      <c r="L4083" s="9" t="n">
        <v>2429.5</v>
      </c>
      <c r="M4083" s="9" t="n">
        <v>2247.13</v>
      </c>
      <c r="N4083" s="9" t="n">
        <v>2157.11</v>
      </c>
      <c r="O4083" s="9" t="n">
        <v>2349.82</v>
      </c>
      <c r="P4083" s="9" t="n">
        <v>2372.04</v>
      </c>
      <c r="Q4083" s="9" t="n">
        <v>2279.44</v>
      </c>
      <c r="R4083" s="9" t="n">
        <v>2373.95</v>
      </c>
      <c r="S4083" s="9" t="n">
        <v>2287.53</v>
      </c>
      <c r="T4083" s="9" t="n">
        <v>2265.76</v>
      </c>
      <c r="U4083" s="10">
        <f>SUM(I4083:T4083)</f>
        <v/>
      </c>
    </row>
    <row r="4084">
      <c r="A4084" s="2" t="inlineStr">
        <is>
          <t>SN-3000-3800-3810-3810FA0044</t>
        </is>
      </c>
      <c r="B4084" s="2" t="inlineStr">
        <is>
          <t>3810FA0044</t>
        </is>
      </c>
      <c r="C4084" s="2" t="inlineStr">
        <is>
          <t>Ventilador centrífugo FA0044</t>
        </is>
      </c>
      <c r="D4084" s="2" t="n">
        <v>1361</v>
      </c>
      <c r="E4084" s="2" t="inlineStr">
        <is>
          <t>CC-3000</t>
        </is>
      </c>
      <c r="F4084" s="2" t="inlineStr">
        <is>
          <t>P01</t>
        </is>
      </c>
      <c r="G4084" s="2" t="n">
        <v>630000</v>
      </c>
      <c r="H4084" s="2" t="inlineStr">
        <is>
          <t>Servicios externos</t>
        </is>
      </c>
      <c r="I4084" s="9" t="n">
        <v>2747.93</v>
      </c>
      <c r="J4084" s="9" t="n">
        <v>2792.98</v>
      </c>
      <c r="K4084" s="9" t="n">
        <v>2796.56</v>
      </c>
      <c r="L4084" s="9" t="n">
        <v>2841.9</v>
      </c>
      <c r="M4084" s="9" t="n">
        <v>2923.28</v>
      </c>
      <c r="N4084" s="9" t="n">
        <v>2613.41</v>
      </c>
      <c r="O4084" s="9" t="n">
        <v>2941.12</v>
      </c>
      <c r="P4084" s="9" t="n">
        <v>2851.34</v>
      </c>
      <c r="Q4084" s="9" t="n">
        <v>2484.46</v>
      </c>
      <c r="R4084" s="9" t="n">
        <v>3023.43</v>
      </c>
      <c r="S4084" s="9" t="n">
        <v>2927.42</v>
      </c>
      <c r="T4084" s="9" t="n">
        <v>3124.57</v>
      </c>
      <c r="U4084" s="10">
        <f>SUM(I4084:T4084)</f>
        <v/>
      </c>
    </row>
    <row r="4085">
      <c r="A4085" s="2" t="inlineStr">
        <is>
          <t>SN-3000-3800-3810-3810ML0001</t>
        </is>
      </c>
      <c r="B4085" s="2" t="inlineStr">
        <is>
          <t>3810ML0001</t>
        </is>
      </c>
      <c r="C4085" s="2" t="inlineStr">
        <is>
          <t>Válvula control lechada cal HV5304</t>
        </is>
      </c>
      <c r="D4085" s="2" t="n">
        <v>1362</v>
      </c>
      <c r="E4085" s="2" t="inlineStr">
        <is>
          <t>CC-3000</t>
        </is>
      </c>
      <c r="F4085" s="2" t="inlineStr">
        <is>
          <t>P01</t>
        </is>
      </c>
      <c r="G4085" s="2" t="n">
        <v>610000</v>
      </c>
      <c r="H4085" s="2" t="inlineStr">
        <is>
          <t>Mano obra interna</t>
        </is>
      </c>
      <c r="I4085" s="9" t="n">
        <v>1892.67</v>
      </c>
      <c r="J4085" s="9" t="n">
        <v>1849.64</v>
      </c>
      <c r="K4085" s="9" t="n">
        <v>2154.3</v>
      </c>
      <c r="L4085" s="9" t="n">
        <v>2091.05</v>
      </c>
      <c r="M4085" s="9" t="n">
        <v>1907.59</v>
      </c>
      <c r="N4085" s="9" t="n">
        <v>1875.3</v>
      </c>
      <c r="O4085" s="9" t="n">
        <v>2096.52</v>
      </c>
      <c r="P4085" s="9" t="n">
        <v>1966.97</v>
      </c>
      <c r="Q4085" s="9" t="n">
        <v>1934.25</v>
      </c>
      <c r="R4085" s="9" t="n">
        <v>2082.21</v>
      </c>
      <c r="S4085" s="9" t="n">
        <v>2001.95</v>
      </c>
      <c r="T4085" s="9" t="n">
        <v>2014.94</v>
      </c>
      <c r="U4085" s="10">
        <f>SUM(I4085:T4085)</f>
        <v/>
      </c>
    </row>
    <row r="4086">
      <c r="A4086" s="2" t="inlineStr">
        <is>
          <t>SN-3000-3800-3810-3810ML0001</t>
        </is>
      </c>
      <c r="B4086" s="2" t="inlineStr">
        <is>
          <t>3810ML0001</t>
        </is>
      </c>
      <c r="C4086" s="2" t="inlineStr">
        <is>
          <t>Válvula control lechada cal HV5304</t>
        </is>
      </c>
      <c r="D4086" s="2" t="n">
        <v>1362</v>
      </c>
      <c r="E4086" s="2" t="inlineStr">
        <is>
          <t>CC-3000</t>
        </is>
      </c>
      <c r="F4086" s="2" t="inlineStr">
        <is>
          <t>P01</t>
        </is>
      </c>
      <c r="G4086" s="2" t="n">
        <v>620000</v>
      </c>
      <c r="H4086" s="2" t="inlineStr">
        <is>
          <t>Materiales</t>
        </is>
      </c>
      <c r="I4086" s="9" t="n">
        <v>2102.68</v>
      </c>
      <c r="J4086" s="9" t="n">
        <v>1981.21</v>
      </c>
      <c r="K4086" s="9" t="n">
        <v>2080.54</v>
      </c>
      <c r="L4086" s="9" t="n">
        <v>1994.72</v>
      </c>
      <c r="M4086" s="9" t="n">
        <v>2162.7</v>
      </c>
      <c r="N4086" s="9" t="n">
        <v>2064.5</v>
      </c>
      <c r="O4086" s="9" t="n">
        <v>2037.52</v>
      </c>
      <c r="P4086" s="9" t="n">
        <v>1875.33</v>
      </c>
      <c r="Q4086" s="9" t="n">
        <v>1787.41</v>
      </c>
      <c r="R4086" s="9" t="n">
        <v>2310.57</v>
      </c>
      <c r="S4086" s="9" t="n">
        <v>2098.26</v>
      </c>
      <c r="T4086" s="9" t="n">
        <v>1946.3</v>
      </c>
      <c r="U4086" s="10">
        <f>SUM(I4086:T4086)</f>
        <v/>
      </c>
    </row>
    <row r="4087">
      <c r="A4087" s="2" t="inlineStr">
        <is>
          <t>SN-3000-3800-3810-3810ML0001</t>
        </is>
      </c>
      <c r="B4087" s="2" t="inlineStr">
        <is>
          <t>3810ML0001</t>
        </is>
      </c>
      <c r="C4087" s="2" t="inlineStr">
        <is>
          <t>Válvula control lechada cal HV5304</t>
        </is>
      </c>
      <c r="D4087" s="2" t="n">
        <v>1362</v>
      </c>
      <c r="E4087" s="2" t="inlineStr">
        <is>
          <t>CC-3000</t>
        </is>
      </c>
      <c r="F4087" s="2" t="inlineStr">
        <is>
          <t>P01</t>
        </is>
      </c>
      <c r="G4087" s="2" t="n">
        <v>630000</v>
      </c>
      <c r="H4087" s="2" t="inlineStr">
        <is>
          <t>Servicios externos</t>
        </is>
      </c>
      <c r="I4087" s="9" t="n">
        <v>2237.08</v>
      </c>
      <c r="J4087" s="9" t="n">
        <v>2049.97</v>
      </c>
      <c r="K4087" s="9" t="n">
        <v>2194.43</v>
      </c>
      <c r="L4087" s="9" t="n">
        <v>2258.77</v>
      </c>
      <c r="M4087" s="9" t="n">
        <v>1991.19</v>
      </c>
      <c r="N4087" s="9" t="n">
        <v>1952.46</v>
      </c>
      <c r="O4087" s="9" t="n">
        <v>1989.52</v>
      </c>
      <c r="P4087" s="9" t="n">
        <v>2285.69</v>
      </c>
      <c r="Q4087" s="9" t="n">
        <v>2024.2</v>
      </c>
      <c r="R4087" s="9" t="n">
        <v>2326.33</v>
      </c>
      <c r="S4087" s="9" t="n">
        <v>2149.12</v>
      </c>
      <c r="T4087" s="9" t="n">
        <v>2351.42</v>
      </c>
      <c r="U4087" s="10">
        <f>SUM(I4087:T4087)</f>
        <v/>
      </c>
    </row>
    <row r="4088">
      <c r="A4088" s="2" t="inlineStr">
        <is>
          <t>SN-3000-3800-3810-3810SY0014</t>
        </is>
      </c>
      <c r="B4088" s="2" t="inlineStr">
        <is>
          <t>3810SY0014</t>
        </is>
      </c>
      <c r="C4088" s="2" t="inlineStr">
        <is>
          <t>Ducha y lava ojos de emergencia SY0014</t>
        </is>
      </c>
      <c r="D4088" s="2" t="n">
        <v>1363</v>
      </c>
      <c r="E4088" s="2" t="inlineStr">
        <is>
          <t>CC-3000</t>
        </is>
      </c>
      <c r="F4088" s="2" t="inlineStr">
        <is>
          <t>P01</t>
        </is>
      </c>
      <c r="G4088" s="2" t="n">
        <v>610000</v>
      </c>
      <c r="H4088" s="2" t="inlineStr">
        <is>
          <t>Mano obra interna</t>
        </is>
      </c>
      <c r="I4088" s="9" t="n">
        <v>1758.26</v>
      </c>
      <c r="J4088" s="9" t="n">
        <v>1742.9</v>
      </c>
      <c r="K4088" s="9" t="n">
        <v>2009.67</v>
      </c>
      <c r="L4088" s="9" t="n">
        <v>1843.61</v>
      </c>
      <c r="M4088" s="9" t="n">
        <v>1895.88</v>
      </c>
      <c r="N4088" s="9" t="n">
        <v>1666.23</v>
      </c>
      <c r="O4088" s="9" t="n">
        <v>1828.72</v>
      </c>
      <c r="P4088" s="9" t="n">
        <v>1719.42</v>
      </c>
      <c r="Q4088" s="9" t="n">
        <v>1679.55</v>
      </c>
      <c r="R4088" s="9" t="n">
        <v>1898.22</v>
      </c>
      <c r="S4088" s="9" t="n">
        <v>1785.34</v>
      </c>
      <c r="T4088" s="9" t="n">
        <v>1940.25</v>
      </c>
      <c r="U4088" s="10">
        <f>SUM(I4088:T4088)</f>
        <v/>
      </c>
    </row>
    <row r="4089">
      <c r="A4089" s="2" t="inlineStr">
        <is>
          <t>SN-3000-3800-3810-3810SY0014</t>
        </is>
      </c>
      <c r="B4089" s="2" t="inlineStr">
        <is>
          <t>3810SY0014</t>
        </is>
      </c>
      <c r="C4089" s="2" t="inlineStr">
        <is>
          <t>Ducha y lava ojos de emergencia SY0014</t>
        </is>
      </c>
      <c r="D4089" s="2" t="n">
        <v>1363</v>
      </c>
      <c r="E4089" s="2" t="inlineStr">
        <is>
          <t>CC-3000</t>
        </is>
      </c>
      <c r="F4089" s="2" t="inlineStr">
        <is>
          <t>P01</t>
        </is>
      </c>
      <c r="G4089" s="2" t="n">
        <v>620000</v>
      </c>
      <c r="H4089" s="2" t="inlineStr">
        <is>
          <t>Materiales</t>
        </is>
      </c>
      <c r="I4089" s="9" t="n">
        <v>2211.2</v>
      </c>
      <c r="J4089" s="9" t="n">
        <v>2295.63</v>
      </c>
      <c r="K4089" s="9" t="n">
        <v>2457.44</v>
      </c>
      <c r="L4089" s="9" t="n">
        <v>2155.46</v>
      </c>
      <c r="M4089" s="9" t="n">
        <v>2250.96</v>
      </c>
      <c r="N4089" s="9" t="n">
        <v>2183.46</v>
      </c>
      <c r="O4089" s="9" t="n">
        <v>2162.91</v>
      </c>
      <c r="P4089" s="9" t="n">
        <v>2070.69</v>
      </c>
      <c r="Q4089" s="9" t="n">
        <v>2007.25</v>
      </c>
      <c r="R4089" s="9" t="n">
        <v>2452.41</v>
      </c>
      <c r="S4089" s="9" t="n">
        <v>2066.5</v>
      </c>
      <c r="T4089" s="9" t="n">
        <v>2199.48</v>
      </c>
      <c r="U4089" s="10">
        <f>SUM(I4089:T4089)</f>
        <v/>
      </c>
    </row>
    <row r="4090">
      <c r="A4090" s="2" t="inlineStr">
        <is>
          <t>SN-3000-3800-3810-3810SY0014</t>
        </is>
      </c>
      <c r="B4090" s="2" t="inlineStr">
        <is>
          <t>3810SY0014</t>
        </is>
      </c>
      <c r="C4090" s="2" t="inlineStr">
        <is>
          <t>Ducha y lava ojos de emergencia SY0014</t>
        </is>
      </c>
      <c r="D4090" s="2" t="n">
        <v>1363</v>
      </c>
      <c r="E4090" s="2" t="inlineStr">
        <is>
          <t>CC-3000</t>
        </is>
      </c>
      <c r="F4090" s="2" t="inlineStr">
        <is>
          <t>P01</t>
        </is>
      </c>
      <c r="G4090" s="2" t="n">
        <v>630000</v>
      </c>
      <c r="H4090" s="2" t="inlineStr">
        <is>
          <t>Servicios externos</t>
        </is>
      </c>
      <c r="I4090" s="9" t="n">
        <v>2099.47</v>
      </c>
      <c r="J4090" s="9" t="n">
        <v>1915.79</v>
      </c>
      <c r="K4090" s="9" t="n">
        <v>2121.96</v>
      </c>
      <c r="L4090" s="9" t="n">
        <v>2307.55</v>
      </c>
      <c r="M4090" s="9" t="n">
        <v>1989.88</v>
      </c>
      <c r="N4090" s="9" t="n">
        <v>1923.69</v>
      </c>
      <c r="O4090" s="9" t="n">
        <v>1981.08</v>
      </c>
      <c r="P4090" s="9" t="n">
        <v>2012.72</v>
      </c>
      <c r="Q4090" s="9" t="n">
        <v>1969.38</v>
      </c>
      <c r="R4090" s="9" t="n">
        <v>2422.16</v>
      </c>
      <c r="S4090" s="9" t="n">
        <v>2058.72</v>
      </c>
      <c r="T4090" s="9" t="n">
        <v>2091.05</v>
      </c>
      <c r="U4090" s="10">
        <f>SUM(I4090:T4090)</f>
        <v/>
      </c>
    </row>
    <row r="4091">
      <c r="A4091" s="2" t="inlineStr">
        <is>
          <t>SN-3000-3800-3810-3810SY0033</t>
        </is>
      </c>
      <c r="B4091" s="2" t="inlineStr">
        <is>
          <t>3810SY0033</t>
        </is>
      </c>
      <c r="C4091" s="2" t="inlineStr">
        <is>
          <t>Lava ojos de emergencia SY0033</t>
        </is>
      </c>
      <c r="D4091" s="2" t="n">
        <v>1364</v>
      </c>
      <c r="E4091" s="2" t="inlineStr">
        <is>
          <t>CC-3000</t>
        </is>
      </c>
      <c r="F4091" s="2" t="inlineStr">
        <is>
          <t>P01</t>
        </is>
      </c>
      <c r="G4091" s="2" t="n">
        <v>610000</v>
      </c>
      <c r="H4091" s="2" t="inlineStr">
        <is>
          <t>Mano obra interna</t>
        </is>
      </c>
      <c r="I4091" s="9" t="n">
        <v>613.96</v>
      </c>
      <c r="J4091" s="9" t="n">
        <v>590.09</v>
      </c>
      <c r="K4091" s="9" t="n">
        <v>703.51</v>
      </c>
      <c r="L4091" s="9" t="n">
        <v>664.28</v>
      </c>
      <c r="M4091" s="9" t="n">
        <v>596.13</v>
      </c>
      <c r="N4091" s="9" t="n">
        <v>601.0700000000001</v>
      </c>
      <c r="O4091" s="9" t="n">
        <v>636.34</v>
      </c>
      <c r="P4091" s="9" t="n">
        <v>679.98</v>
      </c>
      <c r="Q4091" s="9" t="n">
        <v>599.62</v>
      </c>
      <c r="R4091" s="9" t="n">
        <v>734.53</v>
      </c>
      <c r="S4091" s="9" t="n">
        <v>643.67</v>
      </c>
      <c r="T4091" s="9" t="n">
        <v>611.29</v>
      </c>
      <c r="U4091" s="10">
        <f>SUM(I4091:T4091)</f>
        <v/>
      </c>
    </row>
    <row r="4092">
      <c r="A4092" s="2" t="inlineStr">
        <is>
          <t>SN-3000-3800-3810-3810SY0033</t>
        </is>
      </c>
      <c r="B4092" s="2" t="inlineStr">
        <is>
          <t>3810SY0033</t>
        </is>
      </c>
      <c r="C4092" s="2" t="inlineStr">
        <is>
          <t>Lava ojos de emergencia SY0033</t>
        </is>
      </c>
      <c r="D4092" s="2" t="n">
        <v>1364</v>
      </c>
      <c r="E4092" s="2" t="inlineStr">
        <is>
          <t>CC-3000</t>
        </is>
      </c>
      <c r="F4092" s="2" t="inlineStr">
        <is>
          <t>P01</t>
        </is>
      </c>
      <c r="G4092" s="2" t="n">
        <v>620000</v>
      </c>
      <c r="H4092" s="2" t="inlineStr">
        <is>
          <t>Materiales</t>
        </is>
      </c>
      <c r="I4092" s="9" t="n">
        <v>708.67</v>
      </c>
      <c r="J4092" s="9" t="n">
        <v>694.54</v>
      </c>
      <c r="K4092" s="9" t="n">
        <v>791.97</v>
      </c>
      <c r="L4092" s="9" t="n">
        <v>710.51</v>
      </c>
      <c r="M4092" s="9" t="n">
        <v>712.46</v>
      </c>
      <c r="N4092" s="9" t="n">
        <v>740.1900000000001</v>
      </c>
      <c r="O4092" s="9" t="n">
        <v>747.89</v>
      </c>
      <c r="P4092" s="9" t="n">
        <v>707.79</v>
      </c>
      <c r="Q4092" s="9" t="n">
        <v>696.61</v>
      </c>
      <c r="R4092" s="9" t="n">
        <v>828.3099999999999</v>
      </c>
      <c r="S4092" s="9" t="n">
        <v>697.23</v>
      </c>
      <c r="T4092" s="9" t="n">
        <v>750.86</v>
      </c>
      <c r="U4092" s="10">
        <f>SUM(I4092:T4092)</f>
        <v/>
      </c>
    </row>
    <row r="4093">
      <c r="A4093" s="2" t="inlineStr">
        <is>
          <t>SN-3000-3800-3810-3810SY0033</t>
        </is>
      </c>
      <c r="B4093" s="2" t="inlineStr">
        <is>
          <t>3810SY0033</t>
        </is>
      </c>
      <c r="C4093" s="2" t="inlineStr">
        <is>
          <t>Lava ojos de emergencia SY0033</t>
        </is>
      </c>
      <c r="D4093" s="2" t="n">
        <v>1364</v>
      </c>
      <c r="E4093" s="2" t="inlineStr">
        <is>
          <t>CC-3000</t>
        </is>
      </c>
      <c r="F4093" s="2" t="inlineStr">
        <is>
          <t>P01</t>
        </is>
      </c>
      <c r="G4093" s="2" t="n">
        <v>630000</v>
      </c>
      <c r="H4093" s="2" t="inlineStr">
        <is>
          <t>Servicios externos</t>
        </is>
      </c>
      <c r="I4093" s="9" t="n">
        <v>809.1</v>
      </c>
      <c r="J4093" s="9" t="n">
        <v>727.62</v>
      </c>
      <c r="K4093" s="9" t="n">
        <v>711.9</v>
      </c>
      <c r="L4093" s="9" t="n">
        <v>778.21</v>
      </c>
      <c r="M4093" s="9" t="n">
        <v>703.08</v>
      </c>
      <c r="N4093" s="9" t="n">
        <v>724.45</v>
      </c>
      <c r="O4093" s="9" t="n">
        <v>720.5700000000001</v>
      </c>
      <c r="P4093" s="9" t="n">
        <v>762.99</v>
      </c>
      <c r="Q4093" s="9" t="n">
        <v>672.16</v>
      </c>
      <c r="R4093" s="9" t="n">
        <v>851.76</v>
      </c>
      <c r="S4093" s="9" t="n">
        <v>672.66</v>
      </c>
      <c r="T4093" s="9" t="n">
        <v>696.99</v>
      </c>
      <c r="U4093" s="10">
        <f>SUM(I4093:T4093)</f>
        <v/>
      </c>
    </row>
    <row r="4094">
      <c r="A4094" s="2" t="inlineStr">
        <is>
          <t>SN-3000-3800-3810-3810TA0027</t>
        </is>
      </c>
      <c r="B4094" s="2" t="inlineStr">
        <is>
          <t>3810TA0027</t>
        </is>
      </c>
      <c r="C4094" s="2" t="inlineStr">
        <is>
          <t>Agitador mecánico AG0027</t>
        </is>
      </c>
      <c r="D4094" s="2" t="n">
        <v>1365</v>
      </c>
      <c r="E4094" s="2" t="inlineStr">
        <is>
          <t>CC-3000</t>
        </is>
      </c>
      <c r="F4094" s="2" t="inlineStr">
        <is>
          <t>P01</t>
        </is>
      </c>
      <c r="G4094" s="2" t="n">
        <v>610000</v>
      </c>
      <c r="H4094" s="2" t="inlineStr">
        <is>
          <t>Mano obra interna</t>
        </is>
      </c>
      <c r="I4094" s="9" t="n">
        <v>888.38</v>
      </c>
      <c r="J4094" s="9" t="n">
        <v>866.02</v>
      </c>
      <c r="K4094" s="9" t="n">
        <v>975.49</v>
      </c>
      <c r="L4094" s="9" t="n">
        <v>916.7</v>
      </c>
      <c r="M4094" s="9" t="n">
        <v>897.48</v>
      </c>
      <c r="N4094" s="9" t="n">
        <v>780.36</v>
      </c>
      <c r="O4094" s="9" t="n">
        <v>908.74</v>
      </c>
      <c r="P4094" s="9" t="n">
        <v>867.76</v>
      </c>
      <c r="Q4094" s="9" t="n">
        <v>817.84</v>
      </c>
      <c r="R4094" s="9" t="n">
        <v>1000.54</v>
      </c>
      <c r="S4094" s="9" t="n">
        <v>859.22</v>
      </c>
      <c r="T4094" s="9" t="n">
        <v>967.23</v>
      </c>
      <c r="U4094" s="10">
        <f>SUM(I4094:T4094)</f>
        <v/>
      </c>
    </row>
    <row r="4095">
      <c r="A4095" s="2" t="inlineStr">
        <is>
          <t>SN-3000-3800-3810-3810TA0027</t>
        </is>
      </c>
      <c r="B4095" s="2" t="inlineStr">
        <is>
          <t>3810TA0027</t>
        </is>
      </c>
      <c r="C4095" s="2" t="inlineStr">
        <is>
          <t>Agitador mecánico AG0027</t>
        </is>
      </c>
      <c r="D4095" s="2" t="n">
        <v>1365</v>
      </c>
      <c r="E4095" s="2" t="inlineStr">
        <is>
          <t>CC-3000</t>
        </is>
      </c>
      <c r="F4095" s="2" t="inlineStr">
        <is>
          <t>P01</t>
        </is>
      </c>
      <c r="G4095" s="2" t="n">
        <v>620000</v>
      </c>
      <c r="H4095" s="2" t="inlineStr">
        <is>
          <t>Materiales</t>
        </is>
      </c>
      <c r="I4095" s="9" t="n">
        <v>929.0700000000001</v>
      </c>
      <c r="J4095" s="9" t="n">
        <v>876.96</v>
      </c>
      <c r="K4095" s="9" t="n">
        <v>893.0700000000001</v>
      </c>
      <c r="L4095" s="9" t="n">
        <v>833.14</v>
      </c>
      <c r="M4095" s="9" t="n">
        <v>801.96</v>
      </c>
      <c r="N4095" s="9" t="n">
        <v>778.54</v>
      </c>
      <c r="O4095" s="9" t="n">
        <v>942.87</v>
      </c>
      <c r="P4095" s="9" t="n">
        <v>852.51</v>
      </c>
      <c r="Q4095" s="9" t="n">
        <v>843.53</v>
      </c>
      <c r="R4095" s="9" t="n">
        <v>961.13</v>
      </c>
      <c r="S4095" s="9" t="n">
        <v>859.6900000000001</v>
      </c>
      <c r="T4095" s="9" t="n">
        <v>902.3200000000001</v>
      </c>
      <c r="U4095" s="10">
        <f>SUM(I4095:T4095)</f>
        <v/>
      </c>
    </row>
    <row r="4096">
      <c r="A4096" s="2" t="inlineStr">
        <is>
          <t>SN-3000-3800-3810-3810TA0027</t>
        </is>
      </c>
      <c r="B4096" s="2" t="inlineStr">
        <is>
          <t>3810TA0027</t>
        </is>
      </c>
      <c r="C4096" s="2" t="inlineStr">
        <is>
          <t>Agitador mecánico AG0027</t>
        </is>
      </c>
      <c r="D4096" s="2" t="n">
        <v>1365</v>
      </c>
      <c r="E4096" s="2" t="inlineStr">
        <is>
          <t>CC-3000</t>
        </is>
      </c>
      <c r="F4096" s="2" t="inlineStr">
        <is>
          <t>P01</t>
        </is>
      </c>
      <c r="G4096" s="2" t="n">
        <v>630000</v>
      </c>
      <c r="H4096" s="2" t="inlineStr">
        <is>
          <t>Servicios externos</t>
        </is>
      </c>
      <c r="I4096" s="9" t="n">
        <v>808.71</v>
      </c>
      <c r="J4096" s="9" t="n">
        <v>784.04</v>
      </c>
      <c r="K4096" s="9" t="n">
        <v>787.46</v>
      </c>
      <c r="L4096" s="9" t="n">
        <v>806.9</v>
      </c>
      <c r="M4096" s="9" t="n">
        <v>686.36</v>
      </c>
      <c r="N4096" s="9" t="n">
        <v>667.6799999999999</v>
      </c>
      <c r="O4096" s="9" t="n">
        <v>753.45</v>
      </c>
      <c r="P4096" s="9" t="n">
        <v>786.83</v>
      </c>
      <c r="Q4096" s="9" t="n">
        <v>673.98</v>
      </c>
      <c r="R4096" s="9" t="n">
        <v>810.75</v>
      </c>
      <c r="S4096" s="9" t="n">
        <v>665.6</v>
      </c>
      <c r="T4096" s="9" t="n">
        <v>816.08</v>
      </c>
      <c r="U4096" s="10">
        <f>SUM(I4096:T4096)</f>
        <v/>
      </c>
    </row>
    <row r="4097">
      <c r="A4097" s="2" t="inlineStr">
        <is>
          <t>SN-3000-3800-3810-3810TA0028</t>
        </is>
      </c>
      <c r="B4097" s="2" t="inlineStr">
        <is>
          <t>3810TA0028</t>
        </is>
      </c>
      <c r="C4097" s="2" t="inlineStr">
        <is>
          <t>Agitador mecánico AG0028</t>
        </is>
      </c>
      <c r="D4097" s="2" t="n">
        <v>1366</v>
      </c>
      <c r="E4097" s="2" t="inlineStr">
        <is>
          <t>CC-3000</t>
        </is>
      </c>
      <c r="F4097" s="2" t="inlineStr">
        <is>
          <t>P01</t>
        </is>
      </c>
      <c r="G4097" s="2" t="n">
        <v>610000</v>
      </c>
      <c r="H4097" s="2" t="inlineStr">
        <is>
          <t>Mano obra interna</t>
        </is>
      </c>
      <c r="I4097" s="9" t="n">
        <v>914.77</v>
      </c>
      <c r="J4097" s="9" t="n">
        <v>972.28</v>
      </c>
      <c r="K4097" s="9" t="n">
        <v>883.75</v>
      </c>
      <c r="L4097" s="9" t="n">
        <v>931.24</v>
      </c>
      <c r="M4097" s="9" t="n">
        <v>842.92</v>
      </c>
      <c r="N4097" s="9" t="n">
        <v>853.01</v>
      </c>
      <c r="O4097" s="9" t="n">
        <v>875.66</v>
      </c>
      <c r="P4097" s="9" t="n">
        <v>888.85</v>
      </c>
      <c r="Q4097" s="9" t="n">
        <v>914.13</v>
      </c>
      <c r="R4097" s="9" t="n">
        <v>976.77</v>
      </c>
      <c r="S4097" s="9" t="n">
        <v>862.28</v>
      </c>
      <c r="T4097" s="9" t="n">
        <v>950.96</v>
      </c>
      <c r="U4097" s="10">
        <f>SUM(I4097:T4097)</f>
        <v/>
      </c>
    </row>
    <row r="4098">
      <c r="A4098" s="2" t="inlineStr">
        <is>
          <t>SN-3000-3800-3810-3810TA0028</t>
        </is>
      </c>
      <c r="B4098" s="2" t="inlineStr">
        <is>
          <t>3810TA0028</t>
        </is>
      </c>
      <c r="C4098" s="2" t="inlineStr">
        <is>
          <t>Agitador mecánico AG0028</t>
        </is>
      </c>
      <c r="D4098" s="2" t="n">
        <v>1366</v>
      </c>
      <c r="E4098" s="2" t="inlineStr">
        <is>
          <t>CC-3000</t>
        </is>
      </c>
      <c r="F4098" s="2" t="inlineStr">
        <is>
          <t>P01</t>
        </is>
      </c>
      <c r="G4098" s="2" t="n">
        <v>620000</v>
      </c>
      <c r="H4098" s="2" t="inlineStr">
        <is>
          <t>Materiales</t>
        </is>
      </c>
      <c r="I4098" s="9" t="n">
        <v>930.37</v>
      </c>
      <c r="J4098" s="9" t="n">
        <v>839.23</v>
      </c>
      <c r="K4098" s="9" t="n">
        <v>907.9299999999999</v>
      </c>
      <c r="L4098" s="9" t="n">
        <v>848.25</v>
      </c>
      <c r="M4098" s="9" t="n">
        <v>793.09</v>
      </c>
      <c r="N4098" s="9" t="n">
        <v>799.66</v>
      </c>
      <c r="O4098" s="9" t="n">
        <v>835.29</v>
      </c>
      <c r="P4098" s="9" t="n">
        <v>834.53</v>
      </c>
      <c r="Q4098" s="9" t="n">
        <v>812.05</v>
      </c>
      <c r="R4098" s="9" t="n">
        <v>898.51</v>
      </c>
      <c r="S4098" s="9" t="n">
        <v>878.39</v>
      </c>
      <c r="T4098" s="9" t="n">
        <v>924.77</v>
      </c>
      <c r="U4098" s="10">
        <f>SUM(I4098:T4098)</f>
        <v/>
      </c>
    </row>
    <row r="4099">
      <c r="A4099" s="2" t="inlineStr">
        <is>
          <t>SN-3000-3800-3810-3810TA0028</t>
        </is>
      </c>
      <c r="B4099" s="2" t="inlineStr">
        <is>
          <t>3810TA0028</t>
        </is>
      </c>
      <c r="C4099" s="2" t="inlineStr">
        <is>
          <t>Agitador mecánico AG0028</t>
        </is>
      </c>
      <c r="D4099" s="2" t="n">
        <v>1366</v>
      </c>
      <c r="E4099" s="2" t="inlineStr">
        <is>
          <t>CC-3000</t>
        </is>
      </c>
      <c r="F4099" s="2" t="inlineStr">
        <is>
          <t>P01</t>
        </is>
      </c>
      <c r="G4099" s="2" t="n">
        <v>630000</v>
      </c>
      <c r="H4099" s="2" t="inlineStr">
        <is>
          <t>Servicios externos</t>
        </is>
      </c>
      <c r="I4099" s="9" t="n">
        <v>843.6</v>
      </c>
      <c r="J4099" s="9" t="n">
        <v>794.41</v>
      </c>
      <c r="K4099" s="9" t="n">
        <v>825.11</v>
      </c>
      <c r="L4099" s="9" t="n">
        <v>901.75</v>
      </c>
      <c r="M4099" s="9" t="n">
        <v>750.7</v>
      </c>
      <c r="N4099" s="9" t="n">
        <v>771.49</v>
      </c>
      <c r="O4099" s="9" t="n">
        <v>773.4</v>
      </c>
      <c r="P4099" s="9" t="n">
        <v>847.73</v>
      </c>
      <c r="Q4099" s="9" t="n">
        <v>724.87</v>
      </c>
      <c r="R4099" s="9" t="n">
        <v>937.27</v>
      </c>
      <c r="S4099" s="9" t="n">
        <v>776.66</v>
      </c>
      <c r="T4099" s="9" t="n">
        <v>886.33</v>
      </c>
      <c r="U4099" s="10">
        <f>SUM(I4099:T4099)</f>
        <v/>
      </c>
    </row>
    <row r="4100">
      <c r="A4100" s="2" t="inlineStr">
        <is>
          <t>SN-3000-3800-3810-3810WL0001</t>
        </is>
      </c>
      <c r="B4100" s="2" t="inlineStr">
        <is>
          <t>3810WL0001</t>
        </is>
      </c>
      <c r="C4100" s="2" t="inlineStr">
        <is>
          <t>Sensor flujo agua sello FE5265</t>
        </is>
      </c>
      <c r="D4100" s="2" t="n">
        <v>1367</v>
      </c>
      <c r="E4100" s="2" t="inlineStr">
        <is>
          <t>CC-3000</t>
        </is>
      </c>
      <c r="F4100" s="2" t="inlineStr">
        <is>
          <t>P01</t>
        </is>
      </c>
      <c r="G4100" s="2" t="n">
        <v>610000</v>
      </c>
      <c r="H4100" s="2" t="inlineStr">
        <is>
          <t>Mano obra interna</t>
        </is>
      </c>
      <c r="I4100" s="9" t="n">
        <v>737.49</v>
      </c>
      <c r="J4100" s="9" t="n">
        <v>695.34</v>
      </c>
      <c r="K4100" s="9" t="n">
        <v>674.28</v>
      </c>
      <c r="L4100" s="9" t="n">
        <v>756.6799999999999</v>
      </c>
      <c r="M4100" s="9" t="n">
        <v>715.58</v>
      </c>
      <c r="N4100" s="9" t="n">
        <v>639.52</v>
      </c>
      <c r="O4100" s="9" t="n">
        <v>689.21</v>
      </c>
      <c r="P4100" s="9" t="n">
        <v>644.01</v>
      </c>
      <c r="Q4100" s="9" t="n">
        <v>660.92</v>
      </c>
      <c r="R4100" s="9" t="n">
        <v>701.92</v>
      </c>
      <c r="S4100" s="9" t="n">
        <v>686.53</v>
      </c>
      <c r="T4100" s="9" t="n">
        <v>721.96</v>
      </c>
      <c r="U4100" s="10">
        <f>SUM(I4100:T4100)</f>
        <v/>
      </c>
    </row>
    <row r="4101">
      <c r="A4101" s="2" t="inlineStr">
        <is>
          <t>SN-3000-3800-3810-3810WL0001</t>
        </is>
      </c>
      <c r="B4101" s="2" t="inlineStr">
        <is>
          <t>3810WL0001</t>
        </is>
      </c>
      <c r="C4101" s="2" t="inlineStr">
        <is>
          <t>Sensor flujo agua sello FE5265</t>
        </is>
      </c>
      <c r="D4101" s="2" t="n">
        <v>1367</v>
      </c>
      <c r="E4101" s="2" t="inlineStr">
        <is>
          <t>CC-3000</t>
        </is>
      </c>
      <c r="F4101" s="2" t="inlineStr">
        <is>
          <t>P01</t>
        </is>
      </c>
      <c r="G4101" s="2" t="n">
        <v>620000</v>
      </c>
      <c r="H4101" s="2" t="inlineStr">
        <is>
          <t>Materiales</t>
        </is>
      </c>
      <c r="I4101" s="9" t="n">
        <v>590.9299999999999</v>
      </c>
      <c r="J4101" s="9" t="n">
        <v>555.65</v>
      </c>
      <c r="K4101" s="9" t="n">
        <v>556.89</v>
      </c>
      <c r="L4101" s="9" t="n">
        <v>588.96</v>
      </c>
      <c r="M4101" s="9" t="n">
        <v>564.9400000000001</v>
      </c>
      <c r="N4101" s="9" t="n">
        <v>532.24</v>
      </c>
      <c r="O4101" s="9" t="n">
        <v>510.33</v>
      </c>
      <c r="P4101" s="9" t="n">
        <v>539.4299999999999</v>
      </c>
      <c r="Q4101" s="9" t="n">
        <v>532.0700000000001</v>
      </c>
      <c r="R4101" s="9" t="n">
        <v>592.59</v>
      </c>
      <c r="S4101" s="9" t="n">
        <v>526.65</v>
      </c>
      <c r="T4101" s="9" t="n">
        <v>588.03</v>
      </c>
      <c r="U4101" s="10">
        <f>SUM(I4101:T4101)</f>
        <v/>
      </c>
    </row>
    <row r="4102">
      <c r="A4102" s="2" t="inlineStr">
        <is>
          <t>SN-3000-3800-3810-3810WL0001</t>
        </is>
      </c>
      <c r="B4102" s="2" t="inlineStr">
        <is>
          <t>3810WL0001</t>
        </is>
      </c>
      <c r="C4102" s="2" t="inlineStr">
        <is>
          <t>Sensor flujo agua sello FE5265</t>
        </is>
      </c>
      <c r="D4102" s="2" t="n">
        <v>1367</v>
      </c>
      <c r="E4102" s="2" t="inlineStr">
        <is>
          <t>CC-3000</t>
        </is>
      </c>
      <c r="F4102" s="2" t="inlineStr">
        <is>
          <t>P01</t>
        </is>
      </c>
      <c r="G4102" s="2" t="n">
        <v>630000</v>
      </c>
      <c r="H4102" s="2" t="inlineStr">
        <is>
          <t>Servicios externos</t>
        </is>
      </c>
      <c r="I4102" s="9" t="n">
        <v>473.19</v>
      </c>
      <c r="J4102" s="9" t="n">
        <v>526.29</v>
      </c>
      <c r="K4102" s="9" t="n">
        <v>480.4</v>
      </c>
      <c r="L4102" s="9" t="n">
        <v>500.1</v>
      </c>
      <c r="M4102" s="9" t="n">
        <v>531.34</v>
      </c>
      <c r="N4102" s="9" t="n">
        <v>495.4</v>
      </c>
      <c r="O4102" s="9" t="n">
        <v>514.9400000000001</v>
      </c>
      <c r="P4102" s="9" t="n">
        <v>515.03</v>
      </c>
      <c r="Q4102" s="9" t="n">
        <v>454.37</v>
      </c>
      <c r="R4102" s="9" t="n">
        <v>544.86</v>
      </c>
      <c r="S4102" s="9" t="n">
        <v>496.85</v>
      </c>
      <c r="T4102" s="9" t="n">
        <v>494.39</v>
      </c>
      <c r="U4102" s="10">
        <f>SUM(I4102:T4102)</f>
        <v/>
      </c>
    </row>
    <row r="4103">
      <c r="A4103" s="2" t="inlineStr">
        <is>
          <t>SN-3000-3800-3810-3810WL0002</t>
        </is>
      </c>
      <c r="B4103" s="2" t="inlineStr">
        <is>
          <t>3810WL0002</t>
        </is>
      </c>
      <c r="C4103" s="2" t="inlineStr">
        <is>
          <t>Sensor flujo agua sello FE5267</t>
        </is>
      </c>
      <c r="D4103" s="2" t="n">
        <v>1368</v>
      </c>
      <c r="E4103" s="2" t="inlineStr">
        <is>
          <t>CC-3000</t>
        </is>
      </c>
      <c r="F4103" s="2" t="inlineStr">
        <is>
          <t>P01</t>
        </is>
      </c>
      <c r="G4103" s="2" t="n">
        <v>610000</v>
      </c>
      <c r="H4103" s="2" t="inlineStr">
        <is>
          <t>Mano obra interna</t>
        </is>
      </c>
      <c r="I4103" s="9" t="n">
        <v>804.64</v>
      </c>
      <c r="J4103" s="9" t="n">
        <v>744.28</v>
      </c>
      <c r="K4103" s="9" t="n">
        <v>797.04</v>
      </c>
      <c r="L4103" s="9" t="n">
        <v>817.09</v>
      </c>
      <c r="M4103" s="9" t="n">
        <v>855.39</v>
      </c>
      <c r="N4103" s="9" t="n">
        <v>765.25</v>
      </c>
      <c r="O4103" s="9" t="n">
        <v>758.45</v>
      </c>
      <c r="P4103" s="9" t="n">
        <v>771.37</v>
      </c>
      <c r="Q4103" s="9" t="n">
        <v>760.64</v>
      </c>
      <c r="R4103" s="9" t="n">
        <v>829.86</v>
      </c>
      <c r="S4103" s="9" t="n">
        <v>730.64</v>
      </c>
      <c r="T4103" s="9" t="n">
        <v>851.7</v>
      </c>
      <c r="U4103" s="10">
        <f>SUM(I4103:T4103)</f>
        <v/>
      </c>
    </row>
    <row r="4104">
      <c r="A4104" s="2" t="inlineStr">
        <is>
          <t>SN-3000-3800-3810-3810WL0002</t>
        </is>
      </c>
      <c r="B4104" s="2" t="inlineStr">
        <is>
          <t>3810WL0002</t>
        </is>
      </c>
      <c r="C4104" s="2" t="inlineStr">
        <is>
          <t>Sensor flujo agua sello FE5267</t>
        </is>
      </c>
      <c r="D4104" s="2" t="n">
        <v>1368</v>
      </c>
      <c r="E4104" s="2" t="inlineStr">
        <is>
          <t>CC-3000</t>
        </is>
      </c>
      <c r="F4104" s="2" t="inlineStr">
        <is>
          <t>P01</t>
        </is>
      </c>
      <c r="G4104" s="2" t="n">
        <v>620000</v>
      </c>
      <c r="H4104" s="2" t="inlineStr">
        <is>
          <t>Materiales</t>
        </is>
      </c>
      <c r="I4104" s="9" t="n">
        <v>826.87</v>
      </c>
      <c r="J4104" s="9" t="n">
        <v>796.91</v>
      </c>
      <c r="K4104" s="9" t="n">
        <v>775.9400000000001</v>
      </c>
      <c r="L4104" s="9" t="n">
        <v>813.27</v>
      </c>
      <c r="M4104" s="9" t="n">
        <v>769.17</v>
      </c>
      <c r="N4104" s="9" t="n">
        <v>677.34</v>
      </c>
      <c r="O4104" s="9" t="n">
        <v>755.22</v>
      </c>
      <c r="P4104" s="9" t="n">
        <v>711.5599999999999</v>
      </c>
      <c r="Q4104" s="9" t="n">
        <v>666.35</v>
      </c>
      <c r="R4104" s="9" t="n">
        <v>768.35</v>
      </c>
      <c r="S4104" s="9" t="n">
        <v>797.22</v>
      </c>
      <c r="T4104" s="9" t="n">
        <v>821.21</v>
      </c>
      <c r="U4104" s="10">
        <f>SUM(I4104:T4104)</f>
        <v/>
      </c>
    </row>
    <row r="4105">
      <c r="A4105" s="2" t="inlineStr">
        <is>
          <t>SN-3000-3800-3810-3810WL0002</t>
        </is>
      </c>
      <c r="B4105" s="2" t="inlineStr">
        <is>
          <t>3810WL0002</t>
        </is>
      </c>
      <c r="C4105" s="2" t="inlineStr">
        <is>
          <t>Sensor flujo agua sello FE5267</t>
        </is>
      </c>
      <c r="D4105" s="2" t="n">
        <v>1368</v>
      </c>
      <c r="E4105" s="2" t="inlineStr">
        <is>
          <t>CC-3000</t>
        </is>
      </c>
      <c r="F4105" s="2" t="inlineStr">
        <is>
          <t>P01</t>
        </is>
      </c>
      <c r="G4105" s="2" t="n">
        <v>630000</v>
      </c>
      <c r="H4105" s="2" t="inlineStr">
        <is>
          <t>Servicios externos</t>
        </is>
      </c>
      <c r="I4105" s="9" t="n">
        <v>691.3099999999999</v>
      </c>
      <c r="J4105" s="9" t="n">
        <v>647.42</v>
      </c>
      <c r="K4105" s="9" t="n">
        <v>719.96</v>
      </c>
      <c r="L4105" s="9" t="n">
        <v>732.78</v>
      </c>
      <c r="M4105" s="9" t="n">
        <v>731.54</v>
      </c>
      <c r="N4105" s="9" t="n">
        <v>626.24</v>
      </c>
      <c r="O4105" s="9" t="n">
        <v>696.6799999999999</v>
      </c>
      <c r="P4105" s="9" t="n">
        <v>758.91</v>
      </c>
      <c r="Q4105" s="9" t="n">
        <v>617</v>
      </c>
      <c r="R4105" s="9" t="n">
        <v>748.84</v>
      </c>
      <c r="S4105" s="9" t="n">
        <v>658.52</v>
      </c>
      <c r="T4105" s="9" t="n">
        <v>674.1900000000001</v>
      </c>
      <c r="U4105" s="10">
        <f>SUM(I4105:T4105)</f>
        <v/>
      </c>
    </row>
    <row r="4106">
      <c r="A4106" s="2" t="inlineStr">
        <is>
          <t>SN-3000-3800-3810-3810WL0003</t>
        </is>
      </c>
      <c r="B4106" s="2" t="inlineStr">
        <is>
          <t>3810WL0003</t>
        </is>
      </c>
      <c r="C4106" s="2" t="inlineStr">
        <is>
          <t>Sensor flujo agua sello FE5352</t>
        </is>
      </c>
      <c r="D4106" s="2" t="n">
        <v>1369</v>
      </c>
      <c r="E4106" s="2" t="inlineStr">
        <is>
          <t>CC-3000</t>
        </is>
      </c>
      <c r="F4106" s="2" t="inlineStr">
        <is>
          <t>P01</t>
        </is>
      </c>
      <c r="G4106" s="2" t="n">
        <v>610000</v>
      </c>
      <c r="H4106" s="2" t="inlineStr">
        <is>
          <t>Mano obra interna</t>
        </is>
      </c>
      <c r="I4106" s="9" t="n">
        <v>2377.55</v>
      </c>
      <c r="J4106" s="9" t="n">
        <v>2192.14</v>
      </c>
      <c r="K4106" s="9" t="n">
        <v>2280.44</v>
      </c>
      <c r="L4106" s="9" t="n">
        <v>2428.58</v>
      </c>
      <c r="M4106" s="9" t="n">
        <v>2088.14</v>
      </c>
      <c r="N4106" s="9" t="n">
        <v>2036.63</v>
      </c>
      <c r="O4106" s="9" t="n">
        <v>2405.75</v>
      </c>
      <c r="P4106" s="9" t="n">
        <v>2370.62</v>
      </c>
      <c r="Q4106" s="9" t="n">
        <v>2194.17</v>
      </c>
      <c r="R4106" s="9" t="n">
        <v>2483.16</v>
      </c>
      <c r="S4106" s="9" t="n">
        <v>2113.11</v>
      </c>
      <c r="T4106" s="9" t="n">
        <v>2450.72</v>
      </c>
      <c r="U4106" s="10">
        <f>SUM(I4106:T4106)</f>
        <v/>
      </c>
    </row>
    <row r="4107">
      <c r="A4107" s="2" t="inlineStr">
        <is>
          <t>SN-3000-3800-3810-3810WL0003</t>
        </is>
      </c>
      <c r="B4107" s="2" t="inlineStr">
        <is>
          <t>3810WL0003</t>
        </is>
      </c>
      <c r="C4107" s="2" t="inlineStr">
        <is>
          <t>Sensor flujo agua sello FE5352</t>
        </is>
      </c>
      <c r="D4107" s="2" t="n">
        <v>1369</v>
      </c>
      <c r="E4107" s="2" t="inlineStr">
        <is>
          <t>CC-3000</t>
        </is>
      </c>
      <c r="F4107" s="2" t="inlineStr">
        <is>
          <t>P01</t>
        </is>
      </c>
      <c r="G4107" s="2" t="n">
        <v>620000</v>
      </c>
      <c r="H4107" s="2" t="inlineStr">
        <is>
          <t>Materiales</t>
        </is>
      </c>
      <c r="I4107" s="9" t="n">
        <v>2090.62</v>
      </c>
      <c r="J4107" s="9" t="n">
        <v>2045.34</v>
      </c>
      <c r="K4107" s="9" t="n">
        <v>2020.32</v>
      </c>
      <c r="L4107" s="9" t="n">
        <v>2084.24</v>
      </c>
      <c r="M4107" s="9" t="n">
        <v>1995.61</v>
      </c>
      <c r="N4107" s="9" t="n">
        <v>1910.87</v>
      </c>
      <c r="O4107" s="9" t="n">
        <v>1964.44</v>
      </c>
      <c r="P4107" s="9" t="n">
        <v>2028.17</v>
      </c>
      <c r="Q4107" s="9" t="n">
        <v>1850.39</v>
      </c>
      <c r="R4107" s="9" t="n">
        <v>2122.31</v>
      </c>
      <c r="S4107" s="9" t="n">
        <v>1935.42</v>
      </c>
      <c r="T4107" s="9" t="n">
        <v>2051.38</v>
      </c>
      <c r="U4107" s="10">
        <f>SUM(I4107:T4107)</f>
        <v/>
      </c>
    </row>
    <row r="4108">
      <c r="A4108" s="2" t="inlineStr">
        <is>
          <t>SN-3000-3800-3810-3810WL0003</t>
        </is>
      </c>
      <c r="B4108" s="2" t="inlineStr">
        <is>
          <t>3810WL0003</t>
        </is>
      </c>
      <c r="C4108" s="2" t="inlineStr">
        <is>
          <t>Sensor flujo agua sello FE5352</t>
        </is>
      </c>
      <c r="D4108" s="2" t="n">
        <v>1369</v>
      </c>
      <c r="E4108" s="2" t="inlineStr">
        <is>
          <t>CC-3000</t>
        </is>
      </c>
      <c r="F4108" s="2" t="inlineStr">
        <is>
          <t>P01</t>
        </is>
      </c>
      <c r="G4108" s="2" t="n">
        <v>630000</v>
      </c>
      <c r="H4108" s="2" t="inlineStr">
        <is>
          <t>Servicios externos</t>
        </is>
      </c>
      <c r="I4108" s="9" t="n">
        <v>2019.57</v>
      </c>
      <c r="J4108" s="9" t="n">
        <v>1867.95</v>
      </c>
      <c r="K4108" s="9" t="n">
        <v>1898.36</v>
      </c>
      <c r="L4108" s="9" t="n">
        <v>2135.79</v>
      </c>
      <c r="M4108" s="9" t="n">
        <v>1936.58</v>
      </c>
      <c r="N4108" s="9" t="n">
        <v>1938.65</v>
      </c>
      <c r="O4108" s="9" t="n">
        <v>2013.83</v>
      </c>
      <c r="P4108" s="9" t="n">
        <v>1883.59</v>
      </c>
      <c r="Q4108" s="9" t="n">
        <v>1834.65</v>
      </c>
      <c r="R4108" s="9" t="n">
        <v>2139.7</v>
      </c>
      <c r="S4108" s="9" t="n">
        <v>1845.02</v>
      </c>
      <c r="T4108" s="9" t="n">
        <v>2035.3</v>
      </c>
      <c r="U4108" s="10">
        <f>SUM(I4108:T4108)</f>
        <v/>
      </c>
    </row>
    <row r="4109">
      <c r="A4109" s="2" t="inlineStr">
        <is>
          <t>SN-3000-3800-3810-3810WL0004</t>
        </is>
      </c>
      <c r="B4109" s="2" t="inlineStr">
        <is>
          <t>3810WL0004</t>
        </is>
      </c>
      <c r="C4109" s="2" t="inlineStr">
        <is>
          <t>Sensor flujo agua sello FE5356</t>
        </is>
      </c>
      <c r="D4109" s="2" t="n">
        <v>1370</v>
      </c>
      <c r="E4109" s="2" t="inlineStr">
        <is>
          <t>CC-3000</t>
        </is>
      </c>
      <c r="F4109" s="2" t="inlineStr">
        <is>
          <t>P01</t>
        </is>
      </c>
      <c r="G4109" s="2" t="n">
        <v>610000</v>
      </c>
      <c r="H4109" s="2" t="inlineStr">
        <is>
          <t>Mano obra interna</t>
        </is>
      </c>
      <c r="I4109" s="9" t="n">
        <v>394.89</v>
      </c>
      <c r="J4109" s="9" t="n">
        <v>359.21</v>
      </c>
      <c r="K4109" s="9" t="n">
        <v>398.1</v>
      </c>
      <c r="L4109" s="9" t="n">
        <v>379.36</v>
      </c>
      <c r="M4109" s="9" t="n">
        <v>369.77</v>
      </c>
      <c r="N4109" s="9" t="n">
        <v>369.94</v>
      </c>
      <c r="O4109" s="9" t="n">
        <v>377.09</v>
      </c>
      <c r="P4109" s="9" t="n">
        <v>422.62</v>
      </c>
      <c r="Q4109" s="9" t="n">
        <v>377.09</v>
      </c>
      <c r="R4109" s="9" t="n">
        <v>427.68</v>
      </c>
      <c r="S4109" s="9" t="n">
        <v>352.76</v>
      </c>
      <c r="T4109" s="9" t="n">
        <v>375.84</v>
      </c>
      <c r="U4109" s="10">
        <f>SUM(I4109:T4109)</f>
        <v/>
      </c>
    </row>
    <row r="4110">
      <c r="A4110" s="2" t="inlineStr">
        <is>
          <t>SN-3000-3800-3810-3810WL0004</t>
        </is>
      </c>
      <c r="B4110" s="2" t="inlineStr">
        <is>
          <t>3810WL0004</t>
        </is>
      </c>
      <c r="C4110" s="2" t="inlineStr">
        <is>
          <t>Sensor flujo agua sello FE5356</t>
        </is>
      </c>
      <c r="D4110" s="2" t="n">
        <v>1370</v>
      </c>
      <c r="E4110" s="2" t="inlineStr">
        <is>
          <t>CC-3000</t>
        </is>
      </c>
      <c r="F4110" s="2" t="inlineStr">
        <is>
          <t>P01</t>
        </is>
      </c>
      <c r="G4110" s="2" t="n">
        <v>620000</v>
      </c>
      <c r="H4110" s="2" t="inlineStr">
        <is>
          <t>Materiales</t>
        </is>
      </c>
      <c r="I4110" s="9" t="n">
        <v>373.99</v>
      </c>
      <c r="J4110" s="9" t="n">
        <v>340.58</v>
      </c>
      <c r="K4110" s="9" t="n">
        <v>404.77</v>
      </c>
      <c r="L4110" s="9" t="n">
        <v>369.12</v>
      </c>
      <c r="M4110" s="9" t="n">
        <v>362.36</v>
      </c>
      <c r="N4110" s="9" t="n">
        <v>383.61</v>
      </c>
      <c r="O4110" s="9" t="n">
        <v>344.18</v>
      </c>
      <c r="P4110" s="9" t="n">
        <v>385.85</v>
      </c>
      <c r="Q4110" s="9" t="n">
        <v>372.09</v>
      </c>
      <c r="R4110" s="9" t="n">
        <v>374.11</v>
      </c>
      <c r="S4110" s="9" t="n">
        <v>382.17</v>
      </c>
      <c r="T4110" s="9" t="n">
        <v>373.4</v>
      </c>
      <c r="U4110" s="10">
        <f>SUM(I4110:T4110)</f>
        <v/>
      </c>
    </row>
    <row r="4111">
      <c r="A4111" s="2" t="inlineStr">
        <is>
          <t>SN-3000-3800-3810-3810WL0004</t>
        </is>
      </c>
      <c r="B4111" s="2" t="inlineStr">
        <is>
          <t>3810WL0004</t>
        </is>
      </c>
      <c r="C4111" s="2" t="inlineStr">
        <is>
          <t>Sensor flujo agua sello FE5356</t>
        </is>
      </c>
      <c r="D4111" s="2" t="n">
        <v>1370</v>
      </c>
      <c r="E4111" s="2" t="inlineStr">
        <is>
          <t>CC-3000</t>
        </is>
      </c>
      <c r="F4111" s="2" t="inlineStr">
        <is>
          <t>P01</t>
        </is>
      </c>
      <c r="G4111" s="2" t="n">
        <v>630000</v>
      </c>
      <c r="H4111" s="2" t="inlineStr">
        <is>
          <t>Servicios externos</t>
        </is>
      </c>
      <c r="I4111" s="9" t="n">
        <v>374.38</v>
      </c>
      <c r="J4111" s="9" t="n">
        <v>401.39</v>
      </c>
      <c r="K4111" s="9" t="n">
        <v>399.5</v>
      </c>
      <c r="L4111" s="9" t="n">
        <v>394.55</v>
      </c>
      <c r="M4111" s="9" t="n">
        <v>392.76</v>
      </c>
      <c r="N4111" s="9" t="n">
        <v>358.05</v>
      </c>
      <c r="O4111" s="9" t="n">
        <v>363.9</v>
      </c>
      <c r="P4111" s="9" t="n">
        <v>363.72</v>
      </c>
      <c r="Q4111" s="9" t="n">
        <v>342.65</v>
      </c>
      <c r="R4111" s="9" t="n">
        <v>415.68</v>
      </c>
      <c r="S4111" s="9" t="n">
        <v>386.09</v>
      </c>
      <c r="T4111" s="9" t="n">
        <v>383.94</v>
      </c>
      <c r="U4111" s="10">
        <f>SUM(I4111:T4111)</f>
        <v/>
      </c>
    </row>
    <row r="4112">
      <c r="A4112" s="2" t="inlineStr">
        <is>
          <t>SN-3000-3800-3810-3810WL0005</t>
        </is>
      </c>
      <c r="B4112" s="2" t="inlineStr">
        <is>
          <t>3810WL0005</t>
        </is>
      </c>
      <c r="C4112" s="2" t="inlineStr">
        <is>
          <t>Transmisor flujo agua fresca FIT5308</t>
        </is>
      </c>
      <c r="D4112" s="2" t="n">
        <v>1371</v>
      </c>
      <c r="E4112" s="2" t="inlineStr">
        <is>
          <t>CC-3000</t>
        </is>
      </c>
      <c r="F4112" s="2" t="inlineStr">
        <is>
          <t>P01</t>
        </is>
      </c>
      <c r="G4112" s="2" t="n">
        <v>610000</v>
      </c>
      <c r="H4112" s="2" t="inlineStr">
        <is>
          <t>Mano obra interna</t>
        </is>
      </c>
      <c r="I4112" s="9" t="n">
        <v>326.25</v>
      </c>
      <c r="J4112" s="9" t="n">
        <v>290.5</v>
      </c>
      <c r="K4112" s="9" t="n">
        <v>324.42</v>
      </c>
      <c r="L4112" s="9" t="n">
        <v>292.29</v>
      </c>
      <c r="M4112" s="9" t="n">
        <v>283.39</v>
      </c>
      <c r="N4112" s="9" t="n">
        <v>298.56</v>
      </c>
      <c r="O4112" s="9" t="n">
        <v>284.99</v>
      </c>
      <c r="P4112" s="9" t="n">
        <v>288.18</v>
      </c>
      <c r="Q4112" s="9" t="n">
        <v>289.79</v>
      </c>
      <c r="R4112" s="9" t="n">
        <v>325.92</v>
      </c>
      <c r="S4112" s="9" t="n">
        <v>298.39</v>
      </c>
      <c r="T4112" s="9" t="n">
        <v>333.41</v>
      </c>
      <c r="U4112" s="10">
        <f>SUM(I4112:T4112)</f>
        <v/>
      </c>
    </row>
    <row r="4113">
      <c r="A4113" s="2" t="inlineStr">
        <is>
          <t>SN-3000-3800-3810-3810WL0005</t>
        </is>
      </c>
      <c r="B4113" s="2" t="inlineStr">
        <is>
          <t>3810WL0005</t>
        </is>
      </c>
      <c r="C4113" s="2" t="inlineStr">
        <is>
          <t>Transmisor flujo agua fresca FIT5308</t>
        </is>
      </c>
      <c r="D4113" s="2" t="n">
        <v>1371</v>
      </c>
      <c r="E4113" s="2" t="inlineStr">
        <is>
          <t>CC-3000</t>
        </is>
      </c>
      <c r="F4113" s="2" t="inlineStr">
        <is>
          <t>P01</t>
        </is>
      </c>
      <c r="G4113" s="2" t="n">
        <v>620000</v>
      </c>
      <c r="H4113" s="2" t="inlineStr">
        <is>
          <t>Materiales</t>
        </is>
      </c>
      <c r="I4113" s="9" t="n">
        <v>330.62</v>
      </c>
      <c r="J4113" s="9" t="n">
        <v>308.37</v>
      </c>
      <c r="K4113" s="9" t="n">
        <v>336.23</v>
      </c>
      <c r="L4113" s="9" t="n">
        <v>300.85</v>
      </c>
      <c r="M4113" s="9" t="n">
        <v>318.83</v>
      </c>
      <c r="N4113" s="9" t="n">
        <v>284.15</v>
      </c>
      <c r="O4113" s="9" t="n">
        <v>305.08</v>
      </c>
      <c r="P4113" s="9" t="n">
        <v>322.21</v>
      </c>
      <c r="Q4113" s="9" t="n">
        <v>305.15</v>
      </c>
      <c r="R4113" s="9" t="n">
        <v>337.92</v>
      </c>
      <c r="S4113" s="9" t="n">
        <v>305.03</v>
      </c>
      <c r="T4113" s="9" t="n">
        <v>323.87</v>
      </c>
      <c r="U4113" s="10">
        <f>SUM(I4113:T4113)</f>
        <v/>
      </c>
    </row>
    <row r="4114">
      <c r="A4114" s="2" t="inlineStr">
        <is>
          <t>SN-3000-3800-3810-3810WL0005</t>
        </is>
      </c>
      <c r="B4114" s="2" t="inlineStr">
        <is>
          <t>3810WL0005</t>
        </is>
      </c>
      <c r="C4114" s="2" t="inlineStr">
        <is>
          <t>Transmisor flujo agua fresca FIT5308</t>
        </is>
      </c>
      <c r="D4114" s="2" t="n">
        <v>1371</v>
      </c>
      <c r="E4114" s="2" t="inlineStr">
        <is>
          <t>CC-3000</t>
        </is>
      </c>
      <c r="F4114" s="2" t="inlineStr">
        <is>
          <t>P01</t>
        </is>
      </c>
      <c r="G4114" s="2" t="n">
        <v>630000</v>
      </c>
      <c r="H4114" s="2" t="inlineStr">
        <is>
          <t>Servicios externos</t>
        </is>
      </c>
      <c r="I4114" s="9" t="n">
        <v>308.58</v>
      </c>
      <c r="J4114" s="9" t="n">
        <v>319.87</v>
      </c>
      <c r="K4114" s="9" t="n">
        <v>311.67</v>
      </c>
      <c r="L4114" s="9" t="n">
        <v>325.1</v>
      </c>
      <c r="M4114" s="9" t="n">
        <v>325.2</v>
      </c>
      <c r="N4114" s="9" t="n">
        <v>292.12</v>
      </c>
      <c r="O4114" s="9" t="n">
        <v>326.94</v>
      </c>
      <c r="P4114" s="9" t="n">
        <v>349.55</v>
      </c>
      <c r="Q4114" s="9" t="n">
        <v>313.96</v>
      </c>
      <c r="R4114" s="9" t="n">
        <v>369.21</v>
      </c>
      <c r="S4114" s="9" t="n">
        <v>321.18</v>
      </c>
      <c r="T4114" s="9" t="n">
        <v>353.51</v>
      </c>
      <c r="U4114" s="10">
        <f>SUM(I4114:T4114)</f>
        <v/>
      </c>
    </row>
    <row r="4115">
      <c r="A4115" s="2" t="inlineStr">
        <is>
          <t>SN-3000-3800-3820-3820FA0019</t>
        </is>
      </c>
      <c r="B4115" s="2" t="inlineStr">
        <is>
          <t>3820FA0019</t>
        </is>
      </c>
      <c r="C4115" s="2" t="inlineStr">
        <is>
          <t>Ventilador centrífugo FA0019</t>
        </is>
      </c>
      <c r="D4115" s="2" t="n">
        <v>1372</v>
      </c>
      <c r="E4115" s="2" t="inlineStr">
        <is>
          <t>CC-3000</t>
        </is>
      </c>
      <c r="F4115" s="2" t="inlineStr">
        <is>
          <t>P01</t>
        </is>
      </c>
      <c r="G4115" s="2" t="n">
        <v>610000</v>
      </c>
      <c r="H4115" s="2" t="inlineStr">
        <is>
          <t>Mano obra interna</t>
        </is>
      </c>
      <c r="I4115" s="9" t="n">
        <v>904.83</v>
      </c>
      <c r="J4115" s="9" t="n">
        <v>893.67</v>
      </c>
      <c r="K4115" s="9" t="n">
        <v>976.89</v>
      </c>
      <c r="L4115" s="9" t="n">
        <v>885.1799999999999</v>
      </c>
      <c r="M4115" s="9" t="n">
        <v>813.71</v>
      </c>
      <c r="N4115" s="9" t="n">
        <v>919.13</v>
      </c>
      <c r="O4115" s="9" t="n">
        <v>826.14</v>
      </c>
      <c r="P4115" s="9" t="n">
        <v>843.21</v>
      </c>
      <c r="Q4115" s="9" t="n">
        <v>821.4</v>
      </c>
      <c r="R4115" s="9" t="n">
        <v>963.05</v>
      </c>
      <c r="S4115" s="9" t="n">
        <v>911.29</v>
      </c>
      <c r="T4115" s="9" t="n">
        <v>899.23</v>
      </c>
      <c r="U4115" s="10">
        <f>SUM(I4115:T4115)</f>
        <v/>
      </c>
    </row>
    <row r="4116">
      <c r="A4116" s="2" t="inlineStr">
        <is>
          <t>SN-3000-3800-3820-3820FA0019</t>
        </is>
      </c>
      <c r="B4116" s="2" t="inlineStr">
        <is>
          <t>3820FA0019</t>
        </is>
      </c>
      <c r="C4116" s="2" t="inlineStr">
        <is>
          <t>Ventilador centrífugo FA0019</t>
        </is>
      </c>
      <c r="D4116" s="2" t="n">
        <v>1372</v>
      </c>
      <c r="E4116" s="2" t="inlineStr">
        <is>
          <t>CC-3000</t>
        </is>
      </c>
      <c r="F4116" s="2" t="inlineStr">
        <is>
          <t>P01</t>
        </is>
      </c>
      <c r="G4116" s="2" t="n">
        <v>620000</v>
      </c>
      <c r="H4116" s="2" t="inlineStr">
        <is>
          <t>Materiales</t>
        </is>
      </c>
      <c r="I4116" s="9" t="n">
        <v>963.9400000000001</v>
      </c>
      <c r="J4116" s="9" t="n">
        <v>987.66</v>
      </c>
      <c r="K4116" s="9" t="n">
        <v>998.4299999999999</v>
      </c>
      <c r="L4116" s="9" t="n">
        <v>948.65</v>
      </c>
      <c r="M4116" s="9" t="n">
        <v>1051.73</v>
      </c>
      <c r="N4116" s="9" t="n">
        <v>884.8200000000001</v>
      </c>
      <c r="O4116" s="9" t="n">
        <v>1020.56</v>
      </c>
      <c r="P4116" s="9" t="n">
        <v>1055.85</v>
      </c>
      <c r="Q4116" s="9" t="n">
        <v>875.91</v>
      </c>
      <c r="R4116" s="9" t="n">
        <v>1024.66</v>
      </c>
      <c r="S4116" s="9" t="n">
        <v>948.9299999999999</v>
      </c>
      <c r="T4116" s="9" t="n">
        <v>973.5</v>
      </c>
      <c r="U4116" s="10">
        <f>SUM(I4116:T4116)</f>
        <v/>
      </c>
    </row>
    <row r="4117">
      <c r="A4117" s="2" t="inlineStr">
        <is>
          <t>SN-3000-3800-3820-3820FA0019</t>
        </is>
      </c>
      <c r="B4117" s="2" t="inlineStr">
        <is>
          <t>3820FA0019</t>
        </is>
      </c>
      <c r="C4117" s="2" t="inlineStr">
        <is>
          <t>Ventilador centrífugo FA0019</t>
        </is>
      </c>
      <c r="D4117" s="2" t="n">
        <v>1372</v>
      </c>
      <c r="E4117" s="2" t="inlineStr">
        <is>
          <t>CC-3000</t>
        </is>
      </c>
      <c r="F4117" s="2" t="inlineStr">
        <is>
          <t>P01</t>
        </is>
      </c>
      <c r="G4117" s="2" t="n">
        <v>630000</v>
      </c>
      <c r="H4117" s="2" t="inlineStr">
        <is>
          <t>Servicios externos</t>
        </is>
      </c>
      <c r="I4117" s="9" t="n">
        <v>1031.12</v>
      </c>
      <c r="J4117" s="9" t="n">
        <v>1100.59</v>
      </c>
      <c r="K4117" s="9" t="n">
        <v>1131.13</v>
      </c>
      <c r="L4117" s="9" t="n">
        <v>1126.81</v>
      </c>
      <c r="M4117" s="9" t="n">
        <v>954.54</v>
      </c>
      <c r="N4117" s="9" t="n">
        <v>940.02</v>
      </c>
      <c r="O4117" s="9" t="n">
        <v>982.5</v>
      </c>
      <c r="P4117" s="9" t="n">
        <v>1064.65</v>
      </c>
      <c r="Q4117" s="9" t="n">
        <v>889.86</v>
      </c>
      <c r="R4117" s="9" t="n">
        <v>1173.06</v>
      </c>
      <c r="S4117" s="9" t="n">
        <v>1011.35</v>
      </c>
      <c r="T4117" s="9" t="n">
        <v>1063.47</v>
      </c>
      <c r="U4117" s="10">
        <f>SUM(I4117:T4117)</f>
        <v/>
      </c>
    </row>
    <row r="4118">
      <c r="A4118" s="2" t="inlineStr">
        <is>
          <t>SN-3000-3800-3820-3820FA0021</t>
        </is>
      </c>
      <c r="B4118" s="2" t="inlineStr">
        <is>
          <t>3820FA0021</t>
        </is>
      </c>
      <c r="C4118" s="2" t="inlineStr">
        <is>
          <t>Ventilador axial FA0021</t>
        </is>
      </c>
      <c r="D4118" s="2" t="n">
        <v>1373</v>
      </c>
      <c r="E4118" s="2" t="inlineStr">
        <is>
          <t>CC-3000</t>
        </is>
      </c>
      <c r="F4118" s="2" t="inlineStr">
        <is>
          <t>P01</t>
        </is>
      </c>
      <c r="G4118" s="2" t="n">
        <v>610000</v>
      </c>
      <c r="H4118" s="2" t="inlineStr">
        <is>
          <t>Mano obra interna</t>
        </is>
      </c>
      <c r="I4118" s="9" t="n">
        <v>828.52</v>
      </c>
      <c r="J4118" s="9" t="n">
        <v>756.39</v>
      </c>
      <c r="K4118" s="9" t="n">
        <v>803.6900000000001</v>
      </c>
      <c r="L4118" s="9" t="n">
        <v>823.1900000000001</v>
      </c>
      <c r="M4118" s="9" t="n">
        <v>821.41</v>
      </c>
      <c r="N4118" s="9" t="n">
        <v>743.4299999999999</v>
      </c>
      <c r="O4118" s="9" t="n">
        <v>846.95</v>
      </c>
      <c r="P4118" s="9" t="n">
        <v>846.51</v>
      </c>
      <c r="Q4118" s="9" t="n">
        <v>724.0700000000001</v>
      </c>
      <c r="R4118" s="9" t="n">
        <v>878.6900000000001</v>
      </c>
      <c r="S4118" s="9" t="n">
        <v>762.38</v>
      </c>
      <c r="T4118" s="9" t="n">
        <v>778.48</v>
      </c>
      <c r="U4118" s="10">
        <f>SUM(I4118:T4118)</f>
        <v/>
      </c>
    </row>
    <row r="4119">
      <c r="A4119" s="2" t="inlineStr">
        <is>
          <t>SN-3000-3800-3820-3820FA0021</t>
        </is>
      </c>
      <c r="B4119" s="2" t="inlineStr">
        <is>
          <t>3820FA0021</t>
        </is>
      </c>
      <c r="C4119" s="2" t="inlineStr">
        <is>
          <t>Ventilador axial FA0021</t>
        </is>
      </c>
      <c r="D4119" s="2" t="n">
        <v>1373</v>
      </c>
      <c r="E4119" s="2" t="inlineStr">
        <is>
          <t>CC-3000</t>
        </is>
      </c>
      <c r="F4119" s="2" t="inlineStr">
        <is>
          <t>P01</t>
        </is>
      </c>
      <c r="G4119" s="2" t="n">
        <v>620000</v>
      </c>
      <c r="H4119" s="2" t="inlineStr">
        <is>
          <t>Materiales</t>
        </is>
      </c>
      <c r="I4119" s="9" t="n">
        <v>915.83</v>
      </c>
      <c r="J4119" s="9" t="n">
        <v>827.74</v>
      </c>
      <c r="K4119" s="9" t="n">
        <v>914.87</v>
      </c>
      <c r="L4119" s="9" t="n">
        <v>869.39</v>
      </c>
      <c r="M4119" s="9" t="n">
        <v>831.77</v>
      </c>
      <c r="N4119" s="9" t="n">
        <v>792.66</v>
      </c>
      <c r="O4119" s="9" t="n">
        <v>796.91</v>
      </c>
      <c r="P4119" s="9" t="n">
        <v>775.8200000000001</v>
      </c>
      <c r="Q4119" s="9" t="n">
        <v>767.09</v>
      </c>
      <c r="R4119" s="9" t="n">
        <v>905.75</v>
      </c>
      <c r="S4119" s="9" t="n">
        <v>806.38</v>
      </c>
      <c r="T4119" s="9" t="n">
        <v>870.48</v>
      </c>
      <c r="U4119" s="10">
        <f>SUM(I4119:T4119)</f>
        <v/>
      </c>
    </row>
    <row r="4120">
      <c r="A4120" s="2" t="inlineStr">
        <is>
          <t>SN-3000-3800-3820-3820FA0021</t>
        </is>
      </c>
      <c r="B4120" s="2" t="inlineStr">
        <is>
          <t>3820FA0021</t>
        </is>
      </c>
      <c r="C4120" s="2" t="inlineStr">
        <is>
          <t>Ventilador axial FA0021</t>
        </is>
      </c>
      <c r="D4120" s="2" t="n">
        <v>1373</v>
      </c>
      <c r="E4120" s="2" t="inlineStr">
        <is>
          <t>CC-3000</t>
        </is>
      </c>
      <c r="F4120" s="2" t="inlineStr">
        <is>
          <t>P01</t>
        </is>
      </c>
      <c r="G4120" s="2" t="n">
        <v>630000</v>
      </c>
      <c r="H4120" s="2" t="inlineStr">
        <is>
          <t>Servicios externos</t>
        </is>
      </c>
      <c r="I4120" s="9" t="n">
        <v>687.08</v>
      </c>
      <c r="J4120" s="9" t="n">
        <v>669.52</v>
      </c>
      <c r="K4120" s="9" t="n">
        <v>675.27</v>
      </c>
      <c r="L4120" s="9" t="n">
        <v>750.12</v>
      </c>
      <c r="M4120" s="9" t="n">
        <v>701.8</v>
      </c>
      <c r="N4120" s="9" t="n">
        <v>615.83</v>
      </c>
      <c r="O4120" s="9" t="n">
        <v>712.91</v>
      </c>
      <c r="P4120" s="9" t="n">
        <v>693.87</v>
      </c>
      <c r="Q4120" s="9" t="n">
        <v>643.95</v>
      </c>
      <c r="R4120" s="9" t="n">
        <v>801.41</v>
      </c>
      <c r="S4120" s="9" t="n">
        <v>679.73</v>
      </c>
      <c r="T4120" s="9" t="n">
        <v>743.75</v>
      </c>
      <c r="U4120" s="10">
        <f>SUM(I4120:T4120)</f>
        <v/>
      </c>
    </row>
    <row r="4121">
      <c r="A4121" s="2" t="inlineStr">
        <is>
          <t>SN-3000-3800-3820-3820PU0305</t>
        </is>
      </c>
      <c r="B4121" s="2" t="inlineStr">
        <is>
          <t>3820PU0305</t>
        </is>
      </c>
      <c r="C4121" s="2" t="inlineStr">
        <is>
          <t>Bomba centrífuga sistema lavado PU0305</t>
        </is>
      </c>
      <c r="D4121" s="2" t="n">
        <v>1374</v>
      </c>
      <c r="E4121" s="2" t="inlineStr">
        <is>
          <t>CC-3000</t>
        </is>
      </c>
      <c r="F4121" s="2" t="inlineStr">
        <is>
          <t>P01</t>
        </is>
      </c>
      <c r="G4121" s="2" t="n">
        <v>610000</v>
      </c>
      <c r="H4121" s="2" t="inlineStr">
        <is>
          <t>Mano obra interna</t>
        </is>
      </c>
      <c r="I4121" s="9" t="n">
        <v>1365.2</v>
      </c>
      <c r="J4121" s="9" t="n">
        <v>1296.12</v>
      </c>
      <c r="K4121" s="9" t="n">
        <v>1458.35</v>
      </c>
      <c r="L4121" s="9" t="n">
        <v>1522.8</v>
      </c>
      <c r="M4121" s="9" t="n">
        <v>1486.96</v>
      </c>
      <c r="N4121" s="9" t="n">
        <v>1428.48</v>
      </c>
      <c r="O4121" s="9" t="n">
        <v>1417.01</v>
      </c>
      <c r="P4121" s="9" t="n">
        <v>1484.43</v>
      </c>
      <c r="Q4121" s="9" t="n">
        <v>1376.22</v>
      </c>
      <c r="R4121" s="9" t="n">
        <v>1494.55</v>
      </c>
      <c r="S4121" s="9" t="n">
        <v>1309.5</v>
      </c>
      <c r="T4121" s="9" t="n">
        <v>1477.78</v>
      </c>
      <c r="U4121" s="10">
        <f>SUM(I4121:T4121)</f>
        <v/>
      </c>
    </row>
    <row r="4122">
      <c r="A4122" s="2" t="inlineStr">
        <is>
          <t>SN-3000-3800-3820-3820PU0305</t>
        </is>
      </c>
      <c r="B4122" s="2" t="inlineStr">
        <is>
          <t>3820PU0305</t>
        </is>
      </c>
      <c r="C4122" s="2" t="inlineStr">
        <is>
          <t>Bomba centrífuga sistema lavado PU0305</t>
        </is>
      </c>
      <c r="D4122" s="2" t="n">
        <v>1374</v>
      </c>
      <c r="E4122" s="2" t="inlineStr">
        <is>
          <t>CC-3000</t>
        </is>
      </c>
      <c r="F4122" s="2" t="inlineStr">
        <is>
          <t>P01</t>
        </is>
      </c>
      <c r="G4122" s="2" t="n">
        <v>620000</v>
      </c>
      <c r="H4122" s="2" t="inlineStr">
        <is>
          <t>Materiales</t>
        </is>
      </c>
      <c r="I4122" s="9" t="n">
        <v>1316.54</v>
      </c>
      <c r="J4122" s="9" t="n">
        <v>1198.81</v>
      </c>
      <c r="K4122" s="9" t="n">
        <v>1269.13</v>
      </c>
      <c r="L4122" s="9" t="n">
        <v>1347.41</v>
      </c>
      <c r="M4122" s="9" t="n">
        <v>1356.05</v>
      </c>
      <c r="N4122" s="9" t="n">
        <v>1306.55</v>
      </c>
      <c r="O4122" s="9" t="n">
        <v>1280.38</v>
      </c>
      <c r="P4122" s="9" t="n">
        <v>1353.68</v>
      </c>
      <c r="Q4122" s="9" t="n">
        <v>1098.19</v>
      </c>
      <c r="R4122" s="9" t="n">
        <v>1455.34</v>
      </c>
      <c r="S4122" s="9" t="n">
        <v>1230.33</v>
      </c>
      <c r="T4122" s="9" t="n">
        <v>1353.05</v>
      </c>
      <c r="U4122" s="10">
        <f>SUM(I4122:T4122)</f>
        <v/>
      </c>
    </row>
    <row r="4123">
      <c r="A4123" s="2" t="inlineStr">
        <is>
          <t>SN-3000-3800-3820-3820PU0305</t>
        </is>
      </c>
      <c r="B4123" s="2" t="inlineStr">
        <is>
          <t>3820PU0305</t>
        </is>
      </c>
      <c r="C4123" s="2" t="inlineStr">
        <is>
          <t>Bomba centrífuga sistema lavado PU0305</t>
        </is>
      </c>
      <c r="D4123" s="2" t="n">
        <v>1374</v>
      </c>
      <c r="E4123" s="2" t="inlineStr">
        <is>
          <t>CC-3000</t>
        </is>
      </c>
      <c r="F4123" s="2" t="inlineStr">
        <is>
          <t>P01</t>
        </is>
      </c>
      <c r="G4123" s="2" t="n">
        <v>630000</v>
      </c>
      <c r="H4123" s="2" t="inlineStr">
        <is>
          <t>Servicios externos</t>
        </is>
      </c>
      <c r="I4123" s="9" t="n">
        <v>1138.62</v>
      </c>
      <c r="J4123" s="9" t="n">
        <v>1053.07</v>
      </c>
      <c r="K4123" s="9" t="n">
        <v>1041.42</v>
      </c>
      <c r="L4123" s="9" t="n">
        <v>1050.21</v>
      </c>
      <c r="M4123" s="9" t="n">
        <v>992.4400000000001</v>
      </c>
      <c r="N4123" s="9" t="n">
        <v>994.8099999999999</v>
      </c>
      <c r="O4123" s="9" t="n">
        <v>1025.08</v>
      </c>
      <c r="P4123" s="9" t="n">
        <v>1058.28</v>
      </c>
      <c r="Q4123" s="9" t="n">
        <v>1029.84</v>
      </c>
      <c r="R4123" s="9" t="n">
        <v>1223.51</v>
      </c>
      <c r="S4123" s="9" t="n">
        <v>979.08</v>
      </c>
      <c r="T4123" s="9" t="n">
        <v>1001.6</v>
      </c>
      <c r="U4123" s="10">
        <f>SUM(I4123:T4123)</f>
        <v/>
      </c>
    </row>
    <row r="4124">
      <c r="A4124" s="2" t="inlineStr">
        <is>
          <t>SN-3000-3800-3820-3820TK0098</t>
        </is>
      </c>
      <c r="B4124" s="2" t="inlineStr">
        <is>
          <t>3820TK0098</t>
        </is>
      </c>
      <c r="C4124" s="2" t="inlineStr">
        <is>
          <t>Estanque almacenamiento TK0098</t>
        </is>
      </c>
      <c r="D4124" s="2" t="n">
        <v>1375</v>
      </c>
      <c r="E4124" s="2" t="inlineStr">
        <is>
          <t>CC-3000</t>
        </is>
      </c>
      <c r="F4124" s="2" t="inlineStr">
        <is>
          <t>P01</t>
        </is>
      </c>
      <c r="G4124" s="2" t="n">
        <v>610000</v>
      </c>
      <c r="H4124" s="2" t="inlineStr">
        <is>
          <t>Mano obra interna</t>
        </is>
      </c>
      <c r="I4124" s="9" t="n">
        <v>1297.58</v>
      </c>
      <c r="J4124" s="9" t="n">
        <v>1398.54</v>
      </c>
      <c r="K4124" s="9" t="n">
        <v>1390.86</v>
      </c>
      <c r="L4124" s="9" t="n">
        <v>1404.12</v>
      </c>
      <c r="M4124" s="9" t="n">
        <v>1259.44</v>
      </c>
      <c r="N4124" s="9" t="n">
        <v>1340.21</v>
      </c>
      <c r="O4124" s="9" t="n">
        <v>1450.75</v>
      </c>
      <c r="P4124" s="9" t="n">
        <v>1343.16</v>
      </c>
      <c r="Q4124" s="9" t="n">
        <v>1347.63</v>
      </c>
      <c r="R4124" s="9" t="n">
        <v>1345.45</v>
      </c>
      <c r="S4124" s="9" t="n">
        <v>1207.98</v>
      </c>
      <c r="T4124" s="9" t="n">
        <v>1468.66</v>
      </c>
      <c r="U4124" s="10">
        <f>SUM(I4124:T4124)</f>
        <v/>
      </c>
    </row>
    <row r="4125">
      <c r="A4125" s="2" t="inlineStr">
        <is>
          <t>SN-3000-3800-3820-3820TK0098</t>
        </is>
      </c>
      <c r="B4125" s="2" t="inlineStr">
        <is>
          <t>3820TK0098</t>
        </is>
      </c>
      <c r="C4125" s="2" t="inlineStr">
        <is>
          <t>Estanque almacenamiento TK0098</t>
        </is>
      </c>
      <c r="D4125" s="2" t="n">
        <v>1375</v>
      </c>
      <c r="E4125" s="2" t="inlineStr">
        <is>
          <t>CC-3000</t>
        </is>
      </c>
      <c r="F4125" s="2" t="inlineStr">
        <is>
          <t>P01</t>
        </is>
      </c>
      <c r="G4125" s="2" t="n">
        <v>620000</v>
      </c>
      <c r="H4125" s="2" t="inlineStr">
        <is>
          <t>Materiales</t>
        </is>
      </c>
      <c r="I4125" s="9" t="n">
        <v>1403.57</v>
      </c>
      <c r="J4125" s="9" t="n">
        <v>1394.04</v>
      </c>
      <c r="K4125" s="9" t="n">
        <v>1494.62</v>
      </c>
      <c r="L4125" s="9" t="n">
        <v>1526.83</v>
      </c>
      <c r="M4125" s="9" t="n">
        <v>1510.38</v>
      </c>
      <c r="N4125" s="9" t="n">
        <v>1291.04</v>
      </c>
      <c r="O4125" s="9" t="n">
        <v>1483.91</v>
      </c>
      <c r="P4125" s="9" t="n">
        <v>1440.52</v>
      </c>
      <c r="Q4125" s="9" t="n">
        <v>1368</v>
      </c>
      <c r="R4125" s="9" t="n">
        <v>1562.6</v>
      </c>
      <c r="S4125" s="9" t="n">
        <v>1389.72</v>
      </c>
      <c r="T4125" s="9" t="n">
        <v>1399.28</v>
      </c>
      <c r="U4125" s="10">
        <f>SUM(I4125:T4125)</f>
        <v/>
      </c>
    </row>
    <row r="4126">
      <c r="A4126" s="2" t="inlineStr">
        <is>
          <t>SN-3000-3800-3820-3820TK0098</t>
        </is>
      </c>
      <c r="B4126" s="2" t="inlineStr">
        <is>
          <t>3820TK0098</t>
        </is>
      </c>
      <c r="C4126" s="2" t="inlineStr">
        <is>
          <t>Estanque almacenamiento TK0098</t>
        </is>
      </c>
      <c r="D4126" s="2" t="n">
        <v>1375</v>
      </c>
      <c r="E4126" s="2" t="inlineStr">
        <is>
          <t>CC-3000</t>
        </is>
      </c>
      <c r="F4126" s="2" t="inlineStr">
        <is>
          <t>P01</t>
        </is>
      </c>
      <c r="G4126" s="2" t="n">
        <v>630000</v>
      </c>
      <c r="H4126" s="2" t="inlineStr">
        <is>
          <t>Servicios externos</t>
        </is>
      </c>
      <c r="I4126" s="9" t="n">
        <v>1343.49</v>
      </c>
      <c r="J4126" s="9" t="n">
        <v>1264.48</v>
      </c>
      <c r="K4126" s="9" t="n">
        <v>1399.8</v>
      </c>
      <c r="L4126" s="9" t="n">
        <v>1307.77</v>
      </c>
      <c r="M4126" s="9" t="n">
        <v>1384.21</v>
      </c>
      <c r="N4126" s="9" t="n">
        <v>1233.4</v>
      </c>
      <c r="O4126" s="9" t="n">
        <v>1371.6</v>
      </c>
      <c r="P4126" s="9" t="n">
        <v>1490.09</v>
      </c>
      <c r="Q4126" s="9" t="n">
        <v>1188.01</v>
      </c>
      <c r="R4126" s="9" t="n">
        <v>1461.61</v>
      </c>
      <c r="S4126" s="9" t="n">
        <v>1377.76</v>
      </c>
      <c r="T4126" s="9" t="n">
        <v>1328.68</v>
      </c>
      <c r="U4126" s="10">
        <f>SUM(I4126:T4126)</f>
        <v/>
      </c>
    </row>
    <row r="4127">
      <c r="A4127" s="2" t="inlineStr">
        <is>
          <t>SN-3000-3800-3820-3820XM0072</t>
        </is>
      </c>
      <c r="B4127" s="2" t="inlineStr">
        <is>
          <t>3820XM0072</t>
        </is>
      </c>
      <c r="C4127" s="2" t="inlineStr">
        <is>
          <t>Celosía XM0072</t>
        </is>
      </c>
      <c r="D4127" s="2" t="n">
        <v>1376</v>
      </c>
      <c r="E4127" s="2" t="inlineStr">
        <is>
          <t>CC-3000</t>
        </is>
      </c>
      <c r="F4127" s="2" t="inlineStr">
        <is>
          <t>P01</t>
        </is>
      </c>
      <c r="G4127" s="2" t="n">
        <v>610000</v>
      </c>
      <c r="H4127" s="2" t="inlineStr">
        <is>
          <t>Mano obra interna</t>
        </is>
      </c>
      <c r="I4127" s="9" t="n">
        <v>1329.94</v>
      </c>
      <c r="J4127" s="9" t="n">
        <v>1275.49</v>
      </c>
      <c r="K4127" s="9" t="n">
        <v>1486.46</v>
      </c>
      <c r="L4127" s="9" t="n">
        <v>1319.34</v>
      </c>
      <c r="M4127" s="9" t="n">
        <v>1314.71</v>
      </c>
      <c r="N4127" s="9" t="n">
        <v>1227.19</v>
      </c>
      <c r="O4127" s="9" t="n">
        <v>1308.95</v>
      </c>
      <c r="P4127" s="9" t="n">
        <v>1309.38</v>
      </c>
      <c r="Q4127" s="9" t="n">
        <v>1226.58</v>
      </c>
      <c r="R4127" s="9" t="n">
        <v>1494.49</v>
      </c>
      <c r="S4127" s="9" t="n">
        <v>1362.86</v>
      </c>
      <c r="T4127" s="9" t="n">
        <v>1377.69</v>
      </c>
      <c r="U4127" s="10">
        <f>SUM(I4127:T4127)</f>
        <v/>
      </c>
    </row>
    <row r="4128">
      <c r="A4128" s="2" t="inlineStr">
        <is>
          <t>SN-3000-3800-3820-3820XM0072</t>
        </is>
      </c>
      <c r="B4128" s="2" t="inlineStr">
        <is>
          <t>3820XM0072</t>
        </is>
      </c>
      <c r="C4128" s="2" t="inlineStr">
        <is>
          <t>Celosía XM0072</t>
        </is>
      </c>
      <c r="D4128" s="2" t="n">
        <v>1376</v>
      </c>
      <c r="E4128" s="2" t="inlineStr">
        <is>
          <t>CC-3000</t>
        </is>
      </c>
      <c r="F4128" s="2" t="inlineStr">
        <is>
          <t>P01</t>
        </is>
      </c>
      <c r="G4128" s="2" t="n">
        <v>620000</v>
      </c>
      <c r="H4128" s="2" t="inlineStr">
        <is>
          <t>Materiales</t>
        </is>
      </c>
      <c r="I4128" s="9" t="n">
        <v>1366.73</v>
      </c>
      <c r="J4128" s="9" t="n">
        <v>1355.98</v>
      </c>
      <c r="K4128" s="9" t="n">
        <v>1306.11</v>
      </c>
      <c r="L4128" s="9" t="n">
        <v>1394.02</v>
      </c>
      <c r="M4128" s="9" t="n">
        <v>1259.79</v>
      </c>
      <c r="N4128" s="9" t="n">
        <v>1273.91</v>
      </c>
      <c r="O4128" s="9" t="n">
        <v>1290.44</v>
      </c>
      <c r="P4128" s="9" t="n">
        <v>1352.25</v>
      </c>
      <c r="Q4128" s="9" t="n">
        <v>1177.05</v>
      </c>
      <c r="R4128" s="9" t="n">
        <v>1417.98</v>
      </c>
      <c r="S4128" s="9" t="n">
        <v>1227.55</v>
      </c>
      <c r="T4128" s="9" t="n">
        <v>1367.76</v>
      </c>
      <c r="U4128" s="10">
        <f>SUM(I4128:T4128)</f>
        <v/>
      </c>
    </row>
    <row r="4129">
      <c r="A4129" s="2" t="inlineStr">
        <is>
          <t>SN-3000-3800-3820-3820XM0072</t>
        </is>
      </c>
      <c r="B4129" s="2" t="inlineStr">
        <is>
          <t>3820XM0072</t>
        </is>
      </c>
      <c r="C4129" s="2" t="inlineStr">
        <is>
          <t>Celosía XM0072</t>
        </is>
      </c>
      <c r="D4129" s="2" t="n">
        <v>1376</v>
      </c>
      <c r="E4129" s="2" t="inlineStr">
        <is>
          <t>CC-3000</t>
        </is>
      </c>
      <c r="F4129" s="2" t="inlineStr">
        <is>
          <t>P01</t>
        </is>
      </c>
      <c r="G4129" s="2" t="n">
        <v>630000</v>
      </c>
      <c r="H4129" s="2" t="inlineStr">
        <is>
          <t>Servicios externos</t>
        </is>
      </c>
      <c r="I4129" s="9" t="n">
        <v>1449.36</v>
      </c>
      <c r="J4129" s="9" t="n">
        <v>1452.17</v>
      </c>
      <c r="K4129" s="9" t="n">
        <v>1425.09</v>
      </c>
      <c r="L4129" s="9" t="n">
        <v>1426.29</v>
      </c>
      <c r="M4129" s="9" t="n">
        <v>1565.87</v>
      </c>
      <c r="N4129" s="9" t="n">
        <v>1425.41</v>
      </c>
      <c r="O4129" s="9" t="n">
        <v>1456.39</v>
      </c>
      <c r="P4129" s="9" t="n">
        <v>1520.06</v>
      </c>
      <c r="Q4129" s="9" t="n">
        <v>1391.5</v>
      </c>
      <c r="R4129" s="9" t="n">
        <v>1542.71</v>
      </c>
      <c r="S4129" s="9" t="n">
        <v>1370.59</v>
      </c>
      <c r="T4129" s="9" t="n">
        <v>1524.25</v>
      </c>
      <c r="U4129" s="10">
        <f>SUM(I4129:T4129)</f>
        <v/>
      </c>
    </row>
    <row r="4130">
      <c r="A4130" s="2" t="inlineStr">
        <is>
          <t>SN-3000-3800-3820-3820XM0073</t>
        </is>
      </c>
      <c r="B4130" s="2" t="inlineStr">
        <is>
          <t>3820XM0073</t>
        </is>
      </c>
      <c r="C4130" s="2" t="inlineStr">
        <is>
          <t>Celosía XM0073</t>
        </is>
      </c>
      <c r="D4130" s="2" t="n">
        <v>1377</v>
      </c>
      <c r="E4130" s="2" t="inlineStr">
        <is>
          <t>CC-3000</t>
        </is>
      </c>
      <c r="F4130" s="2" t="inlineStr">
        <is>
          <t>P01</t>
        </is>
      </c>
      <c r="G4130" s="2" t="n">
        <v>610000</v>
      </c>
      <c r="H4130" s="2" t="inlineStr">
        <is>
          <t>Mano obra interna</t>
        </is>
      </c>
      <c r="I4130" s="9" t="n">
        <v>812.9299999999999</v>
      </c>
      <c r="J4130" s="9" t="n">
        <v>808.14</v>
      </c>
      <c r="K4130" s="9" t="n">
        <v>922.27</v>
      </c>
      <c r="L4130" s="9" t="n">
        <v>799.74</v>
      </c>
      <c r="M4130" s="9" t="n">
        <v>880.98</v>
      </c>
      <c r="N4130" s="9" t="n">
        <v>823.63</v>
      </c>
      <c r="O4130" s="9" t="n">
        <v>783.33</v>
      </c>
      <c r="P4130" s="9" t="n">
        <v>858.28</v>
      </c>
      <c r="Q4130" s="9" t="n">
        <v>777.39</v>
      </c>
      <c r="R4130" s="9" t="n">
        <v>961.15</v>
      </c>
      <c r="S4130" s="9" t="n">
        <v>871.4400000000001</v>
      </c>
      <c r="T4130" s="9" t="n">
        <v>828.37</v>
      </c>
      <c r="U4130" s="10">
        <f>SUM(I4130:T4130)</f>
        <v/>
      </c>
    </row>
    <row r="4131">
      <c r="A4131" s="2" t="inlineStr">
        <is>
          <t>SN-3000-3800-3820-3820XM0073</t>
        </is>
      </c>
      <c r="B4131" s="2" t="inlineStr">
        <is>
          <t>3820XM0073</t>
        </is>
      </c>
      <c r="C4131" s="2" t="inlineStr">
        <is>
          <t>Celosía XM0073</t>
        </is>
      </c>
      <c r="D4131" s="2" t="n">
        <v>1377</v>
      </c>
      <c r="E4131" s="2" t="inlineStr">
        <is>
          <t>CC-3000</t>
        </is>
      </c>
      <c r="F4131" s="2" t="inlineStr">
        <is>
          <t>P01</t>
        </is>
      </c>
      <c r="G4131" s="2" t="n">
        <v>620000</v>
      </c>
      <c r="H4131" s="2" t="inlineStr">
        <is>
          <t>Materiales</t>
        </is>
      </c>
      <c r="I4131" s="9" t="n">
        <v>967.37</v>
      </c>
      <c r="J4131" s="9" t="n">
        <v>931.08</v>
      </c>
      <c r="K4131" s="9" t="n">
        <v>958.7</v>
      </c>
      <c r="L4131" s="9" t="n">
        <v>1027.43</v>
      </c>
      <c r="M4131" s="9" t="n">
        <v>930.37</v>
      </c>
      <c r="N4131" s="9" t="n">
        <v>929.17</v>
      </c>
      <c r="O4131" s="9" t="n">
        <v>1026.63</v>
      </c>
      <c r="P4131" s="9" t="n">
        <v>1022.24</v>
      </c>
      <c r="Q4131" s="9" t="n">
        <v>961.54</v>
      </c>
      <c r="R4131" s="9" t="n">
        <v>996.85</v>
      </c>
      <c r="S4131" s="9" t="n">
        <v>959.3</v>
      </c>
      <c r="T4131" s="9" t="n">
        <v>1057.7</v>
      </c>
      <c r="U4131" s="10">
        <f>SUM(I4131:T4131)</f>
        <v/>
      </c>
    </row>
    <row r="4132">
      <c r="A4132" s="2" t="inlineStr">
        <is>
          <t>SN-3000-3800-3820-3820XM0073</t>
        </is>
      </c>
      <c r="B4132" s="2" t="inlineStr">
        <is>
          <t>3820XM0073</t>
        </is>
      </c>
      <c r="C4132" s="2" t="inlineStr">
        <is>
          <t>Celosía XM0073</t>
        </is>
      </c>
      <c r="D4132" s="2" t="n">
        <v>1377</v>
      </c>
      <c r="E4132" s="2" t="inlineStr">
        <is>
          <t>CC-3000</t>
        </is>
      </c>
      <c r="F4132" s="2" t="inlineStr">
        <is>
          <t>P01</t>
        </is>
      </c>
      <c r="G4132" s="2" t="n">
        <v>630000</v>
      </c>
      <c r="H4132" s="2" t="inlineStr">
        <is>
          <t>Servicios externos</t>
        </is>
      </c>
      <c r="I4132" s="9" t="n">
        <v>826.3</v>
      </c>
      <c r="J4132" s="9" t="n">
        <v>730.38</v>
      </c>
      <c r="K4132" s="9" t="n">
        <v>819.1</v>
      </c>
      <c r="L4132" s="9" t="n">
        <v>817.52</v>
      </c>
      <c r="M4132" s="9" t="n">
        <v>817.09</v>
      </c>
      <c r="N4132" s="9" t="n">
        <v>740.08</v>
      </c>
      <c r="O4132" s="9" t="n">
        <v>816.4299999999999</v>
      </c>
      <c r="P4132" s="9" t="n">
        <v>716.23</v>
      </c>
      <c r="Q4132" s="9" t="n">
        <v>710.42</v>
      </c>
      <c r="R4132" s="9" t="n">
        <v>825.55</v>
      </c>
      <c r="S4132" s="9" t="n">
        <v>752.89</v>
      </c>
      <c r="T4132" s="9" t="n">
        <v>782.13</v>
      </c>
      <c r="U4132" s="10">
        <f>SUM(I4132:T4132)</f>
        <v/>
      </c>
    </row>
    <row r="4133">
      <c r="A4133" s="2" t="inlineStr">
        <is>
          <t>SN-3000-3800-3820-3820XM0074</t>
        </is>
      </c>
      <c r="B4133" s="2" t="inlineStr">
        <is>
          <t>3820XM0074</t>
        </is>
      </c>
      <c r="C4133" s="2" t="inlineStr">
        <is>
          <t>Celosía XM0074</t>
        </is>
      </c>
      <c r="D4133" s="2" t="n">
        <v>1378</v>
      </c>
      <c r="E4133" s="2" t="inlineStr">
        <is>
          <t>CC-3000</t>
        </is>
      </c>
      <c r="F4133" s="2" t="inlineStr">
        <is>
          <t>P01</t>
        </is>
      </c>
      <c r="G4133" s="2" t="n">
        <v>610000</v>
      </c>
      <c r="H4133" s="2" t="inlineStr">
        <is>
          <t>Mano obra interna</t>
        </is>
      </c>
      <c r="I4133" s="9" t="n">
        <v>684.72</v>
      </c>
      <c r="J4133" s="9" t="n">
        <v>681.71</v>
      </c>
      <c r="K4133" s="9" t="n">
        <v>797.63</v>
      </c>
      <c r="L4133" s="9" t="n">
        <v>728.66</v>
      </c>
      <c r="M4133" s="9" t="n">
        <v>719.9</v>
      </c>
      <c r="N4133" s="9" t="n">
        <v>641.54</v>
      </c>
      <c r="O4133" s="9" t="n">
        <v>694.7</v>
      </c>
      <c r="P4133" s="9" t="n">
        <v>665.76</v>
      </c>
      <c r="Q4133" s="9" t="n">
        <v>630.6900000000001</v>
      </c>
      <c r="R4133" s="9" t="n">
        <v>792.1900000000001</v>
      </c>
      <c r="S4133" s="9" t="n">
        <v>725.64</v>
      </c>
      <c r="T4133" s="9" t="n">
        <v>773.14</v>
      </c>
      <c r="U4133" s="10">
        <f>SUM(I4133:T4133)</f>
        <v/>
      </c>
    </row>
    <row r="4134">
      <c r="A4134" s="2" t="inlineStr">
        <is>
          <t>SN-3000-3800-3820-3820XM0074</t>
        </is>
      </c>
      <c r="B4134" s="2" t="inlineStr">
        <is>
          <t>3820XM0074</t>
        </is>
      </c>
      <c r="C4134" s="2" t="inlineStr">
        <is>
          <t>Celosía XM0074</t>
        </is>
      </c>
      <c r="D4134" s="2" t="n">
        <v>1378</v>
      </c>
      <c r="E4134" s="2" t="inlineStr">
        <is>
          <t>CC-3000</t>
        </is>
      </c>
      <c r="F4134" s="2" t="inlineStr">
        <is>
          <t>P01</t>
        </is>
      </c>
      <c r="G4134" s="2" t="n">
        <v>620000</v>
      </c>
      <c r="H4134" s="2" t="inlineStr">
        <is>
          <t>Materiales</t>
        </is>
      </c>
      <c r="I4134" s="9" t="n">
        <v>559.45</v>
      </c>
      <c r="J4134" s="9" t="n">
        <v>560.71</v>
      </c>
      <c r="K4134" s="9" t="n">
        <v>542.2</v>
      </c>
      <c r="L4134" s="9" t="n">
        <v>603.74</v>
      </c>
      <c r="M4134" s="9" t="n">
        <v>555.77</v>
      </c>
      <c r="N4134" s="9" t="n">
        <v>578.4400000000001</v>
      </c>
      <c r="O4134" s="9" t="n">
        <v>528.84</v>
      </c>
      <c r="P4134" s="9" t="n">
        <v>529.65</v>
      </c>
      <c r="Q4134" s="9" t="n">
        <v>511.46</v>
      </c>
      <c r="R4134" s="9" t="n">
        <v>578.75</v>
      </c>
      <c r="S4134" s="9" t="n">
        <v>562.24</v>
      </c>
      <c r="T4134" s="9" t="n">
        <v>612.29</v>
      </c>
      <c r="U4134" s="10">
        <f>SUM(I4134:T4134)</f>
        <v/>
      </c>
    </row>
    <row r="4135">
      <c r="A4135" s="2" t="inlineStr">
        <is>
          <t>SN-3000-3800-3820-3820XM0074</t>
        </is>
      </c>
      <c r="B4135" s="2" t="inlineStr">
        <is>
          <t>3820XM0074</t>
        </is>
      </c>
      <c r="C4135" s="2" t="inlineStr">
        <is>
          <t>Celosía XM0074</t>
        </is>
      </c>
      <c r="D4135" s="2" t="n">
        <v>1378</v>
      </c>
      <c r="E4135" s="2" t="inlineStr">
        <is>
          <t>CC-3000</t>
        </is>
      </c>
      <c r="F4135" s="2" t="inlineStr">
        <is>
          <t>P01</t>
        </is>
      </c>
      <c r="G4135" s="2" t="n">
        <v>630000</v>
      </c>
      <c r="H4135" s="2" t="inlineStr">
        <is>
          <t>Servicios externos</t>
        </is>
      </c>
      <c r="I4135" s="9" t="n">
        <v>523.33</v>
      </c>
      <c r="J4135" s="9" t="n">
        <v>504.51</v>
      </c>
      <c r="K4135" s="9" t="n">
        <v>552.41</v>
      </c>
      <c r="L4135" s="9" t="n">
        <v>542.28</v>
      </c>
      <c r="M4135" s="9" t="n">
        <v>548.37</v>
      </c>
      <c r="N4135" s="9" t="n">
        <v>530.23</v>
      </c>
      <c r="O4135" s="9" t="n">
        <v>541.16</v>
      </c>
      <c r="P4135" s="9" t="n">
        <v>542.0700000000001</v>
      </c>
      <c r="Q4135" s="9" t="n">
        <v>524.99</v>
      </c>
      <c r="R4135" s="9" t="n">
        <v>567.12</v>
      </c>
      <c r="S4135" s="9" t="n">
        <v>477.23</v>
      </c>
      <c r="T4135" s="9" t="n">
        <v>517.72</v>
      </c>
      <c r="U4135" s="10">
        <f>SUM(I4135:T4135)</f>
        <v/>
      </c>
    </row>
    <row r="4136">
      <c r="A4136" s="2" t="inlineStr">
        <is>
          <t>SN-3000-3800-3820-3820XM0075</t>
        </is>
      </c>
      <c r="B4136" s="2" t="inlineStr">
        <is>
          <t>3820XM0075</t>
        </is>
      </c>
      <c r="C4136" s="2" t="inlineStr">
        <is>
          <t>Celosía XM0075</t>
        </is>
      </c>
      <c r="D4136" s="2" t="n">
        <v>1379</v>
      </c>
      <c r="E4136" s="2" t="inlineStr">
        <is>
          <t>CC-3000</t>
        </is>
      </c>
      <c r="F4136" s="2" t="inlineStr">
        <is>
          <t>P01</t>
        </is>
      </c>
      <c r="G4136" s="2" t="n">
        <v>610000</v>
      </c>
      <c r="H4136" s="2" t="inlineStr">
        <is>
          <t>Mano obra interna</t>
        </is>
      </c>
      <c r="I4136" s="9" t="n">
        <v>773.73</v>
      </c>
      <c r="J4136" s="9" t="n">
        <v>742.12</v>
      </c>
      <c r="K4136" s="9" t="n">
        <v>744.39</v>
      </c>
      <c r="L4136" s="9" t="n">
        <v>820.23</v>
      </c>
      <c r="M4136" s="9" t="n">
        <v>769.58</v>
      </c>
      <c r="N4136" s="9" t="n">
        <v>704.84</v>
      </c>
      <c r="O4136" s="9" t="n">
        <v>803.41</v>
      </c>
      <c r="P4136" s="9" t="n">
        <v>791.2</v>
      </c>
      <c r="Q4136" s="9" t="n">
        <v>682.36</v>
      </c>
      <c r="R4136" s="9" t="n">
        <v>895.79</v>
      </c>
      <c r="S4136" s="9" t="n">
        <v>707.92</v>
      </c>
      <c r="T4136" s="9" t="n">
        <v>816.54</v>
      </c>
      <c r="U4136" s="10">
        <f>SUM(I4136:T4136)</f>
        <v/>
      </c>
    </row>
    <row r="4137">
      <c r="A4137" s="2" t="inlineStr">
        <is>
          <t>SN-3000-3800-3820-3820XM0075</t>
        </is>
      </c>
      <c r="B4137" s="2" t="inlineStr">
        <is>
          <t>3820XM0075</t>
        </is>
      </c>
      <c r="C4137" s="2" t="inlineStr">
        <is>
          <t>Celosía XM0075</t>
        </is>
      </c>
      <c r="D4137" s="2" t="n">
        <v>1379</v>
      </c>
      <c r="E4137" s="2" t="inlineStr">
        <is>
          <t>CC-3000</t>
        </is>
      </c>
      <c r="F4137" s="2" t="inlineStr">
        <is>
          <t>P01</t>
        </is>
      </c>
      <c r="G4137" s="2" t="n">
        <v>620000</v>
      </c>
      <c r="H4137" s="2" t="inlineStr">
        <is>
          <t>Materiales</t>
        </is>
      </c>
      <c r="I4137" s="9" t="n">
        <v>1023.47</v>
      </c>
      <c r="J4137" s="9" t="n">
        <v>978.28</v>
      </c>
      <c r="K4137" s="9" t="n">
        <v>1062.69</v>
      </c>
      <c r="L4137" s="9" t="n">
        <v>952.45</v>
      </c>
      <c r="M4137" s="9" t="n">
        <v>923.5</v>
      </c>
      <c r="N4137" s="9" t="n">
        <v>946.04</v>
      </c>
      <c r="O4137" s="9" t="n">
        <v>1027.28</v>
      </c>
      <c r="P4137" s="9" t="n">
        <v>985.09</v>
      </c>
      <c r="Q4137" s="9" t="n">
        <v>969.52</v>
      </c>
      <c r="R4137" s="9" t="n">
        <v>997.28</v>
      </c>
      <c r="S4137" s="9" t="n">
        <v>985.59</v>
      </c>
      <c r="T4137" s="9" t="n">
        <v>1049.16</v>
      </c>
      <c r="U4137" s="10">
        <f>SUM(I4137:T4137)</f>
        <v/>
      </c>
    </row>
    <row r="4138">
      <c r="A4138" s="2" t="inlineStr">
        <is>
          <t>SN-3000-3800-3820-3820XM0075</t>
        </is>
      </c>
      <c r="B4138" s="2" t="inlineStr">
        <is>
          <t>3820XM0075</t>
        </is>
      </c>
      <c r="C4138" s="2" t="inlineStr">
        <is>
          <t>Celosía XM0075</t>
        </is>
      </c>
      <c r="D4138" s="2" t="n">
        <v>1379</v>
      </c>
      <c r="E4138" s="2" t="inlineStr">
        <is>
          <t>CC-3000</t>
        </is>
      </c>
      <c r="F4138" s="2" t="inlineStr">
        <is>
          <t>P01</t>
        </is>
      </c>
      <c r="G4138" s="2" t="n">
        <v>630000</v>
      </c>
      <c r="H4138" s="2" t="inlineStr">
        <is>
          <t>Servicios externos</t>
        </is>
      </c>
      <c r="I4138" s="9" t="n">
        <v>941.9400000000001</v>
      </c>
      <c r="J4138" s="9" t="n">
        <v>805.86</v>
      </c>
      <c r="K4138" s="9" t="n">
        <v>950.61</v>
      </c>
      <c r="L4138" s="9" t="n">
        <v>934.73</v>
      </c>
      <c r="M4138" s="9" t="n">
        <v>791.28</v>
      </c>
      <c r="N4138" s="9" t="n">
        <v>824.26</v>
      </c>
      <c r="O4138" s="9" t="n">
        <v>863.55</v>
      </c>
      <c r="P4138" s="9" t="n">
        <v>797.7</v>
      </c>
      <c r="Q4138" s="9" t="n">
        <v>740.88</v>
      </c>
      <c r="R4138" s="9" t="n">
        <v>853.21</v>
      </c>
      <c r="S4138" s="9" t="n">
        <v>835.02</v>
      </c>
      <c r="T4138" s="9" t="n">
        <v>866.91</v>
      </c>
      <c r="U4138" s="10">
        <f>SUM(I4138:T4138)</f>
        <v/>
      </c>
    </row>
    <row r="4139">
      <c r="A4139" s="2" t="inlineStr">
        <is>
          <t>SN-3000-3800-3820-3820XM0076</t>
        </is>
      </c>
      <c r="B4139" s="2" t="inlineStr">
        <is>
          <t>3820XM0076</t>
        </is>
      </c>
      <c r="C4139" s="2" t="inlineStr">
        <is>
          <t>Celosía XM0076</t>
        </is>
      </c>
      <c r="D4139" s="2" t="n">
        <v>1380</v>
      </c>
      <c r="E4139" s="2" t="inlineStr">
        <is>
          <t>CC-3000</t>
        </is>
      </c>
      <c r="F4139" s="2" t="inlineStr">
        <is>
          <t>P01</t>
        </is>
      </c>
      <c r="G4139" s="2" t="n">
        <v>610000</v>
      </c>
      <c r="H4139" s="2" t="inlineStr">
        <is>
          <t>Mano obra interna</t>
        </is>
      </c>
      <c r="I4139" s="9" t="n">
        <v>3170</v>
      </c>
      <c r="J4139" s="9" t="n">
        <v>3216.84</v>
      </c>
      <c r="K4139" s="9" t="n">
        <v>3027.51</v>
      </c>
      <c r="L4139" s="9" t="n">
        <v>3341.07</v>
      </c>
      <c r="M4139" s="9" t="n">
        <v>3361.26</v>
      </c>
      <c r="N4139" s="9" t="n">
        <v>2974.92</v>
      </c>
      <c r="O4139" s="9" t="n">
        <v>3092.27</v>
      </c>
      <c r="P4139" s="9" t="n">
        <v>3247.46</v>
      </c>
      <c r="Q4139" s="9" t="n">
        <v>2884.1</v>
      </c>
      <c r="R4139" s="9" t="n">
        <v>3381.84</v>
      </c>
      <c r="S4139" s="9" t="n">
        <v>2971.96</v>
      </c>
      <c r="T4139" s="9" t="n">
        <v>3152.71</v>
      </c>
      <c r="U4139" s="10">
        <f>SUM(I4139:T4139)</f>
        <v/>
      </c>
    </row>
    <row r="4140">
      <c r="A4140" s="2" t="inlineStr">
        <is>
          <t>SN-3000-3800-3820-3820XM0076</t>
        </is>
      </c>
      <c r="B4140" s="2" t="inlineStr">
        <is>
          <t>3820XM0076</t>
        </is>
      </c>
      <c r="C4140" s="2" t="inlineStr">
        <is>
          <t>Celosía XM0076</t>
        </is>
      </c>
      <c r="D4140" s="2" t="n">
        <v>1380</v>
      </c>
      <c r="E4140" s="2" t="inlineStr">
        <is>
          <t>CC-3000</t>
        </is>
      </c>
      <c r="F4140" s="2" t="inlineStr">
        <is>
          <t>P01</t>
        </is>
      </c>
      <c r="G4140" s="2" t="n">
        <v>620000</v>
      </c>
      <c r="H4140" s="2" t="inlineStr">
        <is>
          <t>Materiales</t>
        </is>
      </c>
      <c r="I4140" s="9" t="n">
        <v>3058.06</v>
      </c>
      <c r="J4140" s="9" t="n">
        <v>2800.25</v>
      </c>
      <c r="K4140" s="9" t="n">
        <v>2667.84</v>
      </c>
      <c r="L4140" s="9" t="n">
        <v>2759.51</v>
      </c>
      <c r="M4140" s="9" t="n">
        <v>2977.9</v>
      </c>
      <c r="N4140" s="9" t="n">
        <v>2858.84</v>
      </c>
      <c r="O4140" s="9" t="n">
        <v>2634.62</v>
      </c>
      <c r="P4140" s="9" t="n">
        <v>2987.12</v>
      </c>
      <c r="Q4140" s="9" t="n">
        <v>2806.17</v>
      </c>
      <c r="R4140" s="9" t="n">
        <v>2941.11</v>
      </c>
      <c r="S4140" s="9" t="n">
        <v>2803.74</v>
      </c>
      <c r="T4140" s="9" t="n">
        <v>2874.98</v>
      </c>
      <c r="U4140" s="10">
        <f>SUM(I4140:T4140)</f>
        <v/>
      </c>
    </row>
    <row r="4141">
      <c r="A4141" s="2" t="inlineStr">
        <is>
          <t>SN-3000-3800-3820-3820XM0076</t>
        </is>
      </c>
      <c r="B4141" s="2" t="inlineStr">
        <is>
          <t>3820XM0076</t>
        </is>
      </c>
      <c r="C4141" s="2" t="inlineStr">
        <is>
          <t>Celosía XM0076</t>
        </is>
      </c>
      <c r="D4141" s="2" t="n">
        <v>1380</v>
      </c>
      <c r="E4141" s="2" t="inlineStr">
        <is>
          <t>CC-3000</t>
        </is>
      </c>
      <c r="F4141" s="2" t="inlineStr">
        <is>
          <t>P01</t>
        </is>
      </c>
      <c r="G4141" s="2" t="n">
        <v>630000</v>
      </c>
      <c r="H4141" s="2" t="inlineStr">
        <is>
          <t>Servicios externos</t>
        </is>
      </c>
      <c r="I4141" s="9" t="n">
        <v>2486.25</v>
      </c>
      <c r="J4141" s="9" t="n">
        <v>2485.38</v>
      </c>
      <c r="K4141" s="9" t="n">
        <v>2842.16</v>
      </c>
      <c r="L4141" s="9" t="n">
        <v>2766.58</v>
      </c>
      <c r="M4141" s="9" t="n">
        <v>2482.69</v>
      </c>
      <c r="N4141" s="9" t="n">
        <v>2484.02</v>
      </c>
      <c r="O4141" s="9" t="n">
        <v>2540.85</v>
      </c>
      <c r="P4141" s="9" t="n">
        <v>2562.65</v>
      </c>
      <c r="Q4141" s="9" t="n">
        <v>2500.58</v>
      </c>
      <c r="R4141" s="9" t="n">
        <v>2799.85</v>
      </c>
      <c r="S4141" s="9" t="n">
        <v>2368.76</v>
      </c>
      <c r="T4141" s="9" t="n">
        <v>2520.08</v>
      </c>
      <c r="U4141" s="10">
        <f>SUM(I4141:T4141)</f>
        <v/>
      </c>
    </row>
    <row r="4142">
      <c r="A4142" s="2" t="inlineStr">
        <is>
          <t>SN-3000-3800-3820-3820XM0077</t>
        </is>
      </c>
      <c r="B4142" s="2" t="inlineStr">
        <is>
          <t>3820XM0077</t>
        </is>
      </c>
      <c r="C4142" s="2" t="inlineStr">
        <is>
          <t>Celosía XM0077</t>
        </is>
      </c>
      <c r="D4142" s="2" t="n">
        <v>1381</v>
      </c>
      <c r="E4142" s="2" t="inlineStr">
        <is>
          <t>CC-3000</t>
        </is>
      </c>
      <c r="F4142" s="2" t="inlineStr">
        <is>
          <t>P01</t>
        </is>
      </c>
      <c r="G4142" s="2" t="n">
        <v>610000</v>
      </c>
      <c r="H4142" s="2" t="inlineStr">
        <is>
          <t>Mano obra interna</t>
        </is>
      </c>
      <c r="I4142" s="9" t="n">
        <v>700.0700000000001</v>
      </c>
      <c r="J4142" s="9" t="n">
        <v>656.03</v>
      </c>
      <c r="K4142" s="9" t="n">
        <v>699.5</v>
      </c>
      <c r="L4142" s="9" t="n">
        <v>711.39</v>
      </c>
      <c r="M4142" s="9" t="n">
        <v>663.15</v>
      </c>
      <c r="N4142" s="9" t="n">
        <v>684.58</v>
      </c>
      <c r="O4142" s="9" t="n">
        <v>637.39</v>
      </c>
      <c r="P4142" s="9" t="n">
        <v>709.39</v>
      </c>
      <c r="Q4142" s="9" t="n">
        <v>594.26</v>
      </c>
      <c r="R4142" s="9" t="n">
        <v>721.05</v>
      </c>
      <c r="S4142" s="9" t="n">
        <v>639.46</v>
      </c>
      <c r="T4142" s="9" t="n">
        <v>661.4</v>
      </c>
      <c r="U4142" s="10">
        <f>SUM(I4142:T4142)</f>
        <v/>
      </c>
    </row>
    <row r="4143">
      <c r="A4143" s="2" t="inlineStr">
        <is>
          <t>SN-3000-3800-3820-3820XM0077</t>
        </is>
      </c>
      <c r="B4143" s="2" t="inlineStr">
        <is>
          <t>3820XM0077</t>
        </is>
      </c>
      <c r="C4143" s="2" t="inlineStr">
        <is>
          <t>Celosía XM0077</t>
        </is>
      </c>
      <c r="D4143" s="2" t="n">
        <v>1381</v>
      </c>
      <c r="E4143" s="2" t="inlineStr">
        <is>
          <t>CC-3000</t>
        </is>
      </c>
      <c r="F4143" s="2" t="inlineStr">
        <is>
          <t>P01</t>
        </is>
      </c>
      <c r="G4143" s="2" t="n">
        <v>620000</v>
      </c>
      <c r="H4143" s="2" t="inlineStr">
        <is>
          <t>Materiales</t>
        </is>
      </c>
      <c r="I4143" s="9" t="n">
        <v>709.96</v>
      </c>
      <c r="J4143" s="9" t="n">
        <v>730.72</v>
      </c>
      <c r="K4143" s="9" t="n">
        <v>780.8200000000001</v>
      </c>
      <c r="L4143" s="9" t="n">
        <v>701.91</v>
      </c>
      <c r="M4143" s="9" t="n">
        <v>768.37</v>
      </c>
      <c r="N4143" s="9" t="n">
        <v>695.2</v>
      </c>
      <c r="O4143" s="9" t="n">
        <v>769.97</v>
      </c>
      <c r="P4143" s="9" t="n">
        <v>740.13</v>
      </c>
      <c r="Q4143" s="9" t="n">
        <v>687.9299999999999</v>
      </c>
      <c r="R4143" s="9" t="n">
        <v>759.13</v>
      </c>
      <c r="S4143" s="9" t="n">
        <v>728.96</v>
      </c>
      <c r="T4143" s="9" t="n">
        <v>677.37</v>
      </c>
      <c r="U4143" s="10">
        <f>SUM(I4143:T4143)</f>
        <v/>
      </c>
    </row>
    <row r="4144">
      <c r="A4144" s="2" t="inlineStr">
        <is>
          <t>SN-3000-3800-3820-3820XM0077</t>
        </is>
      </c>
      <c r="B4144" s="2" t="inlineStr">
        <is>
          <t>3820XM0077</t>
        </is>
      </c>
      <c r="C4144" s="2" t="inlineStr">
        <is>
          <t>Celosía XM0077</t>
        </is>
      </c>
      <c r="D4144" s="2" t="n">
        <v>1381</v>
      </c>
      <c r="E4144" s="2" t="inlineStr">
        <is>
          <t>CC-3000</t>
        </is>
      </c>
      <c r="F4144" s="2" t="inlineStr">
        <is>
          <t>P01</t>
        </is>
      </c>
      <c r="G4144" s="2" t="n">
        <v>630000</v>
      </c>
      <c r="H4144" s="2" t="inlineStr">
        <is>
          <t>Servicios externos</t>
        </is>
      </c>
      <c r="I4144" s="9" t="n">
        <v>613.72</v>
      </c>
      <c r="J4144" s="9" t="n">
        <v>620.22</v>
      </c>
      <c r="K4144" s="9" t="n">
        <v>627.09</v>
      </c>
      <c r="L4144" s="9" t="n">
        <v>707.89</v>
      </c>
      <c r="M4144" s="9" t="n">
        <v>656.3099999999999</v>
      </c>
      <c r="N4144" s="9" t="n">
        <v>638.03</v>
      </c>
      <c r="O4144" s="9" t="n">
        <v>686.65</v>
      </c>
      <c r="P4144" s="9" t="n">
        <v>673.5599999999999</v>
      </c>
      <c r="Q4144" s="9" t="n">
        <v>568.54</v>
      </c>
      <c r="R4144" s="9" t="n">
        <v>713.97</v>
      </c>
      <c r="S4144" s="9" t="n">
        <v>677.21</v>
      </c>
      <c r="T4144" s="9" t="n">
        <v>629.3099999999999</v>
      </c>
      <c r="U4144" s="10">
        <f>SUM(I4144:T4144)</f>
        <v/>
      </c>
    </row>
    <row r="4145">
      <c r="A4145" s="2" t="inlineStr">
        <is>
          <t>SN-3000-3800-3830-3830BL0001</t>
        </is>
      </c>
      <c r="B4145" s="2" t="inlineStr">
        <is>
          <t>3830BL0001</t>
        </is>
      </c>
      <c r="C4145" s="2" t="inlineStr">
        <is>
          <t>Soplador rotatorio BL0001</t>
        </is>
      </c>
      <c r="D4145" s="2" t="n">
        <v>1382</v>
      </c>
      <c r="E4145" s="2" t="inlineStr">
        <is>
          <t>CC-3000</t>
        </is>
      </c>
      <c r="F4145" s="2" t="inlineStr">
        <is>
          <t>P01</t>
        </is>
      </c>
      <c r="G4145" s="2" t="n">
        <v>610000</v>
      </c>
      <c r="H4145" s="2" t="inlineStr">
        <is>
          <t>Mano obra interna</t>
        </is>
      </c>
      <c r="I4145" s="9" t="n">
        <v>1820.81</v>
      </c>
      <c r="J4145" s="9" t="n">
        <v>1708.77</v>
      </c>
      <c r="K4145" s="9" t="n">
        <v>1954.02</v>
      </c>
      <c r="L4145" s="9" t="n">
        <v>1763.12</v>
      </c>
      <c r="M4145" s="9" t="n">
        <v>1633.79</v>
      </c>
      <c r="N4145" s="9" t="n">
        <v>1813.02</v>
      </c>
      <c r="O4145" s="9" t="n">
        <v>1831.24</v>
      </c>
      <c r="P4145" s="9" t="n">
        <v>1719.86</v>
      </c>
      <c r="Q4145" s="9" t="n">
        <v>1585.89</v>
      </c>
      <c r="R4145" s="9" t="n">
        <v>2034.53</v>
      </c>
      <c r="S4145" s="9" t="n">
        <v>1647.34</v>
      </c>
      <c r="T4145" s="9" t="n">
        <v>1802.52</v>
      </c>
      <c r="U4145" s="10">
        <f>SUM(I4145:T4145)</f>
        <v/>
      </c>
    </row>
    <row r="4146">
      <c r="A4146" s="2" t="inlineStr">
        <is>
          <t>SN-3000-3800-3830-3830BL0001</t>
        </is>
      </c>
      <c r="B4146" s="2" t="inlineStr">
        <is>
          <t>3830BL0001</t>
        </is>
      </c>
      <c r="C4146" s="2" t="inlineStr">
        <is>
          <t>Soplador rotatorio BL0001</t>
        </is>
      </c>
      <c r="D4146" s="2" t="n">
        <v>1382</v>
      </c>
      <c r="E4146" s="2" t="inlineStr">
        <is>
          <t>CC-3000</t>
        </is>
      </c>
      <c r="F4146" s="2" t="inlineStr">
        <is>
          <t>P01</t>
        </is>
      </c>
      <c r="G4146" s="2" t="n">
        <v>620000</v>
      </c>
      <c r="H4146" s="2" t="inlineStr">
        <is>
          <t>Materiales</t>
        </is>
      </c>
      <c r="I4146" s="9" t="n">
        <v>1614.04</v>
      </c>
      <c r="J4146" s="9" t="n">
        <v>1505.04</v>
      </c>
      <c r="K4146" s="9" t="n">
        <v>1527.72</v>
      </c>
      <c r="L4146" s="9" t="n">
        <v>1556.2</v>
      </c>
      <c r="M4146" s="9" t="n">
        <v>1546.44</v>
      </c>
      <c r="N4146" s="9" t="n">
        <v>1504.43</v>
      </c>
      <c r="O4146" s="9" t="n">
        <v>1532.74</v>
      </c>
      <c r="P4146" s="9" t="n">
        <v>1545.67</v>
      </c>
      <c r="Q4146" s="9" t="n">
        <v>1341.44</v>
      </c>
      <c r="R4146" s="9" t="n">
        <v>1552.56</v>
      </c>
      <c r="S4146" s="9" t="n">
        <v>1488.18</v>
      </c>
      <c r="T4146" s="9" t="n">
        <v>1548.52</v>
      </c>
      <c r="U4146" s="10">
        <f>SUM(I4146:T4146)</f>
        <v/>
      </c>
    </row>
    <row r="4147">
      <c r="A4147" s="2" t="inlineStr">
        <is>
          <t>SN-3000-3800-3830-3830BL0001</t>
        </is>
      </c>
      <c r="B4147" s="2" t="inlineStr">
        <is>
          <t>3830BL0001</t>
        </is>
      </c>
      <c r="C4147" s="2" t="inlineStr">
        <is>
          <t>Soplador rotatorio BL0001</t>
        </is>
      </c>
      <c r="D4147" s="2" t="n">
        <v>1382</v>
      </c>
      <c r="E4147" s="2" t="inlineStr">
        <is>
          <t>CC-3000</t>
        </is>
      </c>
      <c r="F4147" s="2" t="inlineStr">
        <is>
          <t>P01</t>
        </is>
      </c>
      <c r="G4147" s="2" t="n">
        <v>630000</v>
      </c>
      <c r="H4147" s="2" t="inlineStr">
        <is>
          <t>Servicios externos</t>
        </is>
      </c>
      <c r="I4147" s="9" t="n">
        <v>1771.29</v>
      </c>
      <c r="J4147" s="9" t="n">
        <v>1870.87</v>
      </c>
      <c r="K4147" s="9" t="n">
        <v>1946.61</v>
      </c>
      <c r="L4147" s="9" t="n">
        <v>1973.98</v>
      </c>
      <c r="M4147" s="9" t="n">
        <v>1685.52</v>
      </c>
      <c r="N4147" s="9" t="n">
        <v>1854.37</v>
      </c>
      <c r="O4147" s="9" t="n">
        <v>1792.98</v>
      </c>
      <c r="P4147" s="9" t="n">
        <v>1897.13</v>
      </c>
      <c r="Q4147" s="9" t="n">
        <v>1747.94</v>
      </c>
      <c r="R4147" s="9" t="n">
        <v>1968.91</v>
      </c>
      <c r="S4147" s="9" t="n">
        <v>1854.74</v>
      </c>
      <c r="T4147" s="9" t="n">
        <v>2008.78</v>
      </c>
      <c r="U4147" s="10">
        <f>SUM(I4147:T4147)</f>
        <v/>
      </c>
    </row>
    <row r="4148">
      <c r="A4148" s="2" t="inlineStr">
        <is>
          <t>SN-3000-3800-3830-3830CH0067</t>
        </is>
      </c>
      <c r="B4148" s="2" t="inlineStr">
        <is>
          <t>3830CH0067</t>
        </is>
      </c>
      <c r="C4148" s="2" t="inlineStr">
        <is>
          <t>Chute floculante CH0067</t>
        </is>
      </c>
      <c r="D4148" s="2" t="n">
        <v>1383</v>
      </c>
      <c r="E4148" s="2" t="inlineStr">
        <is>
          <t>CC-3000</t>
        </is>
      </c>
      <c r="F4148" s="2" t="inlineStr">
        <is>
          <t>P01</t>
        </is>
      </c>
      <c r="G4148" s="2" t="n">
        <v>610000</v>
      </c>
      <c r="H4148" s="2" t="inlineStr">
        <is>
          <t>Mano obra interna</t>
        </is>
      </c>
      <c r="I4148" s="9" t="n">
        <v>1085.91</v>
      </c>
      <c r="J4148" s="9" t="n">
        <v>977.6799999999999</v>
      </c>
      <c r="K4148" s="9" t="n">
        <v>1113.82</v>
      </c>
      <c r="L4148" s="9" t="n">
        <v>1035.13</v>
      </c>
      <c r="M4148" s="9" t="n">
        <v>1004.27</v>
      </c>
      <c r="N4148" s="9" t="n">
        <v>1020.68</v>
      </c>
      <c r="O4148" s="9" t="n">
        <v>1022.91</v>
      </c>
      <c r="P4148" s="9" t="n">
        <v>984.14</v>
      </c>
      <c r="Q4148" s="9" t="n">
        <v>1027.86</v>
      </c>
      <c r="R4148" s="9" t="n">
        <v>1124.53</v>
      </c>
      <c r="S4148" s="9" t="n">
        <v>1013.4</v>
      </c>
      <c r="T4148" s="9" t="n">
        <v>1062.61</v>
      </c>
      <c r="U4148" s="10">
        <f>SUM(I4148:T4148)</f>
        <v/>
      </c>
    </row>
    <row r="4149">
      <c r="A4149" s="2" t="inlineStr">
        <is>
          <t>SN-3000-3800-3830-3830CH0067</t>
        </is>
      </c>
      <c r="B4149" s="2" t="inlineStr">
        <is>
          <t>3830CH0067</t>
        </is>
      </c>
      <c r="C4149" s="2" t="inlineStr">
        <is>
          <t>Chute floculante CH0067</t>
        </is>
      </c>
      <c r="D4149" s="2" t="n">
        <v>1383</v>
      </c>
      <c r="E4149" s="2" t="inlineStr">
        <is>
          <t>CC-3000</t>
        </is>
      </c>
      <c r="F4149" s="2" t="inlineStr">
        <is>
          <t>P01</t>
        </is>
      </c>
      <c r="G4149" s="2" t="n">
        <v>620000</v>
      </c>
      <c r="H4149" s="2" t="inlineStr">
        <is>
          <t>Materiales</t>
        </is>
      </c>
      <c r="I4149" s="9" t="n">
        <v>1166.47</v>
      </c>
      <c r="J4149" s="9" t="n">
        <v>1101.7</v>
      </c>
      <c r="K4149" s="9" t="n">
        <v>1219.1</v>
      </c>
      <c r="L4149" s="9" t="n">
        <v>1242.83</v>
      </c>
      <c r="M4149" s="9" t="n">
        <v>1150.24</v>
      </c>
      <c r="N4149" s="9" t="n">
        <v>1185.49</v>
      </c>
      <c r="O4149" s="9" t="n">
        <v>1121.98</v>
      </c>
      <c r="P4149" s="9" t="n">
        <v>1258.56</v>
      </c>
      <c r="Q4149" s="9" t="n">
        <v>1159.43</v>
      </c>
      <c r="R4149" s="9" t="n">
        <v>1238.51</v>
      </c>
      <c r="S4149" s="9" t="n">
        <v>1127.52</v>
      </c>
      <c r="T4149" s="9" t="n">
        <v>1281.39</v>
      </c>
      <c r="U4149" s="10">
        <f>SUM(I4149:T4149)</f>
        <v/>
      </c>
    </row>
    <row r="4150">
      <c r="A4150" s="2" t="inlineStr">
        <is>
          <t>SN-3000-3800-3830-3830CH0067</t>
        </is>
      </c>
      <c r="B4150" s="2" t="inlineStr">
        <is>
          <t>3830CH0067</t>
        </is>
      </c>
      <c r="C4150" s="2" t="inlineStr">
        <is>
          <t>Chute floculante CH0067</t>
        </is>
      </c>
      <c r="D4150" s="2" t="n">
        <v>1383</v>
      </c>
      <c r="E4150" s="2" t="inlineStr">
        <is>
          <t>CC-3000</t>
        </is>
      </c>
      <c r="F4150" s="2" t="inlineStr">
        <is>
          <t>P01</t>
        </is>
      </c>
      <c r="G4150" s="2" t="n">
        <v>630000</v>
      </c>
      <c r="H4150" s="2" t="inlineStr">
        <is>
          <t>Servicios externos</t>
        </is>
      </c>
      <c r="I4150" s="9" t="n">
        <v>1221.45</v>
      </c>
      <c r="J4150" s="9" t="n">
        <v>1090.15</v>
      </c>
      <c r="K4150" s="9" t="n">
        <v>1263.67</v>
      </c>
      <c r="L4150" s="9" t="n">
        <v>1204.55</v>
      </c>
      <c r="M4150" s="9" t="n">
        <v>1049.09</v>
      </c>
      <c r="N4150" s="9" t="n">
        <v>1085.38</v>
      </c>
      <c r="O4150" s="9" t="n">
        <v>1169.83</v>
      </c>
      <c r="P4150" s="9" t="n">
        <v>1078.1</v>
      </c>
      <c r="Q4150" s="9" t="n">
        <v>1128.73</v>
      </c>
      <c r="R4150" s="9" t="n">
        <v>1278.62</v>
      </c>
      <c r="S4150" s="9" t="n">
        <v>1029.06</v>
      </c>
      <c r="T4150" s="9" t="n">
        <v>1232.67</v>
      </c>
      <c r="U4150" s="10">
        <f>SUM(I4150:T4150)</f>
        <v/>
      </c>
    </row>
    <row r="4151">
      <c r="A4151" s="2" t="inlineStr">
        <is>
          <t>SN-3000-3800-3830-3830PU0318</t>
        </is>
      </c>
      <c r="B4151" s="2" t="inlineStr">
        <is>
          <t>3830PU0318</t>
        </is>
      </c>
      <c r="C4151" s="2" t="inlineStr">
        <is>
          <t>Bomba rotativa floculante PU0318</t>
        </is>
      </c>
      <c r="D4151" s="2" t="n">
        <v>1384</v>
      </c>
      <c r="E4151" s="2" t="inlineStr">
        <is>
          <t>CC-3000</t>
        </is>
      </c>
      <c r="F4151" s="2" t="inlineStr">
        <is>
          <t>P01</t>
        </is>
      </c>
      <c r="G4151" s="2" t="n">
        <v>610000</v>
      </c>
      <c r="H4151" s="2" t="inlineStr">
        <is>
          <t>Mano obra interna</t>
        </is>
      </c>
      <c r="I4151" s="9" t="n">
        <v>853.8200000000001</v>
      </c>
      <c r="J4151" s="9" t="n">
        <v>867.63</v>
      </c>
      <c r="K4151" s="9" t="n">
        <v>889.49</v>
      </c>
      <c r="L4151" s="9" t="n">
        <v>852.76</v>
      </c>
      <c r="M4151" s="9" t="n">
        <v>802</v>
      </c>
      <c r="N4151" s="9" t="n">
        <v>807.95</v>
      </c>
      <c r="O4151" s="9" t="n">
        <v>853.86</v>
      </c>
      <c r="P4151" s="9" t="n">
        <v>859.8099999999999</v>
      </c>
      <c r="Q4151" s="9" t="n">
        <v>797.73</v>
      </c>
      <c r="R4151" s="9" t="n">
        <v>925.95</v>
      </c>
      <c r="S4151" s="9" t="n">
        <v>812.71</v>
      </c>
      <c r="T4151" s="9" t="n">
        <v>863.78</v>
      </c>
      <c r="U4151" s="10">
        <f>SUM(I4151:T4151)</f>
        <v/>
      </c>
    </row>
    <row r="4152">
      <c r="A4152" s="2" t="inlineStr">
        <is>
          <t>SN-3000-3800-3830-3830PU0318</t>
        </is>
      </c>
      <c r="B4152" s="2" t="inlineStr">
        <is>
          <t>3830PU0318</t>
        </is>
      </c>
      <c r="C4152" s="2" t="inlineStr">
        <is>
          <t>Bomba rotativa floculante PU0318</t>
        </is>
      </c>
      <c r="D4152" s="2" t="n">
        <v>1384</v>
      </c>
      <c r="E4152" s="2" t="inlineStr">
        <is>
          <t>CC-3000</t>
        </is>
      </c>
      <c r="F4152" s="2" t="inlineStr">
        <is>
          <t>P01</t>
        </is>
      </c>
      <c r="G4152" s="2" t="n">
        <v>620000</v>
      </c>
      <c r="H4152" s="2" t="inlineStr">
        <is>
          <t>Materiales</t>
        </is>
      </c>
      <c r="I4152" s="9" t="n">
        <v>801.29</v>
      </c>
      <c r="J4152" s="9" t="n">
        <v>831.73</v>
      </c>
      <c r="K4152" s="9" t="n">
        <v>794.5</v>
      </c>
      <c r="L4152" s="9" t="n">
        <v>789.58</v>
      </c>
      <c r="M4152" s="9" t="n">
        <v>788.5</v>
      </c>
      <c r="N4152" s="9" t="n">
        <v>755.01</v>
      </c>
      <c r="O4152" s="9" t="n">
        <v>813.95</v>
      </c>
      <c r="P4152" s="9" t="n">
        <v>812.6</v>
      </c>
      <c r="Q4152" s="9" t="n">
        <v>725.53</v>
      </c>
      <c r="R4152" s="9" t="n">
        <v>859.11</v>
      </c>
      <c r="S4152" s="9" t="n">
        <v>740.08</v>
      </c>
      <c r="T4152" s="9" t="n">
        <v>822.54</v>
      </c>
      <c r="U4152" s="10">
        <f>SUM(I4152:T4152)</f>
        <v/>
      </c>
    </row>
    <row r="4153">
      <c r="A4153" s="2" t="inlineStr">
        <is>
          <t>SN-3000-3800-3830-3830PU0318</t>
        </is>
      </c>
      <c r="B4153" s="2" t="inlineStr">
        <is>
          <t>3830PU0318</t>
        </is>
      </c>
      <c r="C4153" s="2" t="inlineStr">
        <is>
          <t>Bomba rotativa floculante PU0318</t>
        </is>
      </c>
      <c r="D4153" s="2" t="n">
        <v>1384</v>
      </c>
      <c r="E4153" s="2" t="inlineStr">
        <is>
          <t>CC-3000</t>
        </is>
      </c>
      <c r="F4153" s="2" t="inlineStr">
        <is>
          <t>P01</t>
        </is>
      </c>
      <c r="G4153" s="2" t="n">
        <v>630000</v>
      </c>
      <c r="H4153" s="2" t="inlineStr">
        <is>
          <t>Servicios externos</t>
        </is>
      </c>
      <c r="I4153" s="9" t="n">
        <v>934.9400000000001</v>
      </c>
      <c r="J4153" s="9" t="n">
        <v>958.53</v>
      </c>
      <c r="K4153" s="9" t="n">
        <v>918.46</v>
      </c>
      <c r="L4153" s="9" t="n">
        <v>896.54</v>
      </c>
      <c r="M4153" s="9" t="n">
        <v>941.37</v>
      </c>
      <c r="N4153" s="9" t="n">
        <v>904.04</v>
      </c>
      <c r="O4153" s="9" t="n">
        <v>904.9</v>
      </c>
      <c r="P4153" s="9" t="n">
        <v>918.27</v>
      </c>
      <c r="Q4153" s="9" t="n">
        <v>819.17</v>
      </c>
      <c r="R4153" s="9" t="n">
        <v>1074.96</v>
      </c>
      <c r="S4153" s="9" t="n">
        <v>891.78</v>
      </c>
      <c r="T4153" s="9" t="n">
        <v>922.23</v>
      </c>
      <c r="U4153" s="10">
        <f>SUM(I4153:T4153)</f>
        <v/>
      </c>
    </row>
    <row r="4154">
      <c r="A4154" s="2" t="inlineStr">
        <is>
          <t>SN-3000-3800-3830-3830WL0001</t>
        </is>
      </c>
      <c r="B4154" s="2" t="inlineStr">
        <is>
          <t>3830WL0001</t>
        </is>
      </c>
      <c r="C4154" s="2" t="inlineStr">
        <is>
          <t>Válvula control agua fresca HV5660</t>
        </is>
      </c>
      <c r="D4154" s="2" t="n">
        <v>1385</v>
      </c>
      <c r="E4154" s="2" t="inlineStr">
        <is>
          <t>CC-3000</t>
        </is>
      </c>
      <c r="F4154" s="2" t="inlineStr">
        <is>
          <t>P01</t>
        </is>
      </c>
      <c r="G4154" s="2" t="n">
        <v>610000</v>
      </c>
      <c r="H4154" s="2" t="inlineStr">
        <is>
          <t>Mano obra interna</t>
        </is>
      </c>
      <c r="I4154" s="9" t="n">
        <v>608.5700000000001</v>
      </c>
      <c r="J4154" s="9" t="n">
        <v>611.99</v>
      </c>
      <c r="K4154" s="9" t="n">
        <v>638.75</v>
      </c>
      <c r="L4154" s="9" t="n">
        <v>632.83</v>
      </c>
      <c r="M4154" s="9" t="n">
        <v>587.15</v>
      </c>
      <c r="N4154" s="9" t="n">
        <v>658.11</v>
      </c>
      <c r="O4154" s="9" t="n">
        <v>681.39</v>
      </c>
      <c r="P4154" s="9" t="n">
        <v>634.3099999999999</v>
      </c>
      <c r="Q4154" s="9" t="n">
        <v>593.87</v>
      </c>
      <c r="R4154" s="9" t="n">
        <v>696.74</v>
      </c>
      <c r="S4154" s="9" t="n">
        <v>620.87</v>
      </c>
      <c r="T4154" s="9" t="n">
        <v>682.3099999999999</v>
      </c>
      <c r="U4154" s="10">
        <f>SUM(I4154:T4154)</f>
        <v/>
      </c>
    </row>
    <row r="4155">
      <c r="A4155" s="2" t="inlineStr">
        <is>
          <t>SN-3000-3800-3830-3830WL0001</t>
        </is>
      </c>
      <c r="B4155" s="2" t="inlineStr">
        <is>
          <t>3830WL0001</t>
        </is>
      </c>
      <c r="C4155" s="2" t="inlineStr">
        <is>
          <t>Válvula control agua fresca HV5660</t>
        </is>
      </c>
      <c r="D4155" s="2" t="n">
        <v>1385</v>
      </c>
      <c r="E4155" s="2" t="inlineStr">
        <is>
          <t>CC-3000</t>
        </is>
      </c>
      <c r="F4155" s="2" t="inlineStr">
        <is>
          <t>P01</t>
        </is>
      </c>
      <c r="G4155" s="2" t="n">
        <v>620000</v>
      </c>
      <c r="H4155" s="2" t="inlineStr">
        <is>
          <t>Materiales</t>
        </is>
      </c>
      <c r="I4155" s="9" t="n">
        <v>550.55</v>
      </c>
      <c r="J4155" s="9" t="n">
        <v>524.71</v>
      </c>
      <c r="K4155" s="9" t="n">
        <v>624.71</v>
      </c>
      <c r="L4155" s="9" t="n">
        <v>538.16</v>
      </c>
      <c r="M4155" s="9" t="n">
        <v>597.42</v>
      </c>
      <c r="N4155" s="9" t="n">
        <v>559.17</v>
      </c>
      <c r="O4155" s="9" t="n">
        <v>559.16</v>
      </c>
      <c r="P4155" s="9" t="n">
        <v>538.75</v>
      </c>
      <c r="Q4155" s="9" t="n">
        <v>512.3099999999999</v>
      </c>
      <c r="R4155" s="9" t="n">
        <v>615</v>
      </c>
      <c r="S4155" s="9" t="n">
        <v>563.23</v>
      </c>
      <c r="T4155" s="9" t="n">
        <v>593.64</v>
      </c>
      <c r="U4155" s="10">
        <f>SUM(I4155:T4155)</f>
        <v/>
      </c>
    </row>
    <row r="4156">
      <c r="A4156" s="2" t="inlineStr">
        <is>
          <t>SN-3000-3800-3830-3830WL0001</t>
        </is>
      </c>
      <c r="B4156" s="2" t="inlineStr">
        <is>
          <t>3830WL0001</t>
        </is>
      </c>
      <c r="C4156" s="2" t="inlineStr">
        <is>
          <t>Válvula control agua fresca HV5660</t>
        </is>
      </c>
      <c r="D4156" s="2" t="n">
        <v>1385</v>
      </c>
      <c r="E4156" s="2" t="inlineStr">
        <is>
          <t>CC-3000</t>
        </is>
      </c>
      <c r="F4156" s="2" t="inlineStr">
        <is>
          <t>P01</t>
        </is>
      </c>
      <c r="G4156" s="2" t="n">
        <v>630000</v>
      </c>
      <c r="H4156" s="2" t="inlineStr">
        <is>
          <t>Servicios externos</t>
        </is>
      </c>
      <c r="I4156" s="9" t="n">
        <v>552.08</v>
      </c>
      <c r="J4156" s="9" t="n">
        <v>566.91</v>
      </c>
      <c r="K4156" s="9" t="n">
        <v>608.15</v>
      </c>
      <c r="L4156" s="9" t="n">
        <v>601.51</v>
      </c>
      <c r="M4156" s="9" t="n">
        <v>550.73</v>
      </c>
      <c r="N4156" s="9" t="n">
        <v>492.14</v>
      </c>
      <c r="O4156" s="9" t="n">
        <v>514.48</v>
      </c>
      <c r="P4156" s="9" t="n">
        <v>542.9400000000001</v>
      </c>
      <c r="Q4156" s="9" t="n">
        <v>532.92</v>
      </c>
      <c r="R4156" s="9" t="n">
        <v>594.97</v>
      </c>
      <c r="S4156" s="9" t="n">
        <v>545.1900000000001</v>
      </c>
      <c r="T4156" s="9" t="n">
        <v>590.9</v>
      </c>
      <c r="U4156" s="10">
        <f>SUM(I4156:T4156)</f>
        <v/>
      </c>
    </row>
    <row r="4157">
      <c r="A4157" s="2" t="inlineStr">
        <is>
          <t>SN-3000-3800-3830-3830XM0078</t>
        </is>
      </c>
      <c r="B4157" s="2" t="inlineStr">
        <is>
          <t>3830XM0078</t>
        </is>
      </c>
      <c r="C4157" s="2" t="inlineStr">
        <is>
          <t>Celosía XM0078</t>
        </is>
      </c>
      <c r="D4157" s="2" t="n">
        <v>1386</v>
      </c>
      <c r="E4157" s="2" t="inlineStr">
        <is>
          <t>CC-3000</t>
        </is>
      </c>
      <c r="F4157" s="2" t="inlineStr">
        <is>
          <t>P01</t>
        </is>
      </c>
      <c r="G4157" s="2" t="n">
        <v>610000</v>
      </c>
      <c r="H4157" s="2" t="inlineStr">
        <is>
          <t>Mano obra interna</t>
        </is>
      </c>
      <c r="I4157" s="9" t="n">
        <v>1370.79</v>
      </c>
      <c r="J4157" s="9" t="n">
        <v>1204.97</v>
      </c>
      <c r="K4157" s="9" t="n">
        <v>1203.24</v>
      </c>
      <c r="L4157" s="9" t="n">
        <v>1354.22</v>
      </c>
      <c r="M4157" s="9" t="n">
        <v>1330.96</v>
      </c>
      <c r="N4157" s="9" t="n">
        <v>1253.95</v>
      </c>
      <c r="O4157" s="9" t="n">
        <v>1319.39</v>
      </c>
      <c r="P4157" s="9" t="n">
        <v>1331.24</v>
      </c>
      <c r="Q4157" s="9" t="n">
        <v>1174.79</v>
      </c>
      <c r="R4157" s="9" t="n">
        <v>1395.3</v>
      </c>
      <c r="S4157" s="9" t="n">
        <v>1175.77</v>
      </c>
      <c r="T4157" s="9" t="n">
        <v>1225.08</v>
      </c>
      <c r="U4157" s="10">
        <f>SUM(I4157:T4157)</f>
        <v/>
      </c>
    </row>
    <row r="4158">
      <c r="A4158" s="2" t="inlineStr">
        <is>
          <t>SN-3000-3800-3830-3830XM0078</t>
        </is>
      </c>
      <c r="B4158" s="2" t="inlineStr">
        <is>
          <t>3830XM0078</t>
        </is>
      </c>
      <c r="C4158" s="2" t="inlineStr">
        <is>
          <t>Celosía XM0078</t>
        </is>
      </c>
      <c r="D4158" s="2" t="n">
        <v>1386</v>
      </c>
      <c r="E4158" s="2" t="inlineStr">
        <is>
          <t>CC-3000</t>
        </is>
      </c>
      <c r="F4158" s="2" t="inlineStr">
        <is>
          <t>P01</t>
        </is>
      </c>
      <c r="G4158" s="2" t="n">
        <v>620000</v>
      </c>
      <c r="H4158" s="2" t="inlineStr">
        <is>
          <t>Materiales</t>
        </is>
      </c>
      <c r="I4158" s="9" t="n">
        <v>1556.19</v>
      </c>
      <c r="J4158" s="9" t="n">
        <v>1423.2</v>
      </c>
      <c r="K4158" s="9" t="n">
        <v>1491.57</v>
      </c>
      <c r="L4158" s="9" t="n">
        <v>1610.79</v>
      </c>
      <c r="M4158" s="9" t="n">
        <v>1458.36</v>
      </c>
      <c r="N4158" s="9" t="n">
        <v>1514.01</v>
      </c>
      <c r="O4158" s="9" t="n">
        <v>1555.26</v>
      </c>
      <c r="P4158" s="9" t="n">
        <v>1500.97</v>
      </c>
      <c r="Q4158" s="9" t="n">
        <v>1260.28</v>
      </c>
      <c r="R4158" s="9" t="n">
        <v>1532.75</v>
      </c>
      <c r="S4158" s="9" t="n">
        <v>1403.6</v>
      </c>
      <c r="T4158" s="9" t="n">
        <v>1527.53</v>
      </c>
      <c r="U4158" s="10">
        <f>SUM(I4158:T4158)</f>
        <v/>
      </c>
    </row>
    <row r="4159">
      <c r="A4159" s="2" t="inlineStr">
        <is>
          <t>SN-3000-3800-3830-3830XM0078</t>
        </is>
      </c>
      <c r="B4159" s="2" t="inlineStr">
        <is>
          <t>3830XM0078</t>
        </is>
      </c>
      <c r="C4159" s="2" t="inlineStr">
        <is>
          <t>Celosía XM0078</t>
        </is>
      </c>
      <c r="D4159" s="2" t="n">
        <v>1386</v>
      </c>
      <c r="E4159" s="2" t="inlineStr">
        <is>
          <t>CC-3000</t>
        </is>
      </c>
      <c r="F4159" s="2" t="inlineStr">
        <is>
          <t>P01</t>
        </is>
      </c>
      <c r="G4159" s="2" t="n">
        <v>630000</v>
      </c>
      <c r="H4159" s="2" t="inlineStr">
        <is>
          <t>Servicios externos</t>
        </is>
      </c>
      <c r="I4159" s="9" t="n">
        <v>1500.74</v>
      </c>
      <c r="J4159" s="9" t="n">
        <v>1411.54</v>
      </c>
      <c r="K4159" s="9" t="n">
        <v>1405.79</v>
      </c>
      <c r="L4159" s="9" t="n">
        <v>1492.59</v>
      </c>
      <c r="M4159" s="9" t="n">
        <v>1338.83</v>
      </c>
      <c r="N4159" s="9" t="n">
        <v>1242.04</v>
      </c>
      <c r="O4159" s="9" t="n">
        <v>1324.25</v>
      </c>
      <c r="P4159" s="9" t="n">
        <v>1284.74</v>
      </c>
      <c r="Q4159" s="9" t="n">
        <v>1369.42</v>
      </c>
      <c r="R4159" s="9" t="n">
        <v>1537.01</v>
      </c>
      <c r="S4159" s="9" t="n">
        <v>1367.49</v>
      </c>
      <c r="T4159" s="9" t="n">
        <v>1454.32</v>
      </c>
      <c r="U4159" s="10">
        <f>SUM(I4159:T4159)</f>
        <v/>
      </c>
    </row>
    <row r="4160">
      <c r="A4160" s="2" t="inlineStr">
        <is>
          <t>SN-3000-3800-3830-3830XM0079</t>
        </is>
      </c>
      <c r="B4160" s="2" t="inlineStr">
        <is>
          <t>3830XM0079</t>
        </is>
      </c>
      <c r="C4160" s="2" t="inlineStr">
        <is>
          <t>Celosía XM0079</t>
        </is>
      </c>
      <c r="D4160" s="2" t="n">
        <v>1387</v>
      </c>
      <c r="E4160" s="2" t="inlineStr">
        <is>
          <t>CC-3000</t>
        </is>
      </c>
      <c r="F4160" s="2" t="inlineStr">
        <is>
          <t>P01</t>
        </is>
      </c>
      <c r="G4160" s="2" t="n">
        <v>610000</v>
      </c>
      <c r="H4160" s="2" t="inlineStr">
        <is>
          <t>Mano obra interna</t>
        </is>
      </c>
      <c r="I4160" s="9" t="n">
        <v>2591.18</v>
      </c>
      <c r="J4160" s="9" t="n">
        <v>2609.45</v>
      </c>
      <c r="K4160" s="9" t="n">
        <v>2566.94</v>
      </c>
      <c r="L4160" s="9" t="n">
        <v>2692.53</v>
      </c>
      <c r="M4160" s="9" t="n">
        <v>2599.97</v>
      </c>
      <c r="N4160" s="9" t="n">
        <v>2286.13</v>
      </c>
      <c r="O4160" s="9" t="n">
        <v>2494.49</v>
      </c>
      <c r="P4160" s="9" t="n">
        <v>2644.58</v>
      </c>
      <c r="Q4160" s="9" t="n">
        <v>2462.1</v>
      </c>
      <c r="R4160" s="9" t="n">
        <v>2502.64</v>
      </c>
      <c r="S4160" s="9" t="n">
        <v>2323.97</v>
      </c>
      <c r="T4160" s="9" t="n">
        <v>2518.19</v>
      </c>
      <c r="U4160" s="10">
        <f>SUM(I4160:T4160)</f>
        <v/>
      </c>
    </row>
    <row r="4161">
      <c r="A4161" s="2" t="inlineStr">
        <is>
          <t>SN-3000-3800-3830-3830XM0079</t>
        </is>
      </c>
      <c r="B4161" s="2" t="inlineStr">
        <is>
          <t>3830XM0079</t>
        </is>
      </c>
      <c r="C4161" s="2" t="inlineStr">
        <is>
          <t>Celosía XM0079</t>
        </is>
      </c>
      <c r="D4161" s="2" t="n">
        <v>1387</v>
      </c>
      <c r="E4161" s="2" t="inlineStr">
        <is>
          <t>CC-3000</t>
        </is>
      </c>
      <c r="F4161" s="2" t="inlineStr">
        <is>
          <t>P01</t>
        </is>
      </c>
      <c r="G4161" s="2" t="n">
        <v>620000</v>
      </c>
      <c r="H4161" s="2" t="inlineStr">
        <is>
          <t>Materiales</t>
        </is>
      </c>
      <c r="I4161" s="9" t="n">
        <v>1997.29</v>
      </c>
      <c r="J4161" s="9" t="n">
        <v>1926.13</v>
      </c>
      <c r="K4161" s="9" t="n">
        <v>2002.95</v>
      </c>
      <c r="L4161" s="9" t="n">
        <v>2044.89</v>
      </c>
      <c r="M4161" s="9" t="n">
        <v>2114.21</v>
      </c>
      <c r="N4161" s="9" t="n">
        <v>1865.41</v>
      </c>
      <c r="O4161" s="9" t="n">
        <v>2062.07</v>
      </c>
      <c r="P4161" s="9" t="n">
        <v>2051.63</v>
      </c>
      <c r="Q4161" s="9" t="n">
        <v>1990.13</v>
      </c>
      <c r="R4161" s="9" t="n">
        <v>2156.76</v>
      </c>
      <c r="S4161" s="9" t="n">
        <v>1882.35</v>
      </c>
      <c r="T4161" s="9" t="n">
        <v>2193.97</v>
      </c>
      <c r="U4161" s="10">
        <f>SUM(I4161:T4161)</f>
        <v/>
      </c>
    </row>
    <row r="4162">
      <c r="A4162" s="2" t="inlineStr">
        <is>
          <t>SN-3000-3800-3830-3830XM0079</t>
        </is>
      </c>
      <c r="B4162" s="2" t="inlineStr">
        <is>
          <t>3830XM0079</t>
        </is>
      </c>
      <c r="C4162" s="2" t="inlineStr">
        <is>
          <t>Celosía XM0079</t>
        </is>
      </c>
      <c r="D4162" s="2" t="n">
        <v>1387</v>
      </c>
      <c r="E4162" s="2" t="inlineStr">
        <is>
          <t>CC-3000</t>
        </is>
      </c>
      <c r="F4162" s="2" t="inlineStr">
        <is>
          <t>P01</t>
        </is>
      </c>
      <c r="G4162" s="2" t="n">
        <v>630000</v>
      </c>
      <c r="H4162" s="2" t="inlineStr">
        <is>
          <t>Servicios externos</t>
        </is>
      </c>
      <c r="I4162" s="9" t="n">
        <v>2739.49</v>
      </c>
      <c r="J4162" s="9" t="n">
        <v>2423.79</v>
      </c>
      <c r="K4162" s="9" t="n">
        <v>2505.41</v>
      </c>
      <c r="L4162" s="9" t="n">
        <v>2553.78</v>
      </c>
      <c r="M4162" s="9" t="n">
        <v>2478.69</v>
      </c>
      <c r="N4162" s="9" t="n">
        <v>2370.25</v>
      </c>
      <c r="O4162" s="9" t="n">
        <v>2533.35</v>
      </c>
      <c r="P4162" s="9" t="n">
        <v>2562.18</v>
      </c>
      <c r="Q4162" s="9" t="n">
        <v>2550.17</v>
      </c>
      <c r="R4162" s="9" t="n">
        <v>2933.98</v>
      </c>
      <c r="S4162" s="9" t="n">
        <v>2387</v>
      </c>
      <c r="T4162" s="9" t="n">
        <v>2875.39</v>
      </c>
      <c r="U4162" s="10">
        <f>SUM(I4162:T4162)</f>
        <v/>
      </c>
    </row>
    <row r="4163">
      <c r="A4163" s="2" t="inlineStr">
        <is>
          <t>SN-3000-3800-3830-3830XM0085</t>
        </is>
      </c>
      <c r="B4163" s="2" t="inlineStr">
        <is>
          <t>3830XM0085</t>
        </is>
      </c>
      <c r="C4163" s="2" t="inlineStr">
        <is>
          <t>Celosía XM0085</t>
        </is>
      </c>
      <c r="D4163" s="2" t="n">
        <v>1388</v>
      </c>
      <c r="E4163" s="2" t="inlineStr">
        <is>
          <t>CC-3000</t>
        </is>
      </c>
      <c r="F4163" s="2" t="inlineStr">
        <is>
          <t>P01</t>
        </is>
      </c>
      <c r="G4163" s="2" t="n">
        <v>610000</v>
      </c>
      <c r="H4163" s="2" t="inlineStr">
        <is>
          <t>Mano obra interna</t>
        </is>
      </c>
      <c r="I4163" s="9" t="n">
        <v>3011.88</v>
      </c>
      <c r="J4163" s="9" t="n">
        <v>2886.57</v>
      </c>
      <c r="K4163" s="9" t="n">
        <v>3004.67</v>
      </c>
      <c r="L4163" s="9" t="n">
        <v>3305.24</v>
      </c>
      <c r="M4163" s="9" t="n">
        <v>2955.83</v>
      </c>
      <c r="N4163" s="9" t="n">
        <v>2777.61</v>
      </c>
      <c r="O4163" s="9" t="n">
        <v>3080.69</v>
      </c>
      <c r="P4163" s="9" t="n">
        <v>3220.02</v>
      </c>
      <c r="Q4163" s="9" t="n">
        <v>2811.98</v>
      </c>
      <c r="R4163" s="9" t="n">
        <v>3353.52</v>
      </c>
      <c r="S4163" s="9" t="n">
        <v>2870.28</v>
      </c>
      <c r="T4163" s="9" t="n">
        <v>3128.73</v>
      </c>
      <c r="U4163" s="10">
        <f>SUM(I4163:T4163)</f>
        <v/>
      </c>
    </row>
    <row r="4164">
      <c r="A4164" s="2" t="inlineStr">
        <is>
          <t>SN-3000-3800-3830-3830XM0085</t>
        </is>
      </c>
      <c r="B4164" s="2" t="inlineStr">
        <is>
          <t>3830XM0085</t>
        </is>
      </c>
      <c r="C4164" s="2" t="inlineStr">
        <is>
          <t>Celosía XM0085</t>
        </is>
      </c>
      <c r="D4164" s="2" t="n">
        <v>1388</v>
      </c>
      <c r="E4164" s="2" t="inlineStr">
        <is>
          <t>CC-3000</t>
        </is>
      </c>
      <c r="F4164" s="2" t="inlineStr">
        <is>
          <t>P01</t>
        </is>
      </c>
      <c r="G4164" s="2" t="n">
        <v>620000</v>
      </c>
      <c r="H4164" s="2" t="inlineStr">
        <is>
          <t>Materiales</t>
        </is>
      </c>
      <c r="I4164" s="9" t="n">
        <v>2720.2</v>
      </c>
      <c r="J4164" s="9" t="n">
        <v>2637.8</v>
      </c>
      <c r="K4164" s="9" t="n">
        <v>2597.11</v>
      </c>
      <c r="L4164" s="9" t="n">
        <v>2573.42</v>
      </c>
      <c r="M4164" s="9" t="n">
        <v>2563.19</v>
      </c>
      <c r="N4164" s="9" t="n">
        <v>2416.52</v>
      </c>
      <c r="O4164" s="9" t="n">
        <v>2587.78</v>
      </c>
      <c r="P4164" s="9" t="n">
        <v>2486.4</v>
      </c>
      <c r="Q4164" s="9" t="n">
        <v>2447.1</v>
      </c>
      <c r="R4164" s="9" t="n">
        <v>2771.16</v>
      </c>
      <c r="S4164" s="9" t="n">
        <v>2770.7</v>
      </c>
      <c r="T4164" s="9" t="n">
        <v>2889.74</v>
      </c>
      <c r="U4164" s="10">
        <f>SUM(I4164:T4164)</f>
        <v/>
      </c>
    </row>
    <row r="4165">
      <c r="A4165" s="2" t="inlineStr">
        <is>
          <t>SN-3000-3800-3830-3830XM0085</t>
        </is>
      </c>
      <c r="B4165" s="2" t="inlineStr">
        <is>
          <t>3830XM0085</t>
        </is>
      </c>
      <c r="C4165" s="2" t="inlineStr">
        <is>
          <t>Celosía XM0085</t>
        </is>
      </c>
      <c r="D4165" s="2" t="n">
        <v>1388</v>
      </c>
      <c r="E4165" s="2" t="inlineStr">
        <is>
          <t>CC-3000</t>
        </is>
      </c>
      <c r="F4165" s="2" t="inlineStr">
        <is>
          <t>P01</t>
        </is>
      </c>
      <c r="G4165" s="2" t="n">
        <v>630000</v>
      </c>
      <c r="H4165" s="2" t="inlineStr">
        <is>
          <t>Servicios externos</t>
        </is>
      </c>
      <c r="I4165" s="9" t="n">
        <v>2602.69</v>
      </c>
      <c r="J4165" s="9" t="n">
        <v>2704.66</v>
      </c>
      <c r="K4165" s="9" t="n">
        <v>2650.75</v>
      </c>
      <c r="L4165" s="9" t="n">
        <v>2761.85</v>
      </c>
      <c r="M4165" s="9" t="n">
        <v>2665.38</v>
      </c>
      <c r="N4165" s="9" t="n">
        <v>2619.92</v>
      </c>
      <c r="O4165" s="9" t="n">
        <v>2481.13</v>
      </c>
      <c r="P4165" s="9" t="n">
        <v>2370.83</v>
      </c>
      <c r="Q4165" s="9" t="n">
        <v>2231.67</v>
      </c>
      <c r="R4165" s="9" t="n">
        <v>2791.81</v>
      </c>
      <c r="S4165" s="9" t="n">
        <v>2489.84</v>
      </c>
      <c r="T4165" s="9" t="n">
        <v>2513.82</v>
      </c>
      <c r="U4165" s="10">
        <f>SUM(I4165:T4165)</f>
        <v/>
      </c>
    </row>
    <row r="4166">
      <c r="A4166" s="2" t="inlineStr">
        <is>
          <t>SN-3000-3800-3830-3830XM0090</t>
        </is>
      </c>
      <c r="B4166" s="2" t="inlineStr">
        <is>
          <t>3830XM0090</t>
        </is>
      </c>
      <c r="C4166" s="2" t="inlineStr">
        <is>
          <t>Celosía XM0090</t>
        </is>
      </c>
      <c r="D4166" s="2" t="n">
        <v>1389</v>
      </c>
      <c r="E4166" s="2" t="inlineStr">
        <is>
          <t>CC-3000</t>
        </is>
      </c>
      <c r="F4166" s="2" t="inlineStr">
        <is>
          <t>P01</t>
        </is>
      </c>
      <c r="G4166" s="2" t="n">
        <v>610000</v>
      </c>
      <c r="H4166" s="2" t="inlineStr">
        <is>
          <t>Mano obra interna</t>
        </is>
      </c>
      <c r="I4166" s="9" t="n">
        <v>1001.91</v>
      </c>
      <c r="J4166" s="9" t="n">
        <v>911.39</v>
      </c>
      <c r="K4166" s="9" t="n">
        <v>995.98</v>
      </c>
      <c r="L4166" s="9" t="n">
        <v>1003.54</v>
      </c>
      <c r="M4166" s="9" t="n">
        <v>929.36</v>
      </c>
      <c r="N4166" s="9" t="n">
        <v>863.38</v>
      </c>
      <c r="O4166" s="9" t="n">
        <v>1004.91</v>
      </c>
      <c r="P4166" s="9" t="n">
        <v>887.22</v>
      </c>
      <c r="Q4166" s="9" t="n">
        <v>930.6</v>
      </c>
      <c r="R4166" s="9" t="n">
        <v>1079.28</v>
      </c>
      <c r="S4166" s="9" t="n">
        <v>929.76</v>
      </c>
      <c r="T4166" s="9" t="n">
        <v>983.7</v>
      </c>
      <c r="U4166" s="10">
        <f>SUM(I4166:T4166)</f>
        <v/>
      </c>
    </row>
    <row r="4167">
      <c r="A4167" s="2" t="inlineStr">
        <is>
          <t>SN-3000-3800-3830-3830XM0090</t>
        </is>
      </c>
      <c r="B4167" s="2" t="inlineStr">
        <is>
          <t>3830XM0090</t>
        </is>
      </c>
      <c r="C4167" s="2" t="inlineStr">
        <is>
          <t>Celosía XM0090</t>
        </is>
      </c>
      <c r="D4167" s="2" t="n">
        <v>1389</v>
      </c>
      <c r="E4167" s="2" t="inlineStr">
        <is>
          <t>CC-3000</t>
        </is>
      </c>
      <c r="F4167" s="2" t="inlineStr">
        <is>
          <t>P01</t>
        </is>
      </c>
      <c r="G4167" s="2" t="n">
        <v>620000</v>
      </c>
      <c r="H4167" s="2" t="inlineStr">
        <is>
          <t>Materiales</t>
        </is>
      </c>
      <c r="I4167" s="9" t="n">
        <v>1028.84</v>
      </c>
      <c r="J4167" s="9" t="n">
        <v>905.55</v>
      </c>
      <c r="K4167" s="9" t="n">
        <v>995.27</v>
      </c>
      <c r="L4167" s="9" t="n">
        <v>898.8200000000001</v>
      </c>
      <c r="M4167" s="9" t="n">
        <v>1012.28</v>
      </c>
      <c r="N4167" s="9" t="n">
        <v>979.16</v>
      </c>
      <c r="O4167" s="9" t="n">
        <v>988.22</v>
      </c>
      <c r="P4167" s="9" t="n">
        <v>943.16</v>
      </c>
      <c r="Q4167" s="9" t="n">
        <v>843.8099999999999</v>
      </c>
      <c r="R4167" s="9" t="n">
        <v>1029.31</v>
      </c>
      <c r="S4167" s="9" t="n">
        <v>968.22</v>
      </c>
      <c r="T4167" s="9" t="n">
        <v>986.13</v>
      </c>
      <c r="U4167" s="10">
        <f>SUM(I4167:T4167)</f>
        <v/>
      </c>
    </row>
    <row r="4168">
      <c r="A4168" s="2" t="inlineStr">
        <is>
          <t>SN-3000-3800-3830-3830XM0090</t>
        </is>
      </c>
      <c r="B4168" s="2" t="inlineStr">
        <is>
          <t>3830XM0090</t>
        </is>
      </c>
      <c r="C4168" s="2" t="inlineStr">
        <is>
          <t>Celosía XM0090</t>
        </is>
      </c>
      <c r="D4168" s="2" t="n">
        <v>1389</v>
      </c>
      <c r="E4168" s="2" t="inlineStr">
        <is>
          <t>CC-3000</t>
        </is>
      </c>
      <c r="F4168" s="2" t="inlineStr">
        <is>
          <t>P01</t>
        </is>
      </c>
      <c r="G4168" s="2" t="n">
        <v>630000</v>
      </c>
      <c r="H4168" s="2" t="inlineStr">
        <is>
          <t>Servicios externos</t>
        </is>
      </c>
      <c r="I4168" s="9" t="n">
        <v>1071.09</v>
      </c>
      <c r="J4168" s="9" t="n">
        <v>949.36</v>
      </c>
      <c r="K4168" s="9" t="n">
        <v>1084.14</v>
      </c>
      <c r="L4168" s="9" t="n">
        <v>1005.73</v>
      </c>
      <c r="M4168" s="9" t="n">
        <v>905.09</v>
      </c>
      <c r="N4168" s="9" t="n">
        <v>985.26</v>
      </c>
      <c r="O4168" s="9" t="n">
        <v>1054.21</v>
      </c>
      <c r="P4168" s="9" t="n">
        <v>990.4299999999999</v>
      </c>
      <c r="Q4168" s="9" t="n">
        <v>918.28</v>
      </c>
      <c r="R4168" s="9" t="n">
        <v>1123.96</v>
      </c>
      <c r="S4168" s="9" t="n">
        <v>1021.15</v>
      </c>
      <c r="T4168" s="9" t="n">
        <v>1084.96</v>
      </c>
      <c r="U4168" s="10">
        <f>SUM(I4168:T4168)</f>
        <v/>
      </c>
    </row>
    <row r="4169">
      <c r="A4169" s="2" t="inlineStr">
        <is>
          <t>SN-3000-3800-3840-3840DC0005</t>
        </is>
      </c>
      <c r="B4169" s="2" t="inlineStr">
        <is>
          <t>3840DC0005</t>
        </is>
      </c>
      <c r="C4169" s="2" t="inlineStr">
        <is>
          <t>Colector polvo DC0005</t>
        </is>
      </c>
      <c r="D4169" s="2" t="n">
        <v>1390</v>
      </c>
      <c r="E4169" s="2" t="inlineStr">
        <is>
          <t>CC-3000</t>
        </is>
      </c>
      <c r="F4169" s="2" t="inlineStr">
        <is>
          <t>P01</t>
        </is>
      </c>
      <c r="G4169" s="2" t="n">
        <v>610000</v>
      </c>
      <c r="H4169" s="2" t="inlineStr">
        <is>
          <t>Mano obra interna</t>
        </is>
      </c>
      <c r="I4169" s="9" t="n">
        <v>1990.89</v>
      </c>
      <c r="J4169" s="9" t="n">
        <v>1989.79</v>
      </c>
      <c r="K4169" s="9" t="n">
        <v>1992.01</v>
      </c>
      <c r="L4169" s="9" t="n">
        <v>1951.49</v>
      </c>
      <c r="M4169" s="9" t="n">
        <v>1923.14</v>
      </c>
      <c r="N4169" s="9" t="n">
        <v>1794.66</v>
      </c>
      <c r="O4169" s="9" t="n">
        <v>1827.3</v>
      </c>
      <c r="P4169" s="9" t="n">
        <v>1786.58</v>
      </c>
      <c r="Q4169" s="9" t="n">
        <v>1819.8</v>
      </c>
      <c r="R4169" s="9" t="n">
        <v>2031.73</v>
      </c>
      <c r="S4169" s="9" t="n">
        <v>1973.73</v>
      </c>
      <c r="T4169" s="9" t="n">
        <v>1863.23</v>
      </c>
      <c r="U4169" s="10">
        <f>SUM(I4169:T4169)</f>
        <v/>
      </c>
    </row>
    <row r="4170">
      <c r="A4170" s="2" t="inlineStr">
        <is>
          <t>SN-3000-3800-3840-3840DC0005</t>
        </is>
      </c>
      <c r="B4170" s="2" t="inlineStr">
        <is>
          <t>3840DC0005</t>
        </is>
      </c>
      <c r="C4170" s="2" t="inlineStr">
        <is>
          <t>Colector polvo DC0005</t>
        </is>
      </c>
      <c r="D4170" s="2" t="n">
        <v>1390</v>
      </c>
      <c r="E4170" s="2" t="inlineStr">
        <is>
          <t>CC-3000</t>
        </is>
      </c>
      <c r="F4170" s="2" t="inlineStr">
        <is>
          <t>P01</t>
        </is>
      </c>
      <c r="G4170" s="2" t="n">
        <v>620000</v>
      </c>
      <c r="H4170" s="2" t="inlineStr">
        <is>
          <t>Materiales</t>
        </is>
      </c>
      <c r="I4170" s="9" t="n">
        <v>1973.1</v>
      </c>
      <c r="J4170" s="9" t="n">
        <v>1786.22</v>
      </c>
      <c r="K4170" s="9" t="n">
        <v>1808.9</v>
      </c>
      <c r="L4170" s="9" t="n">
        <v>1943.2</v>
      </c>
      <c r="M4170" s="9" t="n">
        <v>1848.17</v>
      </c>
      <c r="N4170" s="9" t="n">
        <v>1738.63</v>
      </c>
      <c r="O4170" s="9" t="n">
        <v>1910.26</v>
      </c>
      <c r="P4170" s="9" t="n">
        <v>1679.46</v>
      </c>
      <c r="Q4170" s="9" t="n">
        <v>1645</v>
      </c>
      <c r="R4170" s="9" t="n">
        <v>2034.78</v>
      </c>
      <c r="S4170" s="9" t="n">
        <v>1708.33</v>
      </c>
      <c r="T4170" s="9" t="n">
        <v>1948.73</v>
      </c>
      <c r="U4170" s="10">
        <f>SUM(I4170:T4170)</f>
        <v/>
      </c>
    </row>
    <row r="4171">
      <c r="A4171" s="2" t="inlineStr">
        <is>
          <t>SN-3000-3800-3840-3840DC0005</t>
        </is>
      </c>
      <c r="B4171" s="2" t="inlineStr">
        <is>
          <t>3840DC0005</t>
        </is>
      </c>
      <c r="C4171" s="2" t="inlineStr">
        <is>
          <t>Colector polvo DC0005</t>
        </is>
      </c>
      <c r="D4171" s="2" t="n">
        <v>1390</v>
      </c>
      <c r="E4171" s="2" t="inlineStr">
        <is>
          <t>CC-3000</t>
        </is>
      </c>
      <c r="F4171" s="2" t="inlineStr">
        <is>
          <t>P01</t>
        </is>
      </c>
      <c r="G4171" s="2" t="n">
        <v>630000</v>
      </c>
      <c r="H4171" s="2" t="inlineStr">
        <is>
          <t>Servicios externos</t>
        </is>
      </c>
      <c r="I4171" s="9" t="n">
        <v>1727.77</v>
      </c>
      <c r="J4171" s="9" t="n">
        <v>1691.27</v>
      </c>
      <c r="K4171" s="9" t="n">
        <v>1846.54</v>
      </c>
      <c r="L4171" s="9" t="n">
        <v>1689.65</v>
      </c>
      <c r="M4171" s="9" t="n">
        <v>1585.06</v>
      </c>
      <c r="N4171" s="9" t="n">
        <v>1788.25</v>
      </c>
      <c r="O4171" s="9" t="n">
        <v>1849.64</v>
      </c>
      <c r="P4171" s="9" t="n">
        <v>1681.11</v>
      </c>
      <c r="Q4171" s="9" t="n">
        <v>1613.51</v>
      </c>
      <c r="R4171" s="9" t="n">
        <v>1870.89</v>
      </c>
      <c r="S4171" s="9" t="n">
        <v>1781.81</v>
      </c>
      <c r="T4171" s="9" t="n">
        <v>1791.11</v>
      </c>
      <c r="U4171" s="10">
        <f>SUM(I4171:T4171)</f>
        <v/>
      </c>
    </row>
    <row r="4172">
      <c r="A4172" s="2" t="inlineStr">
        <is>
          <t>SN-3000-3800-3840-3840DC0006</t>
        </is>
      </c>
      <c r="B4172" s="2" t="inlineStr">
        <is>
          <t>3840DC0006</t>
        </is>
      </c>
      <c r="C4172" s="2" t="inlineStr">
        <is>
          <t>Colector polvo DC0006</t>
        </is>
      </c>
      <c r="D4172" s="2" t="n">
        <v>1391</v>
      </c>
      <c r="E4172" s="2" t="inlineStr">
        <is>
          <t>CC-3000</t>
        </is>
      </c>
      <c r="F4172" s="2" t="inlineStr">
        <is>
          <t>P01</t>
        </is>
      </c>
      <c r="G4172" s="2" t="n">
        <v>610000</v>
      </c>
      <c r="H4172" s="2" t="inlineStr">
        <is>
          <t>Mano obra interna</t>
        </is>
      </c>
      <c r="I4172" s="9" t="n">
        <v>1955.73</v>
      </c>
      <c r="J4172" s="9" t="n">
        <v>1788.78</v>
      </c>
      <c r="K4172" s="9" t="n">
        <v>1790.55</v>
      </c>
      <c r="L4172" s="9" t="n">
        <v>1836.56</v>
      </c>
      <c r="M4172" s="9" t="n">
        <v>1878.58</v>
      </c>
      <c r="N4172" s="9" t="n">
        <v>1741.35</v>
      </c>
      <c r="O4172" s="9" t="n">
        <v>1911.98</v>
      </c>
      <c r="P4172" s="9" t="n">
        <v>1909.6</v>
      </c>
      <c r="Q4172" s="9" t="n">
        <v>1639.18</v>
      </c>
      <c r="R4172" s="9" t="n">
        <v>1922.18</v>
      </c>
      <c r="S4172" s="9" t="n">
        <v>1789.45</v>
      </c>
      <c r="T4172" s="9" t="n">
        <v>1710.49</v>
      </c>
      <c r="U4172" s="10">
        <f>SUM(I4172:T4172)</f>
        <v/>
      </c>
    </row>
    <row r="4173">
      <c r="A4173" s="2" t="inlineStr">
        <is>
          <t>SN-3000-3800-3840-3840DC0006</t>
        </is>
      </c>
      <c r="B4173" s="2" t="inlineStr">
        <is>
          <t>3840DC0006</t>
        </is>
      </c>
      <c r="C4173" s="2" t="inlineStr">
        <is>
          <t>Colector polvo DC0006</t>
        </is>
      </c>
      <c r="D4173" s="2" t="n">
        <v>1391</v>
      </c>
      <c r="E4173" s="2" t="inlineStr">
        <is>
          <t>CC-3000</t>
        </is>
      </c>
      <c r="F4173" s="2" t="inlineStr">
        <is>
          <t>P01</t>
        </is>
      </c>
      <c r="G4173" s="2" t="n">
        <v>620000</v>
      </c>
      <c r="H4173" s="2" t="inlineStr">
        <is>
          <t>Materiales</t>
        </is>
      </c>
      <c r="I4173" s="9" t="n">
        <v>1528.08</v>
      </c>
      <c r="J4173" s="9" t="n">
        <v>1648.78</v>
      </c>
      <c r="K4173" s="9" t="n">
        <v>1751.93</v>
      </c>
      <c r="L4173" s="9" t="n">
        <v>1527.85</v>
      </c>
      <c r="M4173" s="9" t="n">
        <v>1611.46</v>
      </c>
      <c r="N4173" s="9" t="n">
        <v>1549.3</v>
      </c>
      <c r="O4173" s="9" t="n">
        <v>1652.58</v>
      </c>
      <c r="P4173" s="9" t="n">
        <v>1634.3</v>
      </c>
      <c r="Q4173" s="9" t="n">
        <v>1409.41</v>
      </c>
      <c r="R4173" s="9" t="n">
        <v>1653.08</v>
      </c>
      <c r="S4173" s="9" t="n">
        <v>1452.97</v>
      </c>
      <c r="T4173" s="9" t="n">
        <v>1717.83</v>
      </c>
      <c r="U4173" s="10">
        <f>SUM(I4173:T4173)</f>
        <v/>
      </c>
    </row>
    <row r="4174">
      <c r="A4174" s="2" t="inlineStr">
        <is>
          <t>SN-3000-3800-3840-3840DC0006</t>
        </is>
      </c>
      <c r="B4174" s="2" t="inlineStr">
        <is>
          <t>3840DC0006</t>
        </is>
      </c>
      <c r="C4174" s="2" t="inlineStr">
        <is>
          <t>Colector polvo DC0006</t>
        </is>
      </c>
      <c r="D4174" s="2" t="n">
        <v>1391</v>
      </c>
      <c r="E4174" s="2" t="inlineStr">
        <is>
          <t>CC-3000</t>
        </is>
      </c>
      <c r="F4174" s="2" t="inlineStr">
        <is>
          <t>P01</t>
        </is>
      </c>
      <c r="G4174" s="2" t="n">
        <v>630000</v>
      </c>
      <c r="H4174" s="2" t="inlineStr">
        <is>
          <t>Servicios externos</t>
        </is>
      </c>
      <c r="I4174" s="9" t="n">
        <v>1778.62</v>
      </c>
      <c r="J4174" s="9" t="n">
        <v>1581.51</v>
      </c>
      <c r="K4174" s="9" t="n">
        <v>1684.27</v>
      </c>
      <c r="L4174" s="9" t="n">
        <v>1731.24</v>
      </c>
      <c r="M4174" s="9" t="n">
        <v>1678.41</v>
      </c>
      <c r="N4174" s="9" t="n">
        <v>1481.25</v>
      </c>
      <c r="O4174" s="9" t="n">
        <v>1564.82</v>
      </c>
      <c r="P4174" s="9" t="n">
        <v>1513.64</v>
      </c>
      <c r="Q4174" s="9" t="n">
        <v>1580.71</v>
      </c>
      <c r="R4174" s="9" t="n">
        <v>1828.01</v>
      </c>
      <c r="S4174" s="9" t="n">
        <v>1462.25</v>
      </c>
      <c r="T4174" s="9" t="n">
        <v>1579.23</v>
      </c>
      <c r="U4174" s="10">
        <f>SUM(I4174:T4174)</f>
        <v/>
      </c>
    </row>
    <row r="4175">
      <c r="A4175" s="2" t="inlineStr">
        <is>
          <t>SN-3000-3800-3840-3840PU0496</t>
        </is>
      </c>
      <c r="B4175" s="2" t="inlineStr">
        <is>
          <t>3840PU0496</t>
        </is>
      </c>
      <c r="C4175" s="2" t="inlineStr">
        <is>
          <t>Bomba centrífuga PU0496</t>
        </is>
      </c>
      <c r="D4175" s="2" t="n">
        <v>1392</v>
      </c>
      <c r="E4175" s="2" t="inlineStr">
        <is>
          <t>CC-3000</t>
        </is>
      </c>
      <c r="F4175" s="2" t="inlineStr">
        <is>
          <t>P01</t>
        </is>
      </c>
      <c r="G4175" s="2" t="n">
        <v>610000</v>
      </c>
      <c r="H4175" s="2" t="inlineStr">
        <is>
          <t>Mano obra interna</t>
        </is>
      </c>
      <c r="I4175" s="9" t="n">
        <v>910.6900000000001</v>
      </c>
      <c r="J4175" s="9" t="n">
        <v>875.9</v>
      </c>
      <c r="K4175" s="9" t="n">
        <v>984.87</v>
      </c>
      <c r="L4175" s="9" t="n">
        <v>943.98</v>
      </c>
      <c r="M4175" s="9" t="n">
        <v>822.73</v>
      </c>
      <c r="N4175" s="9" t="n">
        <v>819.25</v>
      </c>
      <c r="O4175" s="9" t="n">
        <v>864.65</v>
      </c>
      <c r="P4175" s="9" t="n">
        <v>859.3200000000001</v>
      </c>
      <c r="Q4175" s="9" t="n">
        <v>862.66</v>
      </c>
      <c r="R4175" s="9" t="n">
        <v>934.35</v>
      </c>
      <c r="S4175" s="9" t="n">
        <v>856.83</v>
      </c>
      <c r="T4175" s="9" t="n">
        <v>904.14</v>
      </c>
      <c r="U4175" s="10">
        <f>SUM(I4175:T4175)</f>
        <v/>
      </c>
    </row>
    <row r="4176">
      <c r="A4176" s="2" t="inlineStr">
        <is>
          <t>SN-3000-3800-3840-3840PU0496</t>
        </is>
      </c>
      <c r="B4176" s="2" t="inlineStr">
        <is>
          <t>3840PU0496</t>
        </is>
      </c>
      <c r="C4176" s="2" t="inlineStr">
        <is>
          <t>Bomba centrífuga PU0496</t>
        </is>
      </c>
      <c r="D4176" s="2" t="n">
        <v>1392</v>
      </c>
      <c r="E4176" s="2" t="inlineStr">
        <is>
          <t>CC-3000</t>
        </is>
      </c>
      <c r="F4176" s="2" t="inlineStr">
        <is>
          <t>P01</t>
        </is>
      </c>
      <c r="G4176" s="2" t="n">
        <v>620000</v>
      </c>
      <c r="H4176" s="2" t="inlineStr">
        <is>
          <t>Materiales</t>
        </is>
      </c>
      <c r="I4176" s="9" t="n">
        <v>799.24</v>
      </c>
      <c r="J4176" s="9" t="n">
        <v>829.13</v>
      </c>
      <c r="K4176" s="9" t="n">
        <v>880.04</v>
      </c>
      <c r="L4176" s="9" t="n">
        <v>762.54</v>
      </c>
      <c r="M4176" s="9" t="n">
        <v>810.86</v>
      </c>
      <c r="N4176" s="9" t="n">
        <v>786.83</v>
      </c>
      <c r="O4176" s="9" t="n">
        <v>836.75</v>
      </c>
      <c r="P4176" s="9" t="n">
        <v>830.15</v>
      </c>
      <c r="Q4176" s="9" t="n">
        <v>795.38</v>
      </c>
      <c r="R4176" s="9" t="n">
        <v>810.36</v>
      </c>
      <c r="S4176" s="9" t="n">
        <v>766.11</v>
      </c>
      <c r="T4176" s="9" t="n">
        <v>854.65</v>
      </c>
      <c r="U4176" s="10">
        <f>SUM(I4176:T4176)</f>
        <v/>
      </c>
    </row>
    <row r="4177">
      <c r="A4177" s="2" t="inlineStr">
        <is>
          <t>SN-3000-3800-3840-3840PU0496</t>
        </is>
      </c>
      <c r="B4177" s="2" t="inlineStr">
        <is>
          <t>3840PU0496</t>
        </is>
      </c>
      <c r="C4177" s="2" t="inlineStr">
        <is>
          <t>Bomba centrífuga PU0496</t>
        </is>
      </c>
      <c r="D4177" s="2" t="n">
        <v>1392</v>
      </c>
      <c r="E4177" s="2" t="inlineStr">
        <is>
          <t>CC-3000</t>
        </is>
      </c>
      <c r="F4177" s="2" t="inlineStr">
        <is>
          <t>P01</t>
        </is>
      </c>
      <c r="G4177" s="2" t="n">
        <v>630000</v>
      </c>
      <c r="H4177" s="2" t="inlineStr">
        <is>
          <t>Servicios externos</t>
        </is>
      </c>
      <c r="I4177" s="9" t="n">
        <v>950.41</v>
      </c>
      <c r="J4177" s="9" t="n">
        <v>965.76</v>
      </c>
      <c r="K4177" s="9" t="n">
        <v>947.04</v>
      </c>
      <c r="L4177" s="9" t="n">
        <v>1044.25</v>
      </c>
      <c r="M4177" s="9" t="n">
        <v>992.7</v>
      </c>
      <c r="N4177" s="9" t="n">
        <v>883.78</v>
      </c>
      <c r="O4177" s="9" t="n">
        <v>987.02</v>
      </c>
      <c r="P4177" s="9" t="n">
        <v>968.13</v>
      </c>
      <c r="Q4177" s="9" t="n">
        <v>865.79</v>
      </c>
      <c r="R4177" s="9" t="n">
        <v>1108.9</v>
      </c>
      <c r="S4177" s="9" t="n">
        <v>883.75</v>
      </c>
      <c r="T4177" s="9" t="n">
        <v>976.66</v>
      </c>
      <c r="U4177" s="10">
        <f>SUM(I4177:T4177)</f>
        <v/>
      </c>
    </row>
    <row r="4178">
      <c r="A4178" s="2" t="inlineStr">
        <is>
          <t>SN-3000-3800-3840-3840TK0100</t>
        </is>
      </c>
      <c r="B4178" s="2" t="inlineStr">
        <is>
          <t>3840TK0100</t>
        </is>
      </c>
      <c r="C4178" s="2" t="inlineStr">
        <is>
          <t>Estanque almacenamiento TK0100</t>
        </is>
      </c>
      <c r="D4178" s="2" t="n">
        <v>1393</v>
      </c>
      <c r="E4178" s="2" t="inlineStr">
        <is>
          <t>CC-3000</t>
        </is>
      </c>
      <c r="F4178" s="2" t="inlineStr">
        <is>
          <t>P01</t>
        </is>
      </c>
      <c r="G4178" s="2" t="n">
        <v>610000</v>
      </c>
      <c r="H4178" s="2" t="inlineStr">
        <is>
          <t>Mano obra interna</t>
        </is>
      </c>
      <c r="I4178" s="9" t="n">
        <v>2271.75</v>
      </c>
      <c r="J4178" s="9" t="n">
        <v>1967.16</v>
      </c>
      <c r="K4178" s="9" t="n">
        <v>2220.91</v>
      </c>
      <c r="L4178" s="9" t="n">
        <v>1991.74</v>
      </c>
      <c r="M4178" s="9" t="n">
        <v>2202.02</v>
      </c>
      <c r="N4178" s="9" t="n">
        <v>1937.02</v>
      </c>
      <c r="O4178" s="9" t="n">
        <v>2191.61</v>
      </c>
      <c r="P4178" s="9" t="n">
        <v>2148.71</v>
      </c>
      <c r="Q4178" s="9" t="n">
        <v>1827.81</v>
      </c>
      <c r="R4178" s="9" t="n">
        <v>2166.12</v>
      </c>
      <c r="S4178" s="9" t="n">
        <v>1972.14</v>
      </c>
      <c r="T4178" s="9" t="n">
        <v>2280.11</v>
      </c>
      <c r="U4178" s="10">
        <f>SUM(I4178:T4178)</f>
        <v/>
      </c>
    </row>
    <row r="4179">
      <c r="A4179" s="2" t="inlineStr">
        <is>
          <t>SN-3000-3800-3840-3840TK0100</t>
        </is>
      </c>
      <c r="B4179" s="2" t="inlineStr">
        <is>
          <t>3840TK0100</t>
        </is>
      </c>
      <c r="C4179" s="2" t="inlineStr">
        <is>
          <t>Estanque almacenamiento TK0100</t>
        </is>
      </c>
      <c r="D4179" s="2" t="n">
        <v>1393</v>
      </c>
      <c r="E4179" s="2" t="inlineStr">
        <is>
          <t>CC-3000</t>
        </is>
      </c>
      <c r="F4179" s="2" t="inlineStr">
        <is>
          <t>P01</t>
        </is>
      </c>
      <c r="G4179" s="2" t="n">
        <v>620000</v>
      </c>
      <c r="H4179" s="2" t="inlineStr">
        <is>
          <t>Materiales</t>
        </is>
      </c>
      <c r="I4179" s="9" t="n">
        <v>2133.74</v>
      </c>
      <c r="J4179" s="9" t="n">
        <v>1790.98</v>
      </c>
      <c r="K4179" s="9" t="n">
        <v>1862.82</v>
      </c>
      <c r="L4179" s="9" t="n">
        <v>2147.39</v>
      </c>
      <c r="M4179" s="9" t="n">
        <v>2009.7</v>
      </c>
      <c r="N4179" s="9" t="n">
        <v>1959.3</v>
      </c>
      <c r="O4179" s="9" t="n">
        <v>2091.84</v>
      </c>
      <c r="P4179" s="9" t="n">
        <v>2110.88</v>
      </c>
      <c r="Q4179" s="9" t="n">
        <v>1707.49</v>
      </c>
      <c r="R4179" s="9" t="n">
        <v>1998.63</v>
      </c>
      <c r="S4179" s="9" t="n">
        <v>1803.29</v>
      </c>
      <c r="T4179" s="9" t="n">
        <v>2090.94</v>
      </c>
      <c r="U4179" s="10">
        <f>SUM(I4179:T4179)</f>
        <v/>
      </c>
    </row>
    <row r="4180">
      <c r="A4180" s="2" t="inlineStr">
        <is>
          <t>SN-3000-3800-3840-3840TK0100</t>
        </is>
      </c>
      <c r="B4180" s="2" t="inlineStr">
        <is>
          <t>3840TK0100</t>
        </is>
      </c>
      <c r="C4180" s="2" t="inlineStr">
        <is>
          <t>Estanque almacenamiento TK0100</t>
        </is>
      </c>
      <c r="D4180" s="2" t="n">
        <v>1393</v>
      </c>
      <c r="E4180" s="2" t="inlineStr">
        <is>
          <t>CC-3000</t>
        </is>
      </c>
      <c r="F4180" s="2" t="inlineStr">
        <is>
          <t>P01</t>
        </is>
      </c>
      <c r="G4180" s="2" t="n">
        <v>630000</v>
      </c>
      <c r="H4180" s="2" t="inlineStr">
        <is>
          <t>Servicios externos</t>
        </is>
      </c>
      <c r="I4180" s="9" t="n">
        <v>1964.23</v>
      </c>
      <c r="J4180" s="9" t="n">
        <v>1973.24</v>
      </c>
      <c r="K4180" s="9" t="n">
        <v>2013.13</v>
      </c>
      <c r="L4180" s="9" t="n">
        <v>1802.89</v>
      </c>
      <c r="M4180" s="9" t="n">
        <v>1859.91</v>
      </c>
      <c r="N4180" s="9" t="n">
        <v>1687.11</v>
      </c>
      <c r="O4180" s="9" t="n">
        <v>1890.27</v>
      </c>
      <c r="P4180" s="9" t="n">
        <v>1809.33</v>
      </c>
      <c r="Q4180" s="9" t="n">
        <v>1623.97</v>
      </c>
      <c r="R4180" s="9" t="n">
        <v>2146.95</v>
      </c>
      <c r="S4180" s="9" t="n">
        <v>1973.12</v>
      </c>
      <c r="T4180" s="9" t="n">
        <v>2066.85</v>
      </c>
      <c r="U4180" s="10">
        <f>SUM(I4180:T4180)</f>
        <v/>
      </c>
    </row>
    <row r="4181">
      <c r="A4181" s="2" t="inlineStr">
        <is>
          <t>SN-3000-3900-3910-3910PU0356</t>
        </is>
      </c>
      <c r="B4181" s="2" t="inlineStr">
        <is>
          <t>3910PU0356</t>
        </is>
      </c>
      <c r="C4181" s="2" t="inlineStr">
        <is>
          <t>Bomba centrífuga agua residual PU0356</t>
        </is>
      </c>
      <c r="D4181" s="2" t="n">
        <v>1394</v>
      </c>
      <c r="E4181" s="2" t="inlineStr">
        <is>
          <t>CC-3000</t>
        </is>
      </c>
      <c r="F4181" s="2" t="inlineStr">
        <is>
          <t>P01</t>
        </is>
      </c>
      <c r="G4181" s="2" t="n">
        <v>610000</v>
      </c>
      <c r="H4181" s="2" t="inlineStr">
        <is>
          <t>Mano obra interna</t>
        </is>
      </c>
      <c r="I4181" s="9" t="n">
        <v>2699.25</v>
      </c>
      <c r="J4181" s="9" t="n">
        <v>2544.72</v>
      </c>
      <c r="K4181" s="9" t="n">
        <v>2715.9</v>
      </c>
      <c r="L4181" s="9" t="n">
        <v>2709.6</v>
      </c>
      <c r="M4181" s="9" t="n">
        <v>2677.05</v>
      </c>
      <c r="N4181" s="9" t="n">
        <v>2267.81</v>
      </c>
      <c r="O4181" s="9" t="n">
        <v>2621.59</v>
      </c>
      <c r="P4181" s="9" t="n">
        <v>2604.16</v>
      </c>
      <c r="Q4181" s="9" t="n">
        <v>2258.94</v>
      </c>
      <c r="R4181" s="9" t="n">
        <v>2662.44</v>
      </c>
      <c r="S4181" s="9" t="n">
        <v>2306</v>
      </c>
      <c r="T4181" s="9" t="n">
        <v>2717.86</v>
      </c>
      <c r="U4181" s="10">
        <f>SUM(I4181:T4181)</f>
        <v/>
      </c>
    </row>
    <row r="4182">
      <c r="A4182" s="2" t="inlineStr">
        <is>
          <t>SN-3000-3900-3910-3910PU0356</t>
        </is>
      </c>
      <c r="B4182" s="2" t="inlineStr">
        <is>
          <t>3910PU0356</t>
        </is>
      </c>
      <c r="C4182" s="2" t="inlineStr">
        <is>
          <t>Bomba centrífuga agua residual PU0356</t>
        </is>
      </c>
      <c r="D4182" s="2" t="n">
        <v>1394</v>
      </c>
      <c r="E4182" s="2" t="inlineStr">
        <is>
          <t>CC-3000</t>
        </is>
      </c>
      <c r="F4182" s="2" t="inlineStr">
        <is>
          <t>P01</t>
        </is>
      </c>
      <c r="G4182" s="2" t="n">
        <v>620000</v>
      </c>
      <c r="H4182" s="2" t="inlineStr">
        <is>
          <t>Materiales</t>
        </is>
      </c>
      <c r="I4182" s="9" t="n">
        <v>3079.15</v>
      </c>
      <c r="J4182" s="9" t="n">
        <v>2922.8</v>
      </c>
      <c r="K4182" s="9" t="n">
        <v>2925.35</v>
      </c>
      <c r="L4182" s="9" t="n">
        <v>3167.81</v>
      </c>
      <c r="M4182" s="9" t="n">
        <v>2700.91</v>
      </c>
      <c r="N4182" s="9" t="n">
        <v>2815.23</v>
      </c>
      <c r="O4182" s="9" t="n">
        <v>3134.53</v>
      </c>
      <c r="P4182" s="9" t="n">
        <v>3016.13</v>
      </c>
      <c r="Q4182" s="9" t="n">
        <v>2817.08</v>
      </c>
      <c r="R4182" s="9" t="n">
        <v>2975.12</v>
      </c>
      <c r="S4182" s="9" t="n">
        <v>2769.76</v>
      </c>
      <c r="T4182" s="9" t="n">
        <v>3089.83</v>
      </c>
      <c r="U4182" s="10">
        <f>SUM(I4182:T4182)</f>
        <v/>
      </c>
    </row>
    <row r="4183">
      <c r="A4183" s="2" t="inlineStr">
        <is>
          <t>SN-3000-3900-3910-3910PU0356</t>
        </is>
      </c>
      <c r="B4183" s="2" t="inlineStr">
        <is>
          <t>3910PU0356</t>
        </is>
      </c>
      <c r="C4183" s="2" t="inlineStr">
        <is>
          <t>Bomba centrífuga agua residual PU0356</t>
        </is>
      </c>
      <c r="D4183" s="2" t="n">
        <v>1394</v>
      </c>
      <c r="E4183" s="2" t="inlineStr">
        <is>
          <t>CC-3000</t>
        </is>
      </c>
      <c r="F4183" s="2" t="inlineStr">
        <is>
          <t>P01</t>
        </is>
      </c>
      <c r="G4183" s="2" t="n">
        <v>630000</v>
      </c>
      <c r="H4183" s="2" t="inlineStr">
        <is>
          <t>Servicios externos</t>
        </is>
      </c>
      <c r="I4183" s="9" t="n">
        <v>2310.28</v>
      </c>
      <c r="J4183" s="9" t="n">
        <v>2237.27</v>
      </c>
      <c r="K4183" s="9" t="n">
        <v>2399.13</v>
      </c>
      <c r="L4183" s="9" t="n">
        <v>2324.96</v>
      </c>
      <c r="M4183" s="9" t="n">
        <v>2285.07</v>
      </c>
      <c r="N4183" s="9" t="n">
        <v>2240.56</v>
      </c>
      <c r="O4183" s="9" t="n">
        <v>2188.7</v>
      </c>
      <c r="P4183" s="9" t="n">
        <v>2205.46</v>
      </c>
      <c r="Q4183" s="9" t="n">
        <v>2280.44</v>
      </c>
      <c r="R4183" s="9" t="n">
        <v>2492.3</v>
      </c>
      <c r="S4183" s="9" t="n">
        <v>2199.56</v>
      </c>
      <c r="T4183" s="9" t="n">
        <v>2335.59</v>
      </c>
      <c r="U4183" s="10">
        <f>SUM(I4183:T4183)</f>
        <v/>
      </c>
    </row>
    <row r="4184">
      <c r="A4184" s="2" t="inlineStr">
        <is>
          <t>SN-3000-3900-3910-3910PU0357</t>
        </is>
      </c>
      <c r="B4184" s="2" t="inlineStr">
        <is>
          <t>3910PU0357</t>
        </is>
      </c>
      <c r="C4184" s="2" t="inlineStr">
        <is>
          <t>Bomba centrífuga agua TSF PU0357</t>
        </is>
      </c>
      <c r="D4184" s="2" t="n">
        <v>1395</v>
      </c>
      <c r="E4184" s="2" t="inlineStr">
        <is>
          <t>CC-3000</t>
        </is>
      </c>
      <c r="F4184" s="2" t="inlineStr">
        <is>
          <t>P01</t>
        </is>
      </c>
      <c r="G4184" s="2" t="n">
        <v>610000</v>
      </c>
      <c r="H4184" s="2" t="inlineStr">
        <is>
          <t>Mano obra interna</t>
        </is>
      </c>
      <c r="I4184" s="9" t="n">
        <v>320.8</v>
      </c>
      <c r="J4184" s="9" t="n">
        <v>323.74</v>
      </c>
      <c r="K4184" s="9" t="n">
        <v>330.64</v>
      </c>
      <c r="L4184" s="9" t="n">
        <v>333.81</v>
      </c>
      <c r="M4184" s="9" t="n">
        <v>306.32</v>
      </c>
      <c r="N4184" s="9" t="n">
        <v>296.26</v>
      </c>
      <c r="O4184" s="9" t="n">
        <v>321.96</v>
      </c>
      <c r="P4184" s="9" t="n">
        <v>321.31</v>
      </c>
      <c r="Q4184" s="9" t="n">
        <v>323.96</v>
      </c>
      <c r="R4184" s="9" t="n">
        <v>327.22</v>
      </c>
      <c r="S4184" s="9" t="n">
        <v>342.46</v>
      </c>
      <c r="T4184" s="9" t="n">
        <v>357.08</v>
      </c>
      <c r="U4184" s="10">
        <f>SUM(I4184:T4184)</f>
        <v/>
      </c>
    </row>
    <row r="4185">
      <c r="A4185" s="2" t="inlineStr">
        <is>
          <t>SN-3000-3900-3910-3910PU0357</t>
        </is>
      </c>
      <c r="B4185" s="2" t="inlineStr">
        <is>
          <t>3910PU0357</t>
        </is>
      </c>
      <c r="C4185" s="2" t="inlineStr">
        <is>
          <t>Bomba centrífuga agua TSF PU0357</t>
        </is>
      </c>
      <c r="D4185" s="2" t="n">
        <v>1395</v>
      </c>
      <c r="E4185" s="2" t="inlineStr">
        <is>
          <t>CC-3000</t>
        </is>
      </c>
      <c r="F4185" s="2" t="inlineStr">
        <is>
          <t>P01</t>
        </is>
      </c>
      <c r="G4185" s="2" t="n">
        <v>620000</v>
      </c>
      <c r="H4185" s="2" t="inlineStr">
        <is>
          <t>Materiales</t>
        </is>
      </c>
      <c r="I4185" s="9" t="n">
        <v>373.26</v>
      </c>
      <c r="J4185" s="9" t="n">
        <v>372.16</v>
      </c>
      <c r="K4185" s="9" t="n">
        <v>349.95</v>
      </c>
      <c r="L4185" s="9" t="n">
        <v>350.41</v>
      </c>
      <c r="M4185" s="9" t="n">
        <v>327.86</v>
      </c>
      <c r="N4185" s="9" t="n">
        <v>341.21</v>
      </c>
      <c r="O4185" s="9" t="n">
        <v>334.18</v>
      </c>
      <c r="P4185" s="9" t="n">
        <v>377.35</v>
      </c>
      <c r="Q4185" s="9" t="n">
        <v>325.26</v>
      </c>
      <c r="R4185" s="9" t="n">
        <v>406.57</v>
      </c>
      <c r="S4185" s="9" t="n">
        <v>325.86</v>
      </c>
      <c r="T4185" s="9" t="n">
        <v>369.65</v>
      </c>
      <c r="U4185" s="10">
        <f>SUM(I4185:T4185)</f>
        <v/>
      </c>
    </row>
    <row r="4186">
      <c r="A4186" s="2" t="inlineStr">
        <is>
          <t>SN-3000-3900-3910-3910PU0357</t>
        </is>
      </c>
      <c r="B4186" s="2" t="inlineStr">
        <is>
          <t>3910PU0357</t>
        </is>
      </c>
      <c r="C4186" s="2" t="inlineStr">
        <is>
          <t>Bomba centrífuga agua TSF PU0357</t>
        </is>
      </c>
      <c r="D4186" s="2" t="n">
        <v>1395</v>
      </c>
      <c r="E4186" s="2" t="inlineStr">
        <is>
          <t>CC-3000</t>
        </is>
      </c>
      <c r="F4186" s="2" t="inlineStr">
        <is>
          <t>P01</t>
        </is>
      </c>
      <c r="G4186" s="2" t="n">
        <v>630000</v>
      </c>
      <c r="H4186" s="2" t="inlineStr">
        <is>
          <t>Servicios externos</t>
        </is>
      </c>
      <c r="I4186" s="9" t="n">
        <v>365.72</v>
      </c>
      <c r="J4186" s="9" t="n">
        <v>381.44</v>
      </c>
      <c r="K4186" s="9" t="n">
        <v>371.7</v>
      </c>
      <c r="L4186" s="9" t="n">
        <v>354.17</v>
      </c>
      <c r="M4186" s="9" t="n">
        <v>387.83</v>
      </c>
      <c r="N4186" s="9" t="n">
        <v>344.84</v>
      </c>
      <c r="O4186" s="9" t="n">
        <v>347.24</v>
      </c>
      <c r="P4186" s="9" t="n">
        <v>355.88</v>
      </c>
      <c r="Q4186" s="9" t="n">
        <v>345.08</v>
      </c>
      <c r="R4186" s="9" t="n">
        <v>393.4</v>
      </c>
      <c r="S4186" s="9" t="n">
        <v>360.09</v>
      </c>
      <c r="T4186" s="9" t="n">
        <v>379.07</v>
      </c>
      <c r="U4186" s="10">
        <f>SUM(I4186:T4186)</f>
        <v/>
      </c>
    </row>
    <row r="4187">
      <c r="A4187" s="2" t="inlineStr">
        <is>
          <t>SN-3000-3900-3910-3910PU0358</t>
        </is>
      </c>
      <c r="B4187" s="2" t="inlineStr">
        <is>
          <t>3910PU0358</t>
        </is>
      </c>
      <c r="C4187" s="2" t="inlineStr">
        <is>
          <t>Bomba centrífuga agua PU0358</t>
        </is>
      </c>
      <c r="D4187" s="2" t="n">
        <v>1396</v>
      </c>
      <c r="E4187" s="2" t="inlineStr">
        <is>
          <t>CC-3000</t>
        </is>
      </c>
      <c r="F4187" s="2" t="inlineStr">
        <is>
          <t>P01</t>
        </is>
      </c>
      <c r="G4187" s="2" t="n">
        <v>610000</v>
      </c>
      <c r="H4187" s="2" t="inlineStr">
        <is>
          <t>Mano obra interna</t>
        </is>
      </c>
      <c r="I4187" s="9" t="n">
        <v>1181.2</v>
      </c>
      <c r="J4187" s="9" t="n">
        <v>1221.07</v>
      </c>
      <c r="K4187" s="9" t="n">
        <v>1259.72</v>
      </c>
      <c r="L4187" s="9" t="n">
        <v>1138.41</v>
      </c>
      <c r="M4187" s="9" t="n">
        <v>1145.16</v>
      </c>
      <c r="N4187" s="9" t="n">
        <v>1218.68</v>
      </c>
      <c r="O4187" s="9" t="n">
        <v>1262.03</v>
      </c>
      <c r="P4187" s="9" t="n">
        <v>1224.03</v>
      </c>
      <c r="Q4187" s="9" t="n">
        <v>1034.11</v>
      </c>
      <c r="R4187" s="9" t="n">
        <v>1307.93</v>
      </c>
      <c r="S4187" s="9" t="n">
        <v>1064.22</v>
      </c>
      <c r="T4187" s="9" t="n">
        <v>1241.29</v>
      </c>
      <c r="U4187" s="10">
        <f>SUM(I4187:T4187)</f>
        <v/>
      </c>
    </row>
    <row r="4188">
      <c r="A4188" s="2" t="inlineStr">
        <is>
          <t>SN-3000-3900-3910-3910PU0358</t>
        </is>
      </c>
      <c r="B4188" s="2" t="inlineStr">
        <is>
          <t>3910PU0358</t>
        </is>
      </c>
      <c r="C4188" s="2" t="inlineStr">
        <is>
          <t>Bomba centrífuga agua PU0358</t>
        </is>
      </c>
      <c r="D4188" s="2" t="n">
        <v>1396</v>
      </c>
      <c r="E4188" s="2" t="inlineStr">
        <is>
          <t>CC-3000</t>
        </is>
      </c>
      <c r="F4188" s="2" t="inlineStr">
        <is>
          <t>P01</t>
        </is>
      </c>
      <c r="G4188" s="2" t="n">
        <v>620000</v>
      </c>
      <c r="H4188" s="2" t="inlineStr">
        <is>
          <t>Materiales</t>
        </is>
      </c>
      <c r="I4188" s="9" t="n">
        <v>1416.38</v>
      </c>
      <c r="J4188" s="9" t="n">
        <v>1258.52</v>
      </c>
      <c r="K4188" s="9" t="n">
        <v>1470.17</v>
      </c>
      <c r="L4188" s="9" t="n">
        <v>1491.25</v>
      </c>
      <c r="M4188" s="9" t="n">
        <v>1392.59</v>
      </c>
      <c r="N4188" s="9" t="n">
        <v>1371.51</v>
      </c>
      <c r="O4188" s="9" t="n">
        <v>1297.67</v>
      </c>
      <c r="P4188" s="9" t="n">
        <v>1434.82</v>
      </c>
      <c r="Q4188" s="9" t="n">
        <v>1315.73</v>
      </c>
      <c r="R4188" s="9" t="n">
        <v>1456.46</v>
      </c>
      <c r="S4188" s="9" t="n">
        <v>1383.59</v>
      </c>
      <c r="T4188" s="9" t="n">
        <v>1441.49</v>
      </c>
      <c r="U4188" s="10">
        <f>SUM(I4188:T4188)</f>
        <v/>
      </c>
    </row>
    <row r="4189">
      <c r="A4189" s="2" t="inlineStr">
        <is>
          <t>SN-3000-3900-3910-3910PU0358</t>
        </is>
      </c>
      <c r="B4189" s="2" t="inlineStr">
        <is>
          <t>3910PU0358</t>
        </is>
      </c>
      <c r="C4189" s="2" t="inlineStr">
        <is>
          <t>Bomba centrífuga agua PU0358</t>
        </is>
      </c>
      <c r="D4189" s="2" t="n">
        <v>1396</v>
      </c>
      <c r="E4189" s="2" t="inlineStr">
        <is>
          <t>CC-3000</t>
        </is>
      </c>
      <c r="F4189" s="2" t="inlineStr">
        <is>
          <t>P01</t>
        </is>
      </c>
      <c r="G4189" s="2" t="n">
        <v>630000</v>
      </c>
      <c r="H4189" s="2" t="inlineStr">
        <is>
          <t>Servicios externos</t>
        </is>
      </c>
      <c r="I4189" s="9" t="n">
        <v>1304.5</v>
      </c>
      <c r="J4189" s="9" t="n">
        <v>1282.54</v>
      </c>
      <c r="K4189" s="9" t="n">
        <v>1497.93</v>
      </c>
      <c r="L4189" s="9" t="n">
        <v>1361.1</v>
      </c>
      <c r="M4189" s="9" t="n">
        <v>1238.32</v>
      </c>
      <c r="N4189" s="9" t="n">
        <v>1369.18</v>
      </c>
      <c r="O4189" s="9" t="n">
        <v>1276.28</v>
      </c>
      <c r="P4189" s="9" t="n">
        <v>1324.38</v>
      </c>
      <c r="Q4189" s="9" t="n">
        <v>1208.59</v>
      </c>
      <c r="R4189" s="9" t="n">
        <v>1559.47</v>
      </c>
      <c r="S4189" s="9" t="n">
        <v>1277.74</v>
      </c>
      <c r="T4189" s="9" t="n">
        <v>1411.76</v>
      </c>
      <c r="U4189" s="10">
        <f>SUM(I4189:T4189)</f>
        <v/>
      </c>
    </row>
    <row r="4190">
      <c r="A4190" s="2" t="inlineStr">
        <is>
          <t>SN-4000-4300-4300-4300AR0013</t>
        </is>
      </c>
      <c r="B4190" s="2" t="inlineStr">
        <is>
          <t>4300AR0013</t>
        </is>
      </c>
      <c r="C4190" s="2" t="inlineStr">
        <is>
          <t>Acumulador aire AR0013</t>
        </is>
      </c>
      <c r="D4190" s="2" t="n">
        <v>1397</v>
      </c>
      <c r="E4190" s="2" t="inlineStr">
        <is>
          <t>CC-4000</t>
        </is>
      </c>
      <c r="F4190" s="2" t="inlineStr">
        <is>
          <t>P01</t>
        </is>
      </c>
      <c r="G4190" s="2" t="n">
        <v>610000</v>
      </c>
      <c r="H4190" s="2" t="inlineStr">
        <is>
          <t>Mano obra interna</t>
        </is>
      </c>
      <c r="I4190" s="9" t="n">
        <v>572.8200000000001</v>
      </c>
      <c r="J4190" s="9" t="n">
        <v>585.1900000000001</v>
      </c>
      <c r="K4190" s="9" t="n">
        <v>613.5599999999999</v>
      </c>
      <c r="L4190" s="9" t="n">
        <v>667.23</v>
      </c>
      <c r="M4190" s="9" t="n">
        <v>629.04</v>
      </c>
      <c r="N4190" s="9" t="n">
        <v>611.83</v>
      </c>
      <c r="O4190" s="9" t="n">
        <v>587.6</v>
      </c>
      <c r="P4190" s="9" t="n">
        <v>588.4</v>
      </c>
      <c r="Q4190" s="9" t="n">
        <v>564.96</v>
      </c>
      <c r="R4190" s="9" t="n">
        <v>666.5599999999999</v>
      </c>
      <c r="S4190" s="9" t="n">
        <v>607.47</v>
      </c>
      <c r="T4190" s="9" t="n">
        <v>645.92</v>
      </c>
      <c r="U4190" s="10">
        <f>SUM(I4190:T4190)</f>
        <v/>
      </c>
    </row>
    <row r="4191">
      <c r="A4191" s="2" t="inlineStr">
        <is>
          <t>SN-4000-4300-4300-4300AR0013</t>
        </is>
      </c>
      <c r="B4191" s="2" t="inlineStr">
        <is>
          <t>4300AR0013</t>
        </is>
      </c>
      <c r="C4191" s="2" t="inlineStr">
        <is>
          <t>Acumulador aire AR0013</t>
        </is>
      </c>
      <c r="D4191" s="2" t="n">
        <v>1397</v>
      </c>
      <c r="E4191" s="2" t="inlineStr">
        <is>
          <t>CC-4000</t>
        </is>
      </c>
      <c r="F4191" s="2" t="inlineStr">
        <is>
          <t>P01</t>
        </is>
      </c>
      <c r="G4191" s="2" t="n">
        <v>620000</v>
      </c>
      <c r="H4191" s="2" t="inlineStr">
        <is>
          <t>Materiales</t>
        </is>
      </c>
      <c r="I4191" s="9" t="n">
        <v>600.55</v>
      </c>
      <c r="J4191" s="9" t="n">
        <v>656.78</v>
      </c>
      <c r="K4191" s="9" t="n">
        <v>668.51</v>
      </c>
      <c r="L4191" s="9" t="n">
        <v>654.09</v>
      </c>
      <c r="M4191" s="9" t="n">
        <v>643.08</v>
      </c>
      <c r="N4191" s="9" t="n">
        <v>645.9400000000001</v>
      </c>
      <c r="O4191" s="9" t="n">
        <v>641.62</v>
      </c>
      <c r="P4191" s="9" t="n">
        <v>601.85</v>
      </c>
      <c r="Q4191" s="9" t="n">
        <v>586.7</v>
      </c>
      <c r="R4191" s="9" t="n">
        <v>733.28</v>
      </c>
      <c r="S4191" s="9" t="n">
        <v>647.39</v>
      </c>
      <c r="T4191" s="9" t="n">
        <v>615.46</v>
      </c>
      <c r="U4191" s="10">
        <f>SUM(I4191:T4191)</f>
        <v/>
      </c>
    </row>
    <row r="4192">
      <c r="A4192" s="2" t="inlineStr">
        <is>
          <t>SN-4000-4300-4300-4300AR0013</t>
        </is>
      </c>
      <c r="B4192" s="2" t="inlineStr">
        <is>
          <t>4300AR0013</t>
        </is>
      </c>
      <c r="C4192" s="2" t="inlineStr">
        <is>
          <t>Acumulador aire AR0013</t>
        </is>
      </c>
      <c r="D4192" s="2" t="n">
        <v>1397</v>
      </c>
      <c r="E4192" s="2" t="inlineStr">
        <is>
          <t>CC-4000</t>
        </is>
      </c>
      <c r="F4192" s="2" t="inlineStr">
        <is>
          <t>P01</t>
        </is>
      </c>
      <c r="G4192" s="2" t="n">
        <v>630000</v>
      </c>
      <c r="H4192" s="2" t="inlineStr">
        <is>
          <t>Servicios externos</t>
        </is>
      </c>
      <c r="I4192" s="9" t="n">
        <v>615.3099999999999</v>
      </c>
      <c r="J4192" s="9" t="n">
        <v>602.74</v>
      </c>
      <c r="K4192" s="9" t="n">
        <v>643.83</v>
      </c>
      <c r="L4192" s="9" t="n">
        <v>634.97</v>
      </c>
      <c r="M4192" s="9" t="n">
        <v>573.97</v>
      </c>
      <c r="N4192" s="9" t="n">
        <v>625.9400000000001</v>
      </c>
      <c r="O4192" s="9" t="n">
        <v>662.27</v>
      </c>
      <c r="P4192" s="9" t="n">
        <v>629.84</v>
      </c>
      <c r="Q4192" s="9" t="n">
        <v>553.3</v>
      </c>
      <c r="R4192" s="9" t="n">
        <v>649.12</v>
      </c>
      <c r="S4192" s="9" t="n">
        <v>570.87</v>
      </c>
      <c r="T4192" s="9" t="n">
        <v>602.86</v>
      </c>
      <c r="U4192" s="10">
        <f>SUM(I4192:T4192)</f>
        <v/>
      </c>
    </row>
    <row r="4193">
      <c r="A4193" s="2" t="inlineStr">
        <is>
          <t>SN-4000-4300-4300-4300AR0014</t>
        </is>
      </c>
      <c r="B4193" s="2" t="inlineStr">
        <is>
          <t>4300AR0014</t>
        </is>
      </c>
      <c r="C4193" s="2" t="inlineStr">
        <is>
          <t>Acumulador aire AR0014</t>
        </is>
      </c>
      <c r="D4193" s="2" t="n">
        <v>1398</v>
      </c>
      <c r="E4193" s="2" t="inlineStr">
        <is>
          <t>CC-4000</t>
        </is>
      </c>
      <c r="F4193" s="2" t="inlineStr">
        <is>
          <t>P01</t>
        </is>
      </c>
      <c r="G4193" s="2" t="n">
        <v>610000</v>
      </c>
      <c r="H4193" s="2" t="inlineStr">
        <is>
          <t>Mano obra interna</t>
        </is>
      </c>
      <c r="I4193" s="9" t="n">
        <v>863.23</v>
      </c>
      <c r="J4193" s="9" t="n">
        <v>783.45</v>
      </c>
      <c r="K4193" s="9" t="n">
        <v>840.79</v>
      </c>
      <c r="L4193" s="9" t="n">
        <v>929.35</v>
      </c>
      <c r="M4193" s="9" t="n">
        <v>840.76</v>
      </c>
      <c r="N4193" s="9" t="n">
        <v>813.05</v>
      </c>
      <c r="O4193" s="9" t="n">
        <v>852.16</v>
      </c>
      <c r="P4193" s="9" t="n">
        <v>794.98</v>
      </c>
      <c r="Q4193" s="9" t="n">
        <v>849.08</v>
      </c>
      <c r="R4193" s="9" t="n">
        <v>854</v>
      </c>
      <c r="S4193" s="9" t="n">
        <v>847.48</v>
      </c>
      <c r="T4193" s="9" t="n">
        <v>799.97</v>
      </c>
      <c r="U4193" s="10">
        <f>SUM(I4193:T4193)</f>
        <v/>
      </c>
    </row>
    <row r="4194">
      <c r="A4194" s="2" t="inlineStr">
        <is>
          <t>SN-4000-4300-4300-4300AR0014</t>
        </is>
      </c>
      <c r="B4194" s="2" t="inlineStr">
        <is>
          <t>4300AR0014</t>
        </is>
      </c>
      <c r="C4194" s="2" t="inlineStr">
        <is>
          <t>Acumulador aire AR0014</t>
        </is>
      </c>
      <c r="D4194" s="2" t="n">
        <v>1398</v>
      </c>
      <c r="E4194" s="2" t="inlineStr">
        <is>
          <t>CC-4000</t>
        </is>
      </c>
      <c r="F4194" s="2" t="inlineStr">
        <is>
          <t>P01</t>
        </is>
      </c>
      <c r="G4194" s="2" t="n">
        <v>620000</v>
      </c>
      <c r="H4194" s="2" t="inlineStr">
        <is>
          <t>Materiales</t>
        </is>
      </c>
      <c r="I4194" s="9" t="n">
        <v>776.29</v>
      </c>
      <c r="J4194" s="9" t="n">
        <v>734.14</v>
      </c>
      <c r="K4194" s="9" t="n">
        <v>717.84</v>
      </c>
      <c r="L4194" s="9" t="n">
        <v>736.49</v>
      </c>
      <c r="M4194" s="9" t="n">
        <v>669.46</v>
      </c>
      <c r="N4194" s="9" t="n">
        <v>733.2</v>
      </c>
      <c r="O4194" s="9" t="n">
        <v>738.9299999999999</v>
      </c>
      <c r="P4194" s="9" t="n">
        <v>699.83</v>
      </c>
      <c r="Q4194" s="9" t="n">
        <v>645.95</v>
      </c>
      <c r="R4194" s="9" t="n">
        <v>738.55</v>
      </c>
      <c r="S4194" s="9" t="n">
        <v>723.63</v>
      </c>
      <c r="T4194" s="9" t="n">
        <v>717.76</v>
      </c>
      <c r="U4194" s="10">
        <f>SUM(I4194:T4194)</f>
        <v/>
      </c>
    </row>
    <row r="4195">
      <c r="A4195" s="2" t="inlineStr">
        <is>
          <t>SN-4000-4300-4300-4300AR0014</t>
        </is>
      </c>
      <c r="B4195" s="2" t="inlineStr">
        <is>
          <t>4300AR0014</t>
        </is>
      </c>
      <c r="C4195" s="2" t="inlineStr">
        <is>
          <t>Acumulador aire AR0014</t>
        </is>
      </c>
      <c r="D4195" s="2" t="n">
        <v>1398</v>
      </c>
      <c r="E4195" s="2" t="inlineStr">
        <is>
          <t>CC-4000</t>
        </is>
      </c>
      <c r="F4195" s="2" t="inlineStr">
        <is>
          <t>P01</t>
        </is>
      </c>
      <c r="G4195" s="2" t="n">
        <v>630000</v>
      </c>
      <c r="H4195" s="2" t="inlineStr">
        <is>
          <t>Servicios externos</t>
        </is>
      </c>
      <c r="I4195" s="9" t="n">
        <v>778.8200000000001</v>
      </c>
      <c r="J4195" s="9" t="n">
        <v>666.13</v>
      </c>
      <c r="K4195" s="9" t="n">
        <v>711.21</v>
      </c>
      <c r="L4195" s="9" t="n">
        <v>714.0700000000001</v>
      </c>
      <c r="M4195" s="9" t="n">
        <v>681.8099999999999</v>
      </c>
      <c r="N4195" s="9" t="n">
        <v>694.35</v>
      </c>
      <c r="O4195" s="9" t="n">
        <v>728.38</v>
      </c>
      <c r="P4195" s="9" t="n">
        <v>664.9299999999999</v>
      </c>
      <c r="Q4195" s="9" t="n">
        <v>629.01</v>
      </c>
      <c r="R4195" s="9" t="n">
        <v>735.38</v>
      </c>
      <c r="S4195" s="9" t="n">
        <v>645.9</v>
      </c>
      <c r="T4195" s="9" t="n">
        <v>683.45</v>
      </c>
      <c r="U4195" s="10">
        <f>SUM(I4195:T4195)</f>
        <v/>
      </c>
    </row>
    <row r="4196">
      <c r="A4196" s="2" t="inlineStr">
        <is>
          <t>SN-4000-4300-4300-4300DR0005</t>
        </is>
      </c>
      <c r="B4196" s="2" t="inlineStr">
        <is>
          <t>4300DR0005</t>
        </is>
      </c>
      <c r="C4196" s="2" t="inlineStr">
        <is>
          <t>Secador aire DR0005</t>
        </is>
      </c>
      <c r="D4196" s="2" t="n">
        <v>1399</v>
      </c>
      <c r="E4196" s="2" t="inlineStr">
        <is>
          <t>CC-4000</t>
        </is>
      </c>
      <c r="F4196" s="2" t="inlineStr">
        <is>
          <t>P01</t>
        </is>
      </c>
      <c r="G4196" s="2" t="n">
        <v>610000</v>
      </c>
      <c r="H4196" s="2" t="inlineStr">
        <is>
          <t>Mano obra interna</t>
        </is>
      </c>
      <c r="I4196" s="9" t="n">
        <v>2085.01</v>
      </c>
      <c r="J4196" s="9" t="n">
        <v>2158.58</v>
      </c>
      <c r="K4196" s="9" t="n">
        <v>2062.91</v>
      </c>
      <c r="L4196" s="9" t="n">
        <v>2198.55</v>
      </c>
      <c r="M4196" s="9" t="n">
        <v>1925.89</v>
      </c>
      <c r="N4196" s="9" t="n">
        <v>2052.85</v>
      </c>
      <c r="O4196" s="9" t="n">
        <v>2193.9</v>
      </c>
      <c r="P4196" s="9" t="n">
        <v>2127.69</v>
      </c>
      <c r="Q4196" s="9" t="n">
        <v>1856.27</v>
      </c>
      <c r="R4196" s="9" t="n">
        <v>2197.11</v>
      </c>
      <c r="S4196" s="9" t="n">
        <v>2126.27</v>
      </c>
      <c r="T4196" s="9" t="n">
        <v>2102.12</v>
      </c>
      <c r="U4196" s="10">
        <f>SUM(I4196:T4196)</f>
        <v/>
      </c>
    </row>
    <row r="4197">
      <c r="A4197" s="2" t="inlineStr">
        <is>
          <t>SN-4000-4300-4300-4300DR0005</t>
        </is>
      </c>
      <c r="B4197" s="2" t="inlineStr">
        <is>
          <t>4300DR0005</t>
        </is>
      </c>
      <c r="C4197" s="2" t="inlineStr">
        <is>
          <t>Secador aire DR0005</t>
        </is>
      </c>
      <c r="D4197" s="2" t="n">
        <v>1399</v>
      </c>
      <c r="E4197" s="2" t="inlineStr">
        <is>
          <t>CC-4000</t>
        </is>
      </c>
      <c r="F4197" s="2" t="inlineStr">
        <is>
          <t>P01</t>
        </is>
      </c>
      <c r="G4197" s="2" t="n">
        <v>620000</v>
      </c>
      <c r="H4197" s="2" t="inlineStr">
        <is>
          <t>Materiales</t>
        </is>
      </c>
      <c r="I4197" s="9" t="n">
        <v>2219.81</v>
      </c>
      <c r="J4197" s="9" t="n">
        <v>2046.91</v>
      </c>
      <c r="K4197" s="9" t="n">
        <v>2200.66</v>
      </c>
      <c r="L4197" s="9" t="n">
        <v>1920.39</v>
      </c>
      <c r="M4197" s="9" t="n">
        <v>1960.91</v>
      </c>
      <c r="N4197" s="9" t="n">
        <v>1931.56</v>
      </c>
      <c r="O4197" s="9" t="n">
        <v>2063.07</v>
      </c>
      <c r="P4197" s="9" t="n">
        <v>1931.36</v>
      </c>
      <c r="Q4197" s="9" t="n">
        <v>1892.49</v>
      </c>
      <c r="R4197" s="9" t="n">
        <v>2258.32</v>
      </c>
      <c r="S4197" s="9" t="n">
        <v>1920.19</v>
      </c>
      <c r="T4197" s="9" t="n">
        <v>2127.1</v>
      </c>
      <c r="U4197" s="10">
        <f>SUM(I4197:T4197)</f>
        <v/>
      </c>
    </row>
    <row r="4198">
      <c r="A4198" s="2" t="inlineStr">
        <is>
          <t>SN-4000-4300-4300-4300DR0005</t>
        </is>
      </c>
      <c r="B4198" s="2" t="inlineStr">
        <is>
          <t>4300DR0005</t>
        </is>
      </c>
      <c r="C4198" s="2" t="inlineStr">
        <is>
          <t>Secador aire DR0005</t>
        </is>
      </c>
      <c r="D4198" s="2" t="n">
        <v>1399</v>
      </c>
      <c r="E4198" s="2" t="inlineStr">
        <is>
          <t>CC-4000</t>
        </is>
      </c>
      <c r="F4198" s="2" t="inlineStr">
        <is>
          <t>P01</t>
        </is>
      </c>
      <c r="G4198" s="2" t="n">
        <v>630000</v>
      </c>
      <c r="H4198" s="2" t="inlineStr">
        <is>
          <t>Servicios externos</t>
        </is>
      </c>
      <c r="I4198" s="9" t="n">
        <v>2150.56</v>
      </c>
      <c r="J4198" s="9" t="n">
        <v>1962.94</v>
      </c>
      <c r="K4198" s="9" t="n">
        <v>2236.83</v>
      </c>
      <c r="L4198" s="9" t="n">
        <v>2068.21</v>
      </c>
      <c r="M4198" s="9" t="n">
        <v>2205.33</v>
      </c>
      <c r="N4198" s="9" t="n">
        <v>2041.29</v>
      </c>
      <c r="O4198" s="9" t="n">
        <v>2138.37</v>
      </c>
      <c r="P4198" s="9" t="n">
        <v>2255.02</v>
      </c>
      <c r="Q4198" s="9" t="n">
        <v>1865.79</v>
      </c>
      <c r="R4198" s="9" t="n">
        <v>2294.06</v>
      </c>
      <c r="S4198" s="9" t="n">
        <v>2010.76</v>
      </c>
      <c r="T4198" s="9" t="n">
        <v>2308.72</v>
      </c>
      <c r="U4198" s="10">
        <f>SUM(I4198:T4198)</f>
        <v/>
      </c>
    </row>
    <row r="4199">
      <c r="A4199" s="2" t="inlineStr">
        <is>
          <t>SN-4000-4400-44ER-4400BA0001</t>
        </is>
      </c>
      <c r="B4199" s="2" t="inlineStr">
        <is>
          <t>4400BA0001</t>
        </is>
      </c>
      <c r="C4199" s="2" t="inlineStr">
        <is>
          <t>Banco baterías BA0001</t>
        </is>
      </c>
      <c r="D4199" s="2" t="n">
        <v>1400</v>
      </c>
      <c r="E4199" s="2" t="inlineStr">
        <is>
          <t>CC-4000</t>
        </is>
      </c>
      <c r="F4199" s="2" t="inlineStr">
        <is>
          <t>P01</t>
        </is>
      </c>
      <c r="G4199" s="2" t="n">
        <v>610000</v>
      </c>
      <c r="H4199" s="2" t="inlineStr">
        <is>
          <t>Mano obra interna</t>
        </is>
      </c>
      <c r="I4199" s="9" t="n">
        <v>2107.86</v>
      </c>
      <c r="J4199" s="9" t="n">
        <v>1860.63</v>
      </c>
      <c r="K4199" s="9" t="n">
        <v>1959.88</v>
      </c>
      <c r="L4199" s="9" t="n">
        <v>1874.15</v>
      </c>
      <c r="M4199" s="9" t="n">
        <v>2006.11</v>
      </c>
      <c r="N4199" s="9" t="n">
        <v>1856.81</v>
      </c>
      <c r="O4199" s="9" t="n">
        <v>1924.35</v>
      </c>
      <c r="P4199" s="9" t="n">
        <v>2025.08</v>
      </c>
      <c r="Q4199" s="9" t="n">
        <v>1943.12</v>
      </c>
      <c r="R4199" s="9" t="n">
        <v>2013.07</v>
      </c>
      <c r="S4199" s="9" t="n">
        <v>2048.38</v>
      </c>
      <c r="T4199" s="9" t="n">
        <v>1862.59</v>
      </c>
      <c r="U4199" s="10">
        <f>SUM(I4199:T4199)</f>
        <v/>
      </c>
    </row>
    <row r="4200">
      <c r="A4200" s="2" t="inlineStr">
        <is>
          <t>SN-4000-4400-44ER-4400BA0001</t>
        </is>
      </c>
      <c r="B4200" s="2" t="inlineStr">
        <is>
          <t>4400BA0001</t>
        </is>
      </c>
      <c r="C4200" s="2" t="inlineStr">
        <is>
          <t>Banco baterías BA0001</t>
        </is>
      </c>
      <c r="D4200" s="2" t="n">
        <v>1400</v>
      </c>
      <c r="E4200" s="2" t="inlineStr">
        <is>
          <t>CC-4000</t>
        </is>
      </c>
      <c r="F4200" s="2" t="inlineStr">
        <is>
          <t>P01</t>
        </is>
      </c>
      <c r="G4200" s="2" t="n">
        <v>620000</v>
      </c>
      <c r="H4200" s="2" t="inlineStr">
        <is>
          <t>Materiales</t>
        </is>
      </c>
      <c r="I4200" s="9" t="n">
        <v>1633.02</v>
      </c>
      <c r="J4200" s="9" t="n">
        <v>1492.85</v>
      </c>
      <c r="K4200" s="9" t="n">
        <v>1675.62</v>
      </c>
      <c r="L4200" s="9" t="n">
        <v>1541.51</v>
      </c>
      <c r="M4200" s="9" t="n">
        <v>1604.27</v>
      </c>
      <c r="N4200" s="9" t="n">
        <v>1390.46</v>
      </c>
      <c r="O4200" s="9" t="n">
        <v>1546.55</v>
      </c>
      <c r="P4200" s="9" t="n">
        <v>1636.41</v>
      </c>
      <c r="Q4200" s="9" t="n">
        <v>1384.66</v>
      </c>
      <c r="R4200" s="9" t="n">
        <v>1506.04</v>
      </c>
      <c r="S4200" s="9" t="n">
        <v>1366.63</v>
      </c>
      <c r="T4200" s="9" t="n">
        <v>1628.58</v>
      </c>
      <c r="U4200" s="10">
        <f>SUM(I4200:T4200)</f>
        <v/>
      </c>
    </row>
    <row r="4201">
      <c r="A4201" s="2" t="inlineStr">
        <is>
          <t>SN-4000-4400-44ER-4400BA0001</t>
        </is>
      </c>
      <c r="B4201" s="2" t="inlineStr">
        <is>
          <t>4400BA0001</t>
        </is>
      </c>
      <c r="C4201" s="2" t="inlineStr">
        <is>
          <t>Banco baterías BA0001</t>
        </is>
      </c>
      <c r="D4201" s="2" t="n">
        <v>1400</v>
      </c>
      <c r="E4201" s="2" t="inlineStr">
        <is>
          <t>CC-4000</t>
        </is>
      </c>
      <c r="F4201" s="2" t="inlineStr">
        <is>
          <t>P01</t>
        </is>
      </c>
      <c r="G4201" s="2" t="n">
        <v>630000</v>
      </c>
      <c r="H4201" s="2" t="inlineStr">
        <is>
          <t>Servicios externos</t>
        </is>
      </c>
      <c r="I4201" s="9" t="n">
        <v>1780.43</v>
      </c>
      <c r="J4201" s="9" t="n">
        <v>1789.44</v>
      </c>
      <c r="K4201" s="9" t="n">
        <v>1877.92</v>
      </c>
      <c r="L4201" s="9" t="n">
        <v>1765.71</v>
      </c>
      <c r="M4201" s="9" t="n">
        <v>1814.26</v>
      </c>
      <c r="N4201" s="9" t="n">
        <v>1649.34</v>
      </c>
      <c r="O4201" s="9" t="n">
        <v>1783.25</v>
      </c>
      <c r="P4201" s="9" t="n">
        <v>1603.23</v>
      </c>
      <c r="Q4201" s="9" t="n">
        <v>1520.55</v>
      </c>
      <c r="R4201" s="9" t="n">
        <v>1975</v>
      </c>
      <c r="S4201" s="9" t="n">
        <v>1628.32</v>
      </c>
      <c r="T4201" s="9" t="n">
        <v>1713.1</v>
      </c>
      <c r="U4201" s="10">
        <f>SUM(I4201:T4201)</f>
        <v/>
      </c>
    </row>
    <row r="4202">
      <c r="A4202" s="2" t="inlineStr">
        <is>
          <t>SN-4000-4400-44ER-4400BC0001</t>
        </is>
      </c>
      <c r="B4202" s="2" t="inlineStr">
        <is>
          <t>4400BC0001</t>
        </is>
      </c>
      <c r="C4202" s="2" t="inlineStr">
        <is>
          <t>Cargador baterías BC0001</t>
        </is>
      </c>
      <c r="D4202" s="2" t="n">
        <v>1401</v>
      </c>
      <c r="E4202" s="2" t="inlineStr">
        <is>
          <t>CC-4000</t>
        </is>
      </c>
      <c r="F4202" s="2" t="inlineStr">
        <is>
          <t>P01</t>
        </is>
      </c>
      <c r="G4202" s="2" t="n">
        <v>610000</v>
      </c>
      <c r="H4202" s="2" t="inlineStr">
        <is>
          <t>Mano obra interna</t>
        </is>
      </c>
      <c r="I4202" s="9" t="n">
        <v>1394.85</v>
      </c>
      <c r="J4202" s="9" t="n">
        <v>1237.4</v>
      </c>
      <c r="K4202" s="9" t="n">
        <v>1448.1</v>
      </c>
      <c r="L4202" s="9" t="n">
        <v>1401.93</v>
      </c>
      <c r="M4202" s="9" t="n">
        <v>1408.27</v>
      </c>
      <c r="N4202" s="9" t="n">
        <v>1294.59</v>
      </c>
      <c r="O4202" s="9" t="n">
        <v>1328.58</v>
      </c>
      <c r="P4202" s="9" t="n">
        <v>1317.73</v>
      </c>
      <c r="Q4202" s="9" t="n">
        <v>1153.98</v>
      </c>
      <c r="R4202" s="9" t="n">
        <v>1345.11</v>
      </c>
      <c r="S4202" s="9" t="n">
        <v>1226.52</v>
      </c>
      <c r="T4202" s="9" t="n">
        <v>1460.34</v>
      </c>
      <c r="U4202" s="10">
        <f>SUM(I4202:T4202)</f>
        <v/>
      </c>
    </row>
    <row r="4203">
      <c r="A4203" s="2" t="inlineStr">
        <is>
          <t>SN-4000-4400-44ER-4400BC0001</t>
        </is>
      </c>
      <c r="B4203" s="2" t="inlineStr">
        <is>
          <t>4400BC0001</t>
        </is>
      </c>
      <c r="C4203" s="2" t="inlineStr">
        <is>
          <t>Cargador baterías BC0001</t>
        </is>
      </c>
      <c r="D4203" s="2" t="n">
        <v>1401</v>
      </c>
      <c r="E4203" s="2" t="inlineStr">
        <is>
          <t>CC-4000</t>
        </is>
      </c>
      <c r="F4203" s="2" t="inlineStr">
        <is>
          <t>P01</t>
        </is>
      </c>
      <c r="G4203" s="2" t="n">
        <v>620000</v>
      </c>
      <c r="H4203" s="2" t="inlineStr">
        <is>
          <t>Materiales</t>
        </is>
      </c>
      <c r="I4203" s="9" t="n">
        <v>1413.72</v>
      </c>
      <c r="J4203" s="9" t="n">
        <v>1294.68</v>
      </c>
      <c r="K4203" s="9" t="n">
        <v>1348.38</v>
      </c>
      <c r="L4203" s="9" t="n">
        <v>1360.77</v>
      </c>
      <c r="M4203" s="9" t="n">
        <v>1460.81</v>
      </c>
      <c r="N4203" s="9" t="n">
        <v>1329.16</v>
      </c>
      <c r="O4203" s="9" t="n">
        <v>1453.53</v>
      </c>
      <c r="P4203" s="9" t="n">
        <v>1385.94</v>
      </c>
      <c r="Q4203" s="9" t="n">
        <v>1312.29</v>
      </c>
      <c r="R4203" s="9" t="n">
        <v>1520.45</v>
      </c>
      <c r="S4203" s="9" t="n">
        <v>1240.66</v>
      </c>
      <c r="T4203" s="9" t="n">
        <v>1393.73</v>
      </c>
      <c r="U4203" s="10">
        <f>SUM(I4203:T4203)</f>
        <v/>
      </c>
    </row>
    <row r="4204">
      <c r="A4204" s="2" t="inlineStr">
        <is>
          <t>SN-4000-4400-44ER-4400BC0001</t>
        </is>
      </c>
      <c r="B4204" s="2" t="inlineStr">
        <is>
          <t>4400BC0001</t>
        </is>
      </c>
      <c r="C4204" s="2" t="inlineStr">
        <is>
          <t>Cargador baterías BC0001</t>
        </is>
      </c>
      <c r="D4204" s="2" t="n">
        <v>1401</v>
      </c>
      <c r="E4204" s="2" t="inlineStr">
        <is>
          <t>CC-4000</t>
        </is>
      </c>
      <c r="F4204" s="2" t="inlineStr">
        <is>
          <t>P01</t>
        </is>
      </c>
      <c r="G4204" s="2" t="n">
        <v>630000</v>
      </c>
      <c r="H4204" s="2" t="inlineStr">
        <is>
          <t>Servicios externos</t>
        </is>
      </c>
      <c r="I4204" s="9" t="n">
        <v>1417.32</v>
      </c>
      <c r="J4204" s="9" t="n">
        <v>1355.57</v>
      </c>
      <c r="K4204" s="9" t="n">
        <v>1440.91</v>
      </c>
      <c r="L4204" s="9" t="n">
        <v>1394.35</v>
      </c>
      <c r="M4204" s="9" t="n">
        <v>1379.81</v>
      </c>
      <c r="N4204" s="9" t="n">
        <v>1252.12</v>
      </c>
      <c r="O4204" s="9" t="n">
        <v>1495.61</v>
      </c>
      <c r="P4204" s="9" t="n">
        <v>1286.17</v>
      </c>
      <c r="Q4204" s="9" t="n">
        <v>1291.19</v>
      </c>
      <c r="R4204" s="9" t="n">
        <v>1430.28</v>
      </c>
      <c r="S4204" s="9" t="n">
        <v>1251.25</v>
      </c>
      <c r="T4204" s="9" t="n">
        <v>1445.72</v>
      </c>
      <c r="U4204" s="10">
        <f>SUM(I4204:T4204)</f>
        <v/>
      </c>
    </row>
    <row r="4205">
      <c r="A4205" s="2" t="inlineStr">
        <is>
          <t>SN-4000-4400-44ER-4400BC0002</t>
        </is>
      </c>
      <c r="B4205" s="2" t="inlineStr">
        <is>
          <t>4400BC0002</t>
        </is>
      </c>
      <c r="C4205" s="2" t="inlineStr">
        <is>
          <t>Cargador baterías BC0002</t>
        </is>
      </c>
      <c r="D4205" s="2" t="n">
        <v>1402</v>
      </c>
      <c r="E4205" s="2" t="inlineStr">
        <is>
          <t>CC-4000</t>
        </is>
      </c>
      <c r="F4205" s="2" t="inlineStr">
        <is>
          <t>P01</t>
        </is>
      </c>
      <c r="G4205" s="2" t="n">
        <v>610000</v>
      </c>
      <c r="H4205" s="2" t="inlineStr">
        <is>
          <t>Mano obra interna</t>
        </is>
      </c>
      <c r="I4205" s="9" t="n">
        <v>1369.04</v>
      </c>
      <c r="J4205" s="9" t="n">
        <v>1220.07</v>
      </c>
      <c r="K4205" s="9" t="n">
        <v>1328.98</v>
      </c>
      <c r="L4205" s="9" t="n">
        <v>1223.07</v>
      </c>
      <c r="M4205" s="9" t="n">
        <v>1282.71</v>
      </c>
      <c r="N4205" s="9" t="n">
        <v>1153.92</v>
      </c>
      <c r="O4205" s="9" t="n">
        <v>1350.98</v>
      </c>
      <c r="P4205" s="9" t="n">
        <v>1197.22</v>
      </c>
      <c r="Q4205" s="9" t="n">
        <v>1106.21</v>
      </c>
      <c r="R4205" s="9" t="n">
        <v>1471.17</v>
      </c>
      <c r="S4205" s="9" t="n">
        <v>1336.8</v>
      </c>
      <c r="T4205" s="9" t="n">
        <v>1222.16</v>
      </c>
      <c r="U4205" s="10">
        <f>SUM(I4205:T4205)</f>
        <v/>
      </c>
    </row>
    <row r="4206">
      <c r="A4206" s="2" t="inlineStr">
        <is>
          <t>SN-4000-4400-44ER-4400BC0002</t>
        </is>
      </c>
      <c r="B4206" s="2" t="inlineStr">
        <is>
          <t>4400BC0002</t>
        </is>
      </c>
      <c r="C4206" s="2" t="inlineStr">
        <is>
          <t>Cargador baterías BC0002</t>
        </is>
      </c>
      <c r="D4206" s="2" t="n">
        <v>1402</v>
      </c>
      <c r="E4206" s="2" t="inlineStr">
        <is>
          <t>CC-4000</t>
        </is>
      </c>
      <c r="F4206" s="2" t="inlineStr">
        <is>
          <t>P01</t>
        </is>
      </c>
      <c r="G4206" s="2" t="n">
        <v>620000</v>
      </c>
      <c r="H4206" s="2" t="inlineStr">
        <is>
          <t>Materiales</t>
        </is>
      </c>
      <c r="I4206" s="9" t="n">
        <v>1057.27</v>
      </c>
      <c r="J4206" s="9" t="n">
        <v>988.26</v>
      </c>
      <c r="K4206" s="9" t="n">
        <v>1102.61</v>
      </c>
      <c r="L4206" s="9" t="n">
        <v>1001.04</v>
      </c>
      <c r="M4206" s="9" t="n">
        <v>908.39</v>
      </c>
      <c r="N4206" s="9" t="n">
        <v>880.0700000000001</v>
      </c>
      <c r="O4206" s="9" t="n">
        <v>1007.93</v>
      </c>
      <c r="P4206" s="9" t="n">
        <v>1036.57</v>
      </c>
      <c r="Q4206" s="9" t="n">
        <v>971.36</v>
      </c>
      <c r="R4206" s="9" t="n">
        <v>1146.13</v>
      </c>
      <c r="S4206" s="9" t="n">
        <v>923.4400000000001</v>
      </c>
      <c r="T4206" s="9" t="n">
        <v>1050.53</v>
      </c>
      <c r="U4206" s="10">
        <f>SUM(I4206:T4206)</f>
        <v/>
      </c>
    </row>
    <row r="4207">
      <c r="A4207" s="2" t="inlineStr">
        <is>
          <t>SN-4000-4400-44ER-4400BC0002</t>
        </is>
      </c>
      <c r="B4207" s="2" t="inlineStr">
        <is>
          <t>4400BC0002</t>
        </is>
      </c>
      <c r="C4207" s="2" t="inlineStr">
        <is>
          <t>Cargador baterías BC0002</t>
        </is>
      </c>
      <c r="D4207" s="2" t="n">
        <v>1402</v>
      </c>
      <c r="E4207" s="2" t="inlineStr">
        <is>
          <t>CC-4000</t>
        </is>
      </c>
      <c r="F4207" s="2" t="inlineStr">
        <is>
          <t>P01</t>
        </is>
      </c>
      <c r="G4207" s="2" t="n">
        <v>630000</v>
      </c>
      <c r="H4207" s="2" t="inlineStr">
        <is>
          <t>Servicios externos</t>
        </is>
      </c>
      <c r="I4207" s="9" t="n">
        <v>1264</v>
      </c>
      <c r="J4207" s="9" t="n">
        <v>1140.8</v>
      </c>
      <c r="K4207" s="9" t="n">
        <v>1236.58</v>
      </c>
      <c r="L4207" s="9" t="n">
        <v>1210.78</v>
      </c>
      <c r="M4207" s="9" t="n">
        <v>1180.95</v>
      </c>
      <c r="N4207" s="9" t="n">
        <v>1084.17</v>
      </c>
      <c r="O4207" s="9" t="n">
        <v>1209.96</v>
      </c>
      <c r="P4207" s="9" t="n">
        <v>1213.54</v>
      </c>
      <c r="Q4207" s="9" t="n">
        <v>1040.54</v>
      </c>
      <c r="R4207" s="9" t="n">
        <v>1255.69</v>
      </c>
      <c r="S4207" s="9" t="n">
        <v>1123.27</v>
      </c>
      <c r="T4207" s="9" t="n">
        <v>1239.91</v>
      </c>
      <c r="U4207" s="10">
        <f>SUM(I4207:T4207)</f>
        <v/>
      </c>
    </row>
    <row r="4208">
      <c r="A4208" s="2" t="inlineStr">
        <is>
          <t>SN-4000-4400-44ER-4400CC0001</t>
        </is>
      </c>
      <c r="B4208" s="2" t="inlineStr">
        <is>
          <t>4400CC0001</t>
        </is>
      </c>
      <c r="C4208" s="2" t="inlineStr">
        <is>
          <t>Tablero de comunicación CC0001</t>
        </is>
      </c>
      <c r="D4208" s="2" t="n">
        <v>1403</v>
      </c>
      <c r="E4208" s="2" t="inlineStr">
        <is>
          <t>CC-4000</t>
        </is>
      </c>
      <c r="F4208" s="2" t="inlineStr">
        <is>
          <t>P01</t>
        </is>
      </c>
      <c r="G4208" s="2" t="n">
        <v>610000</v>
      </c>
      <c r="H4208" s="2" t="inlineStr">
        <is>
          <t>Mano obra interna</t>
        </is>
      </c>
      <c r="I4208" s="9" t="n">
        <v>2532.48</v>
      </c>
      <c r="J4208" s="9" t="n">
        <v>2512.4</v>
      </c>
      <c r="K4208" s="9" t="n">
        <v>2471.57</v>
      </c>
      <c r="L4208" s="9" t="n">
        <v>2436.15</v>
      </c>
      <c r="M4208" s="9" t="n">
        <v>2361.94</v>
      </c>
      <c r="N4208" s="9" t="n">
        <v>2201.62</v>
      </c>
      <c r="O4208" s="9" t="n">
        <v>2567.54</v>
      </c>
      <c r="P4208" s="9" t="n">
        <v>2681.83</v>
      </c>
      <c r="Q4208" s="9" t="n">
        <v>2247.29</v>
      </c>
      <c r="R4208" s="9" t="n">
        <v>2870.24</v>
      </c>
      <c r="S4208" s="9" t="n">
        <v>2451.82</v>
      </c>
      <c r="T4208" s="9" t="n">
        <v>2416</v>
      </c>
      <c r="U4208" s="10">
        <f>SUM(I4208:T4208)</f>
        <v/>
      </c>
    </row>
    <row r="4209">
      <c r="A4209" s="2" t="inlineStr">
        <is>
          <t>SN-4000-4400-44ER-4400CC0001</t>
        </is>
      </c>
      <c r="B4209" s="2" t="inlineStr">
        <is>
          <t>4400CC0001</t>
        </is>
      </c>
      <c r="C4209" s="2" t="inlineStr">
        <is>
          <t>Tablero de comunicación CC0001</t>
        </is>
      </c>
      <c r="D4209" s="2" t="n">
        <v>1403</v>
      </c>
      <c r="E4209" s="2" t="inlineStr">
        <is>
          <t>CC-4000</t>
        </is>
      </c>
      <c r="F4209" s="2" t="inlineStr">
        <is>
          <t>P01</t>
        </is>
      </c>
      <c r="G4209" s="2" t="n">
        <v>620000</v>
      </c>
      <c r="H4209" s="2" t="inlineStr">
        <is>
          <t>Materiales</t>
        </is>
      </c>
      <c r="I4209" s="9" t="n">
        <v>2075.01</v>
      </c>
      <c r="J4209" s="9" t="n">
        <v>1993.47</v>
      </c>
      <c r="K4209" s="9" t="n">
        <v>1936.79</v>
      </c>
      <c r="L4209" s="9" t="n">
        <v>1951.97</v>
      </c>
      <c r="M4209" s="9" t="n">
        <v>2065.78</v>
      </c>
      <c r="N4209" s="9" t="n">
        <v>1773.29</v>
      </c>
      <c r="O4209" s="9" t="n">
        <v>2068.65</v>
      </c>
      <c r="P4209" s="9" t="n">
        <v>1857.15</v>
      </c>
      <c r="Q4209" s="9" t="n">
        <v>1821.41</v>
      </c>
      <c r="R4209" s="9" t="n">
        <v>2115.95</v>
      </c>
      <c r="S4209" s="9" t="n">
        <v>1891.24</v>
      </c>
      <c r="T4209" s="9" t="n">
        <v>1923.96</v>
      </c>
      <c r="U4209" s="10">
        <f>SUM(I4209:T4209)</f>
        <v/>
      </c>
    </row>
    <row r="4210">
      <c r="A4210" s="2" t="inlineStr">
        <is>
          <t>SN-4000-4400-44ER-4400CC0001</t>
        </is>
      </c>
      <c r="B4210" s="2" t="inlineStr">
        <is>
          <t>4400CC0001</t>
        </is>
      </c>
      <c r="C4210" s="2" t="inlineStr">
        <is>
          <t>Tablero de comunicación CC0001</t>
        </is>
      </c>
      <c r="D4210" s="2" t="n">
        <v>1403</v>
      </c>
      <c r="E4210" s="2" t="inlineStr">
        <is>
          <t>CC-4000</t>
        </is>
      </c>
      <c r="F4210" s="2" t="inlineStr">
        <is>
          <t>P01</t>
        </is>
      </c>
      <c r="G4210" s="2" t="n">
        <v>630000</v>
      </c>
      <c r="H4210" s="2" t="inlineStr">
        <is>
          <t>Servicios externos</t>
        </is>
      </c>
      <c r="I4210" s="9" t="n">
        <v>2239.91</v>
      </c>
      <c r="J4210" s="9" t="n">
        <v>2008.47</v>
      </c>
      <c r="K4210" s="9" t="n">
        <v>2220.57</v>
      </c>
      <c r="L4210" s="9" t="n">
        <v>2281.8</v>
      </c>
      <c r="M4210" s="9" t="n">
        <v>2206.27</v>
      </c>
      <c r="N4210" s="9" t="n">
        <v>1914.64</v>
      </c>
      <c r="O4210" s="9" t="n">
        <v>2168.62</v>
      </c>
      <c r="P4210" s="9" t="n">
        <v>2148.28</v>
      </c>
      <c r="Q4210" s="9" t="n">
        <v>1900.37</v>
      </c>
      <c r="R4210" s="9" t="n">
        <v>2241.54</v>
      </c>
      <c r="S4210" s="9" t="n">
        <v>1977.31</v>
      </c>
      <c r="T4210" s="9" t="n">
        <v>2159.4</v>
      </c>
      <c r="U4210" s="10">
        <f>SUM(I4210:T4210)</f>
        <v/>
      </c>
    </row>
    <row r="4211">
      <c r="A4211" s="2" t="inlineStr">
        <is>
          <t>SN-4000-4400-44ER-4400CS0001</t>
        </is>
      </c>
      <c r="B4211" s="2" t="inlineStr">
        <is>
          <t>4400CS0001</t>
        </is>
      </c>
      <c r="C4211" s="2" t="inlineStr">
        <is>
          <t>Panel DCS CS0001</t>
        </is>
      </c>
      <c r="D4211" s="2" t="n">
        <v>1404</v>
      </c>
      <c r="E4211" s="2" t="inlineStr">
        <is>
          <t>CC-4000</t>
        </is>
      </c>
      <c r="F4211" s="2" t="inlineStr">
        <is>
          <t>P01</t>
        </is>
      </c>
      <c r="G4211" s="2" t="n">
        <v>610000</v>
      </c>
      <c r="H4211" s="2" t="inlineStr">
        <is>
          <t>Mano obra interna</t>
        </is>
      </c>
      <c r="I4211" s="9" t="n">
        <v>1549.51</v>
      </c>
      <c r="J4211" s="9" t="n">
        <v>1460</v>
      </c>
      <c r="K4211" s="9" t="n">
        <v>1472.79</v>
      </c>
      <c r="L4211" s="9" t="n">
        <v>1570.2</v>
      </c>
      <c r="M4211" s="9" t="n">
        <v>1431.08</v>
      </c>
      <c r="N4211" s="9" t="n">
        <v>1363.83</v>
      </c>
      <c r="O4211" s="9" t="n">
        <v>1513.81</v>
      </c>
      <c r="P4211" s="9" t="n">
        <v>1358.17</v>
      </c>
      <c r="Q4211" s="9" t="n">
        <v>1259.53</v>
      </c>
      <c r="R4211" s="9" t="n">
        <v>1613.46</v>
      </c>
      <c r="S4211" s="9" t="n">
        <v>1467.86</v>
      </c>
      <c r="T4211" s="9" t="n">
        <v>1353.37</v>
      </c>
      <c r="U4211" s="10">
        <f>SUM(I4211:T4211)</f>
        <v/>
      </c>
    </row>
    <row r="4212">
      <c r="A4212" s="2" t="inlineStr">
        <is>
          <t>SN-4000-4400-44ER-4400CS0001</t>
        </is>
      </c>
      <c r="B4212" s="2" t="inlineStr">
        <is>
          <t>4400CS0001</t>
        </is>
      </c>
      <c r="C4212" s="2" t="inlineStr">
        <is>
          <t>Panel DCS CS0001</t>
        </is>
      </c>
      <c r="D4212" s="2" t="n">
        <v>1404</v>
      </c>
      <c r="E4212" s="2" t="inlineStr">
        <is>
          <t>CC-4000</t>
        </is>
      </c>
      <c r="F4212" s="2" t="inlineStr">
        <is>
          <t>P01</t>
        </is>
      </c>
      <c r="G4212" s="2" t="n">
        <v>620000</v>
      </c>
      <c r="H4212" s="2" t="inlineStr">
        <is>
          <t>Materiales</t>
        </is>
      </c>
      <c r="I4212" s="9" t="n">
        <v>1370.14</v>
      </c>
      <c r="J4212" s="9" t="n">
        <v>1381.62</v>
      </c>
      <c r="K4212" s="9" t="n">
        <v>1319.71</v>
      </c>
      <c r="L4212" s="9" t="n">
        <v>1493.62</v>
      </c>
      <c r="M4212" s="9" t="n">
        <v>1426.55</v>
      </c>
      <c r="N4212" s="9" t="n">
        <v>1279.35</v>
      </c>
      <c r="O4212" s="9" t="n">
        <v>1444.74</v>
      </c>
      <c r="P4212" s="9" t="n">
        <v>1443.35</v>
      </c>
      <c r="Q4212" s="9" t="n">
        <v>1256.83</v>
      </c>
      <c r="R4212" s="9" t="n">
        <v>1569.88</v>
      </c>
      <c r="S4212" s="9" t="n">
        <v>1415.54</v>
      </c>
      <c r="T4212" s="9" t="n">
        <v>1316.37</v>
      </c>
      <c r="U4212" s="10">
        <f>SUM(I4212:T4212)</f>
        <v/>
      </c>
    </row>
    <row r="4213">
      <c r="A4213" s="2" t="inlineStr">
        <is>
          <t>SN-4000-4400-44ER-4400CS0001</t>
        </is>
      </c>
      <c r="B4213" s="2" t="inlineStr">
        <is>
          <t>4400CS0001</t>
        </is>
      </c>
      <c r="C4213" s="2" t="inlineStr">
        <is>
          <t>Panel DCS CS0001</t>
        </is>
      </c>
      <c r="D4213" s="2" t="n">
        <v>1404</v>
      </c>
      <c r="E4213" s="2" t="inlineStr">
        <is>
          <t>CC-4000</t>
        </is>
      </c>
      <c r="F4213" s="2" t="inlineStr">
        <is>
          <t>P01</t>
        </is>
      </c>
      <c r="G4213" s="2" t="n">
        <v>630000</v>
      </c>
      <c r="H4213" s="2" t="inlineStr">
        <is>
          <t>Servicios externos</t>
        </is>
      </c>
      <c r="I4213" s="9" t="n">
        <v>1109.78</v>
      </c>
      <c r="J4213" s="9" t="n">
        <v>1098.42</v>
      </c>
      <c r="K4213" s="9" t="n">
        <v>1077.54</v>
      </c>
      <c r="L4213" s="9" t="n">
        <v>1076.28</v>
      </c>
      <c r="M4213" s="9" t="n">
        <v>1189.2</v>
      </c>
      <c r="N4213" s="9" t="n">
        <v>1108.78</v>
      </c>
      <c r="O4213" s="9" t="n">
        <v>1184.87</v>
      </c>
      <c r="P4213" s="9" t="n">
        <v>1200.64</v>
      </c>
      <c r="Q4213" s="9" t="n">
        <v>1019.8</v>
      </c>
      <c r="R4213" s="9" t="n">
        <v>1241.15</v>
      </c>
      <c r="S4213" s="9" t="n">
        <v>1026.94</v>
      </c>
      <c r="T4213" s="9" t="n">
        <v>1143.27</v>
      </c>
      <c r="U4213" s="10">
        <f>SUM(I4213:T4213)</f>
        <v/>
      </c>
    </row>
    <row r="4214">
      <c r="A4214" s="2" t="inlineStr">
        <is>
          <t>SN-4000-4400-44ER-4400DP0001</t>
        </is>
      </c>
      <c r="B4214" s="2" t="inlineStr">
        <is>
          <t>4400DP0001</t>
        </is>
      </c>
      <c r="C4214" s="2" t="inlineStr">
        <is>
          <t>Tablero distribución DP0001</t>
        </is>
      </c>
      <c r="D4214" s="2" t="n">
        <v>1405</v>
      </c>
      <c r="E4214" s="2" t="inlineStr">
        <is>
          <t>CC-4000</t>
        </is>
      </c>
      <c r="F4214" s="2" t="inlineStr">
        <is>
          <t>P01</t>
        </is>
      </c>
      <c r="G4214" s="2" t="n">
        <v>610000</v>
      </c>
      <c r="H4214" s="2" t="inlineStr">
        <is>
          <t>Mano obra interna</t>
        </is>
      </c>
      <c r="I4214" s="9" t="n">
        <v>418.92</v>
      </c>
      <c r="J4214" s="9" t="n">
        <v>399.91</v>
      </c>
      <c r="K4214" s="9" t="n">
        <v>453.38</v>
      </c>
      <c r="L4214" s="9" t="n">
        <v>475.43</v>
      </c>
      <c r="M4214" s="9" t="n">
        <v>403.5</v>
      </c>
      <c r="N4214" s="9" t="n">
        <v>415.03</v>
      </c>
      <c r="O4214" s="9" t="n">
        <v>447.13</v>
      </c>
      <c r="P4214" s="9" t="n">
        <v>433.33</v>
      </c>
      <c r="Q4214" s="9" t="n">
        <v>430.56</v>
      </c>
      <c r="R4214" s="9" t="n">
        <v>442.99</v>
      </c>
      <c r="S4214" s="9" t="n">
        <v>388.1</v>
      </c>
      <c r="T4214" s="9" t="n">
        <v>432.15</v>
      </c>
      <c r="U4214" s="10">
        <f>SUM(I4214:T4214)</f>
        <v/>
      </c>
    </row>
    <row r="4215">
      <c r="A4215" s="2" t="inlineStr">
        <is>
          <t>SN-4000-4400-44ER-4400DP0001</t>
        </is>
      </c>
      <c r="B4215" s="2" t="inlineStr">
        <is>
          <t>4400DP0001</t>
        </is>
      </c>
      <c r="C4215" s="2" t="inlineStr">
        <is>
          <t>Tablero distribución DP0001</t>
        </is>
      </c>
      <c r="D4215" s="2" t="n">
        <v>1405</v>
      </c>
      <c r="E4215" s="2" t="inlineStr">
        <is>
          <t>CC-4000</t>
        </is>
      </c>
      <c r="F4215" s="2" t="inlineStr">
        <is>
          <t>P01</t>
        </is>
      </c>
      <c r="G4215" s="2" t="n">
        <v>620000</v>
      </c>
      <c r="H4215" s="2" t="inlineStr">
        <is>
          <t>Materiales</t>
        </is>
      </c>
      <c r="I4215" s="9" t="n">
        <v>452.06</v>
      </c>
      <c r="J4215" s="9" t="n">
        <v>429.87</v>
      </c>
      <c r="K4215" s="9" t="n">
        <v>498.71</v>
      </c>
      <c r="L4215" s="9" t="n">
        <v>447.62</v>
      </c>
      <c r="M4215" s="9" t="n">
        <v>451.98</v>
      </c>
      <c r="N4215" s="9" t="n">
        <v>472.73</v>
      </c>
      <c r="O4215" s="9" t="n">
        <v>469.46</v>
      </c>
      <c r="P4215" s="9" t="n">
        <v>460.42</v>
      </c>
      <c r="Q4215" s="9" t="n">
        <v>419.48</v>
      </c>
      <c r="R4215" s="9" t="n">
        <v>498.7</v>
      </c>
      <c r="S4215" s="9" t="n">
        <v>462.94</v>
      </c>
      <c r="T4215" s="9" t="n">
        <v>491.91</v>
      </c>
      <c r="U4215" s="10">
        <f>SUM(I4215:T4215)</f>
        <v/>
      </c>
    </row>
    <row r="4216">
      <c r="A4216" s="2" t="inlineStr">
        <is>
          <t>SN-4000-4400-44ER-4400DP0001</t>
        </is>
      </c>
      <c r="B4216" s="2" t="inlineStr">
        <is>
          <t>4400DP0001</t>
        </is>
      </c>
      <c r="C4216" s="2" t="inlineStr">
        <is>
          <t>Tablero distribución DP0001</t>
        </is>
      </c>
      <c r="D4216" s="2" t="n">
        <v>1405</v>
      </c>
      <c r="E4216" s="2" t="inlineStr">
        <is>
          <t>CC-4000</t>
        </is>
      </c>
      <c r="F4216" s="2" t="inlineStr">
        <is>
          <t>P01</t>
        </is>
      </c>
      <c r="G4216" s="2" t="n">
        <v>630000</v>
      </c>
      <c r="H4216" s="2" t="inlineStr">
        <is>
          <t>Servicios externos</t>
        </is>
      </c>
      <c r="I4216" s="9" t="n">
        <v>503.96</v>
      </c>
      <c r="J4216" s="9" t="n">
        <v>434.02</v>
      </c>
      <c r="K4216" s="9" t="n">
        <v>448.87</v>
      </c>
      <c r="L4216" s="9" t="n">
        <v>500.24</v>
      </c>
      <c r="M4216" s="9" t="n">
        <v>449.08</v>
      </c>
      <c r="N4216" s="9" t="n">
        <v>478.29</v>
      </c>
      <c r="O4216" s="9" t="n">
        <v>474.68</v>
      </c>
      <c r="P4216" s="9" t="n">
        <v>469.79</v>
      </c>
      <c r="Q4216" s="9" t="n">
        <v>458.32</v>
      </c>
      <c r="R4216" s="9" t="n">
        <v>528.38</v>
      </c>
      <c r="S4216" s="9" t="n">
        <v>471.62</v>
      </c>
      <c r="T4216" s="9" t="n">
        <v>493.31</v>
      </c>
      <c r="U4216" s="10">
        <f>SUM(I4216:T4216)</f>
        <v/>
      </c>
    </row>
    <row r="4217">
      <c r="A4217" s="2" t="inlineStr">
        <is>
          <t>SN-4000-4400-44ER-4400DP0010</t>
        </is>
      </c>
      <c r="B4217" s="2" t="inlineStr">
        <is>
          <t>4400DP0010</t>
        </is>
      </c>
      <c r="C4217" s="2" t="inlineStr">
        <is>
          <t>Tablero distribución DP0010</t>
        </is>
      </c>
      <c r="D4217" s="2" t="n">
        <v>1406</v>
      </c>
      <c r="E4217" s="2" t="inlineStr">
        <is>
          <t>CC-4000</t>
        </is>
      </c>
      <c r="F4217" s="2" t="inlineStr">
        <is>
          <t>P01</t>
        </is>
      </c>
      <c r="G4217" s="2" t="n">
        <v>610000</v>
      </c>
      <c r="H4217" s="2" t="inlineStr">
        <is>
          <t>Mano obra interna</t>
        </is>
      </c>
      <c r="I4217" s="9" t="n">
        <v>1642.68</v>
      </c>
      <c r="J4217" s="9" t="n">
        <v>1576.26</v>
      </c>
      <c r="K4217" s="9" t="n">
        <v>1511.59</v>
      </c>
      <c r="L4217" s="9" t="n">
        <v>1614.61</v>
      </c>
      <c r="M4217" s="9" t="n">
        <v>1584.05</v>
      </c>
      <c r="N4217" s="9" t="n">
        <v>1467.42</v>
      </c>
      <c r="O4217" s="9" t="n">
        <v>1520.43</v>
      </c>
      <c r="P4217" s="9" t="n">
        <v>1546.62</v>
      </c>
      <c r="Q4217" s="9" t="n">
        <v>1326.63</v>
      </c>
      <c r="R4217" s="9" t="n">
        <v>1517.23</v>
      </c>
      <c r="S4217" s="9" t="n">
        <v>1532.94</v>
      </c>
      <c r="T4217" s="9" t="n">
        <v>1546.65</v>
      </c>
      <c r="U4217" s="10">
        <f>SUM(I4217:T4217)</f>
        <v/>
      </c>
    </row>
    <row r="4218">
      <c r="A4218" s="2" t="inlineStr">
        <is>
          <t>SN-4000-4400-44ER-4400DP0010</t>
        </is>
      </c>
      <c r="B4218" s="2" t="inlineStr">
        <is>
          <t>4400DP0010</t>
        </is>
      </c>
      <c r="C4218" s="2" t="inlineStr">
        <is>
          <t>Tablero distribución DP0010</t>
        </is>
      </c>
      <c r="D4218" s="2" t="n">
        <v>1406</v>
      </c>
      <c r="E4218" s="2" t="inlineStr">
        <is>
          <t>CC-4000</t>
        </is>
      </c>
      <c r="F4218" s="2" t="inlineStr">
        <is>
          <t>P01</t>
        </is>
      </c>
      <c r="G4218" s="2" t="n">
        <v>620000</v>
      </c>
      <c r="H4218" s="2" t="inlineStr">
        <is>
          <t>Materiales</t>
        </is>
      </c>
      <c r="I4218" s="9" t="n">
        <v>1306.16</v>
      </c>
      <c r="J4218" s="9" t="n">
        <v>1235.98</v>
      </c>
      <c r="K4218" s="9" t="n">
        <v>1418.26</v>
      </c>
      <c r="L4218" s="9" t="n">
        <v>1326.97</v>
      </c>
      <c r="M4218" s="9" t="n">
        <v>1299.35</v>
      </c>
      <c r="N4218" s="9" t="n">
        <v>1187.36</v>
      </c>
      <c r="O4218" s="9" t="n">
        <v>1359.52</v>
      </c>
      <c r="P4218" s="9" t="n">
        <v>1385.06</v>
      </c>
      <c r="Q4218" s="9" t="n">
        <v>1263.7</v>
      </c>
      <c r="R4218" s="9" t="n">
        <v>1396.96</v>
      </c>
      <c r="S4218" s="9" t="n">
        <v>1322.74</v>
      </c>
      <c r="T4218" s="9" t="n">
        <v>1250.4</v>
      </c>
      <c r="U4218" s="10">
        <f>SUM(I4218:T4218)</f>
        <v/>
      </c>
    </row>
    <row r="4219">
      <c r="A4219" s="2" t="inlineStr">
        <is>
          <t>SN-4000-4400-44ER-4400DP0010</t>
        </is>
      </c>
      <c r="B4219" s="2" t="inlineStr">
        <is>
          <t>4400DP0010</t>
        </is>
      </c>
      <c r="C4219" s="2" t="inlineStr">
        <is>
          <t>Tablero distribución DP0010</t>
        </is>
      </c>
      <c r="D4219" s="2" t="n">
        <v>1406</v>
      </c>
      <c r="E4219" s="2" t="inlineStr">
        <is>
          <t>CC-4000</t>
        </is>
      </c>
      <c r="F4219" s="2" t="inlineStr">
        <is>
          <t>P01</t>
        </is>
      </c>
      <c r="G4219" s="2" t="n">
        <v>630000</v>
      </c>
      <c r="H4219" s="2" t="inlineStr">
        <is>
          <t>Servicios externos</t>
        </is>
      </c>
      <c r="I4219" s="9" t="n">
        <v>1331.08</v>
      </c>
      <c r="J4219" s="9" t="n">
        <v>1230.89</v>
      </c>
      <c r="K4219" s="9" t="n">
        <v>1306.24</v>
      </c>
      <c r="L4219" s="9" t="n">
        <v>1364.28</v>
      </c>
      <c r="M4219" s="9" t="n">
        <v>1283.26</v>
      </c>
      <c r="N4219" s="9" t="n">
        <v>1332.77</v>
      </c>
      <c r="O4219" s="9" t="n">
        <v>1259.67</v>
      </c>
      <c r="P4219" s="9" t="n">
        <v>1420.53</v>
      </c>
      <c r="Q4219" s="9" t="n">
        <v>1198.31</v>
      </c>
      <c r="R4219" s="9" t="n">
        <v>1423.7</v>
      </c>
      <c r="S4219" s="9" t="n">
        <v>1199.86</v>
      </c>
      <c r="T4219" s="9" t="n">
        <v>1353.43</v>
      </c>
      <c r="U4219" s="10">
        <f>SUM(I4219:T4219)</f>
        <v/>
      </c>
    </row>
    <row r="4220">
      <c r="A4220" s="2" t="inlineStr">
        <is>
          <t>SN-4000-4400-44ER-4400DX0001</t>
        </is>
      </c>
      <c r="B4220" s="2" t="inlineStr">
        <is>
          <t>4400DX0001</t>
        </is>
      </c>
      <c r="C4220" s="2" t="inlineStr">
        <is>
          <t>Transformador potencia DX0001</t>
        </is>
      </c>
      <c r="D4220" s="2" t="n">
        <v>1407</v>
      </c>
      <c r="E4220" s="2" t="inlineStr">
        <is>
          <t>CC-4000</t>
        </is>
      </c>
      <c r="F4220" s="2" t="inlineStr">
        <is>
          <t>P01</t>
        </is>
      </c>
      <c r="G4220" s="2" t="n">
        <v>610000</v>
      </c>
      <c r="H4220" s="2" t="inlineStr">
        <is>
          <t>Mano obra interna</t>
        </is>
      </c>
      <c r="I4220" s="9" t="n">
        <v>1456.8</v>
      </c>
      <c r="J4220" s="9" t="n">
        <v>1296.17</v>
      </c>
      <c r="K4220" s="9" t="n">
        <v>1402.72</v>
      </c>
      <c r="L4220" s="9" t="n">
        <v>1385.81</v>
      </c>
      <c r="M4220" s="9" t="n">
        <v>1270.74</v>
      </c>
      <c r="N4220" s="9" t="n">
        <v>1393.01</v>
      </c>
      <c r="O4220" s="9" t="n">
        <v>1346.88</v>
      </c>
      <c r="P4220" s="9" t="n">
        <v>1370.01</v>
      </c>
      <c r="Q4220" s="9" t="n">
        <v>1234.77</v>
      </c>
      <c r="R4220" s="9" t="n">
        <v>1397.61</v>
      </c>
      <c r="S4220" s="9" t="n">
        <v>1413.94</v>
      </c>
      <c r="T4220" s="9" t="n">
        <v>1289.59</v>
      </c>
      <c r="U4220" s="10">
        <f>SUM(I4220:T4220)</f>
        <v/>
      </c>
    </row>
    <row r="4221">
      <c r="A4221" s="2" t="inlineStr">
        <is>
          <t>SN-4000-4400-44ER-4400DX0001</t>
        </is>
      </c>
      <c r="B4221" s="2" t="inlineStr">
        <is>
          <t>4400DX0001</t>
        </is>
      </c>
      <c r="C4221" s="2" t="inlineStr">
        <is>
          <t>Transformador potencia DX0001</t>
        </is>
      </c>
      <c r="D4221" s="2" t="n">
        <v>1407</v>
      </c>
      <c r="E4221" s="2" t="inlineStr">
        <is>
          <t>CC-4000</t>
        </is>
      </c>
      <c r="F4221" s="2" t="inlineStr">
        <is>
          <t>P01</t>
        </is>
      </c>
      <c r="G4221" s="2" t="n">
        <v>620000</v>
      </c>
      <c r="H4221" s="2" t="inlineStr">
        <is>
          <t>Materiales</t>
        </is>
      </c>
      <c r="I4221" s="9" t="n">
        <v>1166.86</v>
      </c>
      <c r="J4221" s="9" t="n">
        <v>1052.45</v>
      </c>
      <c r="K4221" s="9" t="n">
        <v>1127.41</v>
      </c>
      <c r="L4221" s="9" t="n">
        <v>1138.27</v>
      </c>
      <c r="M4221" s="9" t="n">
        <v>1177.36</v>
      </c>
      <c r="N4221" s="9" t="n">
        <v>1097.48</v>
      </c>
      <c r="O4221" s="9" t="n">
        <v>1185.27</v>
      </c>
      <c r="P4221" s="9" t="n">
        <v>1135.57</v>
      </c>
      <c r="Q4221" s="9" t="n">
        <v>988.23</v>
      </c>
      <c r="R4221" s="9" t="n">
        <v>1148.38</v>
      </c>
      <c r="S4221" s="9" t="n">
        <v>1122.2</v>
      </c>
      <c r="T4221" s="9" t="n">
        <v>1105.78</v>
      </c>
      <c r="U4221" s="10">
        <f>SUM(I4221:T4221)</f>
        <v/>
      </c>
    </row>
    <row r="4222">
      <c r="A4222" s="2" t="inlineStr">
        <is>
          <t>SN-4000-4400-44ER-4400DX0001</t>
        </is>
      </c>
      <c r="B4222" s="2" t="inlineStr">
        <is>
          <t>4400DX0001</t>
        </is>
      </c>
      <c r="C4222" s="2" t="inlineStr">
        <is>
          <t>Transformador potencia DX0001</t>
        </is>
      </c>
      <c r="D4222" s="2" t="n">
        <v>1407</v>
      </c>
      <c r="E4222" s="2" t="inlineStr">
        <is>
          <t>CC-4000</t>
        </is>
      </c>
      <c r="F4222" s="2" t="inlineStr">
        <is>
          <t>P01</t>
        </is>
      </c>
      <c r="G4222" s="2" t="n">
        <v>630000</v>
      </c>
      <c r="H4222" s="2" t="inlineStr">
        <is>
          <t>Servicios externos</t>
        </is>
      </c>
      <c r="I4222" s="9" t="n">
        <v>1212.21</v>
      </c>
      <c r="J4222" s="9" t="n">
        <v>1006.71</v>
      </c>
      <c r="K4222" s="9" t="n">
        <v>1148.16</v>
      </c>
      <c r="L4222" s="9" t="n">
        <v>1182.82</v>
      </c>
      <c r="M4222" s="9" t="n">
        <v>1138.51</v>
      </c>
      <c r="N4222" s="9" t="n">
        <v>1037.36</v>
      </c>
      <c r="O4222" s="9" t="n">
        <v>1115.34</v>
      </c>
      <c r="P4222" s="9" t="n">
        <v>1020.06</v>
      </c>
      <c r="Q4222" s="9" t="n">
        <v>1037.64</v>
      </c>
      <c r="R4222" s="9" t="n">
        <v>1212.75</v>
      </c>
      <c r="S4222" s="9" t="n">
        <v>1137.47</v>
      </c>
      <c r="T4222" s="9" t="n">
        <v>1072.91</v>
      </c>
      <c r="U4222" s="10">
        <f>SUM(I4222:T4222)</f>
        <v/>
      </c>
    </row>
    <row r="4223">
      <c r="A4223" s="2" t="inlineStr">
        <is>
          <t>SN-4000-4400-44ER-4400FP0001</t>
        </is>
      </c>
      <c r="B4223" s="2" t="inlineStr">
        <is>
          <t>4400FP0001</t>
        </is>
      </c>
      <c r="C4223" s="2" t="inlineStr">
        <is>
          <t>Tablero control SCI FP0001</t>
        </is>
      </c>
      <c r="D4223" s="2" t="n">
        <v>1408</v>
      </c>
      <c r="E4223" s="2" t="inlineStr">
        <is>
          <t>CC-4000</t>
        </is>
      </c>
      <c r="F4223" s="2" t="inlineStr">
        <is>
          <t>P01</t>
        </is>
      </c>
      <c r="G4223" s="2" t="n">
        <v>610000</v>
      </c>
      <c r="H4223" s="2" t="inlineStr">
        <is>
          <t>Mano obra interna</t>
        </is>
      </c>
      <c r="I4223" s="9" t="n">
        <v>1949.75</v>
      </c>
      <c r="J4223" s="9" t="n">
        <v>1865.89</v>
      </c>
      <c r="K4223" s="9" t="n">
        <v>1871.77</v>
      </c>
      <c r="L4223" s="9" t="n">
        <v>1846.22</v>
      </c>
      <c r="M4223" s="9" t="n">
        <v>1885.86</v>
      </c>
      <c r="N4223" s="9" t="n">
        <v>1902.86</v>
      </c>
      <c r="O4223" s="9" t="n">
        <v>1818.42</v>
      </c>
      <c r="P4223" s="9" t="n">
        <v>1967.68</v>
      </c>
      <c r="Q4223" s="9" t="n">
        <v>1741.76</v>
      </c>
      <c r="R4223" s="9" t="n">
        <v>2107.52</v>
      </c>
      <c r="S4223" s="9" t="n">
        <v>1705.76</v>
      </c>
      <c r="T4223" s="9" t="n">
        <v>1951.53</v>
      </c>
      <c r="U4223" s="10">
        <f>SUM(I4223:T4223)</f>
        <v/>
      </c>
    </row>
    <row r="4224">
      <c r="A4224" s="2" t="inlineStr">
        <is>
          <t>SN-4000-4400-44ER-4400FP0001</t>
        </is>
      </c>
      <c r="B4224" s="2" t="inlineStr">
        <is>
          <t>4400FP0001</t>
        </is>
      </c>
      <c r="C4224" s="2" t="inlineStr">
        <is>
          <t>Tablero control SCI FP0001</t>
        </is>
      </c>
      <c r="D4224" s="2" t="n">
        <v>1408</v>
      </c>
      <c r="E4224" s="2" t="inlineStr">
        <is>
          <t>CC-4000</t>
        </is>
      </c>
      <c r="F4224" s="2" t="inlineStr">
        <is>
          <t>P01</t>
        </is>
      </c>
      <c r="G4224" s="2" t="n">
        <v>620000</v>
      </c>
      <c r="H4224" s="2" t="inlineStr">
        <is>
          <t>Materiales</t>
        </is>
      </c>
      <c r="I4224" s="9" t="n">
        <v>1974.2</v>
      </c>
      <c r="J4224" s="9" t="n">
        <v>1890.87</v>
      </c>
      <c r="K4224" s="9" t="n">
        <v>1835.05</v>
      </c>
      <c r="L4224" s="9" t="n">
        <v>1883.36</v>
      </c>
      <c r="M4224" s="9" t="n">
        <v>1759.06</v>
      </c>
      <c r="N4224" s="9" t="n">
        <v>1711.51</v>
      </c>
      <c r="O4224" s="9" t="n">
        <v>1778.69</v>
      </c>
      <c r="P4224" s="9" t="n">
        <v>1771.57</v>
      </c>
      <c r="Q4224" s="9" t="n">
        <v>1762.26</v>
      </c>
      <c r="R4224" s="9" t="n">
        <v>2027.91</v>
      </c>
      <c r="S4224" s="9" t="n">
        <v>1693.53</v>
      </c>
      <c r="T4224" s="9" t="n">
        <v>1920.66</v>
      </c>
      <c r="U4224" s="10">
        <f>SUM(I4224:T4224)</f>
        <v/>
      </c>
    </row>
    <row r="4225">
      <c r="A4225" s="2" t="inlineStr">
        <is>
          <t>SN-4000-4400-44ER-4400FP0001</t>
        </is>
      </c>
      <c r="B4225" s="2" t="inlineStr">
        <is>
          <t>4400FP0001</t>
        </is>
      </c>
      <c r="C4225" s="2" t="inlineStr">
        <is>
          <t>Tablero control SCI FP0001</t>
        </is>
      </c>
      <c r="D4225" s="2" t="n">
        <v>1408</v>
      </c>
      <c r="E4225" s="2" t="inlineStr">
        <is>
          <t>CC-4000</t>
        </is>
      </c>
      <c r="F4225" s="2" t="inlineStr">
        <is>
          <t>P01</t>
        </is>
      </c>
      <c r="G4225" s="2" t="n">
        <v>630000</v>
      </c>
      <c r="H4225" s="2" t="inlineStr">
        <is>
          <t>Servicios externos</t>
        </is>
      </c>
      <c r="I4225" s="9" t="n">
        <v>1548.69</v>
      </c>
      <c r="J4225" s="9" t="n">
        <v>1631.04</v>
      </c>
      <c r="K4225" s="9" t="n">
        <v>1607.44</v>
      </c>
      <c r="L4225" s="9" t="n">
        <v>1646.28</v>
      </c>
      <c r="M4225" s="9" t="n">
        <v>1500.97</v>
      </c>
      <c r="N4225" s="9" t="n">
        <v>1550.82</v>
      </c>
      <c r="O4225" s="9" t="n">
        <v>1519.35</v>
      </c>
      <c r="P4225" s="9" t="n">
        <v>1507.06</v>
      </c>
      <c r="Q4225" s="9" t="n">
        <v>1456.05</v>
      </c>
      <c r="R4225" s="9" t="n">
        <v>1797.77</v>
      </c>
      <c r="S4225" s="9" t="n">
        <v>1462.4</v>
      </c>
      <c r="T4225" s="9" t="n">
        <v>1517.68</v>
      </c>
      <c r="U4225" s="10">
        <f>SUM(I4225:T4225)</f>
        <v/>
      </c>
    </row>
    <row r="4226">
      <c r="A4226" s="2" t="inlineStr">
        <is>
          <t>SN-4000-4400-44ER-4400JP0001</t>
        </is>
      </c>
      <c r="B4226" s="2" t="inlineStr">
        <is>
          <t>4400JP0001</t>
        </is>
      </c>
      <c r="C4226" s="2" t="inlineStr">
        <is>
          <t>Tablero distribución JP0001</t>
        </is>
      </c>
      <c r="D4226" s="2" t="n">
        <v>1409</v>
      </c>
      <c r="E4226" s="2" t="inlineStr">
        <is>
          <t>CC-4000</t>
        </is>
      </c>
      <c r="F4226" s="2" t="inlineStr">
        <is>
          <t>P01</t>
        </is>
      </c>
      <c r="G4226" s="2" t="n">
        <v>610000</v>
      </c>
      <c r="H4226" s="2" t="inlineStr">
        <is>
          <t>Mano obra interna</t>
        </is>
      </c>
      <c r="I4226" s="9" t="n">
        <v>1412.35</v>
      </c>
      <c r="J4226" s="9" t="n">
        <v>1332.96</v>
      </c>
      <c r="K4226" s="9" t="n">
        <v>1398.61</v>
      </c>
      <c r="L4226" s="9" t="n">
        <v>1543.8</v>
      </c>
      <c r="M4226" s="9" t="n">
        <v>1319.93</v>
      </c>
      <c r="N4226" s="9" t="n">
        <v>1331.83</v>
      </c>
      <c r="O4226" s="9" t="n">
        <v>1512.18</v>
      </c>
      <c r="P4226" s="9" t="n">
        <v>1296.07</v>
      </c>
      <c r="Q4226" s="9" t="n">
        <v>1346.5</v>
      </c>
      <c r="R4226" s="9" t="n">
        <v>1481.15</v>
      </c>
      <c r="S4226" s="9" t="n">
        <v>1445.78</v>
      </c>
      <c r="T4226" s="9" t="n">
        <v>1516.99</v>
      </c>
      <c r="U4226" s="10">
        <f>SUM(I4226:T4226)</f>
        <v/>
      </c>
    </row>
    <row r="4227">
      <c r="A4227" s="2" t="inlineStr">
        <is>
          <t>SN-4000-4400-44ER-4400JP0001</t>
        </is>
      </c>
      <c r="B4227" s="2" t="inlineStr">
        <is>
          <t>4400JP0001</t>
        </is>
      </c>
      <c r="C4227" s="2" t="inlineStr">
        <is>
          <t>Tablero distribución JP0001</t>
        </is>
      </c>
      <c r="D4227" s="2" t="n">
        <v>1409</v>
      </c>
      <c r="E4227" s="2" t="inlineStr">
        <is>
          <t>CC-4000</t>
        </is>
      </c>
      <c r="F4227" s="2" t="inlineStr">
        <is>
          <t>P01</t>
        </is>
      </c>
      <c r="G4227" s="2" t="n">
        <v>620000</v>
      </c>
      <c r="H4227" s="2" t="inlineStr">
        <is>
          <t>Materiales</t>
        </is>
      </c>
      <c r="I4227" s="9" t="n">
        <v>1499.2</v>
      </c>
      <c r="J4227" s="9" t="n">
        <v>1496.38</v>
      </c>
      <c r="K4227" s="9" t="n">
        <v>1703.78</v>
      </c>
      <c r="L4227" s="9" t="n">
        <v>1516.03</v>
      </c>
      <c r="M4227" s="9" t="n">
        <v>1638.34</v>
      </c>
      <c r="N4227" s="9" t="n">
        <v>1544.66</v>
      </c>
      <c r="O4227" s="9" t="n">
        <v>1480.57</v>
      </c>
      <c r="P4227" s="9" t="n">
        <v>1607.47</v>
      </c>
      <c r="Q4227" s="9" t="n">
        <v>1327.77</v>
      </c>
      <c r="R4227" s="9" t="n">
        <v>1670.38</v>
      </c>
      <c r="S4227" s="9" t="n">
        <v>1454.04</v>
      </c>
      <c r="T4227" s="9" t="n">
        <v>1541.68</v>
      </c>
      <c r="U4227" s="10">
        <f>SUM(I4227:T4227)</f>
        <v/>
      </c>
    </row>
    <row r="4228">
      <c r="A4228" s="2" t="inlineStr">
        <is>
          <t>SN-4000-4400-44ER-4400JP0001</t>
        </is>
      </c>
      <c r="B4228" s="2" t="inlineStr">
        <is>
          <t>4400JP0001</t>
        </is>
      </c>
      <c r="C4228" s="2" t="inlineStr">
        <is>
          <t>Tablero distribución JP0001</t>
        </is>
      </c>
      <c r="D4228" s="2" t="n">
        <v>1409</v>
      </c>
      <c r="E4228" s="2" t="inlineStr">
        <is>
          <t>CC-4000</t>
        </is>
      </c>
      <c r="F4228" s="2" t="inlineStr">
        <is>
          <t>P01</t>
        </is>
      </c>
      <c r="G4228" s="2" t="n">
        <v>630000</v>
      </c>
      <c r="H4228" s="2" t="inlineStr">
        <is>
          <t>Servicios externos</t>
        </is>
      </c>
      <c r="I4228" s="9" t="n">
        <v>1600.59</v>
      </c>
      <c r="J4228" s="9" t="n">
        <v>1582.12</v>
      </c>
      <c r="K4228" s="9" t="n">
        <v>1667.72</v>
      </c>
      <c r="L4228" s="9" t="n">
        <v>1723.69</v>
      </c>
      <c r="M4228" s="9" t="n">
        <v>1616.23</v>
      </c>
      <c r="N4228" s="9" t="n">
        <v>1543.4</v>
      </c>
      <c r="O4228" s="9" t="n">
        <v>1540.96</v>
      </c>
      <c r="P4228" s="9" t="n">
        <v>1470.29</v>
      </c>
      <c r="Q4228" s="9" t="n">
        <v>1355.9</v>
      </c>
      <c r="R4228" s="9" t="n">
        <v>1684.1</v>
      </c>
      <c r="S4228" s="9" t="n">
        <v>1558.02</v>
      </c>
      <c r="T4228" s="9" t="n">
        <v>1628.71</v>
      </c>
      <c r="U4228" s="10">
        <f>SUM(I4228:T4228)</f>
        <v/>
      </c>
    </row>
    <row r="4229">
      <c r="A4229" s="2" t="inlineStr">
        <is>
          <t>SN-4000-4400-44ER-4400JX0001</t>
        </is>
      </c>
      <c r="B4229" s="2" t="inlineStr">
        <is>
          <t>4400JX0001</t>
        </is>
      </c>
      <c r="C4229" s="2" t="inlineStr">
        <is>
          <t>Transformador potencia JX0001</t>
        </is>
      </c>
      <c r="D4229" s="2" t="n">
        <v>1410</v>
      </c>
      <c r="E4229" s="2" t="inlineStr">
        <is>
          <t>CC-4000</t>
        </is>
      </c>
      <c r="F4229" s="2" t="inlineStr">
        <is>
          <t>P01</t>
        </is>
      </c>
      <c r="G4229" s="2" t="n">
        <v>610000</v>
      </c>
      <c r="H4229" s="2" t="inlineStr">
        <is>
          <t>Mano obra interna</t>
        </is>
      </c>
      <c r="I4229" s="9" t="n">
        <v>747.8200000000001</v>
      </c>
      <c r="J4229" s="9" t="n">
        <v>750.3200000000001</v>
      </c>
      <c r="K4229" s="9" t="n">
        <v>818.02</v>
      </c>
      <c r="L4229" s="9" t="n">
        <v>751.34</v>
      </c>
      <c r="M4229" s="9" t="n">
        <v>736.24</v>
      </c>
      <c r="N4229" s="9" t="n">
        <v>762.1</v>
      </c>
      <c r="O4229" s="9" t="n">
        <v>752.9400000000001</v>
      </c>
      <c r="P4229" s="9" t="n">
        <v>781.8</v>
      </c>
      <c r="Q4229" s="9" t="n">
        <v>743.4299999999999</v>
      </c>
      <c r="R4229" s="9" t="n">
        <v>814.3</v>
      </c>
      <c r="S4229" s="9" t="n">
        <v>677.5599999999999</v>
      </c>
      <c r="T4229" s="9" t="n">
        <v>796.6799999999999</v>
      </c>
      <c r="U4229" s="10">
        <f>SUM(I4229:T4229)</f>
        <v/>
      </c>
    </row>
    <row r="4230">
      <c r="A4230" s="2" t="inlineStr">
        <is>
          <t>SN-4000-4400-44ER-4400JX0001</t>
        </is>
      </c>
      <c r="B4230" s="2" t="inlineStr">
        <is>
          <t>4400JX0001</t>
        </is>
      </c>
      <c r="C4230" s="2" t="inlineStr">
        <is>
          <t>Transformador potencia JX0001</t>
        </is>
      </c>
      <c r="D4230" s="2" t="n">
        <v>1410</v>
      </c>
      <c r="E4230" s="2" t="inlineStr">
        <is>
          <t>CC-4000</t>
        </is>
      </c>
      <c r="F4230" s="2" t="inlineStr">
        <is>
          <t>P01</t>
        </is>
      </c>
      <c r="G4230" s="2" t="n">
        <v>620000</v>
      </c>
      <c r="H4230" s="2" t="inlineStr">
        <is>
          <t>Materiales</t>
        </is>
      </c>
      <c r="I4230" s="9" t="n">
        <v>681.3099999999999</v>
      </c>
      <c r="J4230" s="9" t="n">
        <v>705.83</v>
      </c>
      <c r="K4230" s="9" t="n">
        <v>732.2</v>
      </c>
      <c r="L4230" s="9" t="n">
        <v>767.26</v>
      </c>
      <c r="M4230" s="9" t="n">
        <v>678.47</v>
      </c>
      <c r="N4230" s="9" t="n">
        <v>671.9400000000001</v>
      </c>
      <c r="O4230" s="9" t="n">
        <v>723.46</v>
      </c>
      <c r="P4230" s="9" t="n">
        <v>712.64</v>
      </c>
      <c r="Q4230" s="9" t="n">
        <v>710.25</v>
      </c>
      <c r="R4230" s="9" t="n">
        <v>823.52</v>
      </c>
      <c r="S4230" s="9" t="n">
        <v>642.4</v>
      </c>
      <c r="T4230" s="9" t="n">
        <v>698.42</v>
      </c>
      <c r="U4230" s="10">
        <f>SUM(I4230:T4230)</f>
        <v/>
      </c>
    </row>
    <row r="4231">
      <c r="A4231" s="2" t="inlineStr">
        <is>
          <t>SN-4000-4400-44ER-4400JX0001</t>
        </is>
      </c>
      <c r="B4231" s="2" t="inlineStr">
        <is>
          <t>4400JX0001</t>
        </is>
      </c>
      <c r="C4231" s="2" t="inlineStr">
        <is>
          <t>Transformador potencia JX0001</t>
        </is>
      </c>
      <c r="D4231" s="2" t="n">
        <v>1410</v>
      </c>
      <c r="E4231" s="2" t="inlineStr">
        <is>
          <t>CC-4000</t>
        </is>
      </c>
      <c r="F4231" s="2" t="inlineStr">
        <is>
          <t>P01</t>
        </is>
      </c>
      <c r="G4231" s="2" t="n">
        <v>630000</v>
      </c>
      <c r="H4231" s="2" t="inlineStr">
        <is>
          <t>Servicios externos</t>
        </is>
      </c>
      <c r="I4231" s="9" t="n">
        <v>564.04</v>
      </c>
      <c r="J4231" s="9" t="n">
        <v>565.7</v>
      </c>
      <c r="K4231" s="9" t="n">
        <v>574.9400000000001</v>
      </c>
      <c r="L4231" s="9" t="n">
        <v>532.59</v>
      </c>
      <c r="M4231" s="9" t="n">
        <v>527.13</v>
      </c>
      <c r="N4231" s="9" t="n">
        <v>507.3</v>
      </c>
      <c r="O4231" s="9" t="n">
        <v>561.13</v>
      </c>
      <c r="P4231" s="9" t="n">
        <v>575.36</v>
      </c>
      <c r="Q4231" s="9" t="n">
        <v>505.86</v>
      </c>
      <c r="R4231" s="9" t="n">
        <v>568.09</v>
      </c>
      <c r="S4231" s="9" t="n">
        <v>567.89</v>
      </c>
      <c r="T4231" s="9" t="n">
        <v>600.77</v>
      </c>
      <c r="U4231" s="10">
        <f>SUM(I4231:T4231)</f>
        <v/>
      </c>
    </row>
    <row r="4232">
      <c r="A4232" s="2" t="inlineStr">
        <is>
          <t>SN-4000-4400-44ER-4400LP0001</t>
        </is>
      </c>
      <c r="B4232" s="2" t="inlineStr">
        <is>
          <t>4400LP0001</t>
        </is>
      </c>
      <c r="C4232" s="2" t="inlineStr">
        <is>
          <t>Tablero distribución LP0001</t>
        </is>
      </c>
      <c r="D4232" s="2" t="n">
        <v>1411</v>
      </c>
      <c r="E4232" s="2" t="inlineStr">
        <is>
          <t>CC-4000</t>
        </is>
      </c>
      <c r="F4232" s="2" t="inlineStr">
        <is>
          <t>P01</t>
        </is>
      </c>
      <c r="G4232" s="2" t="n">
        <v>610000</v>
      </c>
      <c r="H4232" s="2" t="inlineStr">
        <is>
          <t>Mano obra interna</t>
        </is>
      </c>
      <c r="I4232" s="9" t="n">
        <v>890.62</v>
      </c>
      <c r="J4232" s="9" t="n">
        <v>812.04</v>
      </c>
      <c r="K4232" s="9" t="n">
        <v>871.88</v>
      </c>
      <c r="L4232" s="9" t="n">
        <v>941.7</v>
      </c>
      <c r="M4232" s="9" t="n">
        <v>855.63</v>
      </c>
      <c r="N4232" s="9" t="n">
        <v>858.97</v>
      </c>
      <c r="O4232" s="9" t="n">
        <v>947.15</v>
      </c>
      <c r="P4232" s="9" t="n">
        <v>914.5700000000001</v>
      </c>
      <c r="Q4232" s="9" t="n">
        <v>816.4299999999999</v>
      </c>
      <c r="R4232" s="9" t="n">
        <v>932.64</v>
      </c>
      <c r="S4232" s="9" t="n">
        <v>813.0599999999999</v>
      </c>
      <c r="T4232" s="9" t="n">
        <v>933.51</v>
      </c>
      <c r="U4232" s="10">
        <f>SUM(I4232:T4232)</f>
        <v/>
      </c>
    </row>
    <row r="4233">
      <c r="A4233" s="2" t="inlineStr">
        <is>
          <t>SN-4000-4400-44ER-4400LP0001</t>
        </is>
      </c>
      <c r="B4233" s="2" t="inlineStr">
        <is>
          <t>4400LP0001</t>
        </is>
      </c>
      <c r="C4233" s="2" t="inlineStr">
        <is>
          <t>Tablero distribución LP0001</t>
        </is>
      </c>
      <c r="D4233" s="2" t="n">
        <v>1411</v>
      </c>
      <c r="E4233" s="2" t="inlineStr">
        <is>
          <t>CC-4000</t>
        </is>
      </c>
      <c r="F4233" s="2" t="inlineStr">
        <is>
          <t>P01</t>
        </is>
      </c>
      <c r="G4233" s="2" t="n">
        <v>620000</v>
      </c>
      <c r="H4233" s="2" t="inlineStr">
        <is>
          <t>Materiales</t>
        </is>
      </c>
      <c r="I4233" s="9" t="n">
        <v>782.4400000000001</v>
      </c>
      <c r="J4233" s="9" t="n">
        <v>760.5</v>
      </c>
      <c r="K4233" s="9" t="n">
        <v>815.41</v>
      </c>
      <c r="L4233" s="9" t="n">
        <v>859.62</v>
      </c>
      <c r="M4233" s="9" t="n">
        <v>862.95</v>
      </c>
      <c r="N4233" s="9" t="n">
        <v>850.22</v>
      </c>
      <c r="O4233" s="9" t="n">
        <v>855.23</v>
      </c>
      <c r="P4233" s="9" t="n">
        <v>777.04</v>
      </c>
      <c r="Q4233" s="9" t="n">
        <v>740.04</v>
      </c>
      <c r="R4233" s="9" t="n">
        <v>836.62</v>
      </c>
      <c r="S4233" s="9" t="n">
        <v>748.9</v>
      </c>
      <c r="T4233" s="9" t="n">
        <v>845.62</v>
      </c>
      <c r="U4233" s="10">
        <f>SUM(I4233:T4233)</f>
        <v/>
      </c>
    </row>
    <row r="4234">
      <c r="A4234" s="2" t="inlineStr">
        <is>
          <t>SN-4000-4400-44ER-4400LP0001</t>
        </is>
      </c>
      <c r="B4234" s="2" t="inlineStr">
        <is>
          <t>4400LP0001</t>
        </is>
      </c>
      <c r="C4234" s="2" t="inlineStr">
        <is>
          <t>Tablero distribución LP0001</t>
        </is>
      </c>
      <c r="D4234" s="2" t="n">
        <v>1411</v>
      </c>
      <c r="E4234" s="2" t="inlineStr">
        <is>
          <t>CC-4000</t>
        </is>
      </c>
      <c r="F4234" s="2" t="inlineStr">
        <is>
          <t>P01</t>
        </is>
      </c>
      <c r="G4234" s="2" t="n">
        <v>630000</v>
      </c>
      <c r="H4234" s="2" t="inlineStr">
        <is>
          <t>Servicios externos</t>
        </is>
      </c>
      <c r="I4234" s="9" t="n">
        <v>1074.57</v>
      </c>
      <c r="J4234" s="9" t="n">
        <v>1055.43</v>
      </c>
      <c r="K4234" s="9" t="n">
        <v>1056.19</v>
      </c>
      <c r="L4234" s="9" t="n">
        <v>1040.89</v>
      </c>
      <c r="M4234" s="9" t="n">
        <v>1082.73</v>
      </c>
      <c r="N4234" s="9" t="n">
        <v>1012.27</v>
      </c>
      <c r="O4234" s="9" t="n">
        <v>1016.28</v>
      </c>
      <c r="P4234" s="9" t="n">
        <v>994.34</v>
      </c>
      <c r="Q4234" s="9" t="n">
        <v>889.84</v>
      </c>
      <c r="R4234" s="9" t="n">
        <v>1159.29</v>
      </c>
      <c r="S4234" s="9" t="n">
        <v>937.45</v>
      </c>
      <c r="T4234" s="9" t="n">
        <v>1040.15</v>
      </c>
      <c r="U4234" s="10">
        <f>SUM(I4234:T4234)</f>
        <v/>
      </c>
    </row>
    <row r="4235">
      <c r="A4235" s="2" t="inlineStr">
        <is>
          <t>SN-4000-4400-44ER-4400LX0001</t>
        </is>
      </c>
      <c r="B4235" s="2" t="inlineStr">
        <is>
          <t>4400LX0001</t>
        </is>
      </c>
      <c r="C4235" s="2" t="inlineStr">
        <is>
          <t>Transformador potencia LX0001</t>
        </is>
      </c>
      <c r="D4235" s="2" t="n">
        <v>1412</v>
      </c>
      <c r="E4235" s="2" t="inlineStr">
        <is>
          <t>CC-4000</t>
        </is>
      </c>
      <c r="F4235" s="2" t="inlineStr">
        <is>
          <t>P01</t>
        </is>
      </c>
      <c r="G4235" s="2" t="n">
        <v>610000</v>
      </c>
      <c r="H4235" s="2" t="inlineStr">
        <is>
          <t>Mano obra interna</t>
        </is>
      </c>
      <c r="I4235" s="9" t="n">
        <v>2783.56</v>
      </c>
      <c r="J4235" s="9" t="n">
        <v>2412.21</v>
      </c>
      <c r="K4235" s="9" t="n">
        <v>2495.32</v>
      </c>
      <c r="L4235" s="9" t="n">
        <v>2770.5</v>
      </c>
      <c r="M4235" s="9" t="n">
        <v>2578.14</v>
      </c>
      <c r="N4235" s="9" t="n">
        <v>2380.95</v>
      </c>
      <c r="O4235" s="9" t="n">
        <v>2827.91</v>
      </c>
      <c r="P4235" s="9" t="n">
        <v>2744.52</v>
      </c>
      <c r="Q4235" s="9" t="n">
        <v>2473.53</v>
      </c>
      <c r="R4235" s="9" t="n">
        <v>2921.56</v>
      </c>
      <c r="S4235" s="9" t="n">
        <v>2400.21</v>
      </c>
      <c r="T4235" s="9" t="n">
        <v>2860.16</v>
      </c>
      <c r="U4235" s="10">
        <f>SUM(I4235:T4235)</f>
        <v/>
      </c>
    </row>
    <row r="4236">
      <c r="A4236" s="2" t="inlineStr">
        <is>
          <t>SN-4000-4400-44ER-4400LX0001</t>
        </is>
      </c>
      <c r="B4236" s="2" t="inlineStr">
        <is>
          <t>4400LX0001</t>
        </is>
      </c>
      <c r="C4236" s="2" t="inlineStr">
        <is>
          <t>Transformador potencia LX0001</t>
        </is>
      </c>
      <c r="D4236" s="2" t="n">
        <v>1412</v>
      </c>
      <c r="E4236" s="2" t="inlineStr">
        <is>
          <t>CC-4000</t>
        </is>
      </c>
      <c r="F4236" s="2" t="inlineStr">
        <is>
          <t>P01</t>
        </is>
      </c>
      <c r="G4236" s="2" t="n">
        <v>620000</v>
      </c>
      <c r="H4236" s="2" t="inlineStr">
        <is>
          <t>Materiales</t>
        </is>
      </c>
      <c r="I4236" s="9" t="n">
        <v>2940.87</v>
      </c>
      <c r="J4236" s="9" t="n">
        <v>2846.01</v>
      </c>
      <c r="K4236" s="9" t="n">
        <v>2997.99</v>
      </c>
      <c r="L4236" s="9" t="n">
        <v>2952.31</v>
      </c>
      <c r="M4236" s="9" t="n">
        <v>2757.49</v>
      </c>
      <c r="N4236" s="9" t="n">
        <v>2707.87</v>
      </c>
      <c r="O4236" s="9" t="n">
        <v>2717.39</v>
      </c>
      <c r="P4236" s="9" t="n">
        <v>2787.97</v>
      </c>
      <c r="Q4236" s="9" t="n">
        <v>2592.69</v>
      </c>
      <c r="R4236" s="9" t="n">
        <v>2931.8</v>
      </c>
      <c r="S4236" s="9" t="n">
        <v>2849.08</v>
      </c>
      <c r="T4236" s="9" t="n">
        <v>2814.49</v>
      </c>
      <c r="U4236" s="10">
        <f>SUM(I4236:T4236)</f>
        <v/>
      </c>
    </row>
    <row r="4237">
      <c r="A4237" s="2" t="inlineStr">
        <is>
          <t>SN-4000-4400-44ER-4400LX0001</t>
        </is>
      </c>
      <c r="B4237" s="2" t="inlineStr">
        <is>
          <t>4400LX0001</t>
        </is>
      </c>
      <c r="C4237" s="2" t="inlineStr">
        <is>
          <t>Transformador potencia LX0001</t>
        </is>
      </c>
      <c r="D4237" s="2" t="n">
        <v>1412</v>
      </c>
      <c r="E4237" s="2" t="inlineStr">
        <is>
          <t>CC-4000</t>
        </is>
      </c>
      <c r="F4237" s="2" t="inlineStr">
        <is>
          <t>P01</t>
        </is>
      </c>
      <c r="G4237" s="2" t="n">
        <v>630000</v>
      </c>
      <c r="H4237" s="2" t="inlineStr">
        <is>
          <t>Servicios externos</t>
        </is>
      </c>
      <c r="I4237" s="9" t="n">
        <v>2415.04</v>
      </c>
      <c r="J4237" s="9" t="n">
        <v>2455.7</v>
      </c>
      <c r="K4237" s="9" t="n">
        <v>2690.74</v>
      </c>
      <c r="L4237" s="9" t="n">
        <v>2535.96</v>
      </c>
      <c r="M4237" s="9" t="n">
        <v>2500.47</v>
      </c>
      <c r="N4237" s="9" t="n">
        <v>2470.74</v>
      </c>
      <c r="O4237" s="9" t="n">
        <v>2460.12</v>
      </c>
      <c r="P4237" s="9" t="n">
        <v>2442.89</v>
      </c>
      <c r="Q4237" s="9" t="n">
        <v>2175.97</v>
      </c>
      <c r="R4237" s="9" t="n">
        <v>2735.36</v>
      </c>
      <c r="S4237" s="9" t="n">
        <v>2503.78</v>
      </c>
      <c r="T4237" s="9" t="n">
        <v>2573.68</v>
      </c>
      <c r="U4237" s="10">
        <f>SUM(I4237:T4237)</f>
        <v/>
      </c>
    </row>
    <row r="4238">
      <c r="A4238" s="2" t="inlineStr">
        <is>
          <t>SN-4000-4400-44ER-4400MC0011</t>
        </is>
      </c>
      <c r="B4238" s="2" t="inlineStr">
        <is>
          <t>4400MC0011</t>
        </is>
      </c>
      <c r="C4238" s="2" t="inlineStr">
        <is>
          <t>Celda interruptor entrada CCM</t>
        </is>
      </c>
      <c r="D4238" s="2" t="n">
        <v>1413</v>
      </c>
      <c r="E4238" s="2" t="inlineStr">
        <is>
          <t>CC-4000</t>
        </is>
      </c>
      <c r="F4238" s="2" t="inlineStr">
        <is>
          <t>P01</t>
        </is>
      </c>
      <c r="G4238" s="2" t="n">
        <v>610000</v>
      </c>
      <c r="H4238" s="2" t="inlineStr">
        <is>
          <t>Mano obra interna</t>
        </is>
      </c>
      <c r="I4238" s="9" t="n">
        <v>2035.56</v>
      </c>
      <c r="J4238" s="9" t="n">
        <v>1930.21</v>
      </c>
      <c r="K4238" s="9" t="n">
        <v>1983.41</v>
      </c>
      <c r="L4238" s="9" t="n">
        <v>2093.72</v>
      </c>
      <c r="M4238" s="9" t="n">
        <v>1939.95</v>
      </c>
      <c r="N4238" s="9" t="n">
        <v>2042.25</v>
      </c>
      <c r="O4238" s="9" t="n">
        <v>2226.96</v>
      </c>
      <c r="P4238" s="9" t="n">
        <v>1929.92</v>
      </c>
      <c r="Q4238" s="9" t="n">
        <v>2050.85</v>
      </c>
      <c r="R4238" s="9" t="n">
        <v>2291.79</v>
      </c>
      <c r="S4238" s="9" t="n">
        <v>2122.29</v>
      </c>
      <c r="T4238" s="9" t="n">
        <v>1987.46</v>
      </c>
      <c r="U4238" s="10">
        <f>SUM(I4238:T4238)</f>
        <v/>
      </c>
    </row>
    <row r="4239">
      <c r="A4239" s="2" t="inlineStr">
        <is>
          <t>SN-4000-4400-44ER-4400MC0011</t>
        </is>
      </c>
      <c r="B4239" s="2" t="inlineStr">
        <is>
          <t>4400MC0011</t>
        </is>
      </c>
      <c r="C4239" s="2" t="inlineStr">
        <is>
          <t>Celda interruptor entrada CCM</t>
        </is>
      </c>
      <c r="D4239" s="2" t="n">
        <v>1413</v>
      </c>
      <c r="E4239" s="2" t="inlineStr">
        <is>
          <t>CC-4000</t>
        </is>
      </c>
      <c r="F4239" s="2" t="inlineStr">
        <is>
          <t>P01</t>
        </is>
      </c>
      <c r="G4239" s="2" t="n">
        <v>620000</v>
      </c>
      <c r="H4239" s="2" t="inlineStr">
        <is>
          <t>Materiales</t>
        </is>
      </c>
      <c r="I4239" s="9" t="n">
        <v>2596.13</v>
      </c>
      <c r="J4239" s="9" t="n">
        <v>2485.51</v>
      </c>
      <c r="K4239" s="9" t="n">
        <v>2556.17</v>
      </c>
      <c r="L4239" s="9" t="n">
        <v>2263.02</v>
      </c>
      <c r="M4239" s="9" t="n">
        <v>2240.24</v>
      </c>
      <c r="N4239" s="9" t="n">
        <v>2415.18</v>
      </c>
      <c r="O4239" s="9" t="n">
        <v>2267.97</v>
      </c>
      <c r="P4239" s="9" t="n">
        <v>2310.07</v>
      </c>
      <c r="Q4239" s="9" t="n">
        <v>2047.1</v>
      </c>
      <c r="R4239" s="9" t="n">
        <v>2607.73</v>
      </c>
      <c r="S4239" s="9" t="n">
        <v>2317.09</v>
      </c>
      <c r="T4239" s="9" t="n">
        <v>2582.38</v>
      </c>
      <c r="U4239" s="10">
        <f>SUM(I4239:T4239)</f>
        <v/>
      </c>
    </row>
    <row r="4240">
      <c r="A4240" s="2" t="inlineStr">
        <is>
          <t>SN-4000-4400-44ER-4400MC0011</t>
        </is>
      </c>
      <c r="B4240" s="2" t="inlineStr">
        <is>
          <t>4400MC0011</t>
        </is>
      </c>
      <c r="C4240" s="2" t="inlineStr">
        <is>
          <t>Celda interruptor entrada CCM</t>
        </is>
      </c>
      <c r="D4240" s="2" t="n">
        <v>1413</v>
      </c>
      <c r="E4240" s="2" t="inlineStr">
        <is>
          <t>CC-4000</t>
        </is>
      </c>
      <c r="F4240" s="2" t="inlineStr">
        <is>
          <t>P01</t>
        </is>
      </c>
      <c r="G4240" s="2" t="n">
        <v>630000</v>
      </c>
      <c r="H4240" s="2" t="inlineStr">
        <is>
          <t>Servicios externos</t>
        </is>
      </c>
      <c r="I4240" s="9" t="n">
        <v>2442.59</v>
      </c>
      <c r="J4240" s="9" t="n">
        <v>2395.43</v>
      </c>
      <c r="K4240" s="9" t="n">
        <v>2431.83</v>
      </c>
      <c r="L4240" s="9" t="n">
        <v>2299.46</v>
      </c>
      <c r="M4240" s="9" t="n">
        <v>2504.93</v>
      </c>
      <c r="N4240" s="9" t="n">
        <v>2303.54</v>
      </c>
      <c r="O4240" s="9" t="n">
        <v>2362.97</v>
      </c>
      <c r="P4240" s="9" t="n">
        <v>2223.73</v>
      </c>
      <c r="Q4240" s="9" t="n">
        <v>2284.09</v>
      </c>
      <c r="R4240" s="9" t="n">
        <v>2536.53</v>
      </c>
      <c r="S4240" s="9" t="n">
        <v>2222.9</v>
      </c>
      <c r="T4240" s="9" t="n">
        <v>2572.17</v>
      </c>
      <c r="U4240" s="10">
        <f>SUM(I4240:T4240)</f>
        <v/>
      </c>
    </row>
    <row r="4241">
      <c r="A4241" s="2" t="inlineStr">
        <is>
          <t>SN-4000-4400-44ER-4400SC0001</t>
        </is>
      </c>
      <c r="B4241" s="2" t="inlineStr">
        <is>
          <t>4400SC0001</t>
        </is>
      </c>
      <c r="C4241" s="2" t="inlineStr">
        <is>
          <t>Panel Scada SC0001</t>
        </is>
      </c>
      <c r="D4241" s="2" t="n">
        <v>1414</v>
      </c>
      <c r="E4241" s="2" t="inlineStr">
        <is>
          <t>CC-4000</t>
        </is>
      </c>
      <c r="F4241" s="2" t="inlineStr">
        <is>
          <t>P01</t>
        </is>
      </c>
      <c r="G4241" s="2" t="n">
        <v>610000</v>
      </c>
      <c r="H4241" s="2" t="inlineStr">
        <is>
          <t>Mano obra interna</t>
        </is>
      </c>
      <c r="I4241" s="9" t="n">
        <v>2265.38</v>
      </c>
      <c r="J4241" s="9" t="n">
        <v>2283.45</v>
      </c>
      <c r="K4241" s="9" t="n">
        <v>2411.41</v>
      </c>
      <c r="L4241" s="9" t="n">
        <v>2377.98</v>
      </c>
      <c r="M4241" s="9" t="n">
        <v>2329.94</v>
      </c>
      <c r="N4241" s="9" t="n">
        <v>1995.43</v>
      </c>
      <c r="O4241" s="9" t="n">
        <v>2370.89</v>
      </c>
      <c r="P4241" s="9" t="n">
        <v>2039</v>
      </c>
      <c r="Q4241" s="9" t="n">
        <v>1980.29</v>
      </c>
      <c r="R4241" s="9" t="n">
        <v>2228.53</v>
      </c>
      <c r="S4241" s="9" t="n">
        <v>2295.87</v>
      </c>
      <c r="T4241" s="9" t="n">
        <v>2219.33</v>
      </c>
      <c r="U4241" s="10">
        <f>SUM(I4241:T4241)</f>
        <v/>
      </c>
    </row>
    <row r="4242">
      <c r="A4242" s="2" t="inlineStr">
        <is>
          <t>SN-4000-4400-44ER-4400SC0001</t>
        </is>
      </c>
      <c r="B4242" s="2" t="inlineStr">
        <is>
          <t>4400SC0001</t>
        </is>
      </c>
      <c r="C4242" s="2" t="inlineStr">
        <is>
          <t>Panel Scada SC0001</t>
        </is>
      </c>
      <c r="D4242" s="2" t="n">
        <v>1414</v>
      </c>
      <c r="E4242" s="2" t="inlineStr">
        <is>
          <t>CC-4000</t>
        </is>
      </c>
      <c r="F4242" s="2" t="inlineStr">
        <is>
          <t>P01</t>
        </is>
      </c>
      <c r="G4242" s="2" t="n">
        <v>620000</v>
      </c>
      <c r="H4242" s="2" t="inlineStr">
        <is>
          <t>Materiales</t>
        </is>
      </c>
      <c r="I4242" s="9" t="n">
        <v>2197.5</v>
      </c>
      <c r="J4242" s="9" t="n">
        <v>2116</v>
      </c>
      <c r="K4242" s="9" t="n">
        <v>2388.45</v>
      </c>
      <c r="L4242" s="9" t="n">
        <v>2155.47</v>
      </c>
      <c r="M4242" s="9" t="n">
        <v>2284.19</v>
      </c>
      <c r="N4242" s="9" t="n">
        <v>2269.38</v>
      </c>
      <c r="O4242" s="9" t="n">
        <v>2311.54</v>
      </c>
      <c r="P4242" s="9" t="n">
        <v>2390.77</v>
      </c>
      <c r="Q4242" s="9" t="n">
        <v>2037.08</v>
      </c>
      <c r="R4242" s="9" t="n">
        <v>2286.18</v>
      </c>
      <c r="S4242" s="9" t="n">
        <v>2278.96</v>
      </c>
      <c r="T4242" s="9" t="n">
        <v>2428.65</v>
      </c>
      <c r="U4242" s="10">
        <f>SUM(I4242:T4242)</f>
        <v/>
      </c>
    </row>
    <row r="4243">
      <c r="A4243" s="2" t="inlineStr">
        <is>
          <t>SN-4000-4400-44ER-4400SC0001</t>
        </is>
      </c>
      <c r="B4243" s="2" t="inlineStr">
        <is>
          <t>4400SC0001</t>
        </is>
      </c>
      <c r="C4243" s="2" t="inlineStr">
        <is>
          <t>Panel Scada SC0001</t>
        </is>
      </c>
      <c r="D4243" s="2" t="n">
        <v>1414</v>
      </c>
      <c r="E4243" s="2" t="inlineStr">
        <is>
          <t>CC-4000</t>
        </is>
      </c>
      <c r="F4243" s="2" t="inlineStr">
        <is>
          <t>P01</t>
        </is>
      </c>
      <c r="G4243" s="2" t="n">
        <v>630000</v>
      </c>
      <c r="H4243" s="2" t="inlineStr">
        <is>
          <t>Servicios externos</t>
        </is>
      </c>
      <c r="I4243" s="9" t="n">
        <v>2601.4</v>
      </c>
      <c r="J4243" s="9" t="n">
        <v>2371.16</v>
      </c>
      <c r="K4243" s="9" t="n">
        <v>2380.01</v>
      </c>
      <c r="L4243" s="9" t="n">
        <v>2467.22</v>
      </c>
      <c r="M4243" s="9" t="n">
        <v>2289.84</v>
      </c>
      <c r="N4243" s="9" t="n">
        <v>2307.07</v>
      </c>
      <c r="O4243" s="9" t="n">
        <v>2288.28</v>
      </c>
      <c r="P4243" s="9" t="n">
        <v>2300.27</v>
      </c>
      <c r="Q4243" s="9" t="n">
        <v>2394.62</v>
      </c>
      <c r="R4243" s="9" t="n">
        <v>2453.37</v>
      </c>
      <c r="S4243" s="9" t="n">
        <v>2243</v>
      </c>
      <c r="T4243" s="9" t="n">
        <v>2654.95</v>
      </c>
      <c r="U4243" s="10">
        <f>SUM(I4243:T4243)</f>
        <v/>
      </c>
    </row>
    <row r="4244">
      <c r="A4244" s="2" t="inlineStr">
        <is>
          <t>SN-4000-4400-44ER-4400SG0001</t>
        </is>
      </c>
      <c r="B4244" s="2" t="inlineStr">
        <is>
          <t>4400SG0001</t>
        </is>
      </c>
      <c r="C4244" s="2" t="inlineStr">
        <is>
          <t>Celda acople barras</t>
        </is>
      </c>
      <c r="D4244" s="2" t="n">
        <v>1415</v>
      </c>
      <c r="E4244" s="2" t="inlineStr">
        <is>
          <t>CC-4000</t>
        </is>
      </c>
      <c r="F4244" s="2" t="inlineStr">
        <is>
          <t>P01</t>
        </is>
      </c>
      <c r="G4244" s="2" t="n">
        <v>610000</v>
      </c>
      <c r="H4244" s="2" t="inlineStr">
        <is>
          <t>Mano obra interna</t>
        </is>
      </c>
      <c r="I4244" s="9" t="n">
        <v>2135.8</v>
      </c>
      <c r="J4244" s="9" t="n">
        <v>2144.78</v>
      </c>
      <c r="K4244" s="9" t="n">
        <v>2137.43</v>
      </c>
      <c r="L4244" s="9" t="n">
        <v>2015.45</v>
      </c>
      <c r="M4244" s="9" t="n">
        <v>2017.16</v>
      </c>
      <c r="N4244" s="9" t="n">
        <v>2053.68</v>
      </c>
      <c r="O4244" s="9" t="n">
        <v>2187.82</v>
      </c>
      <c r="P4244" s="9" t="n">
        <v>1987.47</v>
      </c>
      <c r="Q4244" s="9" t="n">
        <v>1848.02</v>
      </c>
      <c r="R4244" s="9" t="n">
        <v>2164.31</v>
      </c>
      <c r="S4244" s="9" t="n">
        <v>2028.69</v>
      </c>
      <c r="T4244" s="9" t="n">
        <v>2020.26</v>
      </c>
      <c r="U4244" s="10">
        <f>SUM(I4244:T4244)</f>
        <v/>
      </c>
    </row>
    <row r="4245">
      <c r="A4245" s="2" t="inlineStr">
        <is>
          <t>SN-4000-4400-44ER-4400SG0001</t>
        </is>
      </c>
      <c r="B4245" s="2" t="inlineStr">
        <is>
          <t>4400SG0001</t>
        </is>
      </c>
      <c r="C4245" s="2" t="inlineStr">
        <is>
          <t>Celda acople barras</t>
        </is>
      </c>
      <c r="D4245" s="2" t="n">
        <v>1415</v>
      </c>
      <c r="E4245" s="2" t="inlineStr">
        <is>
          <t>CC-4000</t>
        </is>
      </c>
      <c r="F4245" s="2" t="inlineStr">
        <is>
          <t>P01</t>
        </is>
      </c>
      <c r="G4245" s="2" t="n">
        <v>620000</v>
      </c>
      <c r="H4245" s="2" t="inlineStr">
        <is>
          <t>Materiales</t>
        </is>
      </c>
      <c r="I4245" s="9" t="n">
        <v>2347.92</v>
      </c>
      <c r="J4245" s="9" t="n">
        <v>2164.52</v>
      </c>
      <c r="K4245" s="9" t="n">
        <v>2370.03</v>
      </c>
      <c r="L4245" s="9" t="n">
        <v>2109.54</v>
      </c>
      <c r="M4245" s="9" t="n">
        <v>2221.09</v>
      </c>
      <c r="N4245" s="9" t="n">
        <v>2101.02</v>
      </c>
      <c r="O4245" s="9" t="n">
        <v>2056.54</v>
      </c>
      <c r="P4245" s="9" t="n">
        <v>2072.94</v>
      </c>
      <c r="Q4245" s="9" t="n">
        <v>1985.26</v>
      </c>
      <c r="R4245" s="9" t="n">
        <v>2411.64</v>
      </c>
      <c r="S4245" s="9" t="n">
        <v>2191.51</v>
      </c>
      <c r="T4245" s="9" t="n">
        <v>2214.76</v>
      </c>
      <c r="U4245" s="10">
        <f>SUM(I4245:T4245)</f>
        <v/>
      </c>
    </row>
    <row r="4246">
      <c r="A4246" s="2" t="inlineStr">
        <is>
          <t>SN-4000-4400-44ER-4400SG0001</t>
        </is>
      </c>
      <c r="B4246" s="2" t="inlineStr">
        <is>
          <t>4400SG0001</t>
        </is>
      </c>
      <c r="C4246" s="2" t="inlineStr">
        <is>
          <t>Celda acople barras</t>
        </is>
      </c>
      <c r="D4246" s="2" t="n">
        <v>1415</v>
      </c>
      <c r="E4246" s="2" t="inlineStr">
        <is>
          <t>CC-4000</t>
        </is>
      </c>
      <c r="F4246" s="2" t="inlineStr">
        <is>
          <t>P01</t>
        </is>
      </c>
      <c r="G4246" s="2" t="n">
        <v>630000</v>
      </c>
      <c r="H4246" s="2" t="inlineStr">
        <is>
          <t>Servicios externos</t>
        </is>
      </c>
      <c r="I4246" s="9" t="n">
        <v>2045.19</v>
      </c>
      <c r="J4246" s="9" t="n">
        <v>2129.66</v>
      </c>
      <c r="K4246" s="9" t="n">
        <v>2184.06</v>
      </c>
      <c r="L4246" s="9" t="n">
        <v>2033.66</v>
      </c>
      <c r="M4246" s="9" t="n">
        <v>2208.98</v>
      </c>
      <c r="N4246" s="9" t="n">
        <v>1994.72</v>
      </c>
      <c r="O4246" s="9" t="n">
        <v>2181.18</v>
      </c>
      <c r="P4246" s="9" t="n">
        <v>2089.07</v>
      </c>
      <c r="Q4246" s="9" t="n">
        <v>2072.43</v>
      </c>
      <c r="R4246" s="9" t="n">
        <v>2116.51</v>
      </c>
      <c r="S4246" s="9" t="n">
        <v>2030.49</v>
      </c>
      <c r="T4246" s="9" t="n">
        <v>1952.47</v>
      </c>
      <c r="U4246" s="10">
        <f>SUM(I4246:T4246)</f>
        <v/>
      </c>
    </row>
    <row r="4247">
      <c r="A4247" s="2" t="inlineStr">
        <is>
          <t>SN-4000-4400-44ER-4400TU0001</t>
        </is>
      </c>
      <c r="B4247" s="2" t="inlineStr">
        <is>
          <t>4400TU0001</t>
        </is>
      </c>
      <c r="C4247" s="2" t="inlineStr">
        <is>
          <t>Tablero distribución TU0001</t>
        </is>
      </c>
      <c r="D4247" s="2" t="n">
        <v>1416</v>
      </c>
      <c r="E4247" s="2" t="inlineStr">
        <is>
          <t>CC-4000</t>
        </is>
      </c>
      <c r="F4247" s="2" t="inlineStr">
        <is>
          <t>P01</t>
        </is>
      </c>
      <c r="G4247" s="2" t="n">
        <v>610000</v>
      </c>
      <c r="H4247" s="2" t="inlineStr">
        <is>
          <t>Mano obra interna</t>
        </is>
      </c>
      <c r="I4247" s="9" t="n">
        <v>285.98</v>
      </c>
      <c r="J4247" s="9" t="n">
        <v>284.66</v>
      </c>
      <c r="K4247" s="9" t="n">
        <v>314.84</v>
      </c>
      <c r="L4247" s="9" t="n">
        <v>295.13</v>
      </c>
      <c r="M4247" s="9" t="n">
        <v>290.12</v>
      </c>
      <c r="N4247" s="9" t="n">
        <v>296.39</v>
      </c>
      <c r="O4247" s="9" t="n">
        <v>302.36</v>
      </c>
      <c r="P4247" s="9" t="n">
        <v>269.21</v>
      </c>
      <c r="Q4247" s="9" t="n">
        <v>256.25</v>
      </c>
      <c r="R4247" s="9" t="n">
        <v>289.94</v>
      </c>
      <c r="S4247" s="9" t="n">
        <v>261.66</v>
      </c>
      <c r="T4247" s="9" t="n">
        <v>287.02</v>
      </c>
      <c r="U4247" s="10">
        <f>SUM(I4247:T4247)</f>
        <v/>
      </c>
    </row>
    <row r="4248">
      <c r="A4248" s="2" t="inlineStr">
        <is>
          <t>SN-4000-4400-44ER-4400TU0001</t>
        </is>
      </c>
      <c r="B4248" s="2" t="inlineStr">
        <is>
          <t>4400TU0001</t>
        </is>
      </c>
      <c r="C4248" s="2" t="inlineStr">
        <is>
          <t>Tablero distribución TU0001</t>
        </is>
      </c>
      <c r="D4248" s="2" t="n">
        <v>1416</v>
      </c>
      <c r="E4248" s="2" t="inlineStr">
        <is>
          <t>CC-4000</t>
        </is>
      </c>
      <c r="F4248" s="2" t="inlineStr">
        <is>
          <t>P01</t>
        </is>
      </c>
      <c r="G4248" s="2" t="n">
        <v>620000</v>
      </c>
      <c r="H4248" s="2" t="inlineStr">
        <is>
          <t>Materiales</t>
        </is>
      </c>
      <c r="I4248" s="9" t="n">
        <v>314.58</v>
      </c>
      <c r="J4248" s="9" t="n">
        <v>310.98</v>
      </c>
      <c r="K4248" s="9" t="n">
        <v>325.84</v>
      </c>
      <c r="L4248" s="9" t="n">
        <v>333.13</v>
      </c>
      <c r="M4248" s="9" t="n">
        <v>337.97</v>
      </c>
      <c r="N4248" s="9" t="n">
        <v>330.94</v>
      </c>
      <c r="O4248" s="9" t="n">
        <v>326.83</v>
      </c>
      <c r="P4248" s="9" t="n">
        <v>321.32</v>
      </c>
      <c r="Q4248" s="9" t="n">
        <v>307.8</v>
      </c>
      <c r="R4248" s="9" t="n">
        <v>355.82</v>
      </c>
      <c r="S4248" s="9" t="n">
        <v>312.23</v>
      </c>
      <c r="T4248" s="9" t="n">
        <v>338.43</v>
      </c>
      <c r="U4248" s="10">
        <f>SUM(I4248:T4248)</f>
        <v/>
      </c>
    </row>
    <row r="4249">
      <c r="A4249" s="2" t="inlineStr">
        <is>
          <t>SN-4000-4400-44ER-4400TU0001</t>
        </is>
      </c>
      <c r="B4249" s="2" t="inlineStr">
        <is>
          <t>4400TU0001</t>
        </is>
      </c>
      <c r="C4249" s="2" t="inlineStr">
        <is>
          <t>Tablero distribución TU0001</t>
        </is>
      </c>
      <c r="D4249" s="2" t="n">
        <v>1416</v>
      </c>
      <c r="E4249" s="2" t="inlineStr">
        <is>
          <t>CC-4000</t>
        </is>
      </c>
      <c r="F4249" s="2" t="inlineStr">
        <is>
          <t>P01</t>
        </is>
      </c>
      <c r="G4249" s="2" t="n">
        <v>630000</v>
      </c>
      <c r="H4249" s="2" t="inlineStr">
        <is>
          <t>Servicios externos</t>
        </is>
      </c>
      <c r="I4249" s="9" t="n">
        <v>334.26</v>
      </c>
      <c r="J4249" s="9" t="n">
        <v>277.19</v>
      </c>
      <c r="K4249" s="9" t="n">
        <v>310.1</v>
      </c>
      <c r="L4249" s="9" t="n">
        <v>304.92</v>
      </c>
      <c r="M4249" s="9" t="n">
        <v>313.19</v>
      </c>
      <c r="N4249" s="9" t="n">
        <v>275.67</v>
      </c>
      <c r="O4249" s="9" t="n">
        <v>300.28</v>
      </c>
      <c r="P4249" s="9" t="n">
        <v>312.72</v>
      </c>
      <c r="Q4249" s="9" t="n">
        <v>287.04</v>
      </c>
      <c r="R4249" s="9" t="n">
        <v>329.49</v>
      </c>
      <c r="S4249" s="9" t="n">
        <v>290.6</v>
      </c>
      <c r="T4249" s="9" t="n">
        <v>320.26</v>
      </c>
      <c r="U4249" s="10">
        <f>SUM(I4249:T4249)</f>
        <v/>
      </c>
    </row>
    <row r="4250">
      <c r="A4250" s="2" t="inlineStr">
        <is>
          <t>SN-4000-4400-44ER-4400UP0001</t>
        </is>
      </c>
      <c r="B4250" s="2" t="inlineStr">
        <is>
          <t>4400UP0001</t>
        </is>
      </c>
      <c r="C4250" s="2" t="inlineStr">
        <is>
          <t>UPS UP0001</t>
        </is>
      </c>
      <c r="D4250" s="2" t="n">
        <v>1417</v>
      </c>
      <c r="E4250" s="2" t="inlineStr">
        <is>
          <t>CC-4000</t>
        </is>
      </c>
      <c r="F4250" s="2" t="inlineStr">
        <is>
          <t>P01</t>
        </is>
      </c>
      <c r="G4250" s="2" t="n">
        <v>610000</v>
      </c>
      <c r="H4250" s="2" t="inlineStr">
        <is>
          <t>Mano obra interna</t>
        </is>
      </c>
      <c r="I4250" s="9" t="n">
        <v>2915.14</v>
      </c>
      <c r="J4250" s="9" t="n">
        <v>2752.21</v>
      </c>
      <c r="K4250" s="9" t="n">
        <v>2619.43</v>
      </c>
      <c r="L4250" s="9" t="n">
        <v>2806.15</v>
      </c>
      <c r="M4250" s="9" t="n">
        <v>2471.93</v>
      </c>
      <c r="N4250" s="9" t="n">
        <v>2529.32</v>
      </c>
      <c r="O4250" s="9" t="n">
        <v>2657.34</v>
      </c>
      <c r="P4250" s="9" t="n">
        <v>2844.94</v>
      </c>
      <c r="Q4250" s="9" t="n">
        <v>2379.62</v>
      </c>
      <c r="R4250" s="9" t="n">
        <v>2972.11</v>
      </c>
      <c r="S4250" s="9" t="n">
        <v>2479.69</v>
      </c>
      <c r="T4250" s="9" t="n">
        <v>2930.37</v>
      </c>
      <c r="U4250" s="10">
        <f>SUM(I4250:T4250)</f>
        <v/>
      </c>
    </row>
    <row r="4251">
      <c r="A4251" s="2" t="inlineStr">
        <is>
          <t>SN-4000-4400-44ER-4400UP0001</t>
        </is>
      </c>
      <c r="B4251" s="2" t="inlineStr">
        <is>
          <t>4400UP0001</t>
        </is>
      </c>
      <c r="C4251" s="2" t="inlineStr">
        <is>
          <t>UPS UP0001</t>
        </is>
      </c>
      <c r="D4251" s="2" t="n">
        <v>1417</v>
      </c>
      <c r="E4251" s="2" t="inlineStr">
        <is>
          <t>CC-4000</t>
        </is>
      </c>
      <c r="F4251" s="2" t="inlineStr">
        <is>
          <t>P01</t>
        </is>
      </c>
      <c r="G4251" s="2" t="n">
        <v>620000</v>
      </c>
      <c r="H4251" s="2" t="inlineStr">
        <is>
          <t>Materiales</t>
        </is>
      </c>
      <c r="I4251" s="9" t="n">
        <v>2652.74</v>
      </c>
      <c r="J4251" s="9" t="n">
        <v>2534.78</v>
      </c>
      <c r="K4251" s="9" t="n">
        <v>2512.85</v>
      </c>
      <c r="L4251" s="9" t="n">
        <v>2735.22</v>
      </c>
      <c r="M4251" s="9" t="n">
        <v>2539.45</v>
      </c>
      <c r="N4251" s="9" t="n">
        <v>2408.28</v>
      </c>
      <c r="O4251" s="9" t="n">
        <v>2527.35</v>
      </c>
      <c r="P4251" s="9" t="n">
        <v>2670</v>
      </c>
      <c r="Q4251" s="9" t="n">
        <v>2175.83</v>
      </c>
      <c r="R4251" s="9" t="n">
        <v>2663.88</v>
      </c>
      <c r="S4251" s="9" t="n">
        <v>2567.55</v>
      </c>
      <c r="T4251" s="9" t="n">
        <v>2363.28</v>
      </c>
      <c r="U4251" s="10">
        <f>SUM(I4251:T4251)</f>
        <v/>
      </c>
    </row>
    <row r="4252">
      <c r="A4252" s="2" t="inlineStr">
        <is>
          <t>SN-4000-4400-44ER-4400UP0001</t>
        </is>
      </c>
      <c r="B4252" s="2" t="inlineStr">
        <is>
          <t>4400UP0001</t>
        </is>
      </c>
      <c r="C4252" s="2" t="inlineStr">
        <is>
          <t>UPS UP0001</t>
        </is>
      </c>
      <c r="D4252" s="2" t="n">
        <v>1417</v>
      </c>
      <c r="E4252" s="2" t="inlineStr">
        <is>
          <t>CC-4000</t>
        </is>
      </c>
      <c r="F4252" s="2" t="inlineStr">
        <is>
          <t>P01</t>
        </is>
      </c>
      <c r="G4252" s="2" t="n">
        <v>630000</v>
      </c>
      <c r="H4252" s="2" t="inlineStr">
        <is>
          <t>Servicios externos</t>
        </is>
      </c>
      <c r="I4252" s="9" t="n">
        <v>2621.57</v>
      </c>
      <c r="J4252" s="9" t="n">
        <v>2447.49</v>
      </c>
      <c r="K4252" s="9" t="n">
        <v>2738.91</v>
      </c>
      <c r="L4252" s="9" t="n">
        <v>2807.12</v>
      </c>
      <c r="M4252" s="9" t="n">
        <v>2567.94</v>
      </c>
      <c r="N4252" s="9" t="n">
        <v>2352.86</v>
      </c>
      <c r="O4252" s="9" t="n">
        <v>2528.65</v>
      </c>
      <c r="P4252" s="9" t="n">
        <v>2807.2</v>
      </c>
      <c r="Q4252" s="9" t="n">
        <v>2277.02</v>
      </c>
      <c r="R4252" s="9" t="n">
        <v>2660.27</v>
      </c>
      <c r="S4252" s="9" t="n">
        <v>2723.15</v>
      </c>
      <c r="T4252" s="9" t="n">
        <v>2808.97</v>
      </c>
      <c r="U4252" s="10">
        <f>SUM(I4252:T4252)</f>
        <v/>
      </c>
    </row>
    <row r="4253">
      <c r="A4253" s="2" t="inlineStr">
        <is>
          <t>SN-4000-4500-4500-5800FA0049</t>
        </is>
      </c>
      <c r="B4253" s="2" t="inlineStr">
        <is>
          <t>5800FA0049</t>
        </is>
      </c>
      <c r="C4253" s="2" t="inlineStr">
        <is>
          <t>Ventilador axial FA0049</t>
        </is>
      </c>
      <c r="D4253" s="2" t="n">
        <v>1418</v>
      </c>
      <c r="E4253" s="2" t="inlineStr">
        <is>
          <t>CC-4000</t>
        </is>
      </c>
      <c r="F4253" s="2" t="inlineStr">
        <is>
          <t>P01</t>
        </is>
      </c>
      <c r="G4253" s="2" t="n">
        <v>610000</v>
      </c>
      <c r="H4253" s="2" t="inlineStr">
        <is>
          <t>Mano obra interna</t>
        </is>
      </c>
      <c r="I4253" s="9" t="n">
        <v>1385.38</v>
      </c>
      <c r="J4253" s="9" t="n">
        <v>1356.83</v>
      </c>
      <c r="K4253" s="9" t="n">
        <v>1406.96</v>
      </c>
      <c r="L4253" s="9" t="n">
        <v>1499.83</v>
      </c>
      <c r="M4253" s="9" t="n">
        <v>1399.47</v>
      </c>
      <c r="N4253" s="9" t="n">
        <v>1274.78</v>
      </c>
      <c r="O4253" s="9" t="n">
        <v>1389.99</v>
      </c>
      <c r="P4253" s="9" t="n">
        <v>1519.17</v>
      </c>
      <c r="Q4253" s="9" t="n">
        <v>1401.38</v>
      </c>
      <c r="R4253" s="9" t="n">
        <v>1585.55</v>
      </c>
      <c r="S4253" s="9" t="n">
        <v>1299.18</v>
      </c>
      <c r="T4253" s="9" t="n">
        <v>1548.04</v>
      </c>
      <c r="U4253" s="10">
        <f>SUM(I4253:T4253)</f>
        <v/>
      </c>
    </row>
    <row r="4254">
      <c r="A4254" s="2" t="inlineStr">
        <is>
          <t>SN-4000-4500-4500-5800FA0049</t>
        </is>
      </c>
      <c r="B4254" s="2" t="inlineStr">
        <is>
          <t>5800FA0049</t>
        </is>
      </c>
      <c r="C4254" s="2" t="inlineStr">
        <is>
          <t>Ventilador axial FA0049</t>
        </is>
      </c>
      <c r="D4254" s="2" t="n">
        <v>1418</v>
      </c>
      <c r="E4254" s="2" t="inlineStr">
        <is>
          <t>CC-4000</t>
        </is>
      </c>
      <c r="F4254" s="2" t="inlineStr">
        <is>
          <t>P01</t>
        </is>
      </c>
      <c r="G4254" s="2" t="n">
        <v>620000</v>
      </c>
      <c r="H4254" s="2" t="inlineStr">
        <is>
          <t>Materiales</t>
        </is>
      </c>
      <c r="I4254" s="9" t="n">
        <v>1338.38</v>
      </c>
      <c r="J4254" s="9" t="n">
        <v>1382.07</v>
      </c>
      <c r="K4254" s="9" t="n">
        <v>1247.32</v>
      </c>
      <c r="L4254" s="9" t="n">
        <v>1353.11</v>
      </c>
      <c r="M4254" s="9" t="n">
        <v>1359.13</v>
      </c>
      <c r="N4254" s="9" t="n">
        <v>1166.96</v>
      </c>
      <c r="O4254" s="9" t="n">
        <v>1282.78</v>
      </c>
      <c r="P4254" s="9" t="n">
        <v>1411.38</v>
      </c>
      <c r="Q4254" s="9" t="n">
        <v>1165.16</v>
      </c>
      <c r="R4254" s="9" t="n">
        <v>1422.15</v>
      </c>
      <c r="S4254" s="9" t="n">
        <v>1320.29</v>
      </c>
      <c r="T4254" s="9" t="n">
        <v>1308.31</v>
      </c>
      <c r="U4254" s="10">
        <f>SUM(I4254:T4254)</f>
        <v/>
      </c>
    </row>
    <row r="4255">
      <c r="A4255" s="2" t="inlineStr">
        <is>
          <t>SN-4000-4500-4500-5800FA0049</t>
        </is>
      </c>
      <c r="B4255" s="2" t="inlineStr">
        <is>
          <t>5800FA0049</t>
        </is>
      </c>
      <c r="C4255" s="2" t="inlineStr">
        <is>
          <t>Ventilador axial FA0049</t>
        </is>
      </c>
      <c r="D4255" s="2" t="n">
        <v>1418</v>
      </c>
      <c r="E4255" s="2" t="inlineStr">
        <is>
          <t>CC-4000</t>
        </is>
      </c>
      <c r="F4255" s="2" t="inlineStr">
        <is>
          <t>P01</t>
        </is>
      </c>
      <c r="G4255" s="2" t="n">
        <v>630000</v>
      </c>
      <c r="H4255" s="2" t="inlineStr">
        <is>
          <t>Servicios externos</t>
        </is>
      </c>
      <c r="I4255" s="9" t="n">
        <v>1212.65</v>
      </c>
      <c r="J4255" s="9" t="n">
        <v>1195.42</v>
      </c>
      <c r="K4255" s="9" t="n">
        <v>1397.77</v>
      </c>
      <c r="L4255" s="9" t="n">
        <v>1371.76</v>
      </c>
      <c r="M4255" s="9" t="n">
        <v>1224.41</v>
      </c>
      <c r="N4255" s="9" t="n">
        <v>1197.91</v>
      </c>
      <c r="O4255" s="9" t="n">
        <v>1265.52</v>
      </c>
      <c r="P4255" s="9" t="n">
        <v>1244.72</v>
      </c>
      <c r="Q4255" s="9" t="n">
        <v>1218.12</v>
      </c>
      <c r="R4255" s="9" t="n">
        <v>1269.93</v>
      </c>
      <c r="S4255" s="9" t="n">
        <v>1311.54</v>
      </c>
      <c r="T4255" s="9" t="n">
        <v>1254.75</v>
      </c>
      <c r="U4255" s="10">
        <f>SUM(I4255:T4255)</f>
        <v/>
      </c>
    </row>
    <row r="4256">
      <c r="A4256" s="2" t="inlineStr">
        <is>
          <t>SN-4000-4700-4700-4700AL0001</t>
        </is>
      </c>
      <c r="B4256" s="2" t="inlineStr">
        <is>
          <t>4700AL0001</t>
        </is>
      </c>
      <c r="C4256" s="2" t="inlineStr">
        <is>
          <t>Transmisor presión agua PIT7650</t>
        </is>
      </c>
      <c r="D4256" s="2" t="n">
        <v>1419</v>
      </c>
      <c r="E4256" s="2" t="inlineStr">
        <is>
          <t>CC-4000</t>
        </is>
      </c>
      <c r="F4256" s="2" t="inlineStr">
        <is>
          <t>P01</t>
        </is>
      </c>
      <c r="G4256" s="2" t="n">
        <v>610000</v>
      </c>
      <c r="H4256" s="2" t="inlineStr">
        <is>
          <t>Mano obra interna</t>
        </is>
      </c>
      <c r="I4256" s="9" t="n">
        <v>189.54</v>
      </c>
      <c r="J4256" s="9" t="n">
        <v>192.35</v>
      </c>
      <c r="K4256" s="9" t="n">
        <v>203.01</v>
      </c>
      <c r="L4256" s="9" t="n">
        <v>185.08</v>
      </c>
      <c r="M4256" s="9" t="n">
        <v>189.26</v>
      </c>
      <c r="N4256" s="9" t="n">
        <v>181.89</v>
      </c>
      <c r="O4256" s="9" t="n">
        <v>186.4</v>
      </c>
      <c r="P4256" s="9" t="n">
        <v>185.99</v>
      </c>
      <c r="Q4256" s="9" t="n">
        <v>168.68</v>
      </c>
      <c r="R4256" s="9" t="n">
        <v>195.58</v>
      </c>
      <c r="S4256" s="9" t="n">
        <v>182.46</v>
      </c>
      <c r="T4256" s="9" t="n">
        <v>175.61</v>
      </c>
      <c r="U4256" s="10">
        <f>SUM(I4256:T4256)</f>
        <v/>
      </c>
    </row>
    <row r="4257">
      <c r="A4257" s="2" t="inlineStr">
        <is>
          <t>SN-4000-4700-4700-4700AL0001</t>
        </is>
      </c>
      <c r="B4257" s="2" t="inlineStr">
        <is>
          <t>4700AL0001</t>
        </is>
      </c>
      <c r="C4257" s="2" t="inlineStr">
        <is>
          <t>Transmisor presión agua PIT7650</t>
        </is>
      </c>
      <c r="D4257" s="2" t="n">
        <v>1419</v>
      </c>
      <c r="E4257" s="2" t="inlineStr">
        <is>
          <t>CC-4000</t>
        </is>
      </c>
      <c r="F4257" s="2" t="inlineStr">
        <is>
          <t>P01</t>
        </is>
      </c>
      <c r="G4257" s="2" t="n">
        <v>620000</v>
      </c>
      <c r="H4257" s="2" t="inlineStr">
        <is>
          <t>Materiales</t>
        </is>
      </c>
      <c r="I4257" s="9" t="n">
        <v>196</v>
      </c>
      <c r="J4257" s="9" t="n">
        <v>182.99</v>
      </c>
      <c r="K4257" s="9" t="n">
        <v>179.87</v>
      </c>
      <c r="L4257" s="9" t="n">
        <v>195.62</v>
      </c>
      <c r="M4257" s="9" t="n">
        <v>171.24</v>
      </c>
      <c r="N4257" s="9" t="n">
        <v>184.42</v>
      </c>
      <c r="O4257" s="9" t="n">
        <v>174.76</v>
      </c>
      <c r="P4257" s="9" t="n">
        <v>192.04</v>
      </c>
      <c r="Q4257" s="9" t="n">
        <v>171.91</v>
      </c>
      <c r="R4257" s="9" t="n">
        <v>207.47</v>
      </c>
      <c r="S4257" s="9" t="n">
        <v>171.01</v>
      </c>
      <c r="T4257" s="9" t="n">
        <v>178.64</v>
      </c>
      <c r="U4257" s="10">
        <f>SUM(I4257:T4257)</f>
        <v/>
      </c>
    </row>
    <row r="4258">
      <c r="A4258" s="2" t="inlineStr">
        <is>
          <t>SN-4000-4700-4700-4700AL0001</t>
        </is>
      </c>
      <c r="B4258" s="2" t="inlineStr">
        <is>
          <t>4700AL0001</t>
        </is>
      </c>
      <c r="C4258" s="2" t="inlineStr">
        <is>
          <t>Transmisor presión agua PIT7650</t>
        </is>
      </c>
      <c r="D4258" s="2" t="n">
        <v>1419</v>
      </c>
      <c r="E4258" s="2" t="inlineStr">
        <is>
          <t>CC-4000</t>
        </is>
      </c>
      <c r="F4258" s="2" t="inlineStr">
        <is>
          <t>P01</t>
        </is>
      </c>
      <c r="G4258" s="2" t="n">
        <v>630000</v>
      </c>
      <c r="H4258" s="2" t="inlineStr">
        <is>
          <t>Servicios externos</t>
        </is>
      </c>
      <c r="I4258" s="9" t="n">
        <v>151.69</v>
      </c>
      <c r="J4258" s="9" t="n">
        <v>142.58</v>
      </c>
      <c r="K4258" s="9" t="n">
        <v>145.1</v>
      </c>
      <c r="L4258" s="9" t="n">
        <v>149.74</v>
      </c>
      <c r="M4258" s="9" t="n">
        <v>154.08</v>
      </c>
      <c r="N4258" s="9" t="n">
        <v>146.02</v>
      </c>
      <c r="O4258" s="9" t="n">
        <v>161.97</v>
      </c>
      <c r="P4258" s="9" t="n">
        <v>149.07</v>
      </c>
      <c r="Q4258" s="9" t="n">
        <v>136.56</v>
      </c>
      <c r="R4258" s="9" t="n">
        <v>167.59</v>
      </c>
      <c r="S4258" s="9" t="n">
        <v>143.86</v>
      </c>
      <c r="T4258" s="9" t="n">
        <v>155.86</v>
      </c>
      <c r="U4258" s="10">
        <f>SUM(I4258:T4258)</f>
        <v/>
      </c>
    </row>
    <row r="4259">
      <c r="A4259" s="2" t="inlineStr">
        <is>
          <t>SN-4000-4700-4700-4700AL0002</t>
        </is>
      </c>
      <c r="B4259" s="2" t="inlineStr">
        <is>
          <t>4700AL0002</t>
        </is>
      </c>
      <c r="C4259" s="2" t="inlineStr">
        <is>
          <t>Transmisor presión agua PIT7651</t>
        </is>
      </c>
      <c r="D4259" s="2" t="n">
        <v>1420</v>
      </c>
      <c r="E4259" s="2" t="inlineStr">
        <is>
          <t>CC-4000</t>
        </is>
      </c>
      <c r="F4259" s="2" t="inlineStr">
        <is>
          <t>P01</t>
        </is>
      </c>
      <c r="G4259" s="2" t="n">
        <v>610000</v>
      </c>
      <c r="H4259" s="2" t="inlineStr">
        <is>
          <t>Mano obra interna</t>
        </is>
      </c>
      <c r="I4259" s="9" t="n">
        <v>1681.54</v>
      </c>
      <c r="J4259" s="9" t="n">
        <v>1622</v>
      </c>
      <c r="K4259" s="9" t="n">
        <v>1774.37</v>
      </c>
      <c r="L4259" s="9" t="n">
        <v>1752.73</v>
      </c>
      <c r="M4259" s="9" t="n">
        <v>1634.62</v>
      </c>
      <c r="N4259" s="9" t="n">
        <v>1465.35</v>
      </c>
      <c r="O4259" s="9" t="n">
        <v>1774.95</v>
      </c>
      <c r="P4259" s="9" t="n">
        <v>1613.88</v>
      </c>
      <c r="Q4259" s="9" t="n">
        <v>1488.57</v>
      </c>
      <c r="R4259" s="9" t="n">
        <v>1913.51</v>
      </c>
      <c r="S4259" s="9" t="n">
        <v>1689.77</v>
      </c>
      <c r="T4259" s="9" t="n">
        <v>1626.46</v>
      </c>
      <c r="U4259" s="10">
        <f>SUM(I4259:T4259)</f>
        <v/>
      </c>
    </row>
    <row r="4260">
      <c r="A4260" s="2" t="inlineStr">
        <is>
          <t>SN-4000-4700-4700-4700AL0002</t>
        </is>
      </c>
      <c r="B4260" s="2" t="inlineStr">
        <is>
          <t>4700AL0002</t>
        </is>
      </c>
      <c r="C4260" s="2" t="inlineStr">
        <is>
          <t>Transmisor presión agua PIT7651</t>
        </is>
      </c>
      <c r="D4260" s="2" t="n">
        <v>1420</v>
      </c>
      <c r="E4260" s="2" t="inlineStr">
        <is>
          <t>CC-4000</t>
        </is>
      </c>
      <c r="F4260" s="2" t="inlineStr">
        <is>
          <t>P01</t>
        </is>
      </c>
      <c r="G4260" s="2" t="n">
        <v>620000</v>
      </c>
      <c r="H4260" s="2" t="inlineStr">
        <is>
          <t>Materiales</t>
        </is>
      </c>
      <c r="I4260" s="9" t="n">
        <v>1387.12</v>
      </c>
      <c r="J4260" s="9" t="n">
        <v>1258.26</v>
      </c>
      <c r="K4260" s="9" t="n">
        <v>1300.08</v>
      </c>
      <c r="L4260" s="9" t="n">
        <v>1444.28</v>
      </c>
      <c r="M4260" s="9" t="n">
        <v>1312.48</v>
      </c>
      <c r="N4260" s="9" t="n">
        <v>1307.44</v>
      </c>
      <c r="O4260" s="9" t="n">
        <v>1357.75</v>
      </c>
      <c r="P4260" s="9" t="n">
        <v>1365.04</v>
      </c>
      <c r="Q4260" s="9" t="n">
        <v>1300.53</v>
      </c>
      <c r="R4260" s="9" t="n">
        <v>1415.5</v>
      </c>
      <c r="S4260" s="9" t="n">
        <v>1321.99</v>
      </c>
      <c r="T4260" s="9" t="n">
        <v>1395.14</v>
      </c>
      <c r="U4260" s="10">
        <f>SUM(I4260:T4260)</f>
        <v/>
      </c>
    </row>
    <row r="4261">
      <c r="A4261" s="2" t="inlineStr">
        <is>
          <t>SN-4000-4700-4700-4700AL0002</t>
        </is>
      </c>
      <c r="B4261" s="2" t="inlineStr">
        <is>
          <t>4700AL0002</t>
        </is>
      </c>
      <c r="C4261" s="2" t="inlineStr">
        <is>
          <t>Transmisor presión agua PIT7651</t>
        </is>
      </c>
      <c r="D4261" s="2" t="n">
        <v>1420</v>
      </c>
      <c r="E4261" s="2" t="inlineStr">
        <is>
          <t>CC-4000</t>
        </is>
      </c>
      <c r="F4261" s="2" t="inlineStr">
        <is>
          <t>P01</t>
        </is>
      </c>
      <c r="G4261" s="2" t="n">
        <v>630000</v>
      </c>
      <c r="H4261" s="2" t="inlineStr">
        <is>
          <t>Servicios externos</t>
        </is>
      </c>
      <c r="I4261" s="9" t="n">
        <v>1737.83</v>
      </c>
      <c r="J4261" s="9" t="n">
        <v>1723.14</v>
      </c>
      <c r="K4261" s="9" t="n">
        <v>1588.27</v>
      </c>
      <c r="L4261" s="9" t="n">
        <v>1581.85</v>
      </c>
      <c r="M4261" s="9" t="n">
        <v>1540.13</v>
      </c>
      <c r="N4261" s="9" t="n">
        <v>1484.45</v>
      </c>
      <c r="O4261" s="9" t="n">
        <v>1538.27</v>
      </c>
      <c r="P4261" s="9" t="n">
        <v>1545.65</v>
      </c>
      <c r="Q4261" s="9" t="n">
        <v>1654.02</v>
      </c>
      <c r="R4261" s="9" t="n">
        <v>1710.61</v>
      </c>
      <c r="S4261" s="9" t="n">
        <v>1588.05</v>
      </c>
      <c r="T4261" s="9" t="n">
        <v>1756.63</v>
      </c>
      <c r="U4261" s="10">
        <f>SUM(I4261:T4261)</f>
        <v/>
      </c>
    </row>
    <row r="4262">
      <c r="A4262" s="2" t="inlineStr">
        <is>
          <t>SN-4000-4800-4820-4820ME0001</t>
        </is>
      </c>
      <c r="B4262" s="2" t="inlineStr">
        <is>
          <t>4820ME0001</t>
        </is>
      </c>
      <c r="C4262" s="2" t="inlineStr">
        <is>
          <t>Paquete químicos ME0001</t>
        </is>
      </c>
      <c r="D4262" s="2" t="n">
        <v>1421</v>
      </c>
      <c r="E4262" s="2" t="inlineStr">
        <is>
          <t>CC-4000</t>
        </is>
      </c>
      <c r="F4262" s="2" t="inlineStr">
        <is>
          <t>P01</t>
        </is>
      </c>
      <c r="G4262" s="2" t="n">
        <v>610000</v>
      </c>
      <c r="H4262" s="2" t="inlineStr">
        <is>
          <t>Mano obra interna</t>
        </is>
      </c>
      <c r="I4262" s="9" t="n">
        <v>1720.87</v>
      </c>
      <c r="J4262" s="9" t="n">
        <v>1616.95</v>
      </c>
      <c r="K4262" s="9" t="n">
        <v>1666.04</v>
      </c>
      <c r="L4262" s="9" t="n">
        <v>1905.59</v>
      </c>
      <c r="M4262" s="9" t="n">
        <v>1817.05</v>
      </c>
      <c r="N4262" s="9" t="n">
        <v>1760.94</v>
      </c>
      <c r="O4262" s="9" t="n">
        <v>1839.74</v>
      </c>
      <c r="P4262" s="9" t="n">
        <v>1639.28</v>
      </c>
      <c r="Q4262" s="9" t="n">
        <v>1690.15</v>
      </c>
      <c r="R4262" s="9" t="n">
        <v>1940.94</v>
      </c>
      <c r="S4262" s="9" t="n">
        <v>1795.44</v>
      </c>
      <c r="T4262" s="9" t="n">
        <v>1683.12</v>
      </c>
      <c r="U4262" s="10">
        <f>SUM(I4262:T4262)</f>
        <v/>
      </c>
    </row>
    <row r="4263">
      <c r="A4263" s="2" t="inlineStr">
        <is>
          <t>SN-4000-4800-4820-4820ME0001</t>
        </is>
      </c>
      <c r="B4263" s="2" t="inlineStr">
        <is>
          <t>4820ME0001</t>
        </is>
      </c>
      <c r="C4263" s="2" t="inlineStr">
        <is>
          <t>Paquete químicos ME0001</t>
        </is>
      </c>
      <c r="D4263" s="2" t="n">
        <v>1421</v>
      </c>
      <c r="E4263" s="2" t="inlineStr">
        <is>
          <t>CC-4000</t>
        </is>
      </c>
      <c r="F4263" s="2" t="inlineStr">
        <is>
          <t>P01</t>
        </is>
      </c>
      <c r="G4263" s="2" t="n">
        <v>620000</v>
      </c>
      <c r="H4263" s="2" t="inlineStr">
        <is>
          <t>Materiales</t>
        </is>
      </c>
      <c r="I4263" s="9" t="n">
        <v>1848.65</v>
      </c>
      <c r="J4263" s="9" t="n">
        <v>1772.56</v>
      </c>
      <c r="K4263" s="9" t="n">
        <v>1978.67</v>
      </c>
      <c r="L4263" s="9" t="n">
        <v>1810.72</v>
      </c>
      <c r="M4263" s="9" t="n">
        <v>1842.53</v>
      </c>
      <c r="N4263" s="9" t="n">
        <v>1832.08</v>
      </c>
      <c r="O4263" s="9" t="n">
        <v>1762.38</v>
      </c>
      <c r="P4263" s="9" t="n">
        <v>1798.19</v>
      </c>
      <c r="Q4263" s="9" t="n">
        <v>1873.24</v>
      </c>
      <c r="R4263" s="9" t="n">
        <v>2114.62</v>
      </c>
      <c r="S4263" s="9" t="n">
        <v>1863.86</v>
      </c>
      <c r="T4263" s="9" t="n">
        <v>2008.36</v>
      </c>
      <c r="U4263" s="10">
        <f>SUM(I4263:T4263)</f>
        <v/>
      </c>
    </row>
    <row r="4264">
      <c r="A4264" s="2" t="inlineStr">
        <is>
          <t>SN-4000-4800-4820-4820ME0001</t>
        </is>
      </c>
      <c r="B4264" s="2" t="inlineStr">
        <is>
          <t>4820ME0001</t>
        </is>
      </c>
      <c r="C4264" s="2" t="inlineStr">
        <is>
          <t>Paquete químicos ME0001</t>
        </is>
      </c>
      <c r="D4264" s="2" t="n">
        <v>1421</v>
      </c>
      <c r="E4264" s="2" t="inlineStr">
        <is>
          <t>CC-4000</t>
        </is>
      </c>
      <c r="F4264" s="2" t="inlineStr">
        <is>
          <t>P01</t>
        </is>
      </c>
      <c r="G4264" s="2" t="n">
        <v>630000</v>
      </c>
      <c r="H4264" s="2" t="inlineStr">
        <is>
          <t>Servicios externos</t>
        </is>
      </c>
      <c r="I4264" s="9" t="n">
        <v>1560.13</v>
      </c>
      <c r="J4264" s="9" t="n">
        <v>1543.8</v>
      </c>
      <c r="K4264" s="9" t="n">
        <v>1710.62</v>
      </c>
      <c r="L4264" s="9" t="n">
        <v>1714.98</v>
      </c>
      <c r="M4264" s="9" t="n">
        <v>1540.74</v>
      </c>
      <c r="N4264" s="9" t="n">
        <v>1477.94</v>
      </c>
      <c r="O4264" s="9" t="n">
        <v>1747.38</v>
      </c>
      <c r="P4264" s="9" t="n">
        <v>1648.74</v>
      </c>
      <c r="Q4264" s="9" t="n">
        <v>1666.43</v>
      </c>
      <c r="R4264" s="9" t="n">
        <v>1712.06</v>
      </c>
      <c r="S4264" s="9" t="n">
        <v>1644.25</v>
      </c>
      <c r="T4264" s="9" t="n">
        <v>1766.07</v>
      </c>
      <c r="U4264" s="10">
        <f>SUM(I4264:T4264)</f>
        <v/>
      </c>
    </row>
    <row r="4265">
      <c r="A4265" s="2" t="inlineStr">
        <is>
          <t>SN-4000-4800-4820-4820ME0002</t>
        </is>
      </c>
      <c r="B4265" s="2" t="inlineStr">
        <is>
          <t>4820ME0002</t>
        </is>
      </c>
      <c r="C4265" s="2" t="inlineStr">
        <is>
          <t>Paquete químicos ME0002</t>
        </is>
      </c>
      <c r="D4265" s="2" t="n">
        <v>1422</v>
      </c>
      <c r="E4265" s="2" t="inlineStr">
        <is>
          <t>CC-4000</t>
        </is>
      </c>
      <c r="F4265" s="2" t="inlineStr">
        <is>
          <t>P01</t>
        </is>
      </c>
      <c r="G4265" s="2" t="n">
        <v>610000</v>
      </c>
      <c r="H4265" s="2" t="inlineStr">
        <is>
          <t>Mano obra interna</t>
        </is>
      </c>
      <c r="I4265" s="9" t="n">
        <v>879.84</v>
      </c>
      <c r="J4265" s="9" t="n">
        <v>832.98</v>
      </c>
      <c r="K4265" s="9" t="n">
        <v>877.37</v>
      </c>
      <c r="L4265" s="9" t="n">
        <v>933.3</v>
      </c>
      <c r="M4265" s="9" t="n">
        <v>883.38</v>
      </c>
      <c r="N4265" s="9" t="n">
        <v>863.83</v>
      </c>
      <c r="O4265" s="9" t="n">
        <v>821.58</v>
      </c>
      <c r="P4265" s="9" t="n">
        <v>873.27</v>
      </c>
      <c r="Q4265" s="9" t="n">
        <v>802.8099999999999</v>
      </c>
      <c r="R4265" s="9" t="n">
        <v>1015.02</v>
      </c>
      <c r="S4265" s="9" t="n">
        <v>899.09</v>
      </c>
      <c r="T4265" s="9" t="n">
        <v>892.47</v>
      </c>
      <c r="U4265" s="10">
        <f>SUM(I4265:T4265)</f>
        <v/>
      </c>
    </row>
    <row r="4266">
      <c r="A4266" s="2" t="inlineStr">
        <is>
          <t>SN-4000-4800-4820-4820ME0002</t>
        </is>
      </c>
      <c r="B4266" s="2" t="inlineStr">
        <is>
          <t>4820ME0002</t>
        </is>
      </c>
      <c r="C4266" s="2" t="inlineStr">
        <is>
          <t>Paquete químicos ME0002</t>
        </is>
      </c>
      <c r="D4266" s="2" t="n">
        <v>1422</v>
      </c>
      <c r="E4266" s="2" t="inlineStr">
        <is>
          <t>CC-4000</t>
        </is>
      </c>
      <c r="F4266" s="2" t="inlineStr">
        <is>
          <t>P01</t>
        </is>
      </c>
      <c r="G4266" s="2" t="n">
        <v>620000</v>
      </c>
      <c r="H4266" s="2" t="inlineStr">
        <is>
          <t>Materiales</t>
        </is>
      </c>
      <c r="I4266" s="9" t="n">
        <v>766.24</v>
      </c>
      <c r="J4266" s="9" t="n">
        <v>814.4</v>
      </c>
      <c r="K4266" s="9" t="n">
        <v>780.96</v>
      </c>
      <c r="L4266" s="9" t="n">
        <v>855.3099999999999</v>
      </c>
      <c r="M4266" s="9" t="n">
        <v>810.24</v>
      </c>
      <c r="N4266" s="9" t="n">
        <v>748.91</v>
      </c>
      <c r="O4266" s="9" t="n">
        <v>792.79</v>
      </c>
      <c r="P4266" s="9" t="n">
        <v>755.52</v>
      </c>
      <c r="Q4266" s="9" t="n">
        <v>731.86</v>
      </c>
      <c r="R4266" s="9" t="n">
        <v>937.79</v>
      </c>
      <c r="S4266" s="9" t="n">
        <v>781.58</v>
      </c>
      <c r="T4266" s="9" t="n">
        <v>817.78</v>
      </c>
      <c r="U4266" s="10">
        <f>SUM(I4266:T4266)</f>
        <v/>
      </c>
    </row>
    <row r="4267">
      <c r="A4267" s="2" t="inlineStr">
        <is>
          <t>SN-4000-4800-4820-4820ME0002</t>
        </is>
      </c>
      <c r="B4267" s="2" t="inlineStr">
        <is>
          <t>4820ME0002</t>
        </is>
      </c>
      <c r="C4267" s="2" t="inlineStr">
        <is>
          <t>Paquete químicos ME0002</t>
        </is>
      </c>
      <c r="D4267" s="2" t="n">
        <v>1422</v>
      </c>
      <c r="E4267" s="2" t="inlineStr">
        <is>
          <t>CC-4000</t>
        </is>
      </c>
      <c r="F4267" s="2" t="inlineStr">
        <is>
          <t>P01</t>
        </is>
      </c>
      <c r="G4267" s="2" t="n">
        <v>630000</v>
      </c>
      <c r="H4267" s="2" t="inlineStr">
        <is>
          <t>Servicios externos</t>
        </is>
      </c>
      <c r="I4267" s="9" t="n">
        <v>811.7</v>
      </c>
      <c r="J4267" s="9" t="n">
        <v>766.89</v>
      </c>
      <c r="K4267" s="9" t="n">
        <v>774.91</v>
      </c>
      <c r="L4267" s="9" t="n">
        <v>831.67</v>
      </c>
      <c r="M4267" s="9" t="n">
        <v>820.29</v>
      </c>
      <c r="N4267" s="9" t="n">
        <v>813.6900000000001</v>
      </c>
      <c r="O4267" s="9" t="n">
        <v>734.0599999999999</v>
      </c>
      <c r="P4267" s="9" t="n">
        <v>741.29</v>
      </c>
      <c r="Q4267" s="9" t="n">
        <v>789.4299999999999</v>
      </c>
      <c r="R4267" s="9" t="n">
        <v>877.67</v>
      </c>
      <c r="S4267" s="9" t="n">
        <v>828.1900000000001</v>
      </c>
      <c r="T4267" s="9" t="n">
        <v>800</v>
      </c>
      <c r="U4267" s="10">
        <f>SUM(I4267:T4267)</f>
        <v/>
      </c>
    </row>
    <row r="4268">
      <c r="A4268" s="2" t="inlineStr">
        <is>
          <t>SN-4000-4800-4820-4820XM0086</t>
        </is>
      </c>
      <c r="B4268" s="2" t="inlineStr">
        <is>
          <t>4820XM0086</t>
        </is>
      </c>
      <c r="C4268" s="2" t="inlineStr">
        <is>
          <t>Cerramiento celosía XM0086</t>
        </is>
      </c>
      <c r="D4268" s="2" t="n">
        <v>1423</v>
      </c>
      <c r="E4268" s="2" t="inlineStr">
        <is>
          <t>CC-4000</t>
        </is>
      </c>
      <c r="F4268" s="2" t="inlineStr">
        <is>
          <t>P01</t>
        </is>
      </c>
      <c r="G4268" s="2" t="n">
        <v>610000</v>
      </c>
      <c r="H4268" s="2" t="inlineStr">
        <is>
          <t>Mano obra interna</t>
        </is>
      </c>
      <c r="I4268" s="9" t="n">
        <v>2180.17</v>
      </c>
      <c r="J4268" s="9" t="n">
        <v>2033.79</v>
      </c>
      <c r="K4268" s="9" t="n">
        <v>2215.65</v>
      </c>
      <c r="L4268" s="9" t="n">
        <v>2064.68</v>
      </c>
      <c r="M4268" s="9" t="n">
        <v>2170.8</v>
      </c>
      <c r="N4268" s="9" t="n">
        <v>2210.34</v>
      </c>
      <c r="O4268" s="9" t="n">
        <v>2128.53</v>
      </c>
      <c r="P4268" s="9" t="n">
        <v>2046.65</v>
      </c>
      <c r="Q4268" s="9" t="n">
        <v>2193.38</v>
      </c>
      <c r="R4268" s="9" t="n">
        <v>2221.78</v>
      </c>
      <c r="S4268" s="9" t="n">
        <v>2130.02</v>
      </c>
      <c r="T4268" s="9" t="n">
        <v>2332.71</v>
      </c>
      <c r="U4268" s="10">
        <f>SUM(I4268:T4268)</f>
        <v/>
      </c>
    </row>
    <row r="4269">
      <c r="A4269" s="2" t="inlineStr">
        <is>
          <t>SN-4000-4800-4820-4820XM0086</t>
        </is>
      </c>
      <c r="B4269" s="2" t="inlineStr">
        <is>
          <t>4820XM0086</t>
        </is>
      </c>
      <c r="C4269" s="2" t="inlineStr">
        <is>
          <t>Cerramiento celosía XM0086</t>
        </is>
      </c>
      <c r="D4269" s="2" t="n">
        <v>1423</v>
      </c>
      <c r="E4269" s="2" t="inlineStr">
        <is>
          <t>CC-4000</t>
        </is>
      </c>
      <c r="F4269" s="2" t="inlineStr">
        <is>
          <t>P01</t>
        </is>
      </c>
      <c r="G4269" s="2" t="n">
        <v>620000</v>
      </c>
      <c r="H4269" s="2" t="inlineStr">
        <is>
          <t>Materiales</t>
        </is>
      </c>
      <c r="I4269" s="9" t="n">
        <v>2158.15</v>
      </c>
      <c r="J4269" s="9" t="n">
        <v>1992.21</v>
      </c>
      <c r="K4269" s="9" t="n">
        <v>2012.37</v>
      </c>
      <c r="L4269" s="9" t="n">
        <v>2168.62</v>
      </c>
      <c r="M4269" s="9" t="n">
        <v>2022.54</v>
      </c>
      <c r="N4269" s="9" t="n">
        <v>1951.87</v>
      </c>
      <c r="O4269" s="9" t="n">
        <v>2006.75</v>
      </c>
      <c r="P4269" s="9" t="n">
        <v>1930.86</v>
      </c>
      <c r="Q4269" s="9" t="n">
        <v>1807.73</v>
      </c>
      <c r="R4269" s="9" t="n">
        <v>2019.29</v>
      </c>
      <c r="S4269" s="9" t="n">
        <v>1860.97</v>
      </c>
      <c r="T4269" s="9" t="n">
        <v>1962</v>
      </c>
      <c r="U4269" s="10">
        <f>SUM(I4269:T4269)</f>
        <v/>
      </c>
    </row>
    <row r="4270">
      <c r="A4270" s="2" t="inlineStr">
        <is>
          <t>SN-4000-4800-4820-4820XM0086</t>
        </is>
      </c>
      <c r="B4270" s="2" t="inlineStr">
        <is>
          <t>4820XM0086</t>
        </is>
      </c>
      <c r="C4270" s="2" t="inlineStr">
        <is>
          <t>Cerramiento celosía XM0086</t>
        </is>
      </c>
      <c r="D4270" s="2" t="n">
        <v>1423</v>
      </c>
      <c r="E4270" s="2" t="inlineStr">
        <is>
          <t>CC-4000</t>
        </is>
      </c>
      <c r="F4270" s="2" t="inlineStr">
        <is>
          <t>P01</t>
        </is>
      </c>
      <c r="G4270" s="2" t="n">
        <v>630000</v>
      </c>
      <c r="H4270" s="2" t="inlineStr">
        <is>
          <t>Servicios externos</t>
        </is>
      </c>
      <c r="I4270" s="9" t="n">
        <v>1794.98</v>
      </c>
      <c r="J4270" s="9" t="n">
        <v>1778.96</v>
      </c>
      <c r="K4270" s="9" t="n">
        <v>1989.44</v>
      </c>
      <c r="L4270" s="9" t="n">
        <v>1819.75</v>
      </c>
      <c r="M4270" s="9" t="n">
        <v>1862.33</v>
      </c>
      <c r="N4270" s="9" t="n">
        <v>1795.13</v>
      </c>
      <c r="O4270" s="9" t="n">
        <v>1976.36</v>
      </c>
      <c r="P4270" s="9" t="n">
        <v>1906.57</v>
      </c>
      <c r="Q4270" s="9" t="n">
        <v>1862.09</v>
      </c>
      <c r="R4270" s="9" t="n">
        <v>2063.76</v>
      </c>
      <c r="S4270" s="9" t="n">
        <v>1677.54</v>
      </c>
      <c r="T4270" s="9" t="n">
        <v>1867</v>
      </c>
      <c r="U4270" s="10">
        <f>SUM(I4270:T4270)</f>
        <v/>
      </c>
    </row>
    <row r="4271">
      <c r="A4271" s="2" t="inlineStr">
        <is>
          <t>SN-4000-4800-4820-4820XM0087</t>
        </is>
      </c>
      <c r="B4271" s="2" t="inlineStr">
        <is>
          <t>4820XM0087</t>
        </is>
      </c>
      <c r="C4271" s="2" t="inlineStr">
        <is>
          <t>Cerramiento celosía XM0087</t>
        </is>
      </c>
      <c r="D4271" s="2" t="n">
        <v>1424</v>
      </c>
      <c r="E4271" s="2" t="inlineStr">
        <is>
          <t>CC-4000</t>
        </is>
      </c>
      <c r="F4271" s="2" t="inlineStr">
        <is>
          <t>P01</t>
        </is>
      </c>
      <c r="G4271" s="2" t="n">
        <v>610000</v>
      </c>
      <c r="H4271" s="2" t="inlineStr">
        <is>
          <t>Mano obra interna</t>
        </is>
      </c>
      <c r="I4271" s="9" t="n">
        <v>1124.57</v>
      </c>
      <c r="J4271" s="9" t="n">
        <v>1075.22</v>
      </c>
      <c r="K4271" s="9" t="n">
        <v>1172.33</v>
      </c>
      <c r="L4271" s="9" t="n">
        <v>1091.64</v>
      </c>
      <c r="M4271" s="9" t="n">
        <v>1166.2</v>
      </c>
      <c r="N4271" s="9" t="n">
        <v>1042.73</v>
      </c>
      <c r="O4271" s="9" t="n">
        <v>1129.75</v>
      </c>
      <c r="P4271" s="9" t="n">
        <v>1190.48</v>
      </c>
      <c r="Q4271" s="9" t="n">
        <v>1076.59</v>
      </c>
      <c r="R4271" s="9" t="n">
        <v>1198.79</v>
      </c>
      <c r="S4271" s="9" t="n">
        <v>1132.26</v>
      </c>
      <c r="T4271" s="9" t="n">
        <v>1133.29</v>
      </c>
      <c r="U4271" s="10">
        <f>SUM(I4271:T4271)</f>
        <v/>
      </c>
    </row>
    <row r="4272">
      <c r="A4272" s="2" t="inlineStr">
        <is>
          <t>SN-4000-4800-4820-4820XM0087</t>
        </is>
      </c>
      <c r="B4272" s="2" t="inlineStr">
        <is>
          <t>4820XM0087</t>
        </is>
      </c>
      <c r="C4272" s="2" t="inlineStr">
        <is>
          <t>Cerramiento celosía XM0087</t>
        </is>
      </c>
      <c r="D4272" s="2" t="n">
        <v>1424</v>
      </c>
      <c r="E4272" s="2" t="inlineStr">
        <is>
          <t>CC-4000</t>
        </is>
      </c>
      <c r="F4272" s="2" t="inlineStr">
        <is>
          <t>P01</t>
        </is>
      </c>
      <c r="G4272" s="2" t="n">
        <v>620000</v>
      </c>
      <c r="H4272" s="2" t="inlineStr">
        <is>
          <t>Materiales</t>
        </is>
      </c>
      <c r="I4272" s="9" t="n">
        <v>1111.19</v>
      </c>
      <c r="J4272" s="9" t="n">
        <v>935.04</v>
      </c>
      <c r="K4272" s="9" t="n">
        <v>1043.93</v>
      </c>
      <c r="L4272" s="9" t="n">
        <v>1023.39</v>
      </c>
      <c r="M4272" s="9" t="n">
        <v>1051.32</v>
      </c>
      <c r="N4272" s="9" t="n">
        <v>905.42</v>
      </c>
      <c r="O4272" s="9" t="n">
        <v>1054.03</v>
      </c>
      <c r="P4272" s="9" t="n">
        <v>1001.13</v>
      </c>
      <c r="Q4272" s="9" t="n">
        <v>894.61</v>
      </c>
      <c r="R4272" s="9" t="n">
        <v>1192.8</v>
      </c>
      <c r="S4272" s="9" t="n">
        <v>948.54</v>
      </c>
      <c r="T4272" s="9" t="n">
        <v>1017.21</v>
      </c>
      <c r="U4272" s="10">
        <f>SUM(I4272:T4272)</f>
        <v/>
      </c>
    </row>
    <row r="4273">
      <c r="A4273" s="2" t="inlineStr">
        <is>
          <t>SN-4000-4800-4820-4820XM0087</t>
        </is>
      </c>
      <c r="B4273" s="2" t="inlineStr">
        <is>
          <t>4820XM0087</t>
        </is>
      </c>
      <c r="C4273" s="2" t="inlineStr">
        <is>
          <t>Cerramiento celosía XM0087</t>
        </is>
      </c>
      <c r="D4273" s="2" t="n">
        <v>1424</v>
      </c>
      <c r="E4273" s="2" t="inlineStr">
        <is>
          <t>CC-4000</t>
        </is>
      </c>
      <c r="F4273" s="2" t="inlineStr">
        <is>
          <t>P01</t>
        </is>
      </c>
      <c r="G4273" s="2" t="n">
        <v>630000</v>
      </c>
      <c r="H4273" s="2" t="inlineStr">
        <is>
          <t>Servicios externos</t>
        </is>
      </c>
      <c r="I4273" s="9" t="n">
        <v>975.52</v>
      </c>
      <c r="J4273" s="9" t="n">
        <v>958.8200000000001</v>
      </c>
      <c r="K4273" s="9" t="n">
        <v>1016.38</v>
      </c>
      <c r="L4273" s="9" t="n">
        <v>923.2</v>
      </c>
      <c r="M4273" s="9" t="n">
        <v>925.45</v>
      </c>
      <c r="N4273" s="9" t="n">
        <v>913.8</v>
      </c>
      <c r="O4273" s="9" t="n">
        <v>951.1900000000001</v>
      </c>
      <c r="P4273" s="9" t="n">
        <v>962.9299999999999</v>
      </c>
      <c r="Q4273" s="9" t="n">
        <v>904.49</v>
      </c>
      <c r="R4273" s="9" t="n">
        <v>939.8099999999999</v>
      </c>
      <c r="S4273" s="9" t="n">
        <v>853.86</v>
      </c>
      <c r="T4273" s="9" t="n">
        <v>980.73</v>
      </c>
      <c r="U4273" s="10">
        <f>SUM(I4273:T4273)</f>
        <v/>
      </c>
    </row>
    <row r="4274">
      <c r="A4274" s="2" t="inlineStr">
        <is>
          <t>SN-4000-4800-4820-4820XM0088</t>
        </is>
      </c>
      <c r="B4274" s="2" t="inlineStr">
        <is>
          <t>4820XM0088</t>
        </is>
      </c>
      <c r="C4274" s="2" t="inlineStr">
        <is>
          <t>Cerramiento celosía XM0088</t>
        </is>
      </c>
      <c r="D4274" s="2" t="n">
        <v>1425</v>
      </c>
      <c r="E4274" s="2" t="inlineStr">
        <is>
          <t>CC-4000</t>
        </is>
      </c>
      <c r="F4274" s="2" t="inlineStr">
        <is>
          <t>P01</t>
        </is>
      </c>
      <c r="G4274" s="2" t="n">
        <v>610000</v>
      </c>
      <c r="H4274" s="2" t="inlineStr">
        <is>
          <t>Mano obra interna</t>
        </is>
      </c>
      <c r="I4274" s="9" t="n">
        <v>2052.72</v>
      </c>
      <c r="J4274" s="9" t="n">
        <v>1989.46</v>
      </c>
      <c r="K4274" s="9" t="n">
        <v>2055.95</v>
      </c>
      <c r="L4274" s="9" t="n">
        <v>2109.7</v>
      </c>
      <c r="M4274" s="9" t="n">
        <v>1956.59</v>
      </c>
      <c r="N4274" s="9" t="n">
        <v>1987.75</v>
      </c>
      <c r="O4274" s="9" t="n">
        <v>1938.63</v>
      </c>
      <c r="P4274" s="9" t="n">
        <v>2116.86</v>
      </c>
      <c r="Q4274" s="9" t="n">
        <v>1979.25</v>
      </c>
      <c r="R4274" s="9" t="n">
        <v>2221.68</v>
      </c>
      <c r="S4274" s="9" t="n">
        <v>1928.4</v>
      </c>
      <c r="T4274" s="9" t="n">
        <v>1904.34</v>
      </c>
      <c r="U4274" s="10">
        <f>SUM(I4274:T4274)</f>
        <v/>
      </c>
    </row>
    <row r="4275">
      <c r="A4275" s="2" t="inlineStr">
        <is>
          <t>SN-4000-4800-4820-4820XM0088</t>
        </is>
      </c>
      <c r="B4275" s="2" t="inlineStr">
        <is>
          <t>4820XM0088</t>
        </is>
      </c>
      <c r="C4275" s="2" t="inlineStr">
        <is>
          <t>Cerramiento celosía XM0088</t>
        </is>
      </c>
      <c r="D4275" s="2" t="n">
        <v>1425</v>
      </c>
      <c r="E4275" s="2" t="inlineStr">
        <is>
          <t>CC-4000</t>
        </is>
      </c>
      <c r="F4275" s="2" t="inlineStr">
        <is>
          <t>P01</t>
        </is>
      </c>
      <c r="G4275" s="2" t="n">
        <v>620000</v>
      </c>
      <c r="H4275" s="2" t="inlineStr">
        <is>
          <t>Materiales</t>
        </is>
      </c>
      <c r="I4275" s="9" t="n">
        <v>1663.4</v>
      </c>
      <c r="J4275" s="9" t="n">
        <v>1585.63</v>
      </c>
      <c r="K4275" s="9" t="n">
        <v>1866.26</v>
      </c>
      <c r="L4275" s="9" t="n">
        <v>1915.7</v>
      </c>
      <c r="M4275" s="9" t="n">
        <v>1593.62</v>
      </c>
      <c r="N4275" s="9" t="n">
        <v>1566.67</v>
      </c>
      <c r="O4275" s="9" t="n">
        <v>1848.56</v>
      </c>
      <c r="P4275" s="9" t="n">
        <v>1798.25</v>
      </c>
      <c r="Q4275" s="9" t="n">
        <v>1601.37</v>
      </c>
      <c r="R4275" s="9" t="n">
        <v>2032.45</v>
      </c>
      <c r="S4275" s="9" t="n">
        <v>1711.04</v>
      </c>
      <c r="T4275" s="9" t="n">
        <v>1820.96</v>
      </c>
      <c r="U4275" s="10">
        <f>SUM(I4275:T4275)</f>
        <v/>
      </c>
    </row>
    <row r="4276">
      <c r="A4276" s="2" t="inlineStr">
        <is>
          <t>SN-4000-4800-4820-4820XM0088</t>
        </is>
      </c>
      <c r="B4276" s="2" t="inlineStr">
        <is>
          <t>4820XM0088</t>
        </is>
      </c>
      <c r="C4276" s="2" t="inlineStr">
        <is>
          <t>Cerramiento celosía XM0088</t>
        </is>
      </c>
      <c r="D4276" s="2" t="n">
        <v>1425</v>
      </c>
      <c r="E4276" s="2" t="inlineStr">
        <is>
          <t>CC-4000</t>
        </is>
      </c>
      <c r="F4276" s="2" t="inlineStr">
        <is>
          <t>P01</t>
        </is>
      </c>
      <c r="G4276" s="2" t="n">
        <v>630000</v>
      </c>
      <c r="H4276" s="2" t="inlineStr">
        <is>
          <t>Servicios externos</t>
        </is>
      </c>
      <c r="I4276" s="9" t="n">
        <v>2052.17</v>
      </c>
      <c r="J4276" s="9" t="n">
        <v>2067.81</v>
      </c>
      <c r="K4276" s="9" t="n">
        <v>2071.69</v>
      </c>
      <c r="L4276" s="9" t="n">
        <v>2153.23</v>
      </c>
      <c r="M4276" s="9" t="n">
        <v>1925.54</v>
      </c>
      <c r="N4276" s="9" t="n">
        <v>1973.2</v>
      </c>
      <c r="O4276" s="9" t="n">
        <v>2061.52</v>
      </c>
      <c r="P4276" s="9" t="n">
        <v>2031.95</v>
      </c>
      <c r="Q4276" s="9" t="n">
        <v>1826.36</v>
      </c>
      <c r="R4276" s="9" t="n">
        <v>2366.93</v>
      </c>
      <c r="S4276" s="9" t="n">
        <v>2010.5</v>
      </c>
      <c r="T4276" s="9" t="n">
        <v>2242.08</v>
      </c>
      <c r="U4276" s="10">
        <f>SUM(I4276:T4276)</f>
        <v/>
      </c>
    </row>
    <row r="4277">
      <c r="A4277" s="2" t="inlineStr">
        <is>
          <t>SN-4000-4800-4820-4820XM0089</t>
        </is>
      </c>
      <c r="B4277" s="2" t="inlineStr">
        <is>
          <t>4820XM0089</t>
        </is>
      </c>
      <c r="C4277" s="2" t="inlineStr">
        <is>
          <t>Cerramiento celosía XM0089</t>
        </is>
      </c>
      <c r="D4277" s="2" t="n">
        <v>1426</v>
      </c>
      <c r="E4277" s="2" t="inlineStr">
        <is>
          <t>CC-4000</t>
        </is>
      </c>
      <c r="F4277" s="2" t="inlineStr">
        <is>
          <t>P01</t>
        </is>
      </c>
      <c r="G4277" s="2" t="n">
        <v>610000</v>
      </c>
      <c r="H4277" s="2" t="inlineStr">
        <is>
          <t>Mano obra interna</t>
        </is>
      </c>
      <c r="I4277" s="9" t="n">
        <v>525.35</v>
      </c>
      <c r="J4277" s="9" t="n">
        <v>524.49</v>
      </c>
      <c r="K4277" s="9" t="n">
        <v>576.08</v>
      </c>
      <c r="L4277" s="9" t="n">
        <v>551.1900000000001</v>
      </c>
      <c r="M4277" s="9" t="n">
        <v>564.08</v>
      </c>
      <c r="N4277" s="9" t="n">
        <v>521.55</v>
      </c>
      <c r="O4277" s="9" t="n">
        <v>550.77</v>
      </c>
      <c r="P4277" s="9" t="n">
        <v>563.6900000000001</v>
      </c>
      <c r="Q4277" s="9" t="n">
        <v>471.71</v>
      </c>
      <c r="R4277" s="9" t="n">
        <v>589.48</v>
      </c>
      <c r="S4277" s="9" t="n">
        <v>487.48</v>
      </c>
      <c r="T4277" s="9" t="n">
        <v>526.38</v>
      </c>
      <c r="U4277" s="10">
        <f>SUM(I4277:T4277)</f>
        <v/>
      </c>
    </row>
    <row r="4278">
      <c r="A4278" s="2" t="inlineStr">
        <is>
          <t>SN-4000-4800-4820-4820XM0089</t>
        </is>
      </c>
      <c r="B4278" s="2" t="inlineStr">
        <is>
          <t>4820XM0089</t>
        </is>
      </c>
      <c r="C4278" s="2" t="inlineStr">
        <is>
          <t>Cerramiento celosía XM0089</t>
        </is>
      </c>
      <c r="D4278" s="2" t="n">
        <v>1426</v>
      </c>
      <c r="E4278" s="2" t="inlineStr">
        <is>
          <t>CC-4000</t>
        </is>
      </c>
      <c r="F4278" s="2" t="inlineStr">
        <is>
          <t>P01</t>
        </is>
      </c>
      <c r="G4278" s="2" t="n">
        <v>620000</v>
      </c>
      <c r="H4278" s="2" t="inlineStr">
        <is>
          <t>Materiales</t>
        </is>
      </c>
      <c r="I4278" s="9" t="n">
        <v>455.38</v>
      </c>
      <c r="J4278" s="9" t="n">
        <v>458.57</v>
      </c>
      <c r="K4278" s="9" t="n">
        <v>428.56</v>
      </c>
      <c r="L4278" s="9" t="n">
        <v>470.44</v>
      </c>
      <c r="M4278" s="9" t="n">
        <v>411.83</v>
      </c>
      <c r="N4278" s="9" t="n">
        <v>401</v>
      </c>
      <c r="O4278" s="9" t="n">
        <v>471</v>
      </c>
      <c r="P4278" s="9" t="n">
        <v>406.42</v>
      </c>
      <c r="Q4278" s="9" t="n">
        <v>390.93</v>
      </c>
      <c r="R4278" s="9" t="n">
        <v>454.29</v>
      </c>
      <c r="S4278" s="9" t="n">
        <v>412.34</v>
      </c>
      <c r="T4278" s="9" t="n">
        <v>438.11</v>
      </c>
      <c r="U4278" s="10">
        <f>SUM(I4278:T4278)</f>
        <v/>
      </c>
    </row>
    <row r="4279">
      <c r="A4279" s="2" t="inlineStr">
        <is>
          <t>SN-4000-4800-4820-4820XM0089</t>
        </is>
      </c>
      <c r="B4279" s="2" t="inlineStr">
        <is>
          <t>4820XM0089</t>
        </is>
      </c>
      <c r="C4279" s="2" t="inlineStr">
        <is>
          <t>Cerramiento celosía XM0089</t>
        </is>
      </c>
      <c r="D4279" s="2" t="n">
        <v>1426</v>
      </c>
      <c r="E4279" s="2" t="inlineStr">
        <is>
          <t>CC-4000</t>
        </is>
      </c>
      <c r="F4279" s="2" t="inlineStr">
        <is>
          <t>P01</t>
        </is>
      </c>
      <c r="G4279" s="2" t="n">
        <v>630000</v>
      </c>
      <c r="H4279" s="2" t="inlineStr">
        <is>
          <t>Servicios externos</t>
        </is>
      </c>
      <c r="I4279" s="9" t="n">
        <v>428.12</v>
      </c>
      <c r="J4279" s="9" t="n">
        <v>408.44</v>
      </c>
      <c r="K4279" s="9" t="n">
        <v>443.54</v>
      </c>
      <c r="L4279" s="9" t="n">
        <v>456.13</v>
      </c>
      <c r="M4279" s="9" t="n">
        <v>403.65</v>
      </c>
      <c r="N4279" s="9" t="n">
        <v>405.99</v>
      </c>
      <c r="O4279" s="9" t="n">
        <v>413.02</v>
      </c>
      <c r="P4279" s="9" t="n">
        <v>390.21</v>
      </c>
      <c r="Q4279" s="9" t="n">
        <v>412.53</v>
      </c>
      <c r="R4279" s="9" t="n">
        <v>464.33</v>
      </c>
      <c r="S4279" s="9" t="n">
        <v>375.55</v>
      </c>
      <c r="T4279" s="9" t="n">
        <v>410.63</v>
      </c>
      <c r="U4279" s="10">
        <f>SUM(I4279:T4279)</f>
        <v/>
      </c>
    </row>
    <row r="4280">
      <c r="A4280" s="2" t="inlineStr">
        <is>
          <t>SN-4000-4900-4900-4900XM0090</t>
        </is>
      </c>
      <c r="B4280" s="2" t="inlineStr">
        <is>
          <t>4900XM0090</t>
        </is>
      </c>
      <c r="C4280" s="2" t="inlineStr">
        <is>
          <t>Celosía XM0090</t>
        </is>
      </c>
      <c r="D4280" s="2" t="n">
        <v>1427</v>
      </c>
      <c r="E4280" s="2" t="inlineStr">
        <is>
          <t>CC-4000</t>
        </is>
      </c>
      <c r="F4280" s="2" t="inlineStr">
        <is>
          <t>P01</t>
        </is>
      </c>
      <c r="G4280" s="2" t="n">
        <v>610000</v>
      </c>
      <c r="H4280" s="2" t="inlineStr">
        <is>
          <t>Mano obra interna</t>
        </is>
      </c>
      <c r="I4280" s="9" t="n">
        <v>1447.4</v>
      </c>
      <c r="J4280" s="9" t="n">
        <v>1385.56</v>
      </c>
      <c r="K4280" s="9" t="n">
        <v>1370.1</v>
      </c>
      <c r="L4280" s="9" t="n">
        <v>1304.62</v>
      </c>
      <c r="M4280" s="9" t="n">
        <v>1312.18</v>
      </c>
      <c r="N4280" s="9" t="n">
        <v>1355.27</v>
      </c>
      <c r="O4280" s="9" t="n">
        <v>1340.84</v>
      </c>
      <c r="P4280" s="9" t="n">
        <v>1266.57</v>
      </c>
      <c r="Q4280" s="9" t="n">
        <v>1164.35</v>
      </c>
      <c r="R4280" s="9" t="n">
        <v>1417.6</v>
      </c>
      <c r="S4280" s="9" t="n">
        <v>1233.84</v>
      </c>
      <c r="T4280" s="9" t="n">
        <v>1424.31</v>
      </c>
      <c r="U4280" s="10">
        <f>SUM(I4280:T4280)</f>
        <v/>
      </c>
    </row>
    <row r="4281">
      <c r="A4281" s="2" t="inlineStr">
        <is>
          <t>SN-4000-4900-4900-4900XM0090</t>
        </is>
      </c>
      <c r="B4281" s="2" t="inlineStr">
        <is>
          <t>4900XM0090</t>
        </is>
      </c>
      <c r="C4281" s="2" t="inlineStr">
        <is>
          <t>Celosía XM0090</t>
        </is>
      </c>
      <c r="D4281" s="2" t="n">
        <v>1427</v>
      </c>
      <c r="E4281" s="2" t="inlineStr">
        <is>
          <t>CC-4000</t>
        </is>
      </c>
      <c r="F4281" s="2" t="inlineStr">
        <is>
          <t>P01</t>
        </is>
      </c>
      <c r="G4281" s="2" t="n">
        <v>620000</v>
      </c>
      <c r="H4281" s="2" t="inlineStr">
        <is>
          <t>Materiales</t>
        </is>
      </c>
      <c r="I4281" s="9" t="n">
        <v>1403.8</v>
      </c>
      <c r="J4281" s="9" t="n">
        <v>1301.16</v>
      </c>
      <c r="K4281" s="9" t="n">
        <v>1315.09</v>
      </c>
      <c r="L4281" s="9" t="n">
        <v>1348.74</v>
      </c>
      <c r="M4281" s="9" t="n">
        <v>1241.34</v>
      </c>
      <c r="N4281" s="9" t="n">
        <v>1168.69</v>
      </c>
      <c r="O4281" s="9" t="n">
        <v>1393.76</v>
      </c>
      <c r="P4281" s="9" t="n">
        <v>1308.94</v>
      </c>
      <c r="Q4281" s="9" t="n">
        <v>1112.02</v>
      </c>
      <c r="R4281" s="9" t="n">
        <v>1356.07</v>
      </c>
      <c r="S4281" s="9" t="n">
        <v>1187.01</v>
      </c>
      <c r="T4281" s="9" t="n">
        <v>1265.15</v>
      </c>
      <c r="U4281" s="10">
        <f>SUM(I4281:T4281)</f>
        <v/>
      </c>
    </row>
    <row r="4282">
      <c r="A4282" s="2" t="inlineStr">
        <is>
          <t>SN-4000-4900-4900-4900XM0090</t>
        </is>
      </c>
      <c r="B4282" s="2" t="inlineStr">
        <is>
          <t>4900XM0090</t>
        </is>
      </c>
      <c r="C4282" s="2" t="inlineStr">
        <is>
          <t>Celosía XM0090</t>
        </is>
      </c>
      <c r="D4282" s="2" t="n">
        <v>1427</v>
      </c>
      <c r="E4282" s="2" t="inlineStr">
        <is>
          <t>CC-4000</t>
        </is>
      </c>
      <c r="F4282" s="2" t="inlineStr">
        <is>
          <t>P01</t>
        </is>
      </c>
      <c r="G4282" s="2" t="n">
        <v>630000</v>
      </c>
      <c r="H4282" s="2" t="inlineStr">
        <is>
          <t>Servicios externos</t>
        </is>
      </c>
      <c r="I4282" s="9" t="n">
        <v>1173.38</v>
      </c>
      <c r="J4282" s="9" t="n">
        <v>1214.71</v>
      </c>
      <c r="K4282" s="9" t="n">
        <v>1299.63</v>
      </c>
      <c r="L4282" s="9" t="n">
        <v>1194.81</v>
      </c>
      <c r="M4282" s="9" t="n">
        <v>1190.17</v>
      </c>
      <c r="N4282" s="9" t="n">
        <v>1061.66</v>
      </c>
      <c r="O4282" s="9" t="n">
        <v>1120.35</v>
      </c>
      <c r="P4282" s="9" t="n">
        <v>1207.35</v>
      </c>
      <c r="Q4282" s="9" t="n">
        <v>1176.25</v>
      </c>
      <c r="R4282" s="9" t="n">
        <v>1207.09</v>
      </c>
      <c r="S4282" s="9" t="n">
        <v>1144.91</v>
      </c>
      <c r="T4282" s="9" t="n">
        <v>1307.62</v>
      </c>
      <c r="U4282" s="10">
        <f>SUM(I4282:T4282)</f>
        <v/>
      </c>
    </row>
    <row r="4283">
      <c r="A4283" s="2" t="inlineStr">
        <is>
          <t>SN-4000-4900-4900-4900XM0091</t>
        </is>
      </c>
      <c r="B4283" s="2" t="inlineStr">
        <is>
          <t>4900XM0091</t>
        </is>
      </c>
      <c r="C4283" s="2" t="inlineStr">
        <is>
          <t>Celosía XM0091</t>
        </is>
      </c>
      <c r="D4283" s="2" t="n">
        <v>1428</v>
      </c>
      <c r="E4283" s="2" t="inlineStr">
        <is>
          <t>CC-4000</t>
        </is>
      </c>
      <c r="F4283" s="2" t="inlineStr">
        <is>
          <t>P01</t>
        </is>
      </c>
      <c r="G4283" s="2" t="n">
        <v>610000</v>
      </c>
      <c r="H4283" s="2" t="inlineStr">
        <is>
          <t>Mano obra interna</t>
        </is>
      </c>
      <c r="I4283" s="9" t="n">
        <v>2112.94</v>
      </c>
      <c r="J4283" s="9" t="n">
        <v>2068.47</v>
      </c>
      <c r="K4283" s="9" t="n">
        <v>2404.66</v>
      </c>
      <c r="L4283" s="9" t="n">
        <v>2123.74</v>
      </c>
      <c r="M4283" s="9" t="n">
        <v>2132.18</v>
      </c>
      <c r="N4283" s="9" t="n">
        <v>2031.44</v>
      </c>
      <c r="O4283" s="9" t="n">
        <v>2172.55</v>
      </c>
      <c r="P4283" s="9" t="n">
        <v>2081.8</v>
      </c>
      <c r="Q4283" s="9" t="n">
        <v>2079.22</v>
      </c>
      <c r="R4283" s="9" t="n">
        <v>2246</v>
      </c>
      <c r="S4283" s="9" t="n">
        <v>2139.97</v>
      </c>
      <c r="T4283" s="9" t="n">
        <v>2157.09</v>
      </c>
      <c r="U4283" s="10">
        <f>SUM(I4283:T4283)</f>
        <v/>
      </c>
    </row>
    <row r="4284">
      <c r="A4284" s="2" t="inlineStr">
        <is>
          <t>SN-4000-4900-4900-4900XM0091</t>
        </is>
      </c>
      <c r="B4284" s="2" t="inlineStr">
        <is>
          <t>4900XM0091</t>
        </is>
      </c>
      <c r="C4284" s="2" t="inlineStr">
        <is>
          <t>Celosía XM0091</t>
        </is>
      </c>
      <c r="D4284" s="2" t="n">
        <v>1428</v>
      </c>
      <c r="E4284" s="2" t="inlineStr">
        <is>
          <t>CC-4000</t>
        </is>
      </c>
      <c r="F4284" s="2" t="inlineStr">
        <is>
          <t>P01</t>
        </is>
      </c>
      <c r="G4284" s="2" t="n">
        <v>620000</v>
      </c>
      <c r="H4284" s="2" t="inlineStr">
        <is>
          <t>Materiales</t>
        </is>
      </c>
      <c r="I4284" s="9" t="n">
        <v>1864.79</v>
      </c>
      <c r="J4284" s="9" t="n">
        <v>1874.48</v>
      </c>
      <c r="K4284" s="9" t="n">
        <v>1935.49</v>
      </c>
      <c r="L4284" s="9" t="n">
        <v>1690.8</v>
      </c>
      <c r="M4284" s="9" t="n">
        <v>1740.33</v>
      </c>
      <c r="N4284" s="9" t="n">
        <v>1746.4</v>
      </c>
      <c r="O4284" s="9" t="n">
        <v>1789.99</v>
      </c>
      <c r="P4284" s="9" t="n">
        <v>1834.22</v>
      </c>
      <c r="Q4284" s="9" t="n">
        <v>1774.35</v>
      </c>
      <c r="R4284" s="9" t="n">
        <v>1862.15</v>
      </c>
      <c r="S4284" s="9" t="n">
        <v>1789.19</v>
      </c>
      <c r="T4284" s="9" t="n">
        <v>1680.98</v>
      </c>
      <c r="U4284" s="10">
        <f>SUM(I4284:T4284)</f>
        <v/>
      </c>
    </row>
    <row r="4285">
      <c r="A4285" s="2" t="inlineStr">
        <is>
          <t>SN-4000-4900-4900-4900XM0091</t>
        </is>
      </c>
      <c r="B4285" s="2" t="inlineStr">
        <is>
          <t>4900XM0091</t>
        </is>
      </c>
      <c r="C4285" s="2" t="inlineStr">
        <is>
          <t>Celosía XM0091</t>
        </is>
      </c>
      <c r="D4285" s="2" t="n">
        <v>1428</v>
      </c>
      <c r="E4285" s="2" t="inlineStr">
        <is>
          <t>CC-4000</t>
        </is>
      </c>
      <c r="F4285" s="2" t="inlineStr">
        <is>
          <t>P01</t>
        </is>
      </c>
      <c r="G4285" s="2" t="n">
        <v>630000</v>
      </c>
      <c r="H4285" s="2" t="inlineStr">
        <is>
          <t>Servicios externos</t>
        </is>
      </c>
      <c r="I4285" s="9" t="n">
        <v>2285.39</v>
      </c>
      <c r="J4285" s="9" t="n">
        <v>2117.88</v>
      </c>
      <c r="K4285" s="9" t="n">
        <v>2324.64</v>
      </c>
      <c r="L4285" s="9" t="n">
        <v>2248.89</v>
      </c>
      <c r="M4285" s="9" t="n">
        <v>2138.8</v>
      </c>
      <c r="N4285" s="9" t="n">
        <v>2195.31</v>
      </c>
      <c r="O4285" s="9" t="n">
        <v>2017.37</v>
      </c>
      <c r="P4285" s="9" t="n">
        <v>2310.57</v>
      </c>
      <c r="Q4285" s="9" t="n">
        <v>1884.79</v>
      </c>
      <c r="R4285" s="9" t="n">
        <v>2304</v>
      </c>
      <c r="S4285" s="9" t="n">
        <v>1985.64</v>
      </c>
      <c r="T4285" s="9" t="n">
        <v>2095.69</v>
      </c>
      <c r="U4285" s="10">
        <f>SUM(I4285:T4285)</f>
        <v/>
      </c>
    </row>
    <row r="4286">
      <c r="A4286" s="2" t="inlineStr">
        <is>
          <t>SN-4000-4900-4900-4900XM0092</t>
        </is>
      </c>
      <c r="B4286" s="2" t="inlineStr">
        <is>
          <t>4900XM0092</t>
        </is>
      </c>
      <c r="C4286" s="2" t="inlineStr">
        <is>
          <t>Celosía XM0092</t>
        </is>
      </c>
      <c r="D4286" s="2" t="n">
        <v>1429</v>
      </c>
      <c r="E4286" s="2" t="inlineStr">
        <is>
          <t>CC-4000</t>
        </is>
      </c>
      <c r="F4286" s="2" t="inlineStr">
        <is>
          <t>P01</t>
        </is>
      </c>
      <c r="G4286" s="2" t="n">
        <v>610000</v>
      </c>
      <c r="H4286" s="2" t="inlineStr">
        <is>
          <t>Mano obra interna</t>
        </is>
      </c>
      <c r="I4286" s="9" t="n">
        <v>352.45</v>
      </c>
      <c r="J4286" s="9" t="n">
        <v>393.28</v>
      </c>
      <c r="K4286" s="9" t="n">
        <v>371.25</v>
      </c>
      <c r="L4286" s="9" t="n">
        <v>367.37</v>
      </c>
      <c r="M4286" s="9" t="n">
        <v>390.63</v>
      </c>
      <c r="N4286" s="9" t="n">
        <v>371.74</v>
      </c>
      <c r="O4286" s="9" t="n">
        <v>383.44</v>
      </c>
      <c r="P4286" s="9" t="n">
        <v>351.65</v>
      </c>
      <c r="Q4286" s="9" t="n">
        <v>362.21</v>
      </c>
      <c r="R4286" s="9" t="n">
        <v>393.31</v>
      </c>
      <c r="S4286" s="9" t="n">
        <v>389.64</v>
      </c>
      <c r="T4286" s="9" t="n">
        <v>388.93</v>
      </c>
      <c r="U4286" s="10">
        <f>SUM(I4286:T4286)</f>
        <v/>
      </c>
    </row>
    <row r="4287">
      <c r="A4287" s="2" t="inlineStr">
        <is>
          <t>SN-4000-4900-4900-4900XM0092</t>
        </is>
      </c>
      <c r="B4287" s="2" t="inlineStr">
        <is>
          <t>4900XM0092</t>
        </is>
      </c>
      <c r="C4287" s="2" t="inlineStr">
        <is>
          <t>Celosía XM0092</t>
        </is>
      </c>
      <c r="D4287" s="2" t="n">
        <v>1429</v>
      </c>
      <c r="E4287" s="2" t="inlineStr">
        <is>
          <t>CC-4000</t>
        </is>
      </c>
      <c r="F4287" s="2" t="inlineStr">
        <is>
          <t>P01</t>
        </is>
      </c>
      <c r="G4287" s="2" t="n">
        <v>620000</v>
      </c>
      <c r="H4287" s="2" t="inlineStr">
        <is>
          <t>Materiales</t>
        </is>
      </c>
      <c r="I4287" s="9" t="n">
        <v>406.21</v>
      </c>
      <c r="J4287" s="9" t="n">
        <v>383.45</v>
      </c>
      <c r="K4287" s="9" t="n">
        <v>409.4</v>
      </c>
      <c r="L4287" s="9" t="n">
        <v>398.14</v>
      </c>
      <c r="M4287" s="9" t="n">
        <v>352.34</v>
      </c>
      <c r="N4287" s="9" t="n">
        <v>357.65</v>
      </c>
      <c r="O4287" s="9" t="n">
        <v>372.47</v>
      </c>
      <c r="P4287" s="9" t="n">
        <v>396.4</v>
      </c>
      <c r="Q4287" s="9" t="n">
        <v>361.4</v>
      </c>
      <c r="R4287" s="9" t="n">
        <v>420.96</v>
      </c>
      <c r="S4287" s="9" t="n">
        <v>391.93</v>
      </c>
      <c r="T4287" s="9" t="n">
        <v>390.84</v>
      </c>
      <c r="U4287" s="10">
        <f>SUM(I4287:T4287)</f>
        <v/>
      </c>
    </row>
    <row r="4288">
      <c r="A4288" s="2" t="inlineStr">
        <is>
          <t>SN-4000-4900-4900-4900XM0092</t>
        </is>
      </c>
      <c r="B4288" s="2" t="inlineStr">
        <is>
          <t>4900XM0092</t>
        </is>
      </c>
      <c r="C4288" s="2" t="inlineStr">
        <is>
          <t>Celosía XM0092</t>
        </is>
      </c>
      <c r="D4288" s="2" t="n">
        <v>1429</v>
      </c>
      <c r="E4288" s="2" t="inlineStr">
        <is>
          <t>CC-4000</t>
        </is>
      </c>
      <c r="F4288" s="2" t="inlineStr">
        <is>
          <t>P01</t>
        </is>
      </c>
      <c r="G4288" s="2" t="n">
        <v>630000</v>
      </c>
      <c r="H4288" s="2" t="inlineStr">
        <is>
          <t>Servicios externos</t>
        </is>
      </c>
      <c r="I4288" s="9" t="n">
        <v>307.65</v>
      </c>
      <c r="J4288" s="9" t="n">
        <v>304.38</v>
      </c>
      <c r="K4288" s="9" t="n">
        <v>311.89</v>
      </c>
      <c r="L4288" s="9" t="n">
        <v>320.02</v>
      </c>
      <c r="M4288" s="9" t="n">
        <v>330.48</v>
      </c>
      <c r="N4288" s="9" t="n">
        <v>295.08</v>
      </c>
      <c r="O4288" s="9" t="n">
        <v>305.14</v>
      </c>
      <c r="P4288" s="9" t="n">
        <v>351.23</v>
      </c>
      <c r="Q4288" s="9" t="n">
        <v>328.47</v>
      </c>
      <c r="R4288" s="9" t="n">
        <v>360.23</v>
      </c>
      <c r="S4288" s="9" t="n">
        <v>296.61</v>
      </c>
      <c r="T4288" s="9" t="n">
        <v>348.79</v>
      </c>
      <c r="U4288" s="10">
        <f>SUM(I4288:T4288)</f>
        <v/>
      </c>
    </row>
    <row r="4289">
      <c r="A4289" s="2" t="inlineStr">
        <is>
          <t>SN-4000-4900-4900-4900XM0093</t>
        </is>
      </c>
      <c r="B4289" s="2" t="inlineStr">
        <is>
          <t>4900XM0093</t>
        </is>
      </c>
      <c r="C4289" s="2" t="inlineStr">
        <is>
          <t>Celosía XM0093</t>
        </is>
      </c>
      <c r="D4289" s="2" t="n">
        <v>1430</v>
      </c>
      <c r="E4289" s="2" t="inlineStr">
        <is>
          <t>CC-4000</t>
        </is>
      </c>
      <c r="F4289" s="2" t="inlineStr">
        <is>
          <t>P01</t>
        </is>
      </c>
      <c r="G4289" s="2" t="n">
        <v>610000</v>
      </c>
      <c r="H4289" s="2" t="inlineStr">
        <is>
          <t>Mano obra interna</t>
        </is>
      </c>
      <c r="I4289" s="9" t="n">
        <v>952.77</v>
      </c>
      <c r="J4289" s="9" t="n">
        <v>980.17</v>
      </c>
      <c r="K4289" s="9" t="n">
        <v>939.6799999999999</v>
      </c>
      <c r="L4289" s="9" t="n">
        <v>1080.99</v>
      </c>
      <c r="M4289" s="9" t="n">
        <v>1023.92</v>
      </c>
      <c r="N4289" s="9" t="n">
        <v>904.15</v>
      </c>
      <c r="O4289" s="9" t="n">
        <v>971.02</v>
      </c>
      <c r="P4289" s="9" t="n">
        <v>966.14</v>
      </c>
      <c r="Q4289" s="9" t="n">
        <v>968.3099999999999</v>
      </c>
      <c r="R4289" s="9" t="n">
        <v>1035.79</v>
      </c>
      <c r="S4289" s="9" t="n">
        <v>883.08</v>
      </c>
      <c r="T4289" s="9" t="n">
        <v>952.38</v>
      </c>
      <c r="U4289" s="10">
        <f>SUM(I4289:T4289)</f>
        <v/>
      </c>
    </row>
    <row r="4290">
      <c r="A4290" s="2" t="inlineStr">
        <is>
          <t>SN-4000-4900-4900-4900XM0093</t>
        </is>
      </c>
      <c r="B4290" s="2" t="inlineStr">
        <is>
          <t>4900XM0093</t>
        </is>
      </c>
      <c r="C4290" s="2" t="inlineStr">
        <is>
          <t>Celosía XM0093</t>
        </is>
      </c>
      <c r="D4290" s="2" t="n">
        <v>1430</v>
      </c>
      <c r="E4290" s="2" t="inlineStr">
        <is>
          <t>CC-4000</t>
        </is>
      </c>
      <c r="F4290" s="2" t="inlineStr">
        <is>
          <t>P01</t>
        </is>
      </c>
      <c r="G4290" s="2" t="n">
        <v>620000</v>
      </c>
      <c r="H4290" s="2" t="inlineStr">
        <is>
          <t>Materiales</t>
        </is>
      </c>
      <c r="I4290" s="9" t="n">
        <v>934.79</v>
      </c>
      <c r="J4290" s="9" t="n">
        <v>898.45</v>
      </c>
      <c r="K4290" s="9" t="n">
        <v>853.21</v>
      </c>
      <c r="L4290" s="9" t="n">
        <v>803.67</v>
      </c>
      <c r="M4290" s="9" t="n">
        <v>847.76</v>
      </c>
      <c r="N4290" s="9" t="n">
        <v>855.61</v>
      </c>
      <c r="O4290" s="9" t="n">
        <v>823.04</v>
      </c>
      <c r="P4290" s="9" t="n">
        <v>845.33</v>
      </c>
      <c r="Q4290" s="9" t="n">
        <v>753.61</v>
      </c>
      <c r="R4290" s="9" t="n">
        <v>895.85</v>
      </c>
      <c r="S4290" s="9" t="n">
        <v>861.27</v>
      </c>
      <c r="T4290" s="9" t="n">
        <v>857.03</v>
      </c>
      <c r="U4290" s="10">
        <f>SUM(I4290:T4290)</f>
        <v/>
      </c>
    </row>
    <row r="4291">
      <c r="A4291" s="2" t="inlineStr">
        <is>
          <t>SN-4000-4900-4900-4900XM0093</t>
        </is>
      </c>
      <c r="B4291" s="2" t="inlineStr">
        <is>
          <t>4900XM0093</t>
        </is>
      </c>
      <c r="C4291" s="2" t="inlineStr">
        <is>
          <t>Celosía XM0093</t>
        </is>
      </c>
      <c r="D4291" s="2" t="n">
        <v>1430</v>
      </c>
      <c r="E4291" s="2" t="inlineStr">
        <is>
          <t>CC-4000</t>
        </is>
      </c>
      <c r="F4291" s="2" t="inlineStr">
        <is>
          <t>P01</t>
        </is>
      </c>
      <c r="G4291" s="2" t="n">
        <v>630000</v>
      </c>
      <c r="H4291" s="2" t="inlineStr">
        <is>
          <t>Servicios externos</t>
        </is>
      </c>
      <c r="I4291" s="9" t="n">
        <v>987.87</v>
      </c>
      <c r="J4291" s="9" t="n">
        <v>949.1799999999999</v>
      </c>
      <c r="K4291" s="9" t="n">
        <v>906.36</v>
      </c>
      <c r="L4291" s="9" t="n">
        <v>932.4299999999999</v>
      </c>
      <c r="M4291" s="9" t="n">
        <v>966.38</v>
      </c>
      <c r="N4291" s="9" t="n">
        <v>878.1</v>
      </c>
      <c r="O4291" s="9" t="n">
        <v>949.22</v>
      </c>
      <c r="P4291" s="9" t="n">
        <v>895.47</v>
      </c>
      <c r="Q4291" s="9" t="n">
        <v>800.26</v>
      </c>
      <c r="R4291" s="9" t="n">
        <v>943.91</v>
      </c>
      <c r="S4291" s="9" t="n">
        <v>881.24</v>
      </c>
      <c r="T4291" s="9" t="n">
        <v>916.58</v>
      </c>
      <c r="U4291" s="10">
        <f>SUM(I4291:T4291)</f>
        <v/>
      </c>
    </row>
    <row r="4292">
      <c r="A4292" s="2" t="inlineStr">
        <is>
          <t>SN-5000-5300-5300-5300FA0042</t>
        </is>
      </c>
      <c r="B4292" s="2" t="inlineStr">
        <is>
          <t>5300FA0042</t>
        </is>
      </c>
      <c r="C4292" s="2" t="inlineStr">
        <is>
          <t>Ventilador extractor aire bodega</t>
        </is>
      </c>
      <c r="D4292" s="2" t="n">
        <v>1431</v>
      </c>
      <c r="E4292" s="2" t="inlineStr">
        <is>
          <t>CC-5000</t>
        </is>
      </c>
      <c r="F4292" s="2" t="inlineStr">
        <is>
          <t>P01</t>
        </is>
      </c>
      <c r="G4292" s="2" t="n">
        <v>610000</v>
      </c>
      <c r="H4292" s="2" t="inlineStr">
        <is>
          <t>Mano obra interna</t>
        </is>
      </c>
      <c r="I4292" s="9" t="n">
        <v>324.75</v>
      </c>
      <c r="J4292" s="9" t="n">
        <v>317.36</v>
      </c>
      <c r="K4292" s="9" t="n">
        <v>335.64</v>
      </c>
      <c r="L4292" s="9" t="n">
        <v>324.41</v>
      </c>
      <c r="M4292" s="9" t="n">
        <v>326.03</v>
      </c>
      <c r="N4292" s="9" t="n">
        <v>315.61</v>
      </c>
      <c r="O4292" s="9" t="n">
        <v>308.44</v>
      </c>
      <c r="P4292" s="9" t="n">
        <v>294.61</v>
      </c>
      <c r="Q4292" s="9" t="n">
        <v>316.86</v>
      </c>
      <c r="R4292" s="9" t="n">
        <v>348.35</v>
      </c>
      <c r="S4292" s="9" t="n">
        <v>315.94</v>
      </c>
      <c r="T4292" s="9" t="n">
        <v>333.66</v>
      </c>
      <c r="U4292" s="10">
        <f>SUM(I4292:T4292)</f>
        <v/>
      </c>
    </row>
    <row r="4293">
      <c r="A4293" s="2" t="inlineStr">
        <is>
          <t>SN-5000-5300-5300-5300FA0042</t>
        </is>
      </c>
      <c r="B4293" s="2" t="inlineStr">
        <is>
          <t>5300FA0042</t>
        </is>
      </c>
      <c r="C4293" s="2" t="inlineStr">
        <is>
          <t>Ventilador extractor aire bodega</t>
        </is>
      </c>
      <c r="D4293" s="2" t="n">
        <v>1431</v>
      </c>
      <c r="E4293" s="2" t="inlineStr">
        <is>
          <t>CC-5000</t>
        </is>
      </c>
      <c r="F4293" s="2" t="inlineStr">
        <is>
          <t>P01</t>
        </is>
      </c>
      <c r="G4293" s="2" t="n">
        <v>620000</v>
      </c>
      <c r="H4293" s="2" t="inlineStr">
        <is>
          <t>Materiales</t>
        </is>
      </c>
      <c r="I4293" s="9" t="n">
        <v>287.27</v>
      </c>
      <c r="J4293" s="9" t="n">
        <v>300.03</v>
      </c>
      <c r="K4293" s="9" t="n">
        <v>302.29</v>
      </c>
      <c r="L4293" s="9" t="n">
        <v>304.94</v>
      </c>
      <c r="M4293" s="9" t="n">
        <v>277.09</v>
      </c>
      <c r="N4293" s="9" t="n">
        <v>287.8</v>
      </c>
      <c r="O4293" s="9" t="n">
        <v>293.35</v>
      </c>
      <c r="P4293" s="9" t="n">
        <v>293.63</v>
      </c>
      <c r="Q4293" s="9" t="n">
        <v>245.78</v>
      </c>
      <c r="R4293" s="9" t="n">
        <v>310.62</v>
      </c>
      <c r="S4293" s="9" t="n">
        <v>266.47</v>
      </c>
      <c r="T4293" s="9" t="n">
        <v>294.67</v>
      </c>
      <c r="U4293" s="10">
        <f>SUM(I4293:T4293)</f>
        <v/>
      </c>
    </row>
    <row r="4294">
      <c r="A4294" s="2" t="inlineStr">
        <is>
          <t>SN-5000-5300-5300-5300FA0042</t>
        </is>
      </c>
      <c r="B4294" s="2" t="inlineStr">
        <is>
          <t>5300FA0042</t>
        </is>
      </c>
      <c r="C4294" s="2" t="inlineStr">
        <is>
          <t>Ventilador extractor aire bodega</t>
        </is>
      </c>
      <c r="D4294" s="2" t="n">
        <v>1431</v>
      </c>
      <c r="E4294" s="2" t="inlineStr">
        <is>
          <t>CC-5000</t>
        </is>
      </c>
      <c r="F4294" s="2" t="inlineStr">
        <is>
          <t>P01</t>
        </is>
      </c>
      <c r="G4294" s="2" t="n">
        <v>630000</v>
      </c>
      <c r="H4294" s="2" t="inlineStr">
        <is>
          <t>Servicios externos</t>
        </is>
      </c>
      <c r="I4294" s="9" t="n">
        <v>271.45</v>
      </c>
      <c r="J4294" s="9" t="n">
        <v>280.59</v>
      </c>
      <c r="K4294" s="9" t="n">
        <v>290.24</v>
      </c>
      <c r="L4294" s="9" t="n">
        <v>302.62</v>
      </c>
      <c r="M4294" s="9" t="n">
        <v>280.73</v>
      </c>
      <c r="N4294" s="9" t="n">
        <v>270.27</v>
      </c>
      <c r="O4294" s="9" t="n">
        <v>293.64</v>
      </c>
      <c r="P4294" s="9" t="n">
        <v>290.98</v>
      </c>
      <c r="Q4294" s="9" t="n">
        <v>284.72</v>
      </c>
      <c r="R4294" s="9" t="n">
        <v>298.54</v>
      </c>
      <c r="S4294" s="9" t="n">
        <v>282.76</v>
      </c>
      <c r="T4294" s="9" t="n">
        <v>272.44</v>
      </c>
      <c r="U4294" s="10">
        <f>SUM(I4294:T4294)</f>
        <v/>
      </c>
    </row>
    <row r="4295">
      <c r="A4295" s="2" t="inlineStr">
        <is>
          <t>SN-5000-5300-5300-5300XM0094</t>
        </is>
      </c>
      <c r="B4295" s="2" t="inlineStr">
        <is>
          <t>5300XM0094</t>
        </is>
      </c>
      <c r="C4295" s="2" t="inlineStr">
        <is>
          <t>Celosía XM0094</t>
        </is>
      </c>
      <c r="D4295" s="2" t="n">
        <v>1432</v>
      </c>
      <c r="E4295" s="2" t="inlineStr">
        <is>
          <t>CC-5000</t>
        </is>
      </c>
      <c r="F4295" s="2" t="inlineStr">
        <is>
          <t>P01</t>
        </is>
      </c>
      <c r="G4295" s="2" t="n">
        <v>610000</v>
      </c>
      <c r="H4295" s="2" t="inlineStr">
        <is>
          <t>Mano obra interna</t>
        </is>
      </c>
      <c r="I4295" s="9" t="n">
        <v>2700.97</v>
      </c>
      <c r="J4295" s="9" t="n">
        <v>2581.7</v>
      </c>
      <c r="K4295" s="9" t="n">
        <v>2450.95</v>
      </c>
      <c r="L4295" s="9" t="n">
        <v>2787.46</v>
      </c>
      <c r="M4295" s="9" t="n">
        <v>2681.12</v>
      </c>
      <c r="N4295" s="9" t="n">
        <v>2368.56</v>
      </c>
      <c r="O4295" s="9" t="n">
        <v>2562.43</v>
      </c>
      <c r="P4295" s="9" t="n">
        <v>2685.39</v>
      </c>
      <c r="Q4295" s="9" t="n">
        <v>2353.08</v>
      </c>
      <c r="R4295" s="9" t="n">
        <v>2771.68</v>
      </c>
      <c r="S4295" s="9" t="n">
        <v>2489.64</v>
      </c>
      <c r="T4295" s="9" t="n">
        <v>2628.86</v>
      </c>
      <c r="U4295" s="10">
        <f>SUM(I4295:T4295)</f>
        <v/>
      </c>
    </row>
    <row r="4296">
      <c r="A4296" s="2" t="inlineStr">
        <is>
          <t>SN-5000-5300-5300-5300XM0094</t>
        </is>
      </c>
      <c r="B4296" s="2" t="inlineStr">
        <is>
          <t>5300XM0094</t>
        </is>
      </c>
      <c r="C4296" s="2" t="inlineStr">
        <is>
          <t>Celosía XM0094</t>
        </is>
      </c>
      <c r="D4296" s="2" t="n">
        <v>1432</v>
      </c>
      <c r="E4296" s="2" t="inlineStr">
        <is>
          <t>CC-5000</t>
        </is>
      </c>
      <c r="F4296" s="2" t="inlineStr">
        <is>
          <t>P01</t>
        </is>
      </c>
      <c r="G4296" s="2" t="n">
        <v>620000</v>
      </c>
      <c r="H4296" s="2" t="inlineStr">
        <is>
          <t>Materiales</t>
        </is>
      </c>
      <c r="I4296" s="9" t="n">
        <v>2335.15</v>
      </c>
      <c r="J4296" s="9" t="n">
        <v>2301.7</v>
      </c>
      <c r="K4296" s="9" t="n">
        <v>2538.29</v>
      </c>
      <c r="L4296" s="9" t="n">
        <v>2511.89</v>
      </c>
      <c r="M4296" s="9" t="n">
        <v>2398.62</v>
      </c>
      <c r="N4296" s="9" t="n">
        <v>2189.87</v>
      </c>
      <c r="O4296" s="9" t="n">
        <v>2429.78</v>
      </c>
      <c r="P4296" s="9" t="n">
        <v>2279.04</v>
      </c>
      <c r="Q4296" s="9" t="n">
        <v>2218.63</v>
      </c>
      <c r="R4296" s="9" t="n">
        <v>2531.57</v>
      </c>
      <c r="S4296" s="9" t="n">
        <v>2176.31</v>
      </c>
      <c r="T4296" s="9" t="n">
        <v>2339.13</v>
      </c>
      <c r="U4296" s="10">
        <f>SUM(I4296:T4296)</f>
        <v/>
      </c>
    </row>
    <row r="4297">
      <c r="A4297" s="2" t="inlineStr">
        <is>
          <t>SN-5000-5300-5300-5300XM0094</t>
        </is>
      </c>
      <c r="B4297" s="2" t="inlineStr">
        <is>
          <t>5300XM0094</t>
        </is>
      </c>
      <c r="C4297" s="2" t="inlineStr">
        <is>
          <t>Celosía XM0094</t>
        </is>
      </c>
      <c r="D4297" s="2" t="n">
        <v>1432</v>
      </c>
      <c r="E4297" s="2" t="inlineStr">
        <is>
          <t>CC-5000</t>
        </is>
      </c>
      <c r="F4297" s="2" t="inlineStr">
        <is>
          <t>P01</t>
        </is>
      </c>
      <c r="G4297" s="2" t="n">
        <v>630000</v>
      </c>
      <c r="H4297" s="2" t="inlineStr">
        <is>
          <t>Servicios externos</t>
        </is>
      </c>
      <c r="I4297" s="9" t="n">
        <v>2722.26</v>
      </c>
      <c r="J4297" s="9" t="n">
        <v>2347.43</v>
      </c>
      <c r="K4297" s="9" t="n">
        <v>2562.54</v>
      </c>
      <c r="L4297" s="9" t="n">
        <v>2529.42</v>
      </c>
      <c r="M4297" s="9" t="n">
        <v>2471.25</v>
      </c>
      <c r="N4297" s="9" t="n">
        <v>2573.96</v>
      </c>
      <c r="O4297" s="9" t="n">
        <v>2510.11</v>
      </c>
      <c r="P4297" s="9" t="n">
        <v>2631.61</v>
      </c>
      <c r="Q4297" s="9" t="n">
        <v>2389.64</v>
      </c>
      <c r="R4297" s="9" t="n">
        <v>2528.11</v>
      </c>
      <c r="S4297" s="9" t="n">
        <v>2497.39</v>
      </c>
      <c r="T4297" s="9" t="n">
        <v>2598.35</v>
      </c>
      <c r="U4297" s="10">
        <f>SUM(I4297:T4297)</f>
        <v/>
      </c>
    </row>
    <row r="4298">
      <c r="A4298" s="2" t="inlineStr">
        <is>
          <t>SN-5000-5300-5300-5300XM0095</t>
        </is>
      </c>
      <c r="B4298" s="2" t="inlineStr">
        <is>
          <t>5300XM0095</t>
        </is>
      </c>
      <c r="C4298" s="2" t="inlineStr">
        <is>
          <t>Celosía XM0095</t>
        </is>
      </c>
      <c r="D4298" s="2" t="n">
        <v>1433</v>
      </c>
      <c r="E4298" s="2" t="inlineStr">
        <is>
          <t>CC-5000</t>
        </is>
      </c>
      <c r="F4298" s="2" t="inlineStr">
        <is>
          <t>P01</t>
        </is>
      </c>
      <c r="G4298" s="2" t="n">
        <v>610000</v>
      </c>
      <c r="H4298" s="2" t="inlineStr">
        <is>
          <t>Mano obra interna</t>
        </is>
      </c>
      <c r="I4298" s="9" t="n">
        <v>2112.68</v>
      </c>
      <c r="J4298" s="9" t="n">
        <v>2096.59</v>
      </c>
      <c r="K4298" s="9" t="n">
        <v>2389.72</v>
      </c>
      <c r="L4298" s="9" t="n">
        <v>2222.71</v>
      </c>
      <c r="M4298" s="9" t="n">
        <v>2342.23</v>
      </c>
      <c r="N4298" s="9" t="n">
        <v>2129.18</v>
      </c>
      <c r="O4298" s="9" t="n">
        <v>2044.37</v>
      </c>
      <c r="P4298" s="9" t="n">
        <v>2289.68</v>
      </c>
      <c r="Q4298" s="9" t="n">
        <v>2071.69</v>
      </c>
      <c r="R4298" s="9" t="n">
        <v>2324.82</v>
      </c>
      <c r="S4298" s="9" t="n">
        <v>1984.86</v>
      </c>
      <c r="T4298" s="9" t="n">
        <v>2145.08</v>
      </c>
      <c r="U4298" s="10">
        <f>SUM(I4298:T4298)</f>
        <v/>
      </c>
    </row>
    <row r="4299">
      <c r="A4299" s="2" t="inlineStr">
        <is>
          <t>SN-5000-5300-5300-5300XM0095</t>
        </is>
      </c>
      <c r="B4299" s="2" t="inlineStr">
        <is>
          <t>5300XM0095</t>
        </is>
      </c>
      <c r="C4299" s="2" t="inlineStr">
        <is>
          <t>Celosía XM0095</t>
        </is>
      </c>
      <c r="D4299" s="2" t="n">
        <v>1433</v>
      </c>
      <c r="E4299" s="2" t="inlineStr">
        <is>
          <t>CC-5000</t>
        </is>
      </c>
      <c r="F4299" s="2" t="inlineStr">
        <is>
          <t>P01</t>
        </is>
      </c>
      <c r="G4299" s="2" t="n">
        <v>620000</v>
      </c>
      <c r="H4299" s="2" t="inlineStr">
        <is>
          <t>Materiales</t>
        </is>
      </c>
      <c r="I4299" s="9" t="n">
        <v>1809.94</v>
      </c>
      <c r="J4299" s="9" t="n">
        <v>1797.62</v>
      </c>
      <c r="K4299" s="9" t="n">
        <v>1728.5</v>
      </c>
      <c r="L4299" s="9" t="n">
        <v>1844.94</v>
      </c>
      <c r="M4299" s="9" t="n">
        <v>1842.47</v>
      </c>
      <c r="N4299" s="9" t="n">
        <v>1705.46</v>
      </c>
      <c r="O4299" s="9" t="n">
        <v>1827.79</v>
      </c>
      <c r="P4299" s="9" t="n">
        <v>1665.74</v>
      </c>
      <c r="Q4299" s="9" t="n">
        <v>1518.06</v>
      </c>
      <c r="R4299" s="9" t="n">
        <v>1846.37</v>
      </c>
      <c r="S4299" s="9" t="n">
        <v>1750.55</v>
      </c>
      <c r="T4299" s="9" t="n">
        <v>1828.64</v>
      </c>
      <c r="U4299" s="10">
        <f>SUM(I4299:T4299)</f>
        <v/>
      </c>
    </row>
    <row r="4300">
      <c r="A4300" s="2" t="inlineStr">
        <is>
          <t>SN-5000-5300-5300-5300XM0095</t>
        </is>
      </c>
      <c r="B4300" s="2" t="inlineStr">
        <is>
          <t>5300XM0095</t>
        </is>
      </c>
      <c r="C4300" s="2" t="inlineStr">
        <is>
          <t>Celosía XM0095</t>
        </is>
      </c>
      <c r="D4300" s="2" t="n">
        <v>1433</v>
      </c>
      <c r="E4300" s="2" t="inlineStr">
        <is>
          <t>CC-5000</t>
        </is>
      </c>
      <c r="F4300" s="2" t="inlineStr">
        <is>
          <t>P01</t>
        </is>
      </c>
      <c r="G4300" s="2" t="n">
        <v>630000</v>
      </c>
      <c r="H4300" s="2" t="inlineStr">
        <is>
          <t>Servicios externos</t>
        </is>
      </c>
      <c r="I4300" s="9" t="n">
        <v>2340.34</v>
      </c>
      <c r="J4300" s="9" t="n">
        <v>2180.45</v>
      </c>
      <c r="K4300" s="9" t="n">
        <v>2427.06</v>
      </c>
      <c r="L4300" s="9" t="n">
        <v>2167.94</v>
      </c>
      <c r="M4300" s="9" t="n">
        <v>2333.93</v>
      </c>
      <c r="N4300" s="9" t="n">
        <v>2101.12</v>
      </c>
      <c r="O4300" s="9" t="n">
        <v>2122.48</v>
      </c>
      <c r="P4300" s="9" t="n">
        <v>2122.86</v>
      </c>
      <c r="Q4300" s="9" t="n">
        <v>2252.37</v>
      </c>
      <c r="R4300" s="9" t="n">
        <v>2469.73</v>
      </c>
      <c r="S4300" s="9" t="n">
        <v>2060.81</v>
      </c>
      <c r="T4300" s="9" t="n">
        <v>2194.79</v>
      </c>
      <c r="U4300" s="10">
        <f>SUM(I4300:T4300)</f>
        <v/>
      </c>
    </row>
    <row r="4301">
      <c r="A4301" s="2" t="inlineStr">
        <is>
          <t>SN-5000-5900-5900-5900FP1001</t>
        </is>
      </c>
      <c r="B4301" s="2" t="inlineStr">
        <is>
          <t>5900FP1001</t>
        </is>
      </c>
      <c r="C4301" s="2" t="inlineStr">
        <is>
          <t>Tablero control SCI FP1001</t>
        </is>
      </c>
      <c r="D4301" s="2" t="n">
        <v>1434</v>
      </c>
      <c r="E4301" s="2" t="inlineStr">
        <is>
          <t>CC-5000</t>
        </is>
      </c>
      <c r="F4301" s="2" t="inlineStr">
        <is>
          <t>P01</t>
        </is>
      </c>
      <c r="G4301" s="2" t="n">
        <v>610000</v>
      </c>
      <c r="H4301" s="2" t="inlineStr">
        <is>
          <t>Mano obra interna</t>
        </is>
      </c>
      <c r="I4301" s="9" t="n">
        <v>1488.26</v>
      </c>
      <c r="J4301" s="9" t="n">
        <v>1448.79</v>
      </c>
      <c r="K4301" s="9" t="n">
        <v>1686.85</v>
      </c>
      <c r="L4301" s="9" t="n">
        <v>1677.61</v>
      </c>
      <c r="M4301" s="9" t="n">
        <v>1674.48</v>
      </c>
      <c r="N4301" s="9" t="n">
        <v>1396.63</v>
      </c>
      <c r="O4301" s="9" t="n">
        <v>1667.87</v>
      </c>
      <c r="P4301" s="9" t="n">
        <v>1522.35</v>
      </c>
      <c r="Q4301" s="9" t="n">
        <v>1420.67</v>
      </c>
      <c r="R4301" s="9" t="n">
        <v>1591.54</v>
      </c>
      <c r="S4301" s="9" t="n">
        <v>1637.48</v>
      </c>
      <c r="T4301" s="9" t="n">
        <v>1715.26</v>
      </c>
      <c r="U4301" s="10">
        <f>SUM(I4301:T4301)</f>
        <v/>
      </c>
    </row>
    <row r="4302">
      <c r="A4302" s="2" t="inlineStr">
        <is>
          <t>SN-5000-5900-5900-5900FP1001</t>
        </is>
      </c>
      <c r="B4302" s="2" t="inlineStr">
        <is>
          <t>5900FP1001</t>
        </is>
      </c>
      <c r="C4302" s="2" t="inlineStr">
        <is>
          <t>Tablero control SCI FP1001</t>
        </is>
      </c>
      <c r="D4302" s="2" t="n">
        <v>1434</v>
      </c>
      <c r="E4302" s="2" t="inlineStr">
        <is>
          <t>CC-5000</t>
        </is>
      </c>
      <c r="F4302" s="2" t="inlineStr">
        <is>
          <t>P01</t>
        </is>
      </c>
      <c r="G4302" s="2" t="n">
        <v>620000</v>
      </c>
      <c r="H4302" s="2" t="inlineStr">
        <is>
          <t>Materiales</t>
        </is>
      </c>
      <c r="I4302" s="9" t="n">
        <v>1667.36</v>
      </c>
      <c r="J4302" s="9" t="n">
        <v>1815.38</v>
      </c>
      <c r="K4302" s="9" t="n">
        <v>1841.89</v>
      </c>
      <c r="L4302" s="9" t="n">
        <v>1680.18</v>
      </c>
      <c r="M4302" s="9" t="n">
        <v>1663.74</v>
      </c>
      <c r="N4302" s="9" t="n">
        <v>1721.56</v>
      </c>
      <c r="O4302" s="9" t="n">
        <v>1833.43</v>
      </c>
      <c r="P4302" s="9" t="n">
        <v>1843.71</v>
      </c>
      <c r="Q4302" s="9" t="n">
        <v>1638.35</v>
      </c>
      <c r="R4302" s="9" t="n">
        <v>1895.26</v>
      </c>
      <c r="S4302" s="9" t="n">
        <v>1741.8</v>
      </c>
      <c r="T4302" s="9" t="n">
        <v>1852.52</v>
      </c>
      <c r="U4302" s="10">
        <f>SUM(I4302:T4302)</f>
        <v/>
      </c>
    </row>
    <row r="4303">
      <c r="A4303" s="2" t="inlineStr">
        <is>
          <t>SN-5000-5900-5900-5900FP1001</t>
        </is>
      </c>
      <c r="B4303" s="2" t="inlineStr">
        <is>
          <t>5900FP1001</t>
        </is>
      </c>
      <c r="C4303" s="2" t="inlineStr">
        <is>
          <t>Tablero control SCI FP1001</t>
        </is>
      </c>
      <c r="D4303" s="2" t="n">
        <v>1434</v>
      </c>
      <c r="E4303" s="2" t="inlineStr">
        <is>
          <t>CC-5000</t>
        </is>
      </c>
      <c r="F4303" s="2" t="inlineStr">
        <is>
          <t>P01</t>
        </is>
      </c>
      <c r="G4303" s="2" t="n">
        <v>630000</v>
      </c>
      <c r="H4303" s="2" t="inlineStr">
        <is>
          <t>Servicios externos</t>
        </is>
      </c>
      <c r="I4303" s="9" t="n">
        <v>1509.15</v>
      </c>
      <c r="J4303" s="9" t="n">
        <v>1366.62</v>
      </c>
      <c r="K4303" s="9" t="n">
        <v>1441.43</v>
      </c>
      <c r="L4303" s="9" t="n">
        <v>1356.77</v>
      </c>
      <c r="M4303" s="9" t="n">
        <v>1428.9</v>
      </c>
      <c r="N4303" s="9" t="n">
        <v>1272.6</v>
      </c>
      <c r="O4303" s="9" t="n">
        <v>1518.49</v>
      </c>
      <c r="P4303" s="9" t="n">
        <v>1450.17</v>
      </c>
      <c r="Q4303" s="9" t="n">
        <v>1429.25</v>
      </c>
      <c r="R4303" s="9" t="n">
        <v>1472.87</v>
      </c>
      <c r="S4303" s="9" t="n">
        <v>1417.83</v>
      </c>
      <c r="T4303" s="9" t="n">
        <v>1552.2</v>
      </c>
      <c r="U4303" s="10">
        <f>SUM(I4303:T4303)</f>
        <v/>
      </c>
    </row>
    <row r="4304">
      <c r="A4304" s="2" t="inlineStr">
        <is>
          <t>SN-7000-7200-7200-7200CN0020</t>
        </is>
      </c>
      <c r="B4304" s="2" t="inlineStr">
        <is>
          <t>7200CN0020</t>
        </is>
      </c>
      <c r="C4304" s="2" t="inlineStr">
        <is>
          <t>Puente grúa CN0020</t>
        </is>
      </c>
      <c r="D4304" s="2" t="n">
        <v>1435</v>
      </c>
      <c r="E4304" s="2" t="inlineStr">
        <is>
          <t>CC-7000</t>
        </is>
      </c>
      <c r="F4304" s="2" t="inlineStr">
        <is>
          <t>P01</t>
        </is>
      </c>
      <c r="G4304" s="2" t="n">
        <v>610000</v>
      </c>
      <c r="H4304" s="2" t="inlineStr">
        <is>
          <t>Mano obra interna</t>
        </is>
      </c>
      <c r="I4304" s="9" t="n">
        <v>2428.72</v>
      </c>
      <c r="J4304" s="9" t="n">
        <v>2558.59</v>
      </c>
      <c r="K4304" s="9" t="n">
        <v>2567.67</v>
      </c>
      <c r="L4304" s="9" t="n">
        <v>2505.08</v>
      </c>
      <c r="M4304" s="9" t="n">
        <v>2715.88</v>
      </c>
      <c r="N4304" s="9" t="n">
        <v>2530.53</v>
      </c>
      <c r="O4304" s="9" t="n">
        <v>2538.61</v>
      </c>
      <c r="P4304" s="9" t="n">
        <v>2358.52</v>
      </c>
      <c r="Q4304" s="9" t="n">
        <v>2250.77</v>
      </c>
      <c r="R4304" s="9" t="n">
        <v>2654.56</v>
      </c>
      <c r="S4304" s="9" t="n">
        <v>2457.13</v>
      </c>
      <c r="T4304" s="9" t="n">
        <v>2580.03</v>
      </c>
      <c r="U4304" s="10">
        <f>SUM(I4304:T4304)</f>
        <v/>
      </c>
    </row>
    <row r="4305">
      <c r="A4305" s="2" t="inlineStr">
        <is>
          <t>SN-7000-7200-7200-7200CN0020</t>
        </is>
      </c>
      <c r="B4305" s="2" t="inlineStr">
        <is>
          <t>7200CN0020</t>
        </is>
      </c>
      <c r="C4305" s="2" t="inlineStr">
        <is>
          <t>Puente grúa CN0020</t>
        </is>
      </c>
      <c r="D4305" s="2" t="n">
        <v>1435</v>
      </c>
      <c r="E4305" s="2" t="inlineStr">
        <is>
          <t>CC-7000</t>
        </is>
      </c>
      <c r="F4305" s="2" t="inlineStr">
        <is>
          <t>P01</t>
        </is>
      </c>
      <c r="G4305" s="2" t="n">
        <v>620000</v>
      </c>
      <c r="H4305" s="2" t="inlineStr">
        <is>
          <t>Materiales</t>
        </is>
      </c>
      <c r="I4305" s="9" t="n">
        <v>2455.54</v>
      </c>
      <c r="J4305" s="9" t="n">
        <v>2227.21</v>
      </c>
      <c r="K4305" s="9" t="n">
        <v>2139.08</v>
      </c>
      <c r="L4305" s="9" t="n">
        <v>2369.53</v>
      </c>
      <c r="M4305" s="9" t="n">
        <v>2070.38</v>
      </c>
      <c r="N4305" s="9" t="n">
        <v>2223.38</v>
      </c>
      <c r="O4305" s="9" t="n">
        <v>2319.53</v>
      </c>
      <c r="P4305" s="9" t="n">
        <v>2418.52</v>
      </c>
      <c r="Q4305" s="9" t="n">
        <v>2037.97</v>
      </c>
      <c r="R4305" s="9" t="n">
        <v>2284.37</v>
      </c>
      <c r="S4305" s="9" t="n">
        <v>2032.35</v>
      </c>
      <c r="T4305" s="9" t="n">
        <v>2123.22</v>
      </c>
      <c r="U4305" s="10">
        <f>SUM(I4305:T4305)</f>
        <v/>
      </c>
    </row>
    <row r="4306">
      <c r="A4306" s="2" t="inlineStr">
        <is>
          <t>SN-7000-7200-7200-7200CN0020</t>
        </is>
      </c>
      <c r="B4306" s="2" t="inlineStr">
        <is>
          <t>7200CN0020</t>
        </is>
      </c>
      <c r="C4306" s="2" t="inlineStr">
        <is>
          <t>Puente grúa CN0020</t>
        </is>
      </c>
      <c r="D4306" s="2" t="n">
        <v>1435</v>
      </c>
      <c r="E4306" s="2" t="inlineStr">
        <is>
          <t>CC-7000</t>
        </is>
      </c>
      <c r="F4306" s="2" t="inlineStr">
        <is>
          <t>P01</t>
        </is>
      </c>
      <c r="G4306" s="2" t="n">
        <v>630000</v>
      </c>
      <c r="H4306" s="2" t="inlineStr">
        <is>
          <t>Servicios externos</t>
        </is>
      </c>
      <c r="I4306" s="9" t="n">
        <v>2969.95</v>
      </c>
      <c r="J4306" s="9" t="n">
        <v>2979.25</v>
      </c>
      <c r="K4306" s="9" t="n">
        <v>2811.42</v>
      </c>
      <c r="L4306" s="9" t="n">
        <v>3012.31</v>
      </c>
      <c r="M4306" s="9" t="n">
        <v>2600.78</v>
      </c>
      <c r="N4306" s="9" t="n">
        <v>2861.19</v>
      </c>
      <c r="O4306" s="9" t="n">
        <v>2610.62</v>
      </c>
      <c r="P4306" s="9" t="n">
        <v>2938.29</v>
      </c>
      <c r="Q4306" s="9" t="n">
        <v>2536.05</v>
      </c>
      <c r="R4306" s="9" t="n">
        <v>2876.83</v>
      </c>
      <c r="S4306" s="9" t="n">
        <v>2810.28</v>
      </c>
      <c r="T4306" s="9" t="n">
        <v>3033.44</v>
      </c>
      <c r="U4306" s="10">
        <f>SUM(I4306:T4306)</f>
        <v/>
      </c>
    </row>
    <row r="4307">
      <c r="A4307" s="2" t="inlineStr">
        <is>
          <t>SN-7000-7200-7240-7240TK0051</t>
        </is>
      </c>
      <c r="B4307" s="2" t="inlineStr">
        <is>
          <t>7240TK0051</t>
        </is>
      </c>
      <c r="C4307" s="2" t="inlineStr">
        <is>
          <t>Estanque almacenamiento TK0051</t>
        </is>
      </c>
      <c r="D4307" s="2" t="n">
        <v>1436</v>
      </c>
      <c r="E4307" s="2" t="inlineStr">
        <is>
          <t>CC-7000</t>
        </is>
      </c>
      <c r="F4307" s="2" t="inlineStr">
        <is>
          <t>P01</t>
        </is>
      </c>
      <c r="G4307" s="2" t="n">
        <v>610000</v>
      </c>
      <c r="H4307" s="2" t="inlineStr">
        <is>
          <t>Mano obra interna</t>
        </is>
      </c>
      <c r="I4307" s="9" t="n">
        <v>2149.82</v>
      </c>
      <c r="J4307" s="9" t="n">
        <v>2087.87</v>
      </c>
      <c r="K4307" s="9" t="n">
        <v>2128.19</v>
      </c>
      <c r="L4307" s="9" t="n">
        <v>2333.73</v>
      </c>
      <c r="M4307" s="9" t="n">
        <v>2013.32</v>
      </c>
      <c r="N4307" s="9" t="n">
        <v>2209.36</v>
      </c>
      <c r="O4307" s="9" t="n">
        <v>2206.96</v>
      </c>
      <c r="P4307" s="9" t="n">
        <v>2200.05</v>
      </c>
      <c r="Q4307" s="9" t="n">
        <v>2130.01</v>
      </c>
      <c r="R4307" s="9" t="n">
        <v>2403.84</v>
      </c>
      <c r="S4307" s="9" t="n">
        <v>2035.68</v>
      </c>
      <c r="T4307" s="9" t="n">
        <v>2150.02</v>
      </c>
      <c r="U4307" s="10">
        <f>SUM(I4307:T4307)</f>
        <v/>
      </c>
    </row>
    <row r="4308">
      <c r="A4308" s="2" t="inlineStr">
        <is>
          <t>SN-7000-7200-7240-7240TK0051</t>
        </is>
      </c>
      <c r="B4308" s="2" t="inlineStr">
        <is>
          <t>7240TK0051</t>
        </is>
      </c>
      <c r="C4308" s="2" t="inlineStr">
        <is>
          <t>Estanque almacenamiento TK0051</t>
        </is>
      </c>
      <c r="D4308" s="2" t="n">
        <v>1436</v>
      </c>
      <c r="E4308" s="2" t="inlineStr">
        <is>
          <t>CC-7000</t>
        </is>
      </c>
      <c r="F4308" s="2" t="inlineStr">
        <is>
          <t>P01</t>
        </is>
      </c>
      <c r="G4308" s="2" t="n">
        <v>620000</v>
      </c>
      <c r="H4308" s="2" t="inlineStr">
        <is>
          <t>Materiales</t>
        </is>
      </c>
      <c r="I4308" s="9" t="n">
        <v>1771.37</v>
      </c>
      <c r="J4308" s="9" t="n">
        <v>1611.6</v>
      </c>
      <c r="K4308" s="9" t="n">
        <v>1844.54</v>
      </c>
      <c r="L4308" s="9" t="n">
        <v>1689.31</v>
      </c>
      <c r="M4308" s="9" t="n">
        <v>1827.76</v>
      </c>
      <c r="N4308" s="9" t="n">
        <v>1722.08</v>
      </c>
      <c r="O4308" s="9" t="n">
        <v>1855.4</v>
      </c>
      <c r="P4308" s="9" t="n">
        <v>1628.7</v>
      </c>
      <c r="Q4308" s="9" t="n">
        <v>1702.19</v>
      </c>
      <c r="R4308" s="9" t="n">
        <v>1996.78</v>
      </c>
      <c r="S4308" s="9" t="n">
        <v>1566.39</v>
      </c>
      <c r="T4308" s="9" t="n">
        <v>1912.58</v>
      </c>
      <c r="U4308" s="10">
        <f>SUM(I4308:T4308)</f>
        <v/>
      </c>
    </row>
    <row r="4309">
      <c r="A4309" s="2" t="inlineStr">
        <is>
          <t>SN-7000-7200-7240-7240TK0051</t>
        </is>
      </c>
      <c r="B4309" s="2" t="inlineStr">
        <is>
          <t>7240TK0051</t>
        </is>
      </c>
      <c r="C4309" s="2" t="inlineStr">
        <is>
          <t>Estanque almacenamiento TK0051</t>
        </is>
      </c>
      <c r="D4309" s="2" t="n">
        <v>1436</v>
      </c>
      <c r="E4309" s="2" t="inlineStr">
        <is>
          <t>CC-7000</t>
        </is>
      </c>
      <c r="F4309" s="2" t="inlineStr">
        <is>
          <t>P01</t>
        </is>
      </c>
      <c r="G4309" s="2" t="n">
        <v>630000</v>
      </c>
      <c r="H4309" s="2" t="inlineStr">
        <is>
          <t>Servicios externos</t>
        </is>
      </c>
      <c r="I4309" s="9" t="n">
        <v>1798.42</v>
      </c>
      <c r="J4309" s="9" t="n">
        <v>1794.15</v>
      </c>
      <c r="K4309" s="9" t="n">
        <v>1755.53</v>
      </c>
      <c r="L4309" s="9" t="n">
        <v>2004.15</v>
      </c>
      <c r="M4309" s="9" t="n">
        <v>1760.08</v>
      </c>
      <c r="N4309" s="9" t="n">
        <v>1771.85</v>
      </c>
      <c r="O4309" s="9" t="n">
        <v>1884.25</v>
      </c>
      <c r="P4309" s="9" t="n">
        <v>1931.46</v>
      </c>
      <c r="Q4309" s="9" t="n">
        <v>1650.51</v>
      </c>
      <c r="R4309" s="9" t="n">
        <v>2060.93</v>
      </c>
      <c r="S4309" s="9" t="n">
        <v>1678.53</v>
      </c>
      <c r="T4309" s="9" t="n">
        <v>1935.55</v>
      </c>
      <c r="U4309" s="10">
        <f>SUM(I4309:T4309)</f>
        <v/>
      </c>
    </row>
    <row r="4310">
      <c r="A4310" s="2" t="inlineStr">
        <is>
          <t>SN-7000-7200-72ER-7200FP0001</t>
        </is>
      </c>
      <c r="B4310" s="2" t="inlineStr">
        <is>
          <t>7200FP0001</t>
        </is>
      </c>
      <c r="C4310" s="2" t="inlineStr">
        <is>
          <t>Tablero control SCI FP0001</t>
        </is>
      </c>
      <c r="D4310" s="2" t="n">
        <v>1437</v>
      </c>
      <c r="E4310" s="2" t="inlineStr">
        <is>
          <t>CC-7000</t>
        </is>
      </c>
      <c r="F4310" s="2" t="inlineStr">
        <is>
          <t>P01</t>
        </is>
      </c>
      <c r="G4310" s="2" t="n">
        <v>610000</v>
      </c>
      <c r="H4310" s="2" t="inlineStr">
        <is>
          <t>Mano obra interna</t>
        </is>
      </c>
      <c r="I4310" s="9" t="n">
        <v>1236.41</v>
      </c>
      <c r="J4310" s="9" t="n">
        <v>1199.3</v>
      </c>
      <c r="K4310" s="9" t="n">
        <v>1350.6</v>
      </c>
      <c r="L4310" s="9" t="n">
        <v>1229.67</v>
      </c>
      <c r="M4310" s="9" t="n">
        <v>1219.66</v>
      </c>
      <c r="N4310" s="9" t="n">
        <v>1178.82</v>
      </c>
      <c r="O4310" s="9" t="n">
        <v>1293.99</v>
      </c>
      <c r="P4310" s="9" t="n">
        <v>1244.16</v>
      </c>
      <c r="Q4310" s="9" t="n">
        <v>1202.89</v>
      </c>
      <c r="R4310" s="9" t="n">
        <v>1403.78</v>
      </c>
      <c r="S4310" s="9" t="n">
        <v>1302.21</v>
      </c>
      <c r="T4310" s="9" t="n">
        <v>1410.5</v>
      </c>
      <c r="U4310" s="10">
        <f>SUM(I4310:T4310)</f>
        <v/>
      </c>
    </row>
    <row r="4311">
      <c r="A4311" s="2" t="inlineStr">
        <is>
          <t>SN-7000-7200-72ER-7200FP0001</t>
        </is>
      </c>
      <c r="B4311" s="2" t="inlineStr">
        <is>
          <t>7200FP0001</t>
        </is>
      </c>
      <c r="C4311" s="2" t="inlineStr">
        <is>
          <t>Tablero control SCI FP0001</t>
        </is>
      </c>
      <c r="D4311" s="2" t="n">
        <v>1437</v>
      </c>
      <c r="E4311" s="2" t="inlineStr">
        <is>
          <t>CC-7000</t>
        </is>
      </c>
      <c r="F4311" s="2" t="inlineStr">
        <is>
          <t>P01</t>
        </is>
      </c>
      <c r="G4311" s="2" t="n">
        <v>620000</v>
      </c>
      <c r="H4311" s="2" t="inlineStr">
        <is>
          <t>Materiales</t>
        </is>
      </c>
      <c r="I4311" s="9" t="n">
        <v>1088.54</v>
      </c>
      <c r="J4311" s="9" t="n">
        <v>1033.61</v>
      </c>
      <c r="K4311" s="9" t="n">
        <v>1150.45</v>
      </c>
      <c r="L4311" s="9" t="n">
        <v>1194.77</v>
      </c>
      <c r="M4311" s="9" t="n">
        <v>1126.1</v>
      </c>
      <c r="N4311" s="9" t="n">
        <v>994.61</v>
      </c>
      <c r="O4311" s="9" t="n">
        <v>1160.86</v>
      </c>
      <c r="P4311" s="9" t="n">
        <v>1131.93</v>
      </c>
      <c r="Q4311" s="9" t="n">
        <v>955.6900000000001</v>
      </c>
      <c r="R4311" s="9" t="n">
        <v>1217.34</v>
      </c>
      <c r="S4311" s="9" t="n">
        <v>1021.16</v>
      </c>
      <c r="T4311" s="9" t="n">
        <v>1106.33</v>
      </c>
      <c r="U4311" s="10">
        <f>SUM(I4311:T4311)</f>
        <v/>
      </c>
    </row>
    <row r="4312">
      <c r="A4312" s="2" t="inlineStr">
        <is>
          <t>SN-7000-7200-72ER-7200FP0001</t>
        </is>
      </c>
      <c r="B4312" s="2" t="inlineStr">
        <is>
          <t>7200FP0001</t>
        </is>
      </c>
      <c r="C4312" s="2" t="inlineStr">
        <is>
          <t>Tablero control SCI FP0001</t>
        </is>
      </c>
      <c r="D4312" s="2" t="n">
        <v>1437</v>
      </c>
      <c r="E4312" s="2" t="inlineStr">
        <is>
          <t>CC-7000</t>
        </is>
      </c>
      <c r="F4312" s="2" t="inlineStr">
        <is>
          <t>P01</t>
        </is>
      </c>
      <c r="G4312" s="2" t="n">
        <v>630000</v>
      </c>
      <c r="H4312" s="2" t="inlineStr">
        <is>
          <t>Servicios externos</t>
        </is>
      </c>
      <c r="I4312" s="9" t="n">
        <v>985.41</v>
      </c>
      <c r="J4312" s="9" t="n">
        <v>1062.22</v>
      </c>
      <c r="K4312" s="9" t="n">
        <v>1122.93</v>
      </c>
      <c r="L4312" s="9" t="n">
        <v>1011.58</v>
      </c>
      <c r="M4312" s="9" t="n">
        <v>980.78</v>
      </c>
      <c r="N4312" s="9" t="n">
        <v>977.6</v>
      </c>
      <c r="O4312" s="9" t="n">
        <v>1086.14</v>
      </c>
      <c r="P4312" s="9" t="n">
        <v>963.45</v>
      </c>
      <c r="Q4312" s="9" t="n">
        <v>1010.18</v>
      </c>
      <c r="R4312" s="9" t="n">
        <v>1190.64</v>
      </c>
      <c r="S4312" s="9" t="n">
        <v>1010.94</v>
      </c>
      <c r="T4312" s="9" t="n">
        <v>975.65</v>
      </c>
      <c r="U4312" s="10">
        <f>SUM(I4312:T4312)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production_area</t>
        </is>
      </c>
      <c r="B1" s="1" t="inlineStr">
        <is>
          <t>parameter</t>
        </is>
      </c>
      <c r="C1" s="1" t="inlineStr">
        <is>
          <t>parameter_desc</t>
        </is>
      </c>
      <c r="D1" s="1" t="inlineStr">
        <is>
          <t>unit</t>
        </is>
      </c>
      <c r="E1" s="1" t="inlineStr">
        <is>
          <t>Ene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Ago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Dic</t>
        </is>
      </c>
      <c r="Q1" s="1" t="inlineStr">
        <is>
          <t>annual_total</t>
        </is>
      </c>
    </row>
    <row r="2">
      <c r="A2" s="2" t="inlineStr">
        <is>
          <t>MINE</t>
        </is>
      </c>
      <c r="B2" s="2" t="inlineStr">
        <is>
          <t>ore_mined_tonnes</t>
        </is>
      </c>
      <c r="C2" s="2" t="inlineStr">
        <is>
          <t>Mineral extraido</t>
        </is>
      </c>
      <c r="D2" s="2" t="inlineStr">
        <is>
          <t>tonnes</t>
        </is>
      </c>
      <c r="E2" s="3" t="n">
        <v>712767.15</v>
      </c>
      <c r="F2" s="3" t="n">
        <v>727763.66</v>
      </c>
      <c r="G2" s="3" t="n">
        <v>746379.9399999999</v>
      </c>
      <c r="H2" s="3" t="n">
        <v>729801.1</v>
      </c>
      <c r="I2" s="3" t="n">
        <v>675699.01</v>
      </c>
      <c r="J2" s="3" t="n">
        <v>652764.5600000001</v>
      </c>
      <c r="K2" s="3" t="n">
        <v>676142.3100000001</v>
      </c>
      <c r="L2" s="3" t="n">
        <v>732427.8</v>
      </c>
      <c r="M2" s="3" t="n">
        <v>664863.17</v>
      </c>
      <c r="N2" s="3" t="n">
        <v>778403.3100000001</v>
      </c>
      <c r="O2" s="3" t="n">
        <v>651685.99</v>
      </c>
      <c r="P2" s="3" t="n">
        <v>751301.99</v>
      </c>
      <c r="Q2" s="4">
        <f>SUM(E2:P2)</f>
        <v/>
      </c>
    </row>
    <row r="3">
      <c r="A3" s="2" t="inlineStr">
        <is>
          <t>MINE</t>
        </is>
      </c>
      <c r="B3" s="2" t="inlineStr">
        <is>
          <t>waste_mined_tonnes</t>
        </is>
      </c>
      <c r="C3" s="2" t="inlineStr">
        <is>
          <t>Esteril extraido</t>
        </is>
      </c>
      <c r="D3" s="2" t="inlineStr">
        <is>
          <t>tonnes</t>
        </is>
      </c>
      <c r="E3" s="3" t="n">
        <v>1515667.62</v>
      </c>
      <c r="F3" s="3" t="n">
        <v>1374479.94</v>
      </c>
      <c r="G3" s="3" t="n">
        <v>1435248.45</v>
      </c>
      <c r="H3" s="3" t="n">
        <v>1422129.28</v>
      </c>
      <c r="I3" s="3" t="n">
        <v>1394245.95</v>
      </c>
      <c r="J3" s="3" t="n">
        <v>1377220.76</v>
      </c>
      <c r="K3" s="3" t="n">
        <v>1427814.43</v>
      </c>
      <c r="L3" s="3" t="n">
        <v>1405897.39</v>
      </c>
      <c r="M3" s="3" t="n">
        <v>1352582.84</v>
      </c>
      <c r="N3" s="3" t="n">
        <v>1493775.5</v>
      </c>
      <c r="O3" s="3" t="n">
        <v>1362143.19</v>
      </c>
      <c r="P3" s="3" t="n">
        <v>1438794.64</v>
      </c>
      <c r="Q3" s="4">
        <f>SUM(E3:P3)</f>
        <v/>
      </c>
    </row>
    <row r="4">
      <c r="A4" s="2" t="inlineStr">
        <is>
          <t>MINE</t>
        </is>
      </c>
      <c r="B4" s="2" t="inlineStr">
        <is>
          <t>total_movement_tonnes</t>
        </is>
      </c>
      <c r="C4" s="2" t="inlineStr">
        <is>
          <t>Movimiento total mina</t>
        </is>
      </c>
      <c r="D4" s="2" t="inlineStr">
        <is>
          <t>tonnes</t>
        </is>
      </c>
      <c r="E4" s="3" t="n">
        <v>2156348.93</v>
      </c>
      <c r="F4" s="3" t="n">
        <v>2149098.99</v>
      </c>
      <c r="G4" s="3" t="n">
        <v>2123034.81</v>
      </c>
      <c r="H4" s="3" t="n">
        <v>2171495.26</v>
      </c>
      <c r="I4" s="3" t="n">
        <v>2119095.68</v>
      </c>
      <c r="J4" s="3" t="n">
        <v>1936429.89</v>
      </c>
      <c r="K4" s="3" t="n">
        <v>2145424.64</v>
      </c>
      <c r="L4" s="3" t="n">
        <v>2050201.52</v>
      </c>
      <c r="M4" s="3" t="n">
        <v>1889080.98</v>
      </c>
      <c r="N4" s="3" t="n">
        <v>2390733.68</v>
      </c>
      <c r="O4" s="3" t="n">
        <v>2149515.26</v>
      </c>
      <c r="P4" s="3" t="n">
        <v>2219540.38</v>
      </c>
      <c r="Q4" s="4">
        <f>SUM(E4:P4)</f>
        <v/>
      </c>
    </row>
    <row r="5">
      <c r="A5" s="2" t="inlineStr">
        <is>
          <t>MINE</t>
        </is>
      </c>
      <c r="B5" s="2" t="inlineStr">
        <is>
          <t>strip_ratio</t>
        </is>
      </c>
      <c r="C5" s="2" t="inlineStr">
        <is>
          <t>Relacion esteril/mineral</t>
        </is>
      </c>
      <c r="D5" s="2" t="inlineStr">
        <is>
          <t>ratio</t>
        </is>
      </c>
      <c r="E5" s="6" t="n">
        <v>1.9844</v>
      </c>
      <c r="F5" s="6" t="n">
        <v>1.9678</v>
      </c>
      <c r="G5" s="6" t="n">
        <v>2.0147</v>
      </c>
      <c r="H5" s="6" t="n">
        <v>1.9952</v>
      </c>
      <c r="I5" s="6" t="n">
        <v>1.9698</v>
      </c>
      <c r="J5" s="6" t="n">
        <v>1.9996</v>
      </c>
      <c r="K5" s="6" t="n">
        <v>1.9628</v>
      </c>
      <c r="L5" s="6" t="n">
        <v>2.0327</v>
      </c>
      <c r="M5" s="6" t="n">
        <v>1.9807</v>
      </c>
      <c r="N5" s="6" t="n">
        <v>2.013</v>
      </c>
      <c r="O5" s="6" t="n">
        <v>1.9849</v>
      </c>
      <c r="P5" s="6" t="n">
        <v>2.0016</v>
      </c>
      <c r="Q5" s="4">
        <f>AVERAGE(E5:P5)</f>
        <v/>
      </c>
    </row>
    <row r="6">
      <c r="A6" s="2" t="inlineStr">
        <is>
          <t>CRUSHING</t>
        </is>
      </c>
      <c r="B6" s="2" t="inlineStr">
        <is>
          <t>ore_crushed_tonnes</t>
        </is>
      </c>
      <c r="C6" s="2" t="inlineStr">
        <is>
          <t>Mineral chancado</t>
        </is>
      </c>
      <c r="D6" s="2" t="inlineStr">
        <is>
          <t>tonnes</t>
        </is>
      </c>
      <c r="E6" s="3" t="n">
        <v>712023.8100000001</v>
      </c>
      <c r="F6" s="3" t="n">
        <v>662181.95</v>
      </c>
      <c r="G6" s="3" t="n">
        <v>749840.66</v>
      </c>
      <c r="H6" s="3" t="n">
        <v>729068.14</v>
      </c>
      <c r="I6" s="3" t="n">
        <v>717256.8199999999</v>
      </c>
      <c r="J6" s="3" t="n">
        <v>689948.51</v>
      </c>
      <c r="K6" s="3" t="n">
        <v>701355.48</v>
      </c>
      <c r="L6" s="3" t="n">
        <v>722989.37</v>
      </c>
      <c r="M6" s="3" t="n">
        <v>619659.53</v>
      </c>
      <c r="N6" s="3" t="n">
        <v>725926.4399999999</v>
      </c>
      <c r="O6" s="3" t="n">
        <v>641506.25</v>
      </c>
      <c r="P6" s="3" t="n">
        <v>692243.05</v>
      </c>
      <c r="Q6" s="4">
        <f>SUM(E6:P6)</f>
        <v/>
      </c>
    </row>
    <row r="7">
      <c r="A7" s="2" t="inlineStr">
        <is>
          <t>GRINDING</t>
        </is>
      </c>
      <c r="B7" s="2" t="inlineStr">
        <is>
          <t>ore_ground_tonnes</t>
        </is>
      </c>
      <c r="C7" s="2" t="inlineStr">
        <is>
          <t>Mineral molido</t>
        </is>
      </c>
      <c r="D7" s="2" t="inlineStr">
        <is>
          <t>tonnes</t>
        </is>
      </c>
      <c r="E7" s="3" t="n">
        <v>691669.16</v>
      </c>
      <c r="F7" s="3" t="n">
        <v>659368.7</v>
      </c>
      <c r="G7" s="3" t="n">
        <v>730089.9</v>
      </c>
      <c r="H7" s="3" t="n">
        <v>690246.37</v>
      </c>
      <c r="I7" s="3" t="n">
        <v>663231.2</v>
      </c>
      <c r="J7" s="3" t="n">
        <v>657868.8</v>
      </c>
      <c r="K7" s="3" t="n">
        <v>660868.98</v>
      </c>
      <c r="L7" s="3" t="n">
        <v>705351.34</v>
      </c>
      <c r="M7" s="3" t="n">
        <v>610675.88</v>
      </c>
      <c r="N7" s="3" t="n">
        <v>774884.41</v>
      </c>
      <c r="O7" s="3" t="n">
        <v>681348.87</v>
      </c>
      <c r="P7" s="3" t="n">
        <v>674396.39</v>
      </c>
      <c r="Q7" s="4">
        <f>SUM(E7:P7)</f>
        <v/>
      </c>
    </row>
    <row r="8">
      <c r="A8" s="2" t="inlineStr">
        <is>
          <t>GRINDING</t>
        </is>
      </c>
      <c r="B8" s="2" t="inlineStr">
        <is>
          <t>head_grade_g_per_t</t>
        </is>
      </c>
      <c r="C8" s="2" t="inlineStr">
        <is>
          <t>Ley de cabeza Au</t>
        </is>
      </c>
      <c r="D8" s="2" t="inlineStr">
        <is>
          <t>g/t</t>
        </is>
      </c>
      <c r="E8" s="6" t="n">
        <v>1.3233</v>
      </c>
      <c r="F8" s="6" t="n">
        <v>1.367</v>
      </c>
      <c r="G8" s="6" t="n">
        <v>1.3612</v>
      </c>
      <c r="H8" s="6" t="n">
        <v>1.3624</v>
      </c>
      <c r="I8" s="6" t="n">
        <v>1.3646</v>
      </c>
      <c r="J8" s="6" t="n">
        <v>1.327</v>
      </c>
      <c r="K8" s="6" t="n">
        <v>1.3424</v>
      </c>
      <c r="L8" s="6" t="n">
        <v>1.3293</v>
      </c>
      <c r="M8" s="6" t="n">
        <v>1.3696</v>
      </c>
      <c r="N8" s="6" t="n">
        <v>1.3567</v>
      </c>
      <c r="O8" s="6" t="n">
        <v>1.3409</v>
      </c>
      <c r="P8" s="6" t="n">
        <v>1.3264</v>
      </c>
      <c r="Q8" s="4">
        <f>AVERAGE(E8:P8)</f>
        <v/>
      </c>
    </row>
    <row r="9">
      <c r="A9" s="2" t="inlineStr">
        <is>
          <t>LEACHING</t>
        </is>
      </c>
      <c r="B9" s="2" t="inlineStr">
        <is>
          <t>ore_leached_tonnes</t>
        </is>
      </c>
      <c r="C9" s="2" t="inlineStr">
        <is>
          <t>Mineral lixiviado</t>
        </is>
      </c>
      <c r="D9" s="2" t="inlineStr">
        <is>
          <t>tonnes</t>
        </is>
      </c>
      <c r="E9" s="3" t="n">
        <v>680216.4399999999</v>
      </c>
      <c r="F9" s="3" t="n">
        <v>657186.89</v>
      </c>
      <c r="G9" s="3" t="n">
        <v>716741.3199999999</v>
      </c>
      <c r="H9" s="3" t="n">
        <v>703684.52</v>
      </c>
      <c r="I9" s="3" t="n">
        <v>698164.96</v>
      </c>
      <c r="J9" s="3" t="n">
        <v>647522.74</v>
      </c>
      <c r="K9" s="3" t="n">
        <v>653623.83</v>
      </c>
      <c r="L9" s="3" t="n">
        <v>693128.6</v>
      </c>
      <c r="M9" s="3" t="n">
        <v>648705.21</v>
      </c>
      <c r="N9" s="3" t="n">
        <v>736915.8199999999</v>
      </c>
      <c r="O9" s="3" t="n">
        <v>675289.4300000001</v>
      </c>
      <c r="P9" s="3" t="n">
        <v>688820.24</v>
      </c>
      <c r="Q9" s="4">
        <f>SUM(E9:P9)</f>
        <v/>
      </c>
    </row>
    <row r="10">
      <c r="A10" s="2" t="inlineStr">
        <is>
          <t>LEACHING</t>
        </is>
      </c>
      <c r="B10" s="2" t="inlineStr">
        <is>
          <t>cn_consumption_kg_t</t>
        </is>
      </c>
      <c r="C10" s="2" t="inlineStr">
        <is>
          <t>Consumo cianuro</t>
        </is>
      </c>
      <c r="D10" s="2" t="inlineStr">
        <is>
          <t>kg/t</t>
        </is>
      </c>
      <c r="E10" s="6" t="n">
        <v>0.4504</v>
      </c>
      <c r="F10" s="6" t="n">
        <v>0.4487</v>
      </c>
      <c r="G10" s="6" t="n">
        <v>0.4415</v>
      </c>
      <c r="H10" s="6" t="n">
        <v>0.4429</v>
      </c>
      <c r="I10" s="6" t="n">
        <v>0.4416</v>
      </c>
      <c r="J10" s="6" t="n">
        <v>0.4525</v>
      </c>
      <c r="K10" s="6" t="n">
        <v>0.4467</v>
      </c>
      <c r="L10" s="6" t="n">
        <v>0.4502</v>
      </c>
      <c r="M10" s="6" t="n">
        <v>0.4573</v>
      </c>
      <c r="N10" s="6" t="n">
        <v>0.4455</v>
      </c>
      <c r="O10" s="6" t="n">
        <v>0.4484</v>
      </c>
      <c r="P10" s="6" t="n">
        <v>0.4546</v>
      </c>
      <c r="Q10" s="4">
        <f>AVERAGE(E10:P10)</f>
        <v/>
      </c>
    </row>
    <row r="11">
      <c r="A11" s="2" t="inlineStr">
        <is>
          <t>RECOVERY</t>
        </is>
      </c>
      <c r="B11" s="2" t="inlineStr">
        <is>
          <t>carbon_loaded_tonnes</t>
        </is>
      </c>
      <c r="C11" s="2" t="inlineStr">
        <is>
          <t>Carbon cargado</t>
        </is>
      </c>
      <c r="D11" s="2" t="inlineStr">
        <is>
          <t>tonnes</t>
        </is>
      </c>
      <c r="E11" s="3" t="n">
        <v>10154.27</v>
      </c>
      <c r="F11" s="3" t="n">
        <v>9643.43</v>
      </c>
      <c r="G11" s="3" t="n">
        <v>10325.95</v>
      </c>
      <c r="H11" s="3" t="n">
        <v>10095.58</v>
      </c>
      <c r="I11" s="3" t="n">
        <v>10553.23</v>
      </c>
      <c r="J11" s="3" t="n">
        <v>10076.22</v>
      </c>
      <c r="K11" s="3" t="n">
        <v>10365.28</v>
      </c>
      <c r="L11" s="3" t="n">
        <v>10596.07</v>
      </c>
      <c r="M11" s="3" t="n">
        <v>9806.49</v>
      </c>
      <c r="N11" s="3" t="n">
        <v>10680.45</v>
      </c>
      <c r="O11" s="3" t="n">
        <v>10286.22</v>
      </c>
      <c r="P11" s="3" t="n">
        <v>10416.83</v>
      </c>
      <c r="Q11" s="4">
        <f>SUM(E11:P11)</f>
        <v/>
      </c>
    </row>
    <row r="12">
      <c r="A12" s="2" t="inlineStr">
        <is>
          <t>RECOVERY</t>
        </is>
      </c>
      <c r="B12" s="2" t="inlineStr">
        <is>
          <t>recovery_pct</t>
        </is>
      </c>
      <c r="C12" s="2" t="inlineStr">
        <is>
          <t>Recuperacion metalurgica</t>
        </is>
      </c>
      <c r="D12" s="2" t="inlineStr">
        <is>
          <t>%</t>
        </is>
      </c>
      <c r="E12" s="5" t="n">
        <v>0.8908</v>
      </c>
      <c r="F12" s="5" t="n">
        <v>0.8939</v>
      </c>
      <c r="G12" s="5" t="n">
        <v>0.8736</v>
      </c>
      <c r="H12" s="5" t="n">
        <v>0.8663</v>
      </c>
      <c r="I12" s="5" t="n">
        <v>0.8704</v>
      </c>
      <c r="J12" s="5" t="n">
        <v>0.8774</v>
      </c>
      <c r="K12" s="5" t="n">
        <v>0.8912</v>
      </c>
      <c r="L12" s="5" t="n">
        <v>0.8927</v>
      </c>
      <c r="M12" s="5" t="n">
        <v>0.8626</v>
      </c>
      <c r="N12" s="5" t="n">
        <v>0.8804</v>
      </c>
      <c r="O12" s="5" t="n">
        <v>0.8771</v>
      </c>
      <c r="P12" s="5" t="n">
        <v>0.8702</v>
      </c>
      <c r="Q12" s="4">
        <f>AVERAGE(E12:P12)</f>
        <v/>
      </c>
    </row>
    <row r="13">
      <c r="A13" s="2" t="inlineStr">
        <is>
          <t>RECOVERY</t>
        </is>
      </c>
      <c r="B13" s="2" t="inlineStr">
        <is>
          <t>gold_in_solution_oz</t>
        </is>
      </c>
      <c r="C13" s="2" t="inlineStr">
        <is>
          <t>Oro en solucion</t>
        </is>
      </c>
      <c r="D13" s="2" t="inlineStr">
        <is>
          <t>oz</t>
        </is>
      </c>
      <c r="E13" s="3" t="n">
        <v>20832.87</v>
      </c>
      <c r="F13" s="3" t="n">
        <v>20553.39</v>
      </c>
      <c r="G13" s="3" t="n">
        <v>22854.44</v>
      </c>
      <c r="H13" s="3" t="n">
        <v>21298.22</v>
      </c>
      <c r="I13" s="3" t="n">
        <v>21033.9</v>
      </c>
      <c r="J13" s="3" t="n">
        <v>20693.67</v>
      </c>
      <c r="K13" s="3" t="n">
        <v>20934.05</v>
      </c>
      <c r="L13" s="3" t="n">
        <v>22198.12</v>
      </c>
      <c r="M13" s="3" t="n">
        <v>20660.72</v>
      </c>
      <c r="N13" s="3" t="n">
        <v>22309.72</v>
      </c>
      <c r="O13" s="3" t="n">
        <v>20530.74</v>
      </c>
      <c r="P13" s="3" t="n">
        <v>21100.17</v>
      </c>
      <c r="Q13" s="4">
        <f>SUM(E13:P13)</f>
        <v/>
      </c>
    </row>
    <row r="14">
      <c r="A14" s="2" t="inlineStr">
        <is>
          <t>REFINERY</t>
        </is>
      </c>
      <c r="B14" s="2" t="inlineStr">
        <is>
          <t>gold_produced_oz</t>
        </is>
      </c>
      <c r="C14" s="2" t="inlineStr">
        <is>
          <t>Oro producido</t>
        </is>
      </c>
      <c r="D14" s="2" t="inlineStr">
        <is>
          <t>oz</t>
        </is>
      </c>
      <c r="E14" s="3" t="n">
        <v>21025.62</v>
      </c>
      <c r="F14" s="3" t="n">
        <v>19770.4</v>
      </c>
      <c r="G14" s="3" t="n">
        <v>21953.13</v>
      </c>
      <c r="H14" s="3" t="n">
        <v>21518.97</v>
      </c>
      <c r="I14" s="3" t="n">
        <v>19897.12</v>
      </c>
      <c r="J14" s="3" t="n">
        <v>19678.98</v>
      </c>
      <c r="K14" s="3" t="n">
        <v>21918.46</v>
      </c>
      <c r="L14" s="3" t="n">
        <v>20485.66</v>
      </c>
      <c r="M14" s="3" t="n">
        <v>18898.39</v>
      </c>
      <c r="N14" s="3" t="n">
        <v>22676.03</v>
      </c>
      <c r="O14" s="3" t="n">
        <v>21366.55</v>
      </c>
      <c r="P14" s="3" t="n">
        <v>20810.69</v>
      </c>
      <c r="Q14" s="4">
        <f>SUM(E14:P14)</f>
        <v/>
      </c>
    </row>
    <row r="15">
      <c r="A15" s="2" t="inlineStr">
        <is>
          <t>REFINERY</t>
        </is>
      </c>
      <c r="B15" s="2" t="inlineStr">
        <is>
          <t>gold_purity_pct</t>
        </is>
      </c>
      <c r="C15" s="2" t="inlineStr">
        <is>
          <t>Pureza dore</t>
        </is>
      </c>
      <c r="D15" s="2" t="inlineStr">
        <is>
          <t>%</t>
        </is>
      </c>
      <c r="E15" s="5" t="n">
        <v>0.9263</v>
      </c>
      <c r="F15" s="5" t="n">
        <v>0.9296</v>
      </c>
      <c r="G15" s="5" t="n">
        <v>0.9103</v>
      </c>
      <c r="H15" s="5" t="n">
        <v>0.9284</v>
      </c>
      <c r="I15" s="5" t="n">
        <v>0.9151</v>
      </c>
      <c r="J15" s="5" t="n">
        <v>0.9249000000000001</v>
      </c>
      <c r="K15" s="5" t="n">
        <v>0.9249000000000001</v>
      </c>
      <c r="L15" s="5" t="n">
        <v>0.9213</v>
      </c>
      <c r="M15" s="5" t="n">
        <v>0.9049</v>
      </c>
      <c r="N15" s="5" t="n">
        <v>0.9323</v>
      </c>
      <c r="O15" s="5" t="n">
        <v>0.9134</v>
      </c>
      <c r="P15" s="5" t="n">
        <v>0.9085</v>
      </c>
      <c r="Q15" s="4">
        <f>AVERAGE(E15:P15)</f>
        <v/>
      </c>
    </row>
    <row r="16">
      <c r="A16" s="2" t="inlineStr">
        <is>
          <t>REFINERY</t>
        </is>
      </c>
      <c r="B16" s="2" t="inlineStr">
        <is>
          <t>silver_produced_oz</t>
        </is>
      </c>
      <c r="C16" s="2" t="inlineStr">
        <is>
          <t>Plata producida</t>
        </is>
      </c>
      <c r="D16" s="2" t="inlineStr">
        <is>
          <t>oz</t>
        </is>
      </c>
      <c r="E16" s="3" t="n">
        <v>3070.23</v>
      </c>
      <c r="F16" s="3" t="n">
        <v>3132.78</v>
      </c>
      <c r="G16" s="3" t="n">
        <v>3309.78</v>
      </c>
      <c r="H16" s="3" t="n">
        <v>3066.04</v>
      </c>
      <c r="I16" s="3" t="n">
        <v>3123.46</v>
      </c>
      <c r="J16" s="3" t="n">
        <v>2931.38</v>
      </c>
      <c r="K16" s="3" t="n">
        <v>3199.5</v>
      </c>
      <c r="L16" s="3" t="n">
        <v>3047.37</v>
      </c>
      <c r="M16" s="3" t="n">
        <v>2990.43</v>
      </c>
      <c r="N16" s="3" t="n">
        <v>3361.01</v>
      </c>
      <c r="O16" s="3" t="n">
        <v>3184.89</v>
      </c>
      <c r="P16" s="3" t="n">
        <v>3083.14</v>
      </c>
      <c r="Q16" s="4">
        <f>SUM(E16:P16)</f>
        <v/>
      </c>
    </row>
    <row r="17">
      <c r="A17" s="2" t="inlineStr">
        <is>
          <t>GLOBAL</t>
        </is>
      </c>
      <c r="B17" s="2" t="inlineStr">
        <is>
          <t>gold_price_usd_oz</t>
        </is>
      </c>
      <c r="C17" s="2" t="inlineStr">
        <is>
          <t>Precio oro supuesto</t>
        </is>
      </c>
      <c r="D17" s="2" t="inlineStr">
        <is>
          <t>USD/oz</t>
        </is>
      </c>
      <c r="E17" s="7" t="n">
        <v>1987.29</v>
      </c>
      <c r="F17" s="7" t="n">
        <v>1969.08</v>
      </c>
      <c r="G17" s="7" t="n">
        <v>2033.98</v>
      </c>
      <c r="H17" s="7" t="n">
        <v>2030.19</v>
      </c>
      <c r="I17" s="7" t="n">
        <v>1980.64</v>
      </c>
      <c r="J17" s="7" t="n">
        <v>2012.8</v>
      </c>
      <c r="K17" s="7" t="n">
        <v>2025.38</v>
      </c>
      <c r="L17" s="7" t="n">
        <v>2004.42</v>
      </c>
      <c r="M17" s="7" t="n">
        <v>2002.37</v>
      </c>
      <c r="N17" s="7" t="n">
        <v>1979.35</v>
      </c>
      <c r="O17" s="7" t="n">
        <v>1967.45</v>
      </c>
      <c r="P17" s="7" t="n">
        <v>2031.78</v>
      </c>
      <c r="Q17" s="4">
        <f>AVERAGE(E17:P17)</f>
        <v/>
      </c>
    </row>
    <row r="18">
      <c r="A18" s="2" t="inlineStr">
        <is>
          <t>GLOBAL</t>
        </is>
      </c>
      <c r="B18" s="2" t="inlineStr">
        <is>
          <t>operating_days</t>
        </is>
      </c>
      <c r="C18" s="2" t="inlineStr">
        <is>
          <t>Dias operativos</t>
        </is>
      </c>
      <c r="D18" s="2" t="inlineStr">
        <is>
          <t>dias</t>
        </is>
      </c>
      <c r="E18" s="6" t="n">
        <v>31.97</v>
      </c>
      <c r="F18" s="6" t="n">
        <v>30.05</v>
      </c>
      <c r="G18" s="6" t="n">
        <v>30.56</v>
      </c>
      <c r="H18" s="6" t="n">
        <v>30.31</v>
      </c>
      <c r="I18" s="6" t="n">
        <v>30.47</v>
      </c>
      <c r="J18" s="6" t="n">
        <v>29.93</v>
      </c>
      <c r="K18" s="6" t="n">
        <v>31.29</v>
      </c>
      <c r="L18" s="6" t="n">
        <v>30.93</v>
      </c>
      <c r="M18" s="6" t="n">
        <v>28.43</v>
      </c>
      <c r="N18" s="6" t="n">
        <v>31.12</v>
      </c>
      <c r="O18" s="6" t="n">
        <v>28.16</v>
      </c>
      <c r="P18" s="6" t="n">
        <v>31.78</v>
      </c>
      <c r="Q18" s="4">
        <f>SUM(E18:P18)</f>
        <v/>
      </c>
    </row>
    <row r="19">
      <c r="A19" s="2" t="inlineStr">
        <is>
          <t>GLOBAL</t>
        </is>
      </c>
      <c r="B19" s="2" t="inlineStr">
        <is>
          <t>plant_throughput_tpd</t>
        </is>
      </c>
      <c r="C19" s="2" t="inlineStr">
        <is>
          <t>Tratamiento planta</t>
        </is>
      </c>
      <c r="D19" s="2" t="inlineStr">
        <is>
          <t>tpd</t>
        </is>
      </c>
      <c r="E19" s="6" t="n">
        <v>22561.39</v>
      </c>
      <c r="F19" s="6" t="n">
        <v>22024.7</v>
      </c>
      <c r="G19" s="6" t="n">
        <v>22107.62</v>
      </c>
      <c r="H19" s="6" t="n">
        <v>22612.68</v>
      </c>
      <c r="I19" s="6" t="n">
        <v>22020.99</v>
      </c>
      <c r="J19" s="6" t="n">
        <v>22160.95</v>
      </c>
      <c r="K19" s="6" t="n">
        <v>22509.55</v>
      </c>
      <c r="L19" s="6" t="n">
        <v>22638.2</v>
      </c>
      <c r="M19" s="6" t="n">
        <v>22602.31</v>
      </c>
      <c r="N19" s="6" t="n">
        <v>22217.97</v>
      </c>
      <c r="O19" s="6" t="n">
        <v>22656.42</v>
      </c>
      <c r="P19" s="6" t="n">
        <v>22229.64</v>
      </c>
      <c r="Q19" s="4">
        <f>AVERAGE(E19:P19)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2026-04-02T14:04:13Z</dcterms:created>
  <dcterms:modified xmlns:dcterms="http://purl.org/dc/terms/" xmlns:xsi="http://www.w3.org/2001/XMLSchema-instance" xsi:type="dcterms:W3CDTF">2026-04-02T14:04:31Z</dcterms:modified>
</cp:coreProperties>
</file>