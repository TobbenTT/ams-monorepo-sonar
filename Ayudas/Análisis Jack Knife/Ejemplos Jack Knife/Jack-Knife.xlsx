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 INFORMACIÓN\Minera Antucoya\Jack Knife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K18" i="1" s="1"/>
  <c r="K4" i="1"/>
  <c r="K5" i="1"/>
  <c r="K6" i="1"/>
  <c r="K7" i="1"/>
  <c r="K8" i="1"/>
  <c r="K9" i="1"/>
  <c r="K10" i="1"/>
  <c r="K11" i="1"/>
  <c r="K3" i="1"/>
  <c r="J4" i="1"/>
  <c r="J5" i="1"/>
  <c r="J6" i="1"/>
  <c r="J7" i="1"/>
  <c r="J8" i="1"/>
  <c r="J9" i="1"/>
  <c r="J10" i="1"/>
  <c r="J11" i="1"/>
  <c r="J3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" i="1"/>
  <c r="D21" i="1"/>
  <c r="K15" i="1" l="1"/>
</calcChain>
</file>

<file path=xl/sharedStrings.xml><?xml version="1.0" encoding="utf-8"?>
<sst xmlns="http://schemas.openxmlformats.org/spreadsheetml/2006/main" count="31" uniqueCount="29">
  <si>
    <t>Razón</t>
  </si>
  <si>
    <t># Paradas</t>
  </si>
  <si>
    <t>Tiempo de Paradas (min)</t>
  </si>
  <si>
    <t>MTTR</t>
  </si>
  <si>
    <t>Sistema dispatch/comunica</t>
  </si>
  <si>
    <t>Motor</t>
  </si>
  <si>
    <t>Sistema eléctrico</t>
  </si>
  <si>
    <t>Accidente</t>
  </si>
  <si>
    <t>Bomba hidráulica</t>
  </si>
  <si>
    <t>Trabajos varios soldadura</t>
  </si>
  <si>
    <t>Sistema de admisión y esc</t>
  </si>
  <si>
    <t>Llantas/aros</t>
  </si>
  <si>
    <t>Sistema dirección</t>
  </si>
  <si>
    <t>Sistema suspensiones</t>
  </si>
  <si>
    <t>Sistema frenos</t>
  </si>
  <si>
    <t>Sistema de enfriamiento</t>
  </si>
  <si>
    <t>Frame y booms</t>
  </si>
  <si>
    <t>Sistema de combustible</t>
  </si>
  <si>
    <t>Tolva</t>
  </si>
  <si>
    <t>Diferencial</t>
  </si>
  <si>
    <t>Mandos finales y diferenc</t>
  </si>
  <si>
    <t>Sistema transmisión</t>
  </si>
  <si>
    <t>Total tiempo (min)</t>
  </si>
  <si>
    <t>Limites</t>
  </si>
  <si>
    <t>Suma total del tiempo de paradas</t>
  </si>
  <si>
    <t>Suma del N° total de paradas</t>
  </si>
  <si>
    <t>Límite MTTR=</t>
  </si>
  <si>
    <t>Límite # Paradas=</t>
  </si>
  <si>
    <t>N° total de razones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</si>
</sst>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Jack-KniFE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JACK-KNIFE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Hoja1!$C$3:$C$20</c:f>
              <c:numCache>
                <c:formatCode>General</c:formatCode>
                <c:ptCount val="18"/>
                <c:pt idx="0">
                  <c:v>28</c:v>
                </c:pt>
                <c:pt idx="1">
                  <c:v>24</c:v>
                </c:pt>
                <c:pt idx="2">
                  <c:v>35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15</c:v>
                </c:pt>
                <c:pt idx="8">
                  <c:v>7</c:v>
                </c:pt>
                <c:pt idx="9">
                  <c:v>7</c:v>
                </c:pt>
                <c:pt idx="10">
                  <c:v>11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Hoja1!$E$3:$E$20</c:f>
              <c:numCache>
                <c:formatCode>0.00</c:formatCode>
                <c:ptCount val="18"/>
                <c:pt idx="0">
                  <c:v>186.61357142857145</c:v>
                </c:pt>
                <c:pt idx="1">
                  <c:v>203.33875</c:v>
                </c:pt>
                <c:pt idx="2">
                  <c:v>45.82714285714286</c:v>
                </c:pt>
                <c:pt idx="3">
                  <c:v>532.06666666666672</c:v>
                </c:pt>
                <c:pt idx="4">
                  <c:v>514.06500000000005</c:v>
                </c:pt>
                <c:pt idx="5">
                  <c:v>240.65666666666667</c:v>
                </c:pt>
                <c:pt idx="6">
                  <c:v>350.565</c:v>
                </c:pt>
                <c:pt idx="7">
                  <c:v>38.344666666666662</c:v>
                </c:pt>
                <c:pt idx="8">
                  <c:v>73.34571428571428</c:v>
                </c:pt>
                <c:pt idx="9">
                  <c:v>59.707142857142856</c:v>
                </c:pt>
                <c:pt idx="10">
                  <c:v>34.025454545454544</c:v>
                </c:pt>
                <c:pt idx="11">
                  <c:v>60.326666666666661</c:v>
                </c:pt>
                <c:pt idx="12">
                  <c:v>88.724999999999994</c:v>
                </c:pt>
                <c:pt idx="13">
                  <c:v>81.790000000000006</c:v>
                </c:pt>
                <c:pt idx="14">
                  <c:v>151.72</c:v>
                </c:pt>
                <c:pt idx="15">
                  <c:v>108.57</c:v>
                </c:pt>
                <c:pt idx="16">
                  <c:v>50.02</c:v>
                </c:pt>
                <c:pt idx="17">
                  <c:v>9.93</c:v>
                </c:pt>
              </c:numCache>
            </c:numRef>
          </c:yVal>
          <c:smooth val="0"/>
        </c:ser>
        <c:ser>
          <c:idx val="1"/>
          <c:order val="1"/>
          <c:tx>
            <c:v>DT5000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Hoja1!$G$3:$G$11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Hoja1!$H$3:$H$11</c:f>
              <c:numCache>
                <c:formatCode>General</c:formatCode>
                <c:ptCount val="9"/>
                <c:pt idx="0">
                  <c:v>5000</c:v>
                </c:pt>
                <c:pt idx="1">
                  <c:v>1000</c:v>
                </c:pt>
                <c:pt idx="2">
                  <c:v>500</c:v>
                </c:pt>
                <c:pt idx="3">
                  <c:v>333.33333333333331</c:v>
                </c:pt>
                <c:pt idx="4">
                  <c:v>250</c:v>
                </c:pt>
                <c:pt idx="5">
                  <c:v>200</c:v>
                </c:pt>
                <c:pt idx="6">
                  <c:v>166.66666666666666</c:v>
                </c:pt>
                <c:pt idx="7">
                  <c:v>142.85714285714286</c:v>
                </c:pt>
                <c:pt idx="8">
                  <c:v>125</c:v>
                </c:pt>
              </c:numCache>
            </c:numRef>
          </c:yVal>
          <c:smooth val="1"/>
        </c:ser>
        <c:ser>
          <c:idx val="2"/>
          <c:order val="2"/>
          <c:tx>
            <c:v>DT1000</c:v>
          </c:tx>
          <c:spPr>
            <a:ln w="222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Hoja1!$G$3:$G$11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Hoja1!$I$3:$I$11</c:f>
              <c:numCache>
                <c:formatCode>General</c:formatCode>
                <c:ptCount val="9"/>
                <c:pt idx="0">
                  <c:v>1000</c:v>
                </c:pt>
                <c:pt idx="1">
                  <c:v>200</c:v>
                </c:pt>
                <c:pt idx="2">
                  <c:v>100</c:v>
                </c:pt>
                <c:pt idx="3">
                  <c:v>66.666666666666671</c:v>
                </c:pt>
                <c:pt idx="4">
                  <c:v>50</c:v>
                </c:pt>
                <c:pt idx="5">
                  <c:v>40</c:v>
                </c:pt>
                <c:pt idx="6">
                  <c:v>33.333333333333336</c:v>
                </c:pt>
                <c:pt idx="7">
                  <c:v>28.571428571428573</c:v>
                </c:pt>
                <c:pt idx="8">
                  <c:v>25</c:v>
                </c:pt>
              </c:numCache>
            </c:numRef>
          </c:yVal>
          <c:smooth val="1"/>
        </c:ser>
        <c:ser>
          <c:idx val="3"/>
          <c:order val="3"/>
          <c:tx>
            <c:v>DT500</c:v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Hoja1!$G$3:$G$11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Hoja1!$J$3:$J$11</c:f>
              <c:numCache>
                <c:formatCode>General</c:formatCode>
                <c:ptCount val="9"/>
                <c:pt idx="0">
                  <c:v>500</c:v>
                </c:pt>
                <c:pt idx="1">
                  <c:v>100</c:v>
                </c:pt>
                <c:pt idx="2">
                  <c:v>50</c:v>
                </c:pt>
                <c:pt idx="3">
                  <c:v>33.333333333333336</c:v>
                </c:pt>
                <c:pt idx="4">
                  <c:v>25</c:v>
                </c:pt>
                <c:pt idx="5">
                  <c:v>20</c:v>
                </c:pt>
                <c:pt idx="6">
                  <c:v>16.666666666666668</c:v>
                </c:pt>
                <c:pt idx="7">
                  <c:v>14.285714285714286</c:v>
                </c:pt>
                <c:pt idx="8">
                  <c:v>12.5</c:v>
                </c:pt>
              </c:numCache>
            </c:numRef>
          </c:yVal>
          <c:smooth val="1"/>
        </c:ser>
        <c:ser>
          <c:idx val="4"/>
          <c:order val="4"/>
          <c:tx>
            <c:v>DT100</c:v>
          </c:tx>
          <c:spPr>
            <a:ln w="22225" cap="rnd">
              <a:solidFill>
                <a:srgbClr val="00B0F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Hoja1!$G$3:$G$11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Hoja1!$K$3:$K$11</c:f>
              <c:numCache>
                <c:formatCode>General</c:formatCode>
                <c:ptCount val="9"/>
                <c:pt idx="0">
                  <c:v>100</c:v>
                </c:pt>
                <c:pt idx="1">
                  <c:v>20</c:v>
                </c:pt>
                <c:pt idx="2">
                  <c:v>10</c:v>
                </c:pt>
                <c:pt idx="3">
                  <c:v>6.666666666666667</c:v>
                </c:pt>
                <c:pt idx="4">
                  <c:v>5</c:v>
                </c:pt>
                <c:pt idx="5">
                  <c:v>4</c:v>
                </c:pt>
                <c:pt idx="6">
                  <c:v>3.3333333333333335</c:v>
                </c:pt>
                <c:pt idx="7">
                  <c:v>2.8571428571428572</c:v>
                </c:pt>
                <c:pt idx="8">
                  <c:v>2.5</c:v>
                </c:pt>
              </c:numCache>
            </c:numRef>
          </c:yVal>
          <c:smooth val="1"/>
        </c:ser>
        <c:ser>
          <c:idx val="5"/>
          <c:order val="5"/>
          <c:tx>
            <c:v>Límite MTTR</c:v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Hoja1!$G$3:$G$12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100</c:v>
                </c:pt>
              </c:numCache>
            </c:numRef>
          </c:xVal>
          <c:yVal>
            <c:numRef>
              <c:f>Hoja1!$L$3:$L$12</c:f>
              <c:numCache>
                <c:formatCode>General</c:formatCode>
                <c:ptCount val="10"/>
                <c:pt idx="0">
                  <c:v>124.86324324324328</c:v>
                </c:pt>
                <c:pt idx="1">
                  <c:v>124.86324324324328</c:v>
                </c:pt>
                <c:pt idx="2">
                  <c:v>124.86324324324328</c:v>
                </c:pt>
                <c:pt idx="3">
                  <c:v>124.86324324324328</c:v>
                </c:pt>
                <c:pt idx="4">
                  <c:v>124.86324324324328</c:v>
                </c:pt>
                <c:pt idx="5">
                  <c:v>124.86324324324328</c:v>
                </c:pt>
                <c:pt idx="6">
                  <c:v>124.86324324324328</c:v>
                </c:pt>
                <c:pt idx="7">
                  <c:v>124.86324324324328</c:v>
                </c:pt>
                <c:pt idx="8">
                  <c:v>124.86324324324328</c:v>
                </c:pt>
                <c:pt idx="9">
                  <c:v>124.86324324324328</c:v>
                </c:pt>
              </c:numCache>
            </c:numRef>
          </c:yVal>
          <c:smooth val="0"/>
        </c:ser>
        <c:ser>
          <c:idx val="6"/>
          <c:order val="6"/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Hoja1!$M$3:$M$12</c:f>
              <c:numCache>
                <c:formatCode>General</c:formatCode>
                <c:ptCount val="10"/>
                <c:pt idx="0">
                  <c:v>8.2222222222222214</c:v>
                </c:pt>
                <c:pt idx="1">
                  <c:v>8.2222222222222214</c:v>
                </c:pt>
                <c:pt idx="2">
                  <c:v>8.2222222222222214</c:v>
                </c:pt>
                <c:pt idx="3">
                  <c:v>8.2222222222222214</c:v>
                </c:pt>
                <c:pt idx="4">
                  <c:v>8.2222222222222214</c:v>
                </c:pt>
                <c:pt idx="5">
                  <c:v>8.2222222222222214</c:v>
                </c:pt>
                <c:pt idx="6">
                  <c:v>8.2222222222222214</c:v>
                </c:pt>
                <c:pt idx="7">
                  <c:v>8.2222222222222214</c:v>
                </c:pt>
                <c:pt idx="8">
                  <c:v>8.2222222222222214</c:v>
                </c:pt>
                <c:pt idx="9">
                  <c:v>8.2222222222222214</c:v>
                </c:pt>
              </c:numCache>
            </c:numRef>
          </c:xVal>
          <c:yVal>
            <c:numRef>
              <c:f>Hoja1!$I$3:$I$12</c:f>
              <c:numCache>
                <c:formatCode>General</c:formatCode>
                <c:ptCount val="10"/>
                <c:pt idx="0">
                  <c:v>1000</c:v>
                </c:pt>
                <c:pt idx="1">
                  <c:v>200</c:v>
                </c:pt>
                <c:pt idx="2">
                  <c:v>100</c:v>
                </c:pt>
                <c:pt idx="3">
                  <c:v>66.666666666666671</c:v>
                </c:pt>
                <c:pt idx="4">
                  <c:v>50</c:v>
                </c:pt>
                <c:pt idx="5">
                  <c:v>40</c:v>
                </c:pt>
                <c:pt idx="6">
                  <c:v>33.333333333333336</c:v>
                </c:pt>
                <c:pt idx="7">
                  <c:v>28.571428571428573</c:v>
                </c:pt>
                <c:pt idx="8">
                  <c:v>25</c:v>
                </c:pt>
                <c:pt idx="9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3061760"/>
        <c:axId val="-2133071552"/>
      </c:scatterChart>
      <c:valAx>
        <c:axId val="-21330617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# Paradas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2133071552"/>
        <c:crosses val="autoZero"/>
        <c:crossBetween val="midCat"/>
      </c:valAx>
      <c:valAx>
        <c:axId val="-2133071552"/>
        <c:scaling>
          <c:logBase val="10"/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MTTR (min)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2133061760"/>
        <c:crossesAt val="1"/>
        <c:crossBetween val="midCat"/>
        <c:majorUnit val="100"/>
        <c:minorUnit val="10"/>
      </c:valAx>
      <c:spPr>
        <a:noFill/>
        <a:ln w="19050">
          <a:solidFill>
            <a:schemeClr val="tx1">
              <a:lumMod val="5000"/>
              <a:lumOff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760580</xdr:colOff>
      <xdr:row>21</xdr:row>
      <xdr:rowOff>168903</xdr:rowOff>
    </xdr:from>
    <xdr:to>
      <xdr:col>12</xdr:col>
      <xdr:colOff>629009</xdr:colOff>
      <xdr:row>42</xdr:row>
      <xdr:rowOff>4428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386392</xdr:colOff>
      <xdr:row>36</xdr:row>
      <xdr:rowOff>107830</xdr:rowOff>
    </xdr:from>
    <xdr:to>
      <xdr:col>12</xdr:col>
      <xdr:colOff>152760</xdr:colOff>
      <xdr:row>37</xdr:row>
      <xdr:rowOff>89858</xdr:rowOff>
    </xdr:to>
    <xdr:sp macro="" textlink="">
      <xdr:nvSpPr>
        <xdr:cNvPr id="5" name="CuadroTexto 4"/>
        <xdr:cNvSpPr txBox="1"/>
      </xdr:nvSpPr>
      <xdr:spPr>
        <a:xfrm>
          <a:off x="10854906" y="6901132"/>
          <a:ext cx="530165" cy="1707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700" b="1"/>
            <a:t>CRÓNICO</a:t>
          </a:r>
        </a:p>
      </xdr:txBody>
    </xdr:sp>
    <xdr:clientData/>
  </xdr:twoCellAnchor>
  <xdr:twoCellAnchor>
    <xdr:from>
      <xdr:col>11</xdr:col>
      <xdr:colOff>350446</xdr:colOff>
      <xdr:row>28</xdr:row>
      <xdr:rowOff>17973</xdr:rowOff>
    </xdr:from>
    <xdr:to>
      <xdr:col>12</xdr:col>
      <xdr:colOff>458278</xdr:colOff>
      <xdr:row>29</xdr:row>
      <xdr:rowOff>8986</xdr:rowOff>
    </xdr:to>
    <xdr:sp macro="" textlink="">
      <xdr:nvSpPr>
        <xdr:cNvPr id="6" name="CuadroTexto 5"/>
        <xdr:cNvSpPr txBox="1"/>
      </xdr:nvSpPr>
      <xdr:spPr>
        <a:xfrm>
          <a:off x="10818960" y="5301652"/>
          <a:ext cx="871629" cy="1797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700" b="1"/>
            <a:t>MANTENIBILIDAD</a:t>
          </a:r>
        </a:p>
      </xdr:txBody>
    </xdr:sp>
    <xdr:clientData/>
  </xdr:twoCellAnchor>
  <xdr:twoCellAnchor>
    <xdr:from>
      <xdr:col>8</xdr:col>
      <xdr:colOff>287549</xdr:colOff>
      <xdr:row>23</xdr:row>
      <xdr:rowOff>26958</xdr:rowOff>
    </xdr:from>
    <xdr:to>
      <xdr:col>8</xdr:col>
      <xdr:colOff>458278</xdr:colOff>
      <xdr:row>27</xdr:row>
      <xdr:rowOff>62902</xdr:rowOff>
    </xdr:to>
    <xdr:sp macro="" textlink="">
      <xdr:nvSpPr>
        <xdr:cNvPr id="8" name="CuadroTexto 7"/>
        <xdr:cNvSpPr txBox="1"/>
      </xdr:nvSpPr>
      <xdr:spPr>
        <a:xfrm rot="16200000">
          <a:off x="8154659" y="4677136"/>
          <a:ext cx="790755" cy="1707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700" b="1"/>
            <a:t>CONFIABILIDAD</a:t>
          </a:r>
        </a:p>
      </xdr:txBody>
    </xdr:sp>
    <xdr:clientData/>
  </xdr:twoCellAnchor>
  <xdr:twoCellAnchor>
    <xdr:from>
      <xdr:col>6</xdr:col>
      <xdr:colOff>0</xdr:colOff>
      <xdr:row>36</xdr:row>
      <xdr:rowOff>134787</xdr:rowOff>
    </xdr:from>
    <xdr:to>
      <xdr:col>6</xdr:col>
      <xdr:colOff>539151</xdr:colOff>
      <xdr:row>37</xdr:row>
      <xdr:rowOff>89857</xdr:rowOff>
    </xdr:to>
    <xdr:sp macro="" textlink="">
      <xdr:nvSpPr>
        <xdr:cNvPr id="9" name="CuadroTexto 8"/>
        <xdr:cNvSpPr txBox="1"/>
      </xdr:nvSpPr>
      <xdr:spPr>
        <a:xfrm>
          <a:off x="6308066" y="6928089"/>
          <a:ext cx="539151" cy="143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700" b="1"/>
            <a:t>NORMAL</a:t>
          </a:r>
        </a:p>
      </xdr:txBody>
    </xdr:sp>
    <xdr:clientData/>
  </xdr:twoCellAnchor>
  <xdr:twoCellAnchor>
    <xdr:from>
      <xdr:col>5</xdr:col>
      <xdr:colOff>637996</xdr:colOff>
      <xdr:row>25</xdr:row>
      <xdr:rowOff>170730</xdr:rowOff>
    </xdr:from>
    <xdr:to>
      <xdr:col>6</xdr:col>
      <xdr:colOff>368419</xdr:colOff>
      <xdr:row>26</xdr:row>
      <xdr:rowOff>143773</xdr:rowOff>
    </xdr:to>
    <xdr:sp macro="" textlink="">
      <xdr:nvSpPr>
        <xdr:cNvPr id="10" name="CuadroTexto 9"/>
        <xdr:cNvSpPr txBox="1"/>
      </xdr:nvSpPr>
      <xdr:spPr>
        <a:xfrm>
          <a:off x="6182265" y="4888301"/>
          <a:ext cx="494220" cy="1617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700" b="1"/>
            <a:t>AGUDO</a:t>
          </a:r>
        </a:p>
      </xdr:txBody>
    </xdr:sp>
    <xdr:clientData/>
  </xdr:twoCellAnchor>
  <xdr:twoCellAnchor>
    <xdr:from>
      <xdr:col>11</xdr:col>
      <xdr:colOff>116817</xdr:colOff>
      <xdr:row>24</xdr:row>
      <xdr:rowOff>161743</xdr:rowOff>
    </xdr:from>
    <xdr:to>
      <xdr:col>12</xdr:col>
      <xdr:colOff>269576</xdr:colOff>
      <xdr:row>25</xdr:row>
      <xdr:rowOff>152757</xdr:rowOff>
    </xdr:to>
    <xdr:sp macro="" textlink="">
      <xdr:nvSpPr>
        <xdr:cNvPr id="11" name="CuadroTexto 10"/>
        <xdr:cNvSpPr txBox="1"/>
      </xdr:nvSpPr>
      <xdr:spPr>
        <a:xfrm>
          <a:off x="10585331" y="4690611"/>
          <a:ext cx="916556" cy="1797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700" b="1"/>
            <a:t>AGUDO</a:t>
          </a:r>
          <a:r>
            <a:rPr lang="es-CL" sz="700" b="1" baseline="0"/>
            <a:t> Y CRÓNICO</a:t>
          </a:r>
          <a:endParaRPr lang="es-CL" sz="7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2"/>
  <sheetViews>
    <sheetView tabSelected="1" topLeftCell="C1" zoomScale="106" zoomScaleNormal="106" workbookViewId="0">
      <selection activeCell="N29" sqref="N29"/>
    </sheetView>
  </sheetViews>
  <sheetFormatPr baseColWidth="10" defaultRowHeight="15" x14ac:dyDescent="0.25"/>
  <cols>
    <col min="2" max="2" width="25.42578125" bestFit="1" customWidth="1"/>
    <col min="4" max="4" width="23.28515625" bestFit="1" customWidth="1"/>
    <col min="7" max="7" width="16.5703125" customWidth="1"/>
  </cols>
  <sheetData>
    <row r="2" spans="2:13" x14ac:dyDescent="0.25">
      <c r="B2" s="4" t="s">
        <v>0</v>
      </c>
      <c r="C2" s="4" t="s">
        <v>1</v>
      </c>
      <c r="D2" s="4" t="s">
        <v>2</v>
      </c>
      <c r="E2" s="4" t="s">
        <v>3</v>
      </c>
      <c r="G2" s="7" t="s">
        <v>1</v>
      </c>
      <c r="H2" s="7">
        <v>5000</v>
      </c>
      <c r="I2" s="7">
        <v>1000</v>
      </c>
      <c r="J2" s="7">
        <v>500</v>
      </c>
      <c r="K2" s="7">
        <v>100</v>
      </c>
    </row>
    <row r="3" spans="2:13" x14ac:dyDescent="0.25">
      <c r="B3" s="5" t="s">
        <v>4</v>
      </c>
      <c r="C3" s="4">
        <v>28</v>
      </c>
      <c r="D3" s="6">
        <v>5225.18</v>
      </c>
      <c r="E3" s="6">
        <f>D3/C3</f>
        <v>186.61357142857145</v>
      </c>
      <c r="G3" s="8">
        <v>1</v>
      </c>
      <c r="H3" s="8">
        <f>$H$2/G3</f>
        <v>5000</v>
      </c>
      <c r="I3" s="8">
        <f>$I$2/G3</f>
        <v>1000</v>
      </c>
      <c r="J3" s="8">
        <f>$J$2/G3</f>
        <v>500</v>
      </c>
      <c r="K3" s="8">
        <f>$K$2/G3</f>
        <v>100</v>
      </c>
      <c r="L3">
        <v>124.86324324324328</v>
      </c>
      <c r="M3">
        <v>8.2222222222222214</v>
      </c>
    </row>
    <row r="4" spans="2:13" x14ac:dyDescent="0.25">
      <c r="B4" s="5" t="s">
        <v>5</v>
      </c>
      <c r="C4" s="4">
        <v>24</v>
      </c>
      <c r="D4" s="6">
        <v>4880.13</v>
      </c>
      <c r="E4" s="6">
        <f t="shared" ref="E4:E20" si="0">D4/C4</f>
        <v>203.33875</v>
      </c>
      <c r="G4" s="8">
        <v>5</v>
      </c>
      <c r="H4" s="8">
        <f t="shared" ref="H4:H11" si="1">$H$2/G4</f>
        <v>1000</v>
      </c>
      <c r="I4" s="8">
        <f t="shared" ref="I4:I11" si="2">$I$2/G4</f>
        <v>200</v>
      </c>
      <c r="J4" s="8">
        <f t="shared" ref="J4:J11" si="3">$J$2/G4</f>
        <v>100</v>
      </c>
      <c r="K4" s="8">
        <f t="shared" ref="K4:K11" si="4">$K$2/G4</f>
        <v>20</v>
      </c>
      <c r="L4">
        <v>124.86324324324328</v>
      </c>
      <c r="M4">
        <v>8.2222222222222214</v>
      </c>
    </row>
    <row r="5" spans="2:13" x14ac:dyDescent="0.25">
      <c r="B5" s="5" t="s">
        <v>6</v>
      </c>
      <c r="C5" s="4">
        <v>35</v>
      </c>
      <c r="D5" s="6">
        <v>1603.95</v>
      </c>
      <c r="E5" s="6">
        <f t="shared" si="0"/>
        <v>45.82714285714286</v>
      </c>
      <c r="G5" s="8">
        <v>10</v>
      </c>
      <c r="H5" s="8">
        <f t="shared" si="1"/>
        <v>500</v>
      </c>
      <c r="I5" s="8">
        <f t="shared" si="2"/>
        <v>100</v>
      </c>
      <c r="J5" s="8">
        <f t="shared" si="3"/>
        <v>50</v>
      </c>
      <c r="K5" s="8">
        <f t="shared" si="4"/>
        <v>10</v>
      </c>
      <c r="L5">
        <v>124.86324324324328</v>
      </c>
      <c r="M5">
        <v>8.2222222222222214</v>
      </c>
    </row>
    <row r="6" spans="2:13" x14ac:dyDescent="0.25">
      <c r="B6" s="5" t="s">
        <v>7</v>
      </c>
      <c r="C6" s="4">
        <v>3</v>
      </c>
      <c r="D6" s="6">
        <v>1596.2</v>
      </c>
      <c r="E6" s="6">
        <f t="shared" si="0"/>
        <v>532.06666666666672</v>
      </c>
      <c r="G6" s="8">
        <v>15</v>
      </c>
      <c r="H6" s="8">
        <f t="shared" si="1"/>
        <v>333.33333333333331</v>
      </c>
      <c r="I6" s="8">
        <f t="shared" si="2"/>
        <v>66.666666666666671</v>
      </c>
      <c r="J6" s="8">
        <f t="shared" si="3"/>
        <v>33.333333333333336</v>
      </c>
      <c r="K6" s="8">
        <f t="shared" si="4"/>
        <v>6.666666666666667</v>
      </c>
      <c r="L6">
        <v>124.86324324324328</v>
      </c>
      <c r="M6">
        <v>8.2222222222222214</v>
      </c>
    </row>
    <row r="7" spans="2:13" x14ac:dyDescent="0.25">
      <c r="B7" s="5" t="s">
        <v>8</v>
      </c>
      <c r="C7" s="4">
        <v>2</v>
      </c>
      <c r="D7" s="6">
        <v>1028.1300000000001</v>
      </c>
      <c r="E7" s="6">
        <f t="shared" si="0"/>
        <v>514.06500000000005</v>
      </c>
      <c r="G7" s="8">
        <v>20</v>
      </c>
      <c r="H7" s="8">
        <f t="shared" si="1"/>
        <v>250</v>
      </c>
      <c r="I7" s="8">
        <f t="shared" si="2"/>
        <v>50</v>
      </c>
      <c r="J7" s="8">
        <f t="shared" si="3"/>
        <v>25</v>
      </c>
      <c r="K7" s="8">
        <f t="shared" si="4"/>
        <v>5</v>
      </c>
      <c r="L7">
        <v>124.86324324324328</v>
      </c>
      <c r="M7">
        <v>8.2222222222222214</v>
      </c>
    </row>
    <row r="8" spans="2:13" x14ac:dyDescent="0.25">
      <c r="B8" s="5" t="s">
        <v>9</v>
      </c>
      <c r="C8" s="4">
        <v>3</v>
      </c>
      <c r="D8" s="6">
        <v>721.97</v>
      </c>
      <c r="E8" s="6">
        <f t="shared" si="0"/>
        <v>240.65666666666667</v>
      </c>
      <c r="G8" s="8">
        <v>25</v>
      </c>
      <c r="H8" s="8">
        <f t="shared" si="1"/>
        <v>200</v>
      </c>
      <c r="I8" s="8">
        <f t="shared" si="2"/>
        <v>40</v>
      </c>
      <c r="J8" s="8">
        <f t="shared" si="3"/>
        <v>20</v>
      </c>
      <c r="K8" s="8">
        <f t="shared" si="4"/>
        <v>4</v>
      </c>
      <c r="L8">
        <v>124.86324324324328</v>
      </c>
      <c r="M8">
        <v>8.2222222222222214</v>
      </c>
    </row>
    <row r="9" spans="2:13" x14ac:dyDescent="0.25">
      <c r="B9" s="5" t="s">
        <v>10</v>
      </c>
      <c r="C9" s="4">
        <v>2</v>
      </c>
      <c r="D9" s="6">
        <v>701.13</v>
      </c>
      <c r="E9" s="6">
        <f t="shared" si="0"/>
        <v>350.565</v>
      </c>
      <c r="G9" s="8">
        <v>30</v>
      </c>
      <c r="H9" s="8">
        <f t="shared" si="1"/>
        <v>166.66666666666666</v>
      </c>
      <c r="I9" s="8">
        <f t="shared" si="2"/>
        <v>33.333333333333336</v>
      </c>
      <c r="J9" s="8">
        <f t="shared" si="3"/>
        <v>16.666666666666668</v>
      </c>
      <c r="K9" s="8">
        <f t="shared" si="4"/>
        <v>3.3333333333333335</v>
      </c>
      <c r="L9">
        <v>124.86324324324328</v>
      </c>
      <c r="M9">
        <v>8.2222222222222214</v>
      </c>
    </row>
    <row r="10" spans="2:13" x14ac:dyDescent="0.25">
      <c r="B10" s="5" t="s">
        <v>11</v>
      </c>
      <c r="C10" s="4">
        <v>15</v>
      </c>
      <c r="D10" s="6">
        <v>575.16999999999996</v>
      </c>
      <c r="E10" s="6">
        <f t="shared" si="0"/>
        <v>38.344666666666662</v>
      </c>
      <c r="G10" s="8">
        <v>35</v>
      </c>
      <c r="H10" s="8">
        <f t="shared" si="1"/>
        <v>142.85714285714286</v>
      </c>
      <c r="I10" s="8">
        <f t="shared" si="2"/>
        <v>28.571428571428573</v>
      </c>
      <c r="J10" s="8">
        <f t="shared" si="3"/>
        <v>14.285714285714286</v>
      </c>
      <c r="K10" s="8">
        <f t="shared" si="4"/>
        <v>2.8571428571428572</v>
      </c>
      <c r="L10">
        <v>124.86324324324328</v>
      </c>
      <c r="M10">
        <v>8.2222222222222214</v>
      </c>
    </row>
    <row r="11" spans="2:13" x14ac:dyDescent="0.25">
      <c r="B11" s="5" t="s">
        <v>12</v>
      </c>
      <c r="C11" s="4">
        <v>7</v>
      </c>
      <c r="D11" s="6">
        <v>513.41999999999996</v>
      </c>
      <c r="E11" s="6">
        <f t="shared" si="0"/>
        <v>73.34571428571428</v>
      </c>
      <c r="G11" s="8">
        <v>40</v>
      </c>
      <c r="H11" s="8">
        <f t="shared" si="1"/>
        <v>125</v>
      </c>
      <c r="I11" s="8">
        <f t="shared" si="2"/>
        <v>25</v>
      </c>
      <c r="J11" s="8">
        <f t="shared" si="3"/>
        <v>12.5</v>
      </c>
      <c r="K11" s="8">
        <f t="shared" si="4"/>
        <v>2.5</v>
      </c>
      <c r="L11">
        <v>124.86324324324328</v>
      </c>
      <c r="M11">
        <v>8.2222222222222214</v>
      </c>
    </row>
    <row r="12" spans="2:13" x14ac:dyDescent="0.25">
      <c r="B12" s="5" t="s">
        <v>13</v>
      </c>
      <c r="C12" s="4">
        <v>7</v>
      </c>
      <c r="D12" s="6">
        <v>417.95</v>
      </c>
      <c r="E12" s="6">
        <f t="shared" si="0"/>
        <v>59.707142857142856</v>
      </c>
      <c r="G12" s="1">
        <v>100</v>
      </c>
      <c r="H12" s="1"/>
      <c r="I12" s="1">
        <v>1</v>
      </c>
      <c r="J12" s="1"/>
      <c r="K12" s="1"/>
      <c r="L12">
        <v>124.86324324324328</v>
      </c>
      <c r="M12">
        <v>8.2222222222222214</v>
      </c>
    </row>
    <row r="13" spans="2:13" x14ac:dyDescent="0.25">
      <c r="B13" s="5" t="s">
        <v>14</v>
      </c>
      <c r="C13" s="4">
        <v>11</v>
      </c>
      <c r="D13" s="6">
        <v>374.28</v>
      </c>
      <c r="E13" s="6">
        <f t="shared" si="0"/>
        <v>34.025454545454544</v>
      </c>
      <c r="G13" t="s">
        <v>23</v>
      </c>
    </row>
    <row r="14" spans="2:13" x14ac:dyDescent="0.25">
      <c r="B14" s="5" t="s">
        <v>15</v>
      </c>
      <c r="C14" s="4">
        <v>3</v>
      </c>
      <c r="D14" s="6">
        <v>180.98</v>
      </c>
      <c r="E14" s="6">
        <f t="shared" si="0"/>
        <v>60.326666666666661</v>
      </c>
    </row>
    <row r="15" spans="2:13" x14ac:dyDescent="0.25">
      <c r="B15" s="5" t="s">
        <v>16</v>
      </c>
      <c r="C15" s="4">
        <v>2</v>
      </c>
      <c r="D15" s="6">
        <v>177.45</v>
      </c>
      <c r="E15" s="6">
        <f t="shared" si="0"/>
        <v>88.724999999999994</v>
      </c>
      <c r="G15" t="s">
        <v>26</v>
      </c>
      <c r="H15" s="9" t="s">
        <v>24</v>
      </c>
      <c r="K15">
        <f>D21/C21</f>
        <v>124.86324324324328</v>
      </c>
    </row>
    <row r="16" spans="2:13" x14ac:dyDescent="0.25">
      <c r="B16" s="5" t="s">
        <v>17</v>
      </c>
      <c r="C16" s="4">
        <v>2</v>
      </c>
      <c r="D16" s="6">
        <v>163.58000000000001</v>
      </c>
      <c r="E16" s="6">
        <f t="shared" si="0"/>
        <v>81.790000000000006</v>
      </c>
      <c r="H16" t="s">
        <v>25</v>
      </c>
    </row>
    <row r="17" spans="2:11" x14ac:dyDescent="0.25">
      <c r="B17" s="5" t="s">
        <v>18</v>
      </c>
      <c r="C17" s="4">
        <v>1</v>
      </c>
      <c r="D17" s="6">
        <v>151.72</v>
      </c>
      <c r="E17" s="6">
        <f t="shared" si="0"/>
        <v>151.72</v>
      </c>
    </row>
    <row r="18" spans="2:11" x14ac:dyDescent="0.25">
      <c r="B18" s="5" t="s">
        <v>19</v>
      </c>
      <c r="C18" s="4">
        <v>1</v>
      </c>
      <c r="D18" s="6">
        <v>108.57</v>
      </c>
      <c r="E18" s="6">
        <f t="shared" si="0"/>
        <v>108.57</v>
      </c>
      <c r="G18" t="s">
        <v>27</v>
      </c>
      <c r="H18" s="9" t="s">
        <v>25</v>
      </c>
      <c r="K18">
        <f>C21/COUNT(C3:C20)</f>
        <v>8.2222222222222214</v>
      </c>
    </row>
    <row r="19" spans="2:11" x14ac:dyDescent="0.25">
      <c r="B19" s="5" t="s">
        <v>20</v>
      </c>
      <c r="C19" s="4">
        <v>1</v>
      </c>
      <c r="D19" s="6">
        <v>50.02</v>
      </c>
      <c r="E19" s="6">
        <f t="shared" si="0"/>
        <v>50.02</v>
      </c>
      <c r="H19" t="s">
        <v>28</v>
      </c>
    </row>
    <row r="20" spans="2:11" x14ac:dyDescent="0.25">
      <c r="B20" s="5" t="s">
        <v>21</v>
      </c>
      <c r="C20" s="4">
        <v>1</v>
      </c>
      <c r="D20" s="6">
        <v>9.93</v>
      </c>
      <c r="E20" s="6">
        <f t="shared" si="0"/>
        <v>9.93</v>
      </c>
    </row>
    <row r="21" spans="2:11" x14ac:dyDescent="0.25">
      <c r="B21" s="10" t="s">
        <v>22</v>
      </c>
      <c r="C21" s="4">
        <f>SUM(C3:C20)</f>
        <v>148</v>
      </c>
      <c r="D21" s="6">
        <f>SUM(D3:D20)</f>
        <v>18479.760000000006</v>
      </c>
      <c r="E21" s="2"/>
    </row>
    <row r="22" spans="2:11" x14ac:dyDescent="0.25">
      <c r="B22" s="3"/>
      <c r="C22" s="3"/>
      <c r="D22" s="3"/>
      <c r="E22" s="3"/>
    </row>
  </sheetData>
  <pageMargins left="0.7" right="0.7" top="0.75" bottom="0.75" header="0.3" footer="0.3"/>
  <pageSetup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ASSEP</dc:creator>
  <cp:lastModifiedBy>ASSEP</cp:lastModifiedBy>
  <dcterms:created xsi:type="dcterms:W3CDTF">2018-05-15T18:38:46Z</dcterms:created>
  <dcterms:modified xsi:type="dcterms:W3CDTF">2018-05-15T23:40:18Z</dcterms:modified>
</cp:coreProperties>
</file>